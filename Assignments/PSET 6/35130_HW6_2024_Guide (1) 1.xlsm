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3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Volumes/GoogleDrive/My Drive/teaching/Fixed_Income/Assignments/Assignment6/HW_2017_Oleg/Excel/"/>
    </mc:Choice>
  </mc:AlternateContent>
  <xr:revisionPtr revIDLastSave="0" documentId="8_{091D4A93-2A2A-3B45-9A0E-0D031692C871}" xr6:coauthVersionLast="36" xr6:coauthVersionMax="36" xr10:uidLastSave="{00000000-0000-0000-0000-000000000000}"/>
  <bookViews>
    <workbookView xWindow="0" yWindow="460" windowWidth="29000" windowHeight="21540" tabRatio="683" xr2:uid="{00000000-000D-0000-FFFF-FFFF00000000}"/>
  </bookViews>
  <sheets>
    <sheet name="HW6_FRB_H15" sheetId="9" r:id="rId1"/>
    <sheet name="Data Bonds" sheetId="10" r:id="rId2"/>
    <sheet name="Q1 - Nelson-Siegel" sheetId="12" r:id="rId3"/>
    <sheet name="Q2 - IRTree - Instructions" sheetId="17" r:id="rId4"/>
    <sheet name="Q2 - IRTree" sheetId="1" r:id="rId5"/>
    <sheet name="Q3 - Plot" sheetId="13" r:id="rId6"/>
    <sheet name="Q4-5 - Pricing" sheetId="14" r:id="rId7"/>
    <sheet name="Q6 - Plot" sheetId="15" r:id="rId8"/>
    <sheet name="Q7 - Dur-Conv" sheetId="16" r:id="rId9"/>
  </sheets>
  <definedNames>
    <definedName name="cc">'Q2 - IRTree'!$F$4</definedName>
    <definedName name="coupon">'Q4-5 - Pricing'!$C$14</definedName>
    <definedName name="d">'Q2 - IRTree'!$I$6</definedName>
    <definedName name="data.NelsonSiegel">'Q1 - Nelson-Siegel'!$EA$11:$ED$71</definedName>
    <definedName name="FCT">'Q2 - IRTree'!$F$5</definedName>
    <definedName name="FstCT">'Q4-5 - Pricing'!$C$16</definedName>
    <definedName name="h">'Q2 - IRTree'!$I$3</definedName>
    <definedName name="h0">'Q2 - IRTree'!$I$4</definedName>
    <definedName name="hh">'Q4-5 - Pricing'!$C$15</definedName>
    <definedName name="HoLee.BDT">'Q2 - IRTree'!$F$1</definedName>
    <definedName name="K">'Q2 - IRTree'!$F$4</definedName>
    <definedName name="la">'Q1 - Nelson-Siegel'!$C$9</definedName>
    <definedName name="matur">'Q4-5 - Pricing'!$C$13</definedName>
    <definedName name="_xlnm.Print_Area" localSheetId="4">'Q2 - IRTree'!$A$1:$L$24</definedName>
    <definedName name="q">'Q2 - IRTree'!$C$6</definedName>
    <definedName name="rr">'Q2 - IRTree'!$C$4</definedName>
    <definedName name="S0">'Q2 - IRTree'!$C$7</definedName>
    <definedName name="sig">'Q2 - IRTree'!$C$3</definedName>
    <definedName name="solver_adj" localSheetId="2" hidden="1">'Q1 - Nelson-Siegel'!$C$6:$C$9</definedName>
    <definedName name="solver_adj" localSheetId="4" hidden="1">'Q2 - IRTree'!$O$3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2" hidden="1">1</definedName>
    <definedName name="solver_est" localSheetId="2" hidden="1">1</definedName>
    <definedName name="solver_est" localSheetId="4" hidden="1">1</definedName>
    <definedName name="solver_itr" localSheetId="2" hidden="1">2147483647</definedName>
    <definedName name="solver_itr" localSheetId="4" hidden="1">100</definedName>
    <definedName name="solver_lhs1" localSheetId="2" hidden="1">'Q1 - Nelson-Siegel'!$C$9</definedName>
    <definedName name="solver_lhs2" localSheetId="2" hidden="1">'Q1 - Nelson-Siegel'!$C$9</definedName>
    <definedName name="solver_lin" localSheetId="4" hidden="1">2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2</definedName>
    <definedName name="solver_neg" localSheetId="4" hidden="1">2</definedName>
    <definedName name="solver_nod" localSheetId="2" hidden="1">2147483647</definedName>
    <definedName name="solver_num" localSheetId="2" hidden="1">1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'Q1 - Nelson-Siegel'!$DY$8</definedName>
    <definedName name="solver_opt" localSheetId="4" hidden="1">'Q2 - IRTree'!$O$4</definedName>
    <definedName name="solver_pre" localSheetId="2" hidden="1">0.000001</definedName>
    <definedName name="solver_pre" localSheetId="4" hidden="1">0.000001</definedName>
    <definedName name="solver_rbv" localSheetId="2" hidden="1">1</definedName>
    <definedName name="solver_rel1" localSheetId="2" hidden="1">3</definedName>
    <definedName name="solver_rel2" localSheetId="2" hidden="1">3</definedName>
    <definedName name="solver_rhs1" localSheetId="2" hidden="1">0.0001</definedName>
    <definedName name="solver_rhs2" localSheetId="2" hidden="1">0.0001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cl" localSheetId="4" hidden="1">2</definedName>
    <definedName name="solver_sho" localSheetId="2" hidden="1">2</definedName>
    <definedName name="solver_sho" localSheetId="4" hidden="1">2</definedName>
    <definedName name="solver_ssz" localSheetId="2" hidden="1">100</definedName>
    <definedName name="solver_tim" localSheetId="2" hidden="1">2147483647</definedName>
    <definedName name="solver_tim" localSheetId="4" hidden="1">100</definedName>
    <definedName name="solver_tol" localSheetId="2" hidden="1">0.01</definedName>
    <definedName name="solver_tol" localSheetId="4" hidden="1">0.05</definedName>
    <definedName name="solver_typ" localSheetId="2" hidden="1">2</definedName>
    <definedName name="solver_typ" localSheetId="4" hidden="1">2</definedName>
    <definedName name="solver_val" localSheetId="2" hidden="1">0</definedName>
    <definedName name="solver_val" localSheetId="4" hidden="1">0</definedName>
    <definedName name="solver_ver" localSheetId="2" hidden="1">3</definedName>
    <definedName name="T" localSheetId="2">'Q1 - Nelson-Siegel'!$F:$F</definedName>
    <definedName name="T">'Q2 - IRTree'!$F$3</definedName>
    <definedName name="theta0">'Q1 - Nelson-Siegel'!$C$6</definedName>
    <definedName name="theta1">'Q1 - Nelson-Siegel'!$C$7</definedName>
    <definedName name="theta2">'Q1 - Nelson-Siegel'!$C$8</definedName>
    <definedName name="Tree.BondValue">'Q2 - IRTree'!$B$82</definedName>
    <definedName name="Tree.BondValue.All">'Q2 - IRTree'!$B$79:$BJ$79</definedName>
    <definedName name="tree.callable">'Q4-5 - Pricing'!$A$230:$BJ$292</definedName>
    <definedName name="tree.non.callable">'Q4-5 - Pricing'!$A$92:$BJ$154</definedName>
    <definedName name="tree.rates">'Q4-5 - Pricing'!$A$21:$BJ$83</definedName>
    <definedName name="TT">'Q2 - IRTree'!$F$3</definedName>
    <definedName name="TTT">'Q1 - Nelson-Siegel'!$EA:$EA</definedName>
    <definedName name="YY">'Q1 - Nelson-Siegel'!$EB:$EB</definedName>
  </definedNames>
  <calcPr calcId="18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" i="1" l="1"/>
  <c r="B12" i="15"/>
  <c r="B13" i="15" s="1"/>
  <c r="B14" i="15" s="1"/>
  <c r="B15" i="15" s="1"/>
  <c r="B16" i="15" s="1"/>
  <c r="B17" i="15" s="1"/>
  <c r="B18" i="15" s="1"/>
  <c r="B19" i="15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B67" i="15" s="1"/>
  <c r="B68" i="15" s="1"/>
  <c r="B69" i="15" s="1"/>
  <c r="B70" i="15" s="1"/>
  <c r="B71" i="15" s="1"/>
  <c r="D9" i="15"/>
  <c r="P9" i="15"/>
  <c r="Q9" i="15" s="1"/>
  <c r="N12" i="15"/>
  <c r="N13" i="15" s="1"/>
  <c r="N14" i="15" s="1"/>
  <c r="N15" i="15" s="1"/>
  <c r="N16" i="15" s="1"/>
  <c r="N17" i="15" s="1"/>
  <c r="N18" i="15" s="1"/>
  <c r="N19" i="15" s="1"/>
  <c r="N20" i="15"/>
  <c r="N21" i="15" s="1"/>
  <c r="N22" i="15" s="1"/>
  <c r="N23" i="15" s="1"/>
  <c r="N24" i="15" s="1"/>
  <c r="N25" i="15" s="1"/>
  <c r="N26" i="15" s="1"/>
  <c r="N27" i="15" s="1"/>
  <c r="N28" i="15"/>
  <c r="N29" i="15" s="1"/>
  <c r="N30" i="15" s="1"/>
  <c r="N31" i="15" s="1"/>
  <c r="N32" i="15" s="1"/>
  <c r="N33" i="15" s="1"/>
  <c r="N34" i="15" s="1"/>
  <c r="N35" i="15" s="1"/>
  <c r="N36" i="15" s="1"/>
  <c r="N37" i="15" s="1"/>
  <c r="N38" i="15" s="1"/>
  <c r="N39" i="15" s="1"/>
  <c r="N40" i="15" s="1"/>
  <c r="N41" i="15" s="1"/>
  <c r="N42" i="15" s="1"/>
  <c r="N43" i="15" s="1"/>
  <c r="N44" i="15"/>
  <c r="N45" i="15" s="1"/>
  <c r="N46" i="15" s="1"/>
  <c r="N47" i="15" s="1"/>
  <c r="N48" i="15" s="1"/>
  <c r="N49" i="15" s="1"/>
  <c r="N50" i="15" s="1"/>
  <c r="N51" i="15" s="1"/>
  <c r="N52" i="15" s="1"/>
  <c r="N53" i="15" s="1"/>
  <c r="N54" i="15" s="1"/>
  <c r="N55" i="15" s="1"/>
  <c r="N56" i="15" s="1"/>
  <c r="N57" i="15" s="1"/>
  <c r="N58" i="15" s="1"/>
  <c r="N59" i="15" s="1"/>
  <c r="N60" i="15" s="1"/>
  <c r="N61" i="15" s="1"/>
  <c r="N62" i="15" s="1"/>
  <c r="N63" i="15" s="1"/>
  <c r="N64" i="15" s="1"/>
  <c r="N65" i="15" s="1"/>
  <c r="N66" i="15" s="1"/>
  <c r="N67" i="15" s="1"/>
  <c r="N68" i="15" s="1"/>
  <c r="N69" i="15" s="1"/>
  <c r="N70" i="15" s="1"/>
  <c r="N71" i="15" s="1"/>
  <c r="J9" i="15"/>
  <c r="H12" i="15"/>
  <c r="A233" i="14"/>
  <c r="C231" i="14"/>
  <c r="B230" i="14"/>
  <c r="A164" i="14"/>
  <c r="C162" i="14"/>
  <c r="B161" i="14"/>
  <c r="A95" i="14"/>
  <c r="A96" i="14" s="1"/>
  <c r="A97" i="14" s="1"/>
  <c r="C93" i="14"/>
  <c r="D93" i="14"/>
  <c r="B92" i="14"/>
  <c r="A24" i="14"/>
  <c r="A25" i="14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C22" i="14"/>
  <c r="B21" i="14"/>
  <c r="BJ78" i="1"/>
  <c r="BI78" i="1"/>
  <c r="B9" i="13"/>
  <c r="B8" i="13"/>
  <c r="B80" i="1"/>
  <c r="C81" i="1"/>
  <c r="C80" i="1"/>
  <c r="A83" i="1"/>
  <c r="A84" i="1" s="1"/>
  <c r="E14" i="9"/>
  <c r="F14" i="9" s="1"/>
  <c r="G14" i="9"/>
  <c r="I14" i="9" s="1"/>
  <c r="E15" i="9"/>
  <c r="F15" i="9"/>
  <c r="G15" i="9"/>
  <c r="I15" i="9" s="1"/>
  <c r="E16" i="9"/>
  <c r="F16" i="9" s="1"/>
  <c r="G16" i="9" s="1"/>
  <c r="I16" i="9" s="1"/>
  <c r="E17" i="9"/>
  <c r="F17" i="9"/>
  <c r="G17" i="9"/>
  <c r="I17" i="9"/>
  <c r="E18" i="9"/>
  <c r="F18" i="9" s="1"/>
  <c r="G18" i="9" s="1"/>
  <c r="I18" i="9" s="1"/>
  <c r="E19" i="9"/>
  <c r="F19" i="9"/>
  <c r="G19" i="9"/>
  <c r="I19" i="9"/>
  <c r="E20" i="9"/>
  <c r="F20" i="9" s="1"/>
  <c r="G20" i="9"/>
  <c r="I20" i="9" s="1"/>
  <c r="E21" i="9"/>
  <c r="F21" i="9"/>
  <c r="G21" i="9"/>
  <c r="I21" i="9" s="1"/>
  <c r="E22" i="9"/>
  <c r="F22" i="9" s="1"/>
  <c r="G22" i="9"/>
  <c r="I22" i="9" s="1"/>
  <c r="E23" i="9"/>
  <c r="F23" i="9"/>
  <c r="G23" i="9"/>
  <c r="I23" i="9" s="1"/>
  <c r="E24" i="9"/>
  <c r="F24" i="9" s="1"/>
  <c r="G24" i="9" s="1"/>
  <c r="I24" i="9" s="1"/>
  <c r="E25" i="9"/>
  <c r="F25" i="9"/>
  <c r="G25" i="9"/>
  <c r="I25" i="9" s="1"/>
  <c r="E26" i="9"/>
  <c r="F26" i="9" s="1"/>
  <c r="G26" i="9" s="1"/>
  <c r="I26" i="9" s="1"/>
  <c r="E27" i="9"/>
  <c r="F27" i="9"/>
  <c r="G27" i="9"/>
  <c r="I27" i="9"/>
  <c r="E28" i="9"/>
  <c r="F28" i="9" s="1"/>
  <c r="G28" i="9" s="1"/>
  <c r="I28" i="9" s="1"/>
  <c r="E29" i="9"/>
  <c r="F29" i="9"/>
  <c r="G29" i="9"/>
  <c r="I29" i="9" s="1"/>
  <c r="E30" i="9"/>
  <c r="F30" i="9" s="1"/>
  <c r="G30" i="9"/>
  <c r="I30" i="9" s="1"/>
  <c r="E31" i="9"/>
  <c r="F31" i="9"/>
  <c r="G31" i="9"/>
  <c r="I31" i="9" s="1"/>
  <c r="E32" i="9"/>
  <c r="F32" i="9" s="1"/>
  <c r="G32" i="9" s="1"/>
  <c r="I32" i="9" s="1"/>
  <c r="E33" i="9"/>
  <c r="F33" i="9"/>
  <c r="G33" i="9"/>
  <c r="I33" i="9" s="1"/>
  <c r="E34" i="9"/>
  <c r="F34" i="9" s="1"/>
  <c r="G34" i="9" s="1"/>
  <c r="I34" i="9" s="1"/>
  <c r="E35" i="9"/>
  <c r="F35" i="9"/>
  <c r="G35" i="9"/>
  <c r="I35" i="9"/>
  <c r="E36" i="9"/>
  <c r="F36" i="9" s="1"/>
  <c r="G36" i="9" s="1"/>
  <c r="I36" i="9" s="1"/>
  <c r="E37" i="9"/>
  <c r="F37" i="9"/>
  <c r="G37" i="9"/>
  <c r="I37" i="9" s="1"/>
  <c r="E38" i="9"/>
  <c r="F38" i="9" s="1"/>
  <c r="G38" i="9"/>
  <c r="I38" i="9" s="1"/>
  <c r="E39" i="9"/>
  <c r="F39" i="9"/>
  <c r="G39" i="9"/>
  <c r="I39" i="9" s="1"/>
  <c r="E40" i="9"/>
  <c r="F40" i="9" s="1"/>
  <c r="G40" i="9" s="1"/>
  <c r="I40" i="9" s="1"/>
  <c r="E41" i="9"/>
  <c r="F41" i="9"/>
  <c r="G41" i="9"/>
  <c r="I41" i="9" s="1"/>
  <c r="E42" i="9"/>
  <c r="F42" i="9" s="1"/>
  <c r="G42" i="9" s="1"/>
  <c r="I42" i="9" s="1"/>
  <c r="E43" i="9"/>
  <c r="F43" i="9"/>
  <c r="G43" i="9"/>
  <c r="I43" i="9"/>
  <c r="E44" i="9"/>
  <c r="F44" i="9" s="1"/>
  <c r="G44" i="9" s="1"/>
  <c r="I44" i="9" s="1"/>
  <c r="E45" i="9"/>
  <c r="F45" i="9"/>
  <c r="G45" i="9"/>
  <c r="I45" i="9" s="1"/>
  <c r="E46" i="9"/>
  <c r="F46" i="9" s="1"/>
  <c r="G46" i="9"/>
  <c r="I46" i="9" s="1"/>
  <c r="E47" i="9"/>
  <c r="F47" i="9"/>
  <c r="G47" i="9"/>
  <c r="I47" i="9" s="1"/>
  <c r="E48" i="9"/>
  <c r="F48" i="9" s="1"/>
  <c r="G48" i="9" s="1"/>
  <c r="I48" i="9" s="1"/>
  <c r="E49" i="9"/>
  <c r="F49" i="9"/>
  <c r="G49" i="9"/>
  <c r="I49" i="9" s="1"/>
  <c r="E50" i="9"/>
  <c r="F50" i="9" s="1"/>
  <c r="G50" i="9" s="1"/>
  <c r="I50" i="9" s="1"/>
  <c r="E51" i="9"/>
  <c r="F51" i="9"/>
  <c r="G51" i="9"/>
  <c r="I51" i="9"/>
  <c r="E52" i="9"/>
  <c r="F52" i="9" s="1"/>
  <c r="G52" i="9" s="1"/>
  <c r="I52" i="9" s="1"/>
  <c r="E53" i="9"/>
  <c r="F53" i="9"/>
  <c r="G53" i="9"/>
  <c r="I53" i="9" s="1"/>
  <c r="E54" i="9"/>
  <c r="F54" i="9" s="1"/>
  <c r="G54" i="9"/>
  <c r="I54" i="9" s="1"/>
  <c r="E55" i="9"/>
  <c r="F55" i="9"/>
  <c r="G55" i="9"/>
  <c r="I55" i="9" s="1"/>
  <c r="E56" i="9"/>
  <c r="F56" i="9" s="1"/>
  <c r="G56" i="9" s="1"/>
  <c r="I56" i="9" s="1"/>
  <c r="E57" i="9"/>
  <c r="F57" i="9"/>
  <c r="G57" i="9"/>
  <c r="I57" i="9" s="1"/>
  <c r="E58" i="9"/>
  <c r="F58" i="9" s="1"/>
  <c r="G58" i="9" s="1"/>
  <c r="I58" i="9" s="1"/>
  <c r="E59" i="9"/>
  <c r="F59" i="9"/>
  <c r="G59" i="9"/>
  <c r="I59" i="9"/>
  <c r="E60" i="9"/>
  <c r="F60" i="9" s="1"/>
  <c r="G60" i="9" s="1"/>
  <c r="I60" i="9" s="1"/>
  <c r="E61" i="9"/>
  <c r="F61" i="9"/>
  <c r="G61" i="9"/>
  <c r="I61" i="9" s="1"/>
  <c r="E62" i="9"/>
  <c r="F62" i="9" s="1"/>
  <c r="G62" i="9"/>
  <c r="I62" i="9" s="1"/>
  <c r="E63" i="9"/>
  <c r="F63" i="9"/>
  <c r="G63" i="9"/>
  <c r="I63" i="9" s="1"/>
  <c r="E64" i="9"/>
  <c r="F64" i="9" s="1"/>
  <c r="G64" i="9" s="1"/>
  <c r="I64" i="9" s="1"/>
  <c r="E65" i="9"/>
  <c r="F65" i="9"/>
  <c r="G65" i="9"/>
  <c r="I65" i="9" s="1"/>
  <c r="E66" i="9"/>
  <c r="F66" i="9" s="1"/>
  <c r="G66" i="9" s="1"/>
  <c r="I66" i="9" s="1"/>
  <c r="E67" i="9"/>
  <c r="F67" i="9"/>
  <c r="G67" i="9"/>
  <c r="I67" i="9"/>
  <c r="E68" i="9"/>
  <c r="F68" i="9" s="1"/>
  <c r="G68" i="9" s="1"/>
  <c r="I68" i="9" s="1"/>
  <c r="E69" i="9"/>
  <c r="F69" i="9"/>
  <c r="G69" i="9"/>
  <c r="I69" i="9" s="1"/>
  <c r="E70" i="9"/>
  <c r="F70" i="9" s="1"/>
  <c r="G70" i="9"/>
  <c r="I70" i="9" s="1"/>
  <c r="E71" i="9"/>
  <c r="F71" i="9"/>
  <c r="G71" i="9"/>
  <c r="I71" i="9" s="1"/>
  <c r="E72" i="9"/>
  <c r="F72" i="9" s="1"/>
  <c r="G72" i="9" s="1"/>
  <c r="I72" i="9" s="1"/>
  <c r="E73" i="9"/>
  <c r="F73" i="9"/>
  <c r="G73" i="9"/>
  <c r="I73" i="9" s="1"/>
  <c r="E74" i="9"/>
  <c r="F74" i="9" s="1"/>
  <c r="G74" i="9" s="1"/>
  <c r="I74" i="9" s="1"/>
  <c r="E75" i="9"/>
  <c r="F75" i="9"/>
  <c r="G75" i="9"/>
  <c r="I75" i="9"/>
  <c r="E76" i="9"/>
  <c r="F76" i="9" s="1"/>
  <c r="G76" i="9" s="1"/>
  <c r="I76" i="9" s="1"/>
  <c r="E77" i="9"/>
  <c r="F77" i="9"/>
  <c r="G77" i="9"/>
  <c r="I77" i="9" s="1"/>
  <c r="E78" i="9"/>
  <c r="F78" i="9" s="1"/>
  <c r="G78" i="9"/>
  <c r="I78" i="9" s="1"/>
  <c r="E79" i="9"/>
  <c r="F79" i="9"/>
  <c r="G79" i="9"/>
  <c r="I79" i="9" s="1"/>
  <c r="E80" i="9"/>
  <c r="F80" i="9" s="1"/>
  <c r="G80" i="9" s="1"/>
  <c r="I80" i="9" s="1"/>
  <c r="E81" i="9"/>
  <c r="F81" i="9"/>
  <c r="G81" i="9"/>
  <c r="I81" i="9" s="1"/>
  <c r="E82" i="9"/>
  <c r="F82" i="9" s="1"/>
  <c r="G82" i="9" s="1"/>
  <c r="I82" i="9" s="1"/>
  <c r="E83" i="9"/>
  <c r="F83" i="9"/>
  <c r="G83" i="9"/>
  <c r="I83" i="9"/>
  <c r="E84" i="9"/>
  <c r="F84" i="9" s="1"/>
  <c r="G84" i="9" s="1"/>
  <c r="I84" i="9" s="1"/>
  <c r="E85" i="9"/>
  <c r="F85" i="9"/>
  <c r="G85" i="9"/>
  <c r="I85" i="9" s="1"/>
  <c r="E86" i="9"/>
  <c r="F86" i="9" s="1"/>
  <c r="G86" i="9"/>
  <c r="I86" i="9" s="1"/>
  <c r="E87" i="9"/>
  <c r="F87" i="9"/>
  <c r="G87" i="9"/>
  <c r="I87" i="9" s="1"/>
  <c r="E88" i="9"/>
  <c r="F88" i="9" s="1"/>
  <c r="G88" i="9" s="1"/>
  <c r="I88" i="9" s="1"/>
  <c r="E89" i="9"/>
  <c r="F89" i="9"/>
  <c r="G89" i="9"/>
  <c r="I89" i="9" s="1"/>
  <c r="E90" i="9"/>
  <c r="F90" i="9" s="1"/>
  <c r="G90" i="9" s="1"/>
  <c r="I90" i="9" s="1"/>
  <c r="E91" i="9"/>
  <c r="F91" i="9"/>
  <c r="G91" i="9"/>
  <c r="I91" i="9"/>
  <c r="E92" i="9"/>
  <c r="F92" i="9" s="1"/>
  <c r="G92" i="9" s="1"/>
  <c r="I92" i="9" s="1"/>
  <c r="E93" i="9"/>
  <c r="F93" i="9"/>
  <c r="G93" i="9"/>
  <c r="I93" i="9" s="1"/>
  <c r="E94" i="9"/>
  <c r="F94" i="9" s="1"/>
  <c r="G94" i="9"/>
  <c r="I94" i="9" s="1"/>
  <c r="E95" i="9"/>
  <c r="F95" i="9"/>
  <c r="G95" i="9"/>
  <c r="I95" i="9" s="1"/>
  <c r="E96" i="9"/>
  <c r="F96" i="9" s="1"/>
  <c r="G96" i="9" s="1"/>
  <c r="I96" i="9" s="1"/>
  <c r="E97" i="9"/>
  <c r="F97" i="9"/>
  <c r="G97" i="9"/>
  <c r="I97" i="9" s="1"/>
  <c r="E98" i="9"/>
  <c r="F98" i="9" s="1"/>
  <c r="G98" i="9" s="1"/>
  <c r="I98" i="9" s="1"/>
  <c r="E99" i="9"/>
  <c r="F99" i="9"/>
  <c r="G99" i="9"/>
  <c r="I99" i="9"/>
  <c r="E100" i="9"/>
  <c r="F100" i="9" s="1"/>
  <c r="G100" i="9" s="1"/>
  <c r="I100" i="9" s="1"/>
  <c r="E101" i="9"/>
  <c r="F101" i="9"/>
  <c r="G101" i="9"/>
  <c r="I101" i="9" s="1"/>
  <c r="E102" i="9"/>
  <c r="F102" i="9" s="1"/>
  <c r="G102" i="9"/>
  <c r="I102" i="9" s="1"/>
  <c r="E103" i="9"/>
  <c r="F103" i="9"/>
  <c r="G103" i="9"/>
  <c r="I103" i="9" s="1"/>
  <c r="E104" i="9"/>
  <c r="F104" i="9" s="1"/>
  <c r="G104" i="9" s="1"/>
  <c r="I104" i="9" s="1"/>
  <c r="E105" i="9"/>
  <c r="F105" i="9"/>
  <c r="G105" i="9"/>
  <c r="I105" i="9"/>
  <c r="E106" i="9"/>
  <c r="F106" i="9" s="1"/>
  <c r="G106" i="9"/>
  <c r="I106" i="9" s="1"/>
  <c r="E107" i="9"/>
  <c r="F107" i="9"/>
  <c r="G107" i="9"/>
  <c r="I107" i="9" s="1"/>
  <c r="E108" i="9"/>
  <c r="F108" i="9" s="1"/>
  <c r="G108" i="9"/>
  <c r="I108" i="9"/>
  <c r="E109" i="9"/>
  <c r="F109" i="9"/>
  <c r="G109" i="9"/>
  <c r="I109" i="9"/>
  <c r="E110" i="9"/>
  <c r="F110" i="9" s="1"/>
  <c r="G110" i="9" s="1"/>
  <c r="I110" i="9" s="1"/>
  <c r="E111" i="9"/>
  <c r="F111" i="9"/>
  <c r="G111" i="9"/>
  <c r="I111" i="9"/>
  <c r="E112" i="9"/>
  <c r="F112" i="9" s="1"/>
  <c r="G112" i="9" s="1"/>
  <c r="I112" i="9" s="1"/>
  <c r="E113" i="9"/>
  <c r="F113" i="9"/>
  <c r="G113" i="9"/>
  <c r="I113" i="9"/>
  <c r="E114" i="9"/>
  <c r="F114" i="9" s="1"/>
  <c r="G114" i="9"/>
  <c r="I114" i="9" s="1"/>
  <c r="E115" i="9"/>
  <c r="F115" i="9"/>
  <c r="G115" i="9"/>
  <c r="I115" i="9" s="1"/>
  <c r="E116" i="9"/>
  <c r="F116" i="9" s="1"/>
  <c r="G116" i="9"/>
  <c r="I116" i="9" s="1"/>
  <c r="E117" i="9"/>
  <c r="F117" i="9"/>
  <c r="G117" i="9"/>
  <c r="I117" i="9"/>
  <c r="E118" i="9"/>
  <c r="F118" i="9" s="1"/>
  <c r="G118" i="9"/>
  <c r="I118" i="9"/>
  <c r="E119" i="9"/>
  <c r="F119" i="9"/>
  <c r="G119" i="9"/>
  <c r="I119" i="9" s="1"/>
  <c r="E120" i="9"/>
  <c r="F120" i="9" s="1"/>
  <c r="G120" i="9" s="1"/>
  <c r="I120" i="9" s="1"/>
  <c r="E121" i="9"/>
  <c r="F121" i="9"/>
  <c r="G121" i="9" s="1"/>
  <c r="I121" i="9" s="1"/>
  <c r="E122" i="9"/>
  <c r="F122" i="9" s="1"/>
  <c r="G122" i="9" s="1"/>
  <c r="I122" i="9" s="1"/>
  <c r="E123" i="9"/>
  <c r="F123" i="9"/>
  <c r="G123" i="9"/>
  <c r="I123" i="9"/>
  <c r="E124" i="9"/>
  <c r="F124" i="9" s="1"/>
  <c r="G124" i="9" s="1"/>
  <c r="I124" i="9" s="1"/>
  <c r="E125" i="9"/>
  <c r="F125" i="9"/>
  <c r="G125" i="9"/>
  <c r="I125" i="9"/>
  <c r="E126" i="9"/>
  <c r="F126" i="9" s="1"/>
  <c r="G126" i="9" s="1"/>
  <c r="I126" i="9" s="1"/>
  <c r="E127" i="9"/>
  <c r="F127" i="9"/>
  <c r="G127" i="9"/>
  <c r="I127" i="9"/>
  <c r="E128" i="9"/>
  <c r="F128" i="9" s="1"/>
  <c r="G128" i="9"/>
  <c r="I128" i="9" s="1"/>
  <c r="E129" i="9"/>
  <c r="F129" i="9"/>
  <c r="G129" i="9" s="1"/>
  <c r="I129" i="9" s="1"/>
  <c r="E130" i="9"/>
  <c r="F130" i="9" s="1"/>
  <c r="G130" i="9" s="1"/>
  <c r="I130" i="9" s="1"/>
  <c r="E131" i="9"/>
  <c r="F131" i="9"/>
  <c r="G131" i="9"/>
  <c r="I131" i="9" s="1"/>
  <c r="E132" i="9"/>
  <c r="F132" i="9" s="1"/>
  <c r="G132" i="9"/>
  <c r="I132" i="9" s="1"/>
  <c r="E133" i="9"/>
  <c r="F133" i="9"/>
  <c r="G133" i="9"/>
  <c r="I133" i="9"/>
  <c r="E134" i="9"/>
  <c r="F134" i="9" s="1"/>
  <c r="G134" i="9"/>
  <c r="I134" i="9"/>
  <c r="E135" i="9"/>
  <c r="F135" i="9"/>
  <c r="G135" i="9"/>
  <c r="I135" i="9"/>
  <c r="E136" i="9"/>
  <c r="F136" i="9" s="1"/>
  <c r="G136" i="9" s="1"/>
  <c r="I136" i="9"/>
  <c r="E137" i="9"/>
  <c r="F137" i="9"/>
  <c r="G137" i="9" s="1"/>
  <c r="I137" i="9" s="1"/>
  <c r="E138" i="9"/>
  <c r="F138" i="9"/>
  <c r="G138" i="9" s="1"/>
  <c r="I138" i="9"/>
  <c r="E139" i="9"/>
  <c r="F139" i="9"/>
  <c r="G139" i="9"/>
  <c r="I139" i="9" s="1"/>
  <c r="E140" i="9"/>
  <c r="F140" i="9"/>
  <c r="G140" i="9" s="1"/>
  <c r="I140" i="9"/>
  <c r="E141" i="9"/>
  <c r="F141" i="9"/>
  <c r="G141" i="9" s="1"/>
  <c r="I141" i="9" s="1"/>
  <c r="E142" i="9"/>
  <c r="F142" i="9" s="1"/>
  <c r="G142" i="9" s="1"/>
  <c r="I142" i="9" s="1"/>
  <c r="E143" i="9"/>
  <c r="F143" i="9"/>
  <c r="G143" i="9"/>
  <c r="I143" i="9" s="1"/>
  <c r="E144" i="9"/>
  <c r="F144" i="9" s="1"/>
  <c r="G144" i="9" s="1"/>
  <c r="I144" i="9" s="1"/>
  <c r="E145" i="9"/>
  <c r="F145" i="9"/>
  <c r="G145" i="9"/>
  <c r="I145" i="9"/>
  <c r="E146" i="9"/>
  <c r="F146" i="9"/>
  <c r="G146" i="9" s="1"/>
  <c r="I146" i="9" s="1"/>
  <c r="E147" i="9"/>
  <c r="F147" i="9"/>
  <c r="G147" i="9"/>
  <c r="I147" i="9"/>
  <c r="E148" i="9"/>
  <c r="F148" i="9" s="1"/>
  <c r="G148" i="9" s="1"/>
  <c r="I148" i="9" s="1"/>
  <c r="E149" i="9"/>
  <c r="F149" i="9"/>
  <c r="G149" i="9"/>
  <c r="I149" i="9"/>
  <c r="E150" i="9"/>
  <c r="F150" i="9" s="1"/>
  <c r="G150" i="9" s="1"/>
  <c r="I150" i="9" s="1"/>
  <c r="E151" i="9"/>
  <c r="F151" i="9"/>
  <c r="G151" i="9" s="1"/>
  <c r="I151" i="9" s="1"/>
  <c r="E152" i="9"/>
  <c r="F152" i="9"/>
  <c r="G152" i="9" s="1"/>
  <c r="I152" i="9"/>
  <c r="E153" i="9"/>
  <c r="F153" i="9"/>
  <c r="G153" i="9" s="1"/>
  <c r="I153" i="9" s="1"/>
  <c r="E154" i="9"/>
  <c r="F154" i="9"/>
  <c r="G154" i="9" s="1"/>
  <c r="I154" i="9"/>
  <c r="E155" i="9"/>
  <c r="F155" i="9"/>
  <c r="G155" i="9"/>
  <c r="I155" i="9" s="1"/>
  <c r="E156" i="9"/>
  <c r="F156" i="9"/>
  <c r="G156" i="9" s="1"/>
  <c r="I156" i="9"/>
  <c r="E157" i="9"/>
  <c r="F157" i="9"/>
  <c r="G157" i="9" s="1"/>
  <c r="I157" i="9" s="1"/>
  <c r="E158" i="9"/>
  <c r="F158" i="9" s="1"/>
  <c r="G158" i="9" s="1"/>
  <c r="I158" i="9" s="1"/>
  <c r="E159" i="9"/>
  <c r="F159" i="9"/>
  <c r="G159" i="9"/>
  <c r="I159" i="9" s="1"/>
  <c r="E160" i="9"/>
  <c r="F160" i="9" s="1"/>
  <c r="G160" i="9" s="1"/>
  <c r="I160" i="9" s="1"/>
  <c r="E161" i="9"/>
  <c r="F161" i="9"/>
  <c r="G161" i="9"/>
  <c r="I161" i="9"/>
  <c r="E162" i="9"/>
  <c r="F162" i="9"/>
  <c r="G162" i="9" s="1"/>
  <c r="I162" i="9" s="1"/>
  <c r="E163" i="9"/>
  <c r="F163" i="9"/>
  <c r="G163" i="9"/>
  <c r="I163" i="9"/>
  <c r="E164" i="9"/>
  <c r="F164" i="9" s="1"/>
  <c r="G164" i="9" s="1"/>
  <c r="I164" i="9" s="1"/>
  <c r="E165" i="9"/>
  <c r="F165" i="9"/>
  <c r="G165" i="9"/>
  <c r="I165" i="9"/>
  <c r="E166" i="9"/>
  <c r="F166" i="9" s="1"/>
  <c r="G166" i="9" s="1"/>
  <c r="I166" i="9" s="1"/>
  <c r="E167" i="9"/>
  <c r="F167" i="9"/>
  <c r="G167" i="9" s="1"/>
  <c r="I167" i="9" s="1"/>
  <c r="E168" i="9"/>
  <c r="F168" i="9"/>
  <c r="G168" i="9" s="1"/>
  <c r="I168" i="9" s="1"/>
  <c r="E169" i="9"/>
  <c r="F169" i="9"/>
  <c r="G169" i="9" s="1"/>
  <c r="I169" i="9" s="1"/>
  <c r="E170" i="9"/>
  <c r="F170" i="9"/>
  <c r="G170" i="9" s="1"/>
  <c r="I170" i="9"/>
  <c r="E171" i="9"/>
  <c r="F171" i="9"/>
  <c r="G171" i="9"/>
  <c r="I171" i="9" s="1"/>
  <c r="E172" i="9"/>
  <c r="F172" i="9"/>
  <c r="G172" i="9" s="1"/>
  <c r="I172" i="9"/>
  <c r="E173" i="9"/>
  <c r="F173" i="9"/>
  <c r="G173" i="9" s="1"/>
  <c r="I173" i="9" s="1"/>
  <c r="E174" i="9"/>
  <c r="F174" i="9" s="1"/>
  <c r="G174" i="9" s="1"/>
  <c r="I174" i="9" s="1"/>
  <c r="E175" i="9"/>
  <c r="F175" i="9"/>
  <c r="G175" i="9"/>
  <c r="I175" i="9" s="1"/>
  <c r="E176" i="9"/>
  <c r="F176" i="9" s="1"/>
  <c r="G176" i="9" s="1"/>
  <c r="I176" i="9" s="1"/>
  <c r="E177" i="9"/>
  <c r="F177" i="9"/>
  <c r="G177" i="9"/>
  <c r="I177" i="9"/>
  <c r="E178" i="9"/>
  <c r="F178" i="9"/>
  <c r="G178" i="9" s="1"/>
  <c r="I178" i="9" s="1"/>
  <c r="E179" i="9"/>
  <c r="F179" i="9"/>
  <c r="G179" i="9"/>
  <c r="I179" i="9" s="1"/>
  <c r="E180" i="9"/>
  <c r="F180" i="9" s="1"/>
  <c r="G180" i="9" s="1"/>
  <c r="I180" i="9" s="1"/>
  <c r="E181" i="9"/>
  <c r="F181" i="9"/>
  <c r="G181" i="9"/>
  <c r="I181" i="9"/>
  <c r="E182" i="9"/>
  <c r="F182" i="9" s="1"/>
  <c r="G182" i="9" s="1"/>
  <c r="I182" i="9" s="1"/>
  <c r="E183" i="9"/>
  <c r="F183" i="9"/>
  <c r="G183" i="9" s="1"/>
  <c r="I183" i="9" s="1"/>
  <c r="E184" i="9"/>
  <c r="F184" i="9"/>
  <c r="G184" i="9" s="1"/>
  <c r="I184" i="9"/>
  <c r="E185" i="9"/>
  <c r="F185" i="9"/>
  <c r="G185" i="9" s="1"/>
  <c r="I185" i="9" s="1"/>
  <c r="E186" i="9"/>
  <c r="F186" i="9"/>
  <c r="G186" i="9" s="1"/>
  <c r="I186" i="9"/>
  <c r="E187" i="9"/>
  <c r="F187" i="9"/>
  <c r="G187" i="9"/>
  <c r="I187" i="9" s="1"/>
  <c r="E188" i="9"/>
  <c r="F188" i="9"/>
  <c r="G188" i="9" s="1"/>
  <c r="I188" i="9"/>
  <c r="E189" i="9"/>
  <c r="F189" i="9"/>
  <c r="G189" i="9" s="1"/>
  <c r="I189" i="9" s="1"/>
  <c r="E190" i="9"/>
  <c r="F190" i="9" s="1"/>
  <c r="G190" i="9" s="1"/>
  <c r="I190" i="9" s="1"/>
  <c r="E191" i="9"/>
  <c r="F191" i="9"/>
  <c r="G191" i="9"/>
  <c r="I191" i="9" s="1"/>
  <c r="E192" i="9"/>
  <c r="F192" i="9" s="1"/>
  <c r="G192" i="9" s="1"/>
  <c r="I192" i="9" s="1"/>
  <c r="E193" i="9"/>
  <c r="F193" i="9"/>
  <c r="G193" i="9"/>
  <c r="I193" i="9"/>
  <c r="E194" i="9"/>
  <c r="F194" i="9"/>
  <c r="G194" i="9" s="1"/>
  <c r="I194" i="9" s="1"/>
  <c r="E195" i="9"/>
  <c r="F195" i="9"/>
  <c r="G195" i="9"/>
  <c r="I195" i="9" s="1"/>
  <c r="E196" i="9"/>
  <c r="F196" i="9" s="1"/>
  <c r="G196" i="9" s="1"/>
  <c r="I196" i="9" s="1"/>
  <c r="E197" i="9"/>
  <c r="F197" i="9"/>
  <c r="G197" i="9"/>
  <c r="I197" i="9"/>
  <c r="E198" i="9"/>
  <c r="F198" i="9" s="1"/>
  <c r="G198" i="9" s="1"/>
  <c r="I198" i="9" s="1"/>
  <c r="E199" i="9"/>
  <c r="F199" i="9"/>
  <c r="G199" i="9" s="1"/>
  <c r="I199" i="9" s="1"/>
  <c r="E200" i="9"/>
  <c r="F200" i="9"/>
  <c r="G200" i="9" s="1"/>
  <c r="I200" i="9"/>
  <c r="E201" i="9"/>
  <c r="F201" i="9"/>
  <c r="G201" i="9" s="1"/>
  <c r="I201" i="9" s="1"/>
  <c r="E202" i="9"/>
  <c r="F202" i="9"/>
  <c r="G202" i="9" s="1"/>
  <c r="I202" i="9"/>
  <c r="E203" i="9"/>
  <c r="F203" i="9"/>
  <c r="G203" i="9"/>
  <c r="I203" i="9" s="1"/>
  <c r="E204" i="9"/>
  <c r="F204" i="9"/>
  <c r="G204" i="9" s="1"/>
  <c r="I204" i="9"/>
  <c r="E205" i="9"/>
  <c r="F205" i="9"/>
  <c r="G205" i="9" s="1"/>
  <c r="I205" i="9" s="1"/>
  <c r="E206" i="9"/>
  <c r="F206" i="9" s="1"/>
  <c r="G206" i="9" s="1"/>
  <c r="I206" i="9" s="1"/>
  <c r="E207" i="9"/>
  <c r="F207" i="9"/>
  <c r="G207" i="9" s="1"/>
  <c r="I207" i="9" s="1"/>
  <c r="E208" i="9"/>
  <c r="F208" i="9" s="1"/>
  <c r="G208" i="9" s="1"/>
  <c r="I208" i="9" s="1"/>
  <c r="E209" i="9"/>
  <c r="F209" i="9"/>
  <c r="G209" i="9"/>
  <c r="I209" i="9"/>
  <c r="E210" i="9"/>
  <c r="F210" i="9"/>
  <c r="G210" i="9" s="1"/>
  <c r="I210" i="9" s="1"/>
  <c r="E211" i="9"/>
  <c r="F211" i="9"/>
  <c r="G211" i="9"/>
  <c r="I211" i="9" s="1"/>
  <c r="E212" i="9"/>
  <c r="F212" i="9" s="1"/>
  <c r="G212" i="9" s="1"/>
  <c r="I212" i="9" s="1"/>
  <c r="E213" i="9"/>
  <c r="F213" i="9" s="1"/>
  <c r="G213" i="9" s="1"/>
  <c r="I213" i="9"/>
  <c r="E214" i="9"/>
  <c r="F214" i="9"/>
  <c r="G214" i="9" s="1"/>
  <c r="I214" i="9" s="1"/>
  <c r="E215" i="9"/>
  <c r="F215" i="9" s="1"/>
  <c r="G215" i="9" s="1"/>
  <c r="I215" i="9" s="1"/>
  <c r="E216" i="9"/>
  <c r="F216" i="9" s="1"/>
  <c r="G216" i="9" s="1"/>
  <c r="I216" i="9" s="1"/>
  <c r="E217" i="9"/>
  <c r="F217" i="9"/>
  <c r="G217" i="9" s="1"/>
  <c r="I217" i="9" s="1"/>
  <c r="E218" i="9"/>
  <c r="F218" i="9"/>
  <c r="G218" i="9" s="1"/>
  <c r="I218" i="9"/>
  <c r="E219" i="9"/>
  <c r="F219" i="9" s="1"/>
  <c r="G219" i="9" s="1"/>
  <c r="I219" i="9" s="1"/>
  <c r="E220" i="9"/>
  <c r="F220" i="9"/>
  <c r="G220" i="9" s="1"/>
  <c r="I220" i="9"/>
  <c r="E221" i="9"/>
  <c r="F221" i="9" s="1"/>
  <c r="G221" i="9" s="1"/>
  <c r="I221" i="9" s="1"/>
  <c r="E222" i="9"/>
  <c r="F222" i="9" s="1"/>
  <c r="G222" i="9" s="1"/>
  <c r="I222" i="9" s="1"/>
  <c r="E223" i="9"/>
  <c r="F223" i="9" s="1"/>
  <c r="G223" i="9" s="1"/>
  <c r="I223" i="9" s="1"/>
  <c r="E224" i="9"/>
  <c r="F224" i="9" s="1"/>
  <c r="G224" i="9" s="1"/>
  <c r="I224" i="9" s="1"/>
  <c r="E225" i="9"/>
  <c r="F225" i="9"/>
  <c r="G225" i="9" s="1"/>
  <c r="I225" i="9" s="1"/>
  <c r="E226" i="9"/>
  <c r="F226" i="9"/>
  <c r="G226" i="9" s="1"/>
  <c r="I226" i="9" s="1"/>
  <c r="E227" i="9"/>
  <c r="F227" i="9"/>
  <c r="G227" i="9"/>
  <c r="I227" i="9"/>
  <c r="E228" i="9"/>
  <c r="F228" i="9" s="1"/>
  <c r="G228" i="9" s="1"/>
  <c r="I228" i="9" s="1"/>
  <c r="E229" i="9"/>
  <c r="F229" i="9" s="1"/>
  <c r="G229" i="9" s="1"/>
  <c r="I229" i="9" s="1"/>
  <c r="E230" i="9"/>
  <c r="F230" i="9" s="1"/>
  <c r="G230" i="9" s="1"/>
  <c r="I230" i="9" s="1"/>
  <c r="E231" i="9"/>
  <c r="F231" i="9" s="1"/>
  <c r="G231" i="9" s="1"/>
  <c r="I231" i="9" s="1"/>
  <c r="E232" i="9"/>
  <c r="F232" i="9" s="1"/>
  <c r="G232" i="9" s="1"/>
  <c r="I232" i="9" s="1"/>
  <c r="E233" i="9"/>
  <c r="F233" i="9"/>
  <c r="G233" i="9" s="1"/>
  <c r="I233" i="9" s="1"/>
  <c r="E234" i="9"/>
  <c r="F234" i="9"/>
  <c r="G234" i="9" s="1"/>
  <c r="I234" i="9"/>
  <c r="E235" i="9"/>
  <c r="F235" i="9" s="1"/>
  <c r="G235" i="9" s="1"/>
  <c r="I235" i="9" s="1"/>
  <c r="E236" i="9"/>
  <c r="F236" i="9"/>
  <c r="G236" i="9" s="1"/>
  <c r="I236" i="9"/>
  <c r="E237" i="9"/>
  <c r="F237" i="9" s="1"/>
  <c r="G237" i="9" s="1"/>
  <c r="I237" i="9" s="1"/>
  <c r="E238" i="9"/>
  <c r="F238" i="9" s="1"/>
  <c r="G238" i="9" s="1"/>
  <c r="I238" i="9"/>
  <c r="E239" i="9"/>
  <c r="F239" i="9"/>
  <c r="G239" i="9" s="1"/>
  <c r="I239" i="9" s="1"/>
  <c r="E240" i="9"/>
  <c r="F240" i="9" s="1"/>
  <c r="G240" i="9" s="1"/>
  <c r="I240" i="9"/>
  <c r="E241" i="9"/>
  <c r="F241" i="9" s="1"/>
  <c r="G241" i="9" s="1"/>
  <c r="I241" i="9" s="1"/>
  <c r="E242" i="9"/>
  <c r="F242" i="9" s="1"/>
  <c r="G242" i="9"/>
  <c r="I242" i="9"/>
  <c r="E243" i="9"/>
  <c r="F243" i="9"/>
  <c r="G243" i="9" s="1"/>
  <c r="I243" i="9" s="1"/>
  <c r="E244" i="9"/>
  <c r="F244" i="9" s="1"/>
  <c r="G244" i="9"/>
  <c r="I244" i="9" s="1"/>
  <c r="E245" i="9"/>
  <c r="F245" i="9"/>
  <c r="G245" i="9" s="1"/>
  <c r="I245" i="9" s="1"/>
  <c r="E246" i="9"/>
  <c r="F246" i="9" s="1"/>
  <c r="G246" i="9"/>
  <c r="I246" i="9"/>
  <c r="E247" i="9"/>
  <c r="F247" i="9" s="1"/>
  <c r="G247" i="9" s="1"/>
  <c r="I247" i="9" s="1"/>
  <c r="E248" i="9"/>
  <c r="F248" i="9" s="1"/>
  <c r="G248" i="9" s="1"/>
  <c r="I248" i="9" s="1"/>
  <c r="E249" i="9"/>
  <c r="F249" i="9" s="1"/>
  <c r="G249" i="9" s="1"/>
  <c r="I249" i="9" s="1"/>
  <c r="E250" i="9"/>
  <c r="F250" i="9" s="1"/>
  <c r="G250" i="9"/>
  <c r="I250" i="9"/>
  <c r="E251" i="9"/>
  <c r="F251" i="9" s="1"/>
  <c r="G251" i="9" s="1"/>
  <c r="I251" i="9" s="1"/>
  <c r="E252" i="9"/>
  <c r="F252" i="9" s="1"/>
  <c r="G252" i="9" s="1"/>
  <c r="I252" i="9" s="1"/>
  <c r="E253" i="9"/>
  <c r="F253" i="9"/>
  <c r="G253" i="9" s="1"/>
  <c r="I253" i="9" s="1"/>
  <c r="E254" i="9"/>
  <c r="F254" i="9" s="1"/>
  <c r="G254" i="9" s="1"/>
  <c r="I254" i="9" s="1"/>
  <c r="E255" i="9"/>
  <c r="F255" i="9" s="1"/>
  <c r="G255" i="9" s="1"/>
  <c r="I255" i="9" s="1"/>
  <c r="E256" i="9"/>
  <c r="F256" i="9" s="1"/>
  <c r="G256" i="9"/>
  <c r="I256" i="9" s="1"/>
  <c r="E257" i="9"/>
  <c r="F257" i="9" s="1"/>
  <c r="G257" i="9" s="1"/>
  <c r="I257" i="9" s="1"/>
  <c r="E258" i="9"/>
  <c r="F258" i="9" s="1"/>
  <c r="G258" i="9"/>
  <c r="I258" i="9"/>
  <c r="E259" i="9"/>
  <c r="F259" i="9"/>
  <c r="G259" i="9" s="1"/>
  <c r="I259" i="9" s="1"/>
  <c r="E260" i="9"/>
  <c r="F260" i="9" s="1"/>
  <c r="G260" i="9" s="1"/>
  <c r="I260" i="9" s="1"/>
  <c r="E261" i="9"/>
  <c r="F261" i="9"/>
  <c r="G261" i="9" s="1"/>
  <c r="I261" i="9" s="1"/>
  <c r="E262" i="9"/>
  <c r="F262" i="9" s="1"/>
  <c r="G262" i="9"/>
  <c r="I262" i="9" s="1"/>
  <c r="E263" i="9"/>
  <c r="F263" i="9" s="1"/>
  <c r="G263" i="9" s="1"/>
  <c r="I263" i="9" s="1"/>
  <c r="E264" i="9"/>
  <c r="F264" i="9" s="1"/>
  <c r="G264" i="9" s="1"/>
  <c r="I264" i="9" s="1"/>
  <c r="E265" i="9"/>
  <c r="F265" i="9"/>
  <c r="G265" i="9" s="1"/>
  <c r="I265" i="9" s="1"/>
  <c r="E266" i="9"/>
  <c r="F266" i="9" s="1"/>
  <c r="G266" i="9" s="1"/>
  <c r="I266" i="9"/>
  <c r="E267" i="9"/>
  <c r="F267" i="9" s="1"/>
  <c r="G267" i="9" s="1"/>
  <c r="I267" i="9" s="1"/>
  <c r="E268" i="9"/>
  <c r="F268" i="9" s="1"/>
  <c r="G268" i="9" s="1"/>
  <c r="I268" i="9" s="1"/>
  <c r="E269" i="9"/>
  <c r="F269" i="9"/>
  <c r="G269" i="9" s="1"/>
  <c r="I269" i="9" s="1"/>
  <c r="E270" i="9"/>
  <c r="F270" i="9" s="1"/>
  <c r="G270" i="9" s="1"/>
  <c r="I270" i="9" s="1"/>
  <c r="E271" i="9"/>
  <c r="F271" i="9"/>
  <c r="G271" i="9" s="1"/>
  <c r="I271" i="9" s="1"/>
  <c r="E272" i="9"/>
  <c r="F272" i="9" s="1"/>
  <c r="G272" i="9" s="1"/>
  <c r="I272" i="9" s="1"/>
  <c r="E273" i="9"/>
  <c r="F273" i="9" s="1"/>
  <c r="G273" i="9" s="1"/>
  <c r="I273" i="9" s="1"/>
  <c r="E274" i="9"/>
  <c r="F274" i="9" s="1"/>
  <c r="G274" i="9"/>
  <c r="I274" i="9"/>
  <c r="E275" i="9"/>
  <c r="F275" i="9" s="1"/>
  <c r="G275" i="9" s="1"/>
  <c r="I275" i="9" s="1"/>
  <c r="E276" i="9"/>
  <c r="F276" i="9" s="1"/>
  <c r="G276" i="9"/>
  <c r="I276" i="9" s="1"/>
  <c r="E277" i="9"/>
  <c r="F277" i="9"/>
  <c r="G277" i="9" s="1"/>
  <c r="I277" i="9" s="1"/>
  <c r="E278" i="9"/>
  <c r="F278" i="9" s="1"/>
  <c r="G278" i="9"/>
  <c r="I278" i="9"/>
  <c r="E279" i="9"/>
  <c r="F279" i="9" s="1"/>
  <c r="G279" i="9" s="1"/>
  <c r="I279" i="9" s="1"/>
  <c r="E280" i="9"/>
  <c r="F280" i="9" s="1"/>
  <c r="G280" i="9" s="1"/>
  <c r="I280" i="9"/>
  <c r="E281" i="9"/>
  <c r="F281" i="9" s="1"/>
  <c r="G281" i="9" s="1"/>
  <c r="I281" i="9" s="1"/>
  <c r="E282" i="9"/>
  <c r="F282" i="9" s="1"/>
  <c r="G282" i="9" s="1"/>
  <c r="I282" i="9" s="1"/>
  <c r="E283" i="9"/>
  <c r="F283" i="9" s="1"/>
  <c r="G283" i="9" s="1"/>
  <c r="I283" i="9" s="1"/>
  <c r="E284" i="9"/>
  <c r="F284" i="9" s="1"/>
  <c r="G284" i="9"/>
  <c r="I284" i="9"/>
  <c r="E285" i="9"/>
  <c r="F285" i="9"/>
  <c r="G285" i="9" s="1"/>
  <c r="I285" i="9" s="1"/>
  <c r="E286" i="9"/>
  <c r="F286" i="9" s="1"/>
  <c r="G286" i="9" s="1"/>
  <c r="I286" i="9" s="1"/>
  <c r="E287" i="9"/>
  <c r="F287" i="9"/>
  <c r="G287" i="9" s="1"/>
  <c r="I287" i="9"/>
  <c r="E288" i="9"/>
  <c r="F288" i="9" s="1"/>
  <c r="G288" i="9"/>
  <c r="I288" i="9" s="1"/>
  <c r="E289" i="9"/>
  <c r="F289" i="9"/>
  <c r="G289" i="9" s="1"/>
  <c r="I289" i="9" s="1"/>
  <c r="E290" i="9"/>
  <c r="F290" i="9" s="1"/>
  <c r="G290" i="9"/>
  <c r="I290" i="9"/>
  <c r="E291" i="9"/>
  <c r="F291" i="9" s="1"/>
  <c r="G291" i="9" s="1"/>
  <c r="I291" i="9" s="1"/>
  <c r="E292" i="9"/>
  <c r="F292" i="9" s="1"/>
  <c r="G292" i="9"/>
  <c r="I292" i="9" s="1"/>
  <c r="E293" i="9"/>
  <c r="F293" i="9"/>
  <c r="G293" i="9" s="1"/>
  <c r="I293" i="9"/>
  <c r="E294" i="9"/>
  <c r="F294" i="9" s="1"/>
  <c r="G294" i="9" s="1"/>
  <c r="I294" i="9" s="1"/>
  <c r="E295" i="9"/>
  <c r="F295" i="9" s="1"/>
  <c r="G295" i="9" s="1"/>
  <c r="I295" i="9" s="1"/>
  <c r="E296" i="9"/>
  <c r="F296" i="9" s="1"/>
  <c r="G296" i="9"/>
  <c r="I296" i="9" s="1"/>
  <c r="E297" i="9"/>
  <c r="F297" i="9"/>
  <c r="G297" i="9" s="1"/>
  <c r="I297" i="9" s="1"/>
  <c r="E298" i="9"/>
  <c r="F298" i="9" s="1"/>
  <c r="G298" i="9" s="1"/>
  <c r="I298" i="9" s="1"/>
  <c r="E299" i="9"/>
  <c r="F299" i="9" s="1"/>
  <c r="G299" i="9" s="1"/>
  <c r="I299" i="9" s="1"/>
  <c r="E300" i="9"/>
  <c r="F300" i="9" s="1"/>
  <c r="G300" i="9"/>
  <c r="I300" i="9"/>
  <c r="E301" i="9"/>
  <c r="F301" i="9"/>
  <c r="G301" i="9" s="1"/>
  <c r="I301" i="9" s="1"/>
  <c r="E302" i="9"/>
  <c r="F302" i="9" s="1"/>
  <c r="G302" i="9" s="1"/>
  <c r="I302" i="9" s="1"/>
  <c r="E303" i="9"/>
  <c r="F303" i="9"/>
  <c r="G303" i="9" s="1"/>
  <c r="I303" i="9"/>
  <c r="E304" i="9"/>
  <c r="F304" i="9" s="1"/>
  <c r="G304" i="9"/>
  <c r="I304" i="9" s="1"/>
  <c r="E305" i="9"/>
  <c r="F305" i="9"/>
  <c r="G305" i="9" s="1"/>
  <c r="I305" i="9" s="1"/>
  <c r="E306" i="9"/>
  <c r="F306" i="9" s="1"/>
  <c r="G306" i="9"/>
  <c r="I306" i="9"/>
  <c r="E307" i="9"/>
  <c r="F307" i="9" s="1"/>
  <c r="G307" i="9" s="1"/>
  <c r="I307" i="9" s="1"/>
  <c r="E308" i="9"/>
  <c r="F308" i="9" s="1"/>
  <c r="G308" i="9"/>
  <c r="I308" i="9" s="1"/>
  <c r="E309" i="9"/>
  <c r="F309" i="9"/>
  <c r="G309" i="9" s="1"/>
  <c r="I309" i="9"/>
  <c r="E310" i="9"/>
  <c r="F310" i="9" s="1"/>
  <c r="G310" i="9" s="1"/>
  <c r="I310" i="9" s="1"/>
  <c r="E311" i="9"/>
  <c r="F311" i="9"/>
  <c r="G311" i="9" s="1"/>
  <c r="I311" i="9" s="1"/>
  <c r="E312" i="9"/>
  <c r="F312" i="9" s="1"/>
  <c r="G312" i="9" s="1"/>
  <c r="I312" i="9" s="1"/>
  <c r="E313" i="9"/>
  <c r="F313" i="9"/>
  <c r="G313" i="9" s="1"/>
  <c r="I313" i="9" s="1"/>
  <c r="E314" i="9"/>
  <c r="F314" i="9" s="1"/>
  <c r="G314" i="9" s="1"/>
  <c r="I314" i="9" s="1"/>
  <c r="E315" i="9"/>
  <c r="F315" i="9"/>
  <c r="G315" i="9"/>
  <c r="I315" i="9"/>
  <c r="E316" i="9"/>
  <c r="F316" i="9" s="1"/>
  <c r="G316" i="9"/>
  <c r="I316" i="9" s="1"/>
  <c r="E317" i="9"/>
  <c r="F317" i="9" s="1"/>
  <c r="G317" i="9" s="1"/>
  <c r="I317" i="9" s="1"/>
  <c r="E318" i="9"/>
  <c r="F318" i="9" s="1"/>
  <c r="G318" i="9"/>
  <c r="I318" i="9" s="1"/>
  <c r="E319" i="9"/>
  <c r="F319" i="9" s="1"/>
  <c r="G319" i="9" s="1"/>
  <c r="I319" i="9"/>
  <c r="E320" i="9"/>
  <c r="F320" i="9" s="1"/>
  <c r="G320" i="9" s="1"/>
  <c r="I320" i="9" s="1"/>
  <c r="E321" i="9"/>
  <c r="F321" i="9"/>
  <c r="G321" i="9" s="1"/>
  <c r="I321" i="9" s="1"/>
  <c r="E322" i="9"/>
  <c r="F322" i="9" s="1"/>
  <c r="G322" i="9"/>
  <c r="I322" i="9" s="1"/>
  <c r="E323" i="9"/>
  <c r="F323" i="9" s="1"/>
  <c r="G323" i="9" s="1"/>
  <c r="I323" i="9" s="1"/>
  <c r="E324" i="9"/>
  <c r="F324" i="9" s="1"/>
  <c r="G324" i="9"/>
  <c r="I324" i="9" s="1"/>
  <c r="E325" i="9"/>
  <c r="F325" i="9" s="1"/>
  <c r="G325" i="9" s="1"/>
  <c r="I325" i="9" s="1"/>
  <c r="E326" i="9"/>
  <c r="F326" i="9" s="1"/>
  <c r="G326" i="9" s="1"/>
  <c r="I326" i="9"/>
  <c r="E327" i="9"/>
  <c r="F327" i="9" s="1"/>
  <c r="G327" i="9"/>
  <c r="I327" i="9"/>
  <c r="E328" i="9"/>
  <c r="F328" i="9" s="1"/>
  <c r="G328" i="9" s="1"/>
  <c r="I328" i="9" s="1"/>
  <c r="E329" i="9"/>
  <c r="F329" i="9"/>
  <c r="G329" i="9"/>
  <c r="I329" i="9"/>
  <c r="E330" i="9"/>
  <c r="F330" i="9" s="1"/>
  <c r="G330" i="9"/>
  <c r="I330" i="9" s="1"/>
  <c r="E331" i="9"/>
  <c r="F331" i="9"/>
  <c r="G331" i="9" s="1"/>
  <c r="I331" i="9" s="1"/>
  <c r="E332" i="9"/>
  <c r="F332" i="9" s="1"/>
  <c r="G332" i="9"/>
  <c r="I332" i="9" s="1"/>
  <c r="E333" i="9"/>
  <c r="F333" i="9" s="1"/>
  <c r="G333" i="9"/>
  <c r="I333" i="9" s="1"/>
  <c r="E334" i="9"/>
  <c r="F334" i="9" s="1"/>
  <c r="G334" i="9"/>
  <c r="I334" i="9"/>
  <c r="E335" i="9"/>
  <c r="F335" i="9" s="1"/>
  <c r="G335" i="9" s="1"/>
  <c r="I335" i="9" s="1"/>
  <c r="E336" i="9"/>
  <c r="F336" i="9" s="1"/>
  <c r="G336" i="9" s="1"/>
  <c r="I336" i="9" s="1"/>
  <c r="E337" i="9"/>
  <c r="F337" i="9"/>
  <c r="G337" i="9" s="1"/>
  <c r="I337" i="9" s="1"/>
  <c r="E338" i="9"/>
  <c r="F338" i="9" s="1"/>
  <c r="G338" i="9"/>
  <c r="I338" i="9" s="1"/>
  <c r="E339" i="9"/>
  <c r="F339" i="9"/>
  <c r="G339" i="9" s="1"/>
  <c r="I339" i="9" s="1"/>
  <c r="E340" i="9"/>
  <c r="F340" i="9" s="1"/>
  <c r="G340" i="9"/>
  <c r="I340" i="9"/>
  <c r="E341" i="9"/>
  <c r="F341" i="9" s="1"/>
  <c r="G341" i="9" s="1"/>
  <c r="I341" i="9" s="1"/>
  <c r="E342" i="9"/>
  <c r="F342" i="9" s="1"/>
  <c r="G342" i="9" s="1"/>
  <c r="I342" i="9" s="1"/>
  <c r="E343" i="9"/>
  <c r="F343" i="9"/>
  <c r="G343" i="9"/>
  <c r="I343" i="9" s="1"/>
  <c r="E344" i="9"/>
  <c r="F344" i="9" s="1"/>
  <c r="G344" i="9" s="1"/>
  <c r="I344" i="9"/>
  <c r="E345" i="9"/>
  <c r="F345" i="9" s="1"/>
  <c r="G345" i="9" s="1"/>
  <c r="I345" i="9" s="1"/>
  <c r="E346" i="9"/>
  <c r="F346" i="9" s="1"/>
  <c r="G346" i="9" s="1"/>
  <c r="I346" i="9" s="1"/>
  <c r="E347" i="9"/>
  <c r="F347" i="9"/>
  <c r="G347" i="9" s="1"/>
  <c r="I347" i="9" s="1"/>
  <c r="E348" i="9"/>
  <c r="F348" i="9" s="1"/>
  <c r="G348" i="9" s="1"/>
  <c r="I348" i="9"/>
  <c r="E349" i="9"/>
  <c r="F349" i="9" s="1"/>
  <c r="G349" i="9"/>
  <c r="I349" i="9" s="1"/>
  <c r="E350" i="9"/>
  <c r="F350" i="9" s="1"/>
  <c r="G350" i="9" s="1"/>
  <c r="I350" i="9" s="1"/>
  <c r="E351" i="9"/>
  <c r="F351" i="9"/>
  <c r="G351" i="9" s="1"/>
  <c r="I351" i="9" s="1"/>
  <c r="E352" i="9"/>
  <c r="F352" i="9" s="1"/>
  <c r="G352" i="9" s="1"/>
  <c r="I352" i="9" s="1"/>
  <c r="E353" i="9"/>
  <c r="F353" i="9"/>
  <c r="G353" i="9"/>
  <c r="I353" i="9" s="1"/>
  <c r="E354" i="9"/>
  <c r="F354" i="9"/>
  <c r="G354" i="9" s="1"/>
  <c r="I354" i="9" s="1"/>
  <c r="E355" i="9"/>
  <c r="F355" i="9"/>
  <c r="G355" i="9"/>
  <c r="I355" i="9"/>
  <c r="E356" i="9"/>
  <c r="F356" i="9"/>
  <c r="G356" i="9" s="1"/>
  <c r="I356" i="9"/>
  <c r="E357" i="9"/>
  <c r="F357" i="9" s="1"/>
  <c r="G357" i="9" s="1"/>
  <c r="I357" i="9" s="1"/>
  <c r="E358" i="9"/>
  <c r="F358" i="9" s="1"/>
  <c r="G358" i="9" s="1"/>
  <c r="I358" i="9" s="1"/>
  <c r="E359" i="9"/>
  <c r="F359" i="9" s="1"/>
  <c r="G359" i="9" s="1"/>
  <c r="I359" i="9" s="1"/>
  <c r="E360" i="9"/>
  <c r="F360" i="9"/>
  <c r="G360" i="9" s="1"/>
  <c r="I360" i="9" s="1"/>
  <c r="E361" i="9"/>
  <c r="F361" i="9"/>
  <c r="G361" i="9" s="1"/>
  <c r="I361" i="9" s="1"/>
  <c r="E362" i="9"/>
  <c r="F362" i="9"/>
  <c r="G362" i="9" s="1"/>
  <c r="I362" i="9"/>
  <c r="E363" i="9"/>
  <c r="F363" i="9"/>
  <c r="G363" i="9"/>
  <c r="I363" i="9" s="1"/>
  <c r="E364" i="9"/>
  <c r="F364" i="9"/>
  <c r="G364" i="9" s="1"/>
  <c r="I364" i="9"/>
  <c r="E365" i="9"/>
  <c r="F365" i="9" s="1"/>
  <c r="G365" i="9" s="1"/>
  <c r="I365" i="9" s="1"/>
  <c r="E366" i="9"/>
  <c r="F366" i="9" s="1"/>
  <c r="G366" i="9" s="1"/>
  <c r="I366" i="9" s="1"/>
  <c r="E367" i="9"/>
  <c r="F367" i="9"/>
  <c r="G367" i="9" s="1"/>
  <c r="I367" i="9"/>
  <c r="E368" i="9"/>
  <c r="F368" i="9" s="1"/>
  <c r="G368" i="9" s="1"/>
  <c r="I368" i="9" s="1"/>
  <c r="E369" i="9"/>
  <c r="F369" i="9"/>
  <c r="G369" i="9"/>
  <c r="I369" i="9" s="1"/>
  <c r="E370" i="9"/>
  <c r="F370" i="9"/>
  <c r="G370" i="9" s="1"/>
  <c r="I370" i="9" s="1"/>
  <c r="E371" i="9"/>
  <c r="F371" i="9"/>
  <c r="G371" i="9"/>
  <c r="I371" i="9"/>
  <c r="E372" i="9"/>
  <c r="F372" i="9"/>
  <c r="G372" i="9" s="1"/>
  <c r="I372" i="9" s="1"/>
  <c r="E373" i="9"/>
  <c r="F373" i="9" s="1"/>
  <c r="G373" i="9" s="1"/>
  <c r="I373" i="9" s="1"/>
  <c r="E374" i="9"/>
  <c r="F374" i="9" s="1"/>
  <c r="G374" i="9" s="1"/>
  <c r="I374" i="9"/>
  <c r="E375" i="9"/>
  <c r="F375" i="9" s="1"/>
  <c r="G375" i="9" s="1"/>
  <c r="I375" i="9" s="1"/>
  <c r="E376" i="9"/>
  <c r="F376" i="9"/>
  <c r="G376" i="9" s="1"/>
  <c r="I376" i="9" s="1"/>
  <c r="E377" i="9"/>
  <c r="F377" i="9" s="1"/>
  <c r="G377" i="9" s="1"/>
  <c r="I377" i="9" s="1"/>
  <c r="E378" i="9"/>
  <c r="F378" i="9"/>
  <c r="G378" i="9" s="1"/>
  <c r="I378" i="9"/>
  <c r="E379" i="9"/>
  <c r="F379" i="9"/>
  <c r="G379" i="9" s="1"/>
  <c r="I379" i="9" s="1"/>
  <c r="E380" i="9"/>
  <c r="F380" i="9"/>
  <c r="G380" i="9" s="1"/>
  <c r="I380" i="9"/>
  <c r="E381" i="9"/>
  <c r="F381" i="9" s="1"/>
  <c r="G381" i="9"/>
  <c r="I381" i="9"/>
  <c r="E382" i="9"/>
  <c r="F382" i="9" s="1"/>
  <c r="G382" i="9" s="1"/>
  <c r="I382" i="9" s="1"/>
  <c r="E383" i="9"/>
  <c r="F383" i="9"/>
  <c r="G383" i="9" s="1"/>
  <c r="I383" i="9" s="1"/>
  <c r="E384" i="9"/>
  <c r="F384" i="9" s="1"/>
  <c r="G384" i="9" s="1"/>
  <c r="I384" i="9" s="1"/>
  <c r="E385" i="9"/>
  <c r="F385" i="9"/>
  <c r="G385" i="9"/>
  <c r="I385" i="9" s="1"/>
  <c r="E386" i="9"/>
  <c r="F386" i="9" s="1"/>
  <c r="G386" i="9" s="1"/>
  <c r="I386" i="9" s="1"/>
  <c r="E387" i="9"/>
  <c r="F387" i="9"/>
  <c r="G387" i="9"/>
  <c r="I387" i="9"/>
  <c r="E388" i="9"/>
  <c r="F388" i="9"/>
  <c r="G388" i="9" s="1"/>
  <c r="I388" i="9"/>
  <c r="E389" i="9"/>
  <c r="F389" i="9" s="1"/>
  <c r="G389" i="9" s="1"/>
  <c r="I389" i="9" s="1"/>
  <c r="E390" i="9"/>
  <c r="F390" i="9" s="1"/>
  <c r="G390" i="9" s="1"/>
  <c r="I390" i="9" s="1"/>
  <c r="E391" i="9"/>
  <c r="F391" i="9" s="1"/>
  <c r="G391" i="9" s="1"/>
  <c r="I391" i="9" s="1"/>
  <c r="E392" i="9"/>
  <c r="F392" i="9"/>
  <c r="G392" i="9" s="1"/>
  <c r="I392" i="9" s="1"/>
  <c r="E393" i="9"/>
  <c r="F393" i="9" s="1"/>
  <c r="G393" i="9" s="1"/>
  <c r="I393" i="9" s="1"/>
  <c r="E394" i="9"/>
  <c r="F394" i="9"/>
  <c r="G394" i="9" s="1"/>
  <c r="I394" i="9"/>
  <c r="E395" i="9"/>
  <c r="F395" i="9"/>
  <c r="G395" i="9"/>
  <c r="I395" i="9" s="1"/>
  <c r="E396" i="9"/>
  <c r="F396" i="9"/>
  <c r="G396" i="9" s="1"/>
  <c r="I396" i="9"/>
  <c r="E397" i="9"/>
  <c r="F397" i="9" s="1"/>
  <c r="G397" i="9" s="1"/>
  <c r="I397" i="9" s="1"/>
  <c r="E398" i="9"/>
  <c r="F398" i="9" s="1"/>
  <c r="G398" i="9" s="1"/>
  <c r="I398" i="9" s="1"/>
  <c r="E399" i="9"/>
  <c r="F399" i="9"/>
  <c r="G399" i="9" s="1"/>
  <c r="I399" i="9"/>
  <c r="E400" i="9"/>
  <c r="F400" i="9" s="1"/>
  <c r="G400" i="9" s="1"/>
  <c r="I400" i="9" s="1"/>
  <c r="E401" i="9"/>
  <c r="F401" i="9"/>
  <c r="G401" i="9"/>
  <c r="I401" i="9" s="1"/>
  <c r="E402" i="9"/>
  <c r="F402" i="9"/>
  <c r="G402" i="9" s="1"/>
  <c r="I402" i="9" s="1"/>
  <c r="E403" i="9"/>
  <c r="F403" i="9"/>
  <c r="G403" i="9"/>
  <c r="I403" i="9"/>
  <c r="E404" i="9"/>
  <c r="F404" i="9"/>
  <c r="G404" i="9" s="1"/>
  <c r="I404" i="9" s="1"/>
  <c r="E405" i="9"/>
  <c r="F405" i="9" s="1"/>
  <c r="G405" i="9" s="1"/>
  <c r="I405" i="9" s="1"/>
  <c r="E406" i="9"/>
  <c r="F406" i="9" s="1"/>
  <c r="G406" i="9" s="1"/>
  <c r="I406" i="9"/>
  <c r="E407" i="9"/>
  <c r="F407" i="9" s="1"/>
  <c r="G407" i="9" s="1"/>
  <c r="I407" i="9" s="1"/>
  <c r="E408" i="9"/>
  <c r="F408" i="9"/>
  <c r="G408" i="9" s="1"/>
  <c r="I408" i="9" s="1"/>
  <c r="E409" i="9"/>
  <c r="F409" i="9" s="1"/>
  <c r="G409" i="9" s="1"/>
  <c r="I409" i="9" s="1"/>
  <c r="E410" i="9"/>
  <c r="F410" i="9"/>
  <c r="G410" i="9" s="1"/>
  <c r="I410" i="9" s="1"/>
  <c r="E411" i="9"/>
  <c r="F411" i="9"/>
  <c r="G411" i="9" s="1"/>
  <c r="I411" i="9" s="1"/>
  <c r="E412" i="9"/>
  <c r="F412" i="9"/>
  <c r="G412" i="9" s="1"/>
  <c r="I412" i="9"/>
  <c r="E413" i="9"/>
  <c r="F413" i="9" s="1"/>
  <c r="G413" i="9"/>
  <c r="I413" i="9" s="1"/>
  <c r="E414" i="9"/>
  <c r="F414" i="9" s="1"/>
  <c r="G414" i="9" s="1"/>
  <c r="I414" i="9" s="1"/>
  <c r="E415" i="9"/>
  <c r="F415" i="9"/>
  <c r="G415" i="9" s="1"/>
  <c r="I415" i="9" s="1"/>
  <c r="E416" i="9"/>
  <c r="F416" i="9" s="1"/>
  <c r="G416" i="9" s="1"/>
  <c r="I416" i="9" s="1"/>
  <c r="E417" i="9"/>
  <c r="F417" i="9"/>
  <c r="G417" i="9" s="1"/>
  <c r="I417" i="9" s="1"/>
  <c r="E418" i="9"/>
  <c r="F418" i="9" s="1"/>
  <c r="G418" i="9" s="1"/>
  <c r="I418" i="9" s="1"/>
  <c r="E419" i="9"/>
  <c r="F419" i="9"/>
  <c r="G419" i="9"/>
  <c r="I419" i="9"/>
  <c r="E420" i="9"/>
  <c r="F420" i="9"/>
  <c r="G420" i="9" s="1"/>
  <c r="I420" i="9" s="1"/>
  <c r="E421" i="9"/>
  <c r="F421" i="9" s="1"/>
  <c r="G421" i="9" s="1"/>
  <c r="I421" i="9"/>
  <c r="E422" i="9"/>
  <c r="F422" i="9" s="1"/>
  <c r="G422" i="9" s="1"/>
  <c r="I422" i="9"/>
  <c r="E423" i="9"/>
  <c r="F423" i="9" s="1"/>
  <c r="G423" i="9" s="1"/>
  <c r="I423" i="9"/>
  <c r="E424" i="9"/>
  <c r="F424" i="9" s="1"/>
  <c r="G424" i="9" s="1"/>
  <c r="I424" i="9" s="1"/>
  <c r="E425" i="9"/>
  <c r="F425" i="9"/>
  <c r="G425" i="9" s="1"/>
  <c r="I425" i="9" s="1"/>
  <c r="E426" i="9"/>
  <c r="F426" i="9"/>
  <c r="G426" i="9" s="1"/>
  <c r="I426" i="9"/>
  <c r="E427" i="9"/>
  <c r="F427" i="9"/>
  <c r="G427" i="9" s="1"/>
  <c r="I427" i="9" s="1"/>
  <c r="E428" i="9"/>
  <c r="F428" i="9"/>
  <c r="G428" i="9" s="1"/>
  <c r="I428" i="9" s="1"/>
  <c r="E429" i="9"/>
  <c r="F429" i="9" s="1"/>
  <c r="G429" i="9"/>
  <c r="I429" i="9"/>
  <c r="E430" i="9"/>
  <c r="F430" i="9" s="1"/>
  <c r="G430" i="9" s="1"/>
  <c r="I430" i="9" s="1"/>
  <c r="E431" i="9"/>
  <c r="F431" i="9"/>
  <c r="G431" i="9" s="1"/>
  <c r="I431" i="9" s="1"/>
  <c r="E432" i="9"/>
  <c r="F432" i="9" s="1"/>
  <c r="G432" i="9" s="1"/>
  <c r="I432" i="9" s="1"/>
  <c r="E433" i="9"/>
  <c r="F433" i="9"/>
  <c r="G433" i="9" s="1"/>
  <c r="I433" i="9" s="1"/>
  <c r="E434" i="9"/>
  <c r="F434" i="9" s="1"/>
  <c r="G434" i="9" s="1"/>
  <c r="I434" i="9" s="1"/>
  <c r="E435" i="9"/>
  <c r="F435" i="9"/>
  <c r="G435" i="9"/>
  <c r="I435" i="9"/>
  <c r="E436" i="9"/>
  <c r="F436" i="9"/>
  <c r="G436" i="9" s="1"/>
  <c r="I436" i="9" s="1"/>
  <c r="E437" i="9"/>
  <c r="F437" i="9" s="1"/>
  <c r="G437" i="9"/>
  <c r="I437" i="9" s="1"/>
  <c r="E438" i="9"/>
  <c r="F438" i="9" s="1"/>
  <c r="G438" i="9" s="1"/>
  <c r="I438" i="9"/>
  <c r="E439" i="9"/>
  <c r="F439" i="9" s="1"/>
  <c r="G439" i="9" s="1"/>
  <c r="I439" i="9" s="1"/>
  <c r="E440" i="9"/>
  <c r="F440" i="9" s="1"/>
  <c r="G440" i="9" s="1"/>
  <c r="I440" i="9" s="1"/>
  <c r="E441" i="9"/>
  <c r="F441" i="9" s="1"/>
  <c r="G441" i="9" s="1"/>
  <c r="I441" i="9" s="1"/>
  <c r="E442" i="9"/>
  <c r="F442" i="9"/>
  <c r="G442" i="9" s="1"/>
  <c r="I442" i="9"/>
  <c r="E443" i="9"/>
  <c r="F443" i="9"/>
  <c r="G443" i="9" s="1"/>
  <c r="I443" i="9" s="1"/>
  <c r="E444" i="9"/>
  <c r="F444" i="9"/>
  <c r="G444" i="9" s="1"/>
  <c r="I444" i="9"/>
  <c r="E445" i="9"/>
  <c r="F445" i="9" s="1"/>
  <c r="G445" i="9"/>
  <c r="I445" i="9" s="1"/>
  <c r="E446" i="9"/>
  <c r="F446" i="9" s="1"/>
  <c r="G446" i="9" s="1"/>
  <c r="I446" i="9" s="1"/>
  <c r="E447" i="9"/>
  <c r="F447" i="9" s="1"/>
  <c r="G447" i="9" s="1"/>
  <c r="I447" i="9" s="1"/>
  <c r="E448" i="9"/>
  <c r="F448" i="9" s="1"/>
  <c r="G448" i="9" s="1"/>
  <c r="I448" i="9" s="1"/>
  <c r="E449" i="9"/>
  <c r="F449" i="9" s="1"/>
  <c r="G449" i="9" s="1"/>
  <c r="I449" i="9" s="1"/>
  <c r="E450" i="9"/>
  <c r="F450" i="9"/>
  <c r="G450" i="9" s="1"/>
  <c r="I450" i="9" s="1"/>
  <c r="E451" i="9"/>
  <c r="F451" i="9"/>
  <c r="G451" i="9"/>
  <c r="I451" i="9" s="1"/>
  <c r="E452" i="9"/>
  <c r="F452" i="9" s="1"/>
  <c r="G452" i="9" s="1"/>
  <c r="I452" i="9" s="1"/>
  <c r="E453" i="9"/>
  <c r="F453" i="9" s="1"/>
  <c r="G453" i="9" s="1"/>
  <c r="I453" i="9" s="1"/>
  <c r="E454" i="9"/>
  <c r="F454" i="9"/>
  <c r="G454" i="9" s="1"/>
  <c r="I454" i="9" s="1"/>
  <c r="E455" i="9"/>
  <c r="F455" i="9" s="1"/>
  <c r="G455" i="9" s="1"/>
  <c r="I455" i="9" s="1"/>
  <c r="E456" i="9"/>
  <c r="F456" i="9" s="1"/>
  <c r="G456" i="9" s="1"/>
  <c r="I456" i="9" s="1"/>
  <c r="E457" i="9"/>
  <c r="F457" i="9" s="1"/>
  <c r="G457" i="9" s="1"/>
  <c r="I457" i="9" s="1"/>
  <c r="E458" i="9"/>
  <c r="F458" i="9" s="1"/>
  <c r="G458" i="9" s="1"/>
  <c r="I458" i="9" s="1"/>
  <c r="E459" i="9"/>
  <c r="F459" i="9" s="1"/>
  <c r="G459" i="9" s="1"/>
  <c r="I459" i="9" s="1"/>
  <c r="E460" i="9"/>
  <c r="F460" i="9" s="1"/>
  <c r="G460" i="9" s="1"/>
  <c r="I460" i="9" s="1"/>
  <c r="E461" i="9"/>
  <c r="F461" i="9"/>
  <c r="G461" i="9" s="1"/>
  <c r="I461" i="9" s="1"/>
  <c r="E462" i="9"/>
  <c r="F462" i="9" s="1"/>
  <c r="G462" i="9" s="1"/>
  <c r="I462" i="9" s="1"/>
  <c r="E463" i="9"/>
  <c r="F463" i="9"/>
  <c r="G463" i="9" s="1"/>
  <c r="I463" i="9" s="1"/>
  <c r="E464" i="9"/>
  <c r="F464" i="9"/>
  <c r="G464" i="9" s="1"/>
  <c r="I464" i="9" s="1"/>
  <c r="E465" i="9"/>
  <c r="F465" i="9" s="1"/>
  <c r="G465" i="9" s="1"/>
  <c r="I465" i="9" s="1"/>
  <c r="E466" i="9"/>
  <c r="F466" i="9"/>
  <c r="G466" i="9" s="1"/>
  <c r="I466" i="9" s="1"/>
  <c r="E467" i="9"/>
  <c r="F467" i="9"/>
  <c r="G467" i="9"/>
  <c r="I467" i="9" s="1"/>
  <c r="E468" i="9"/>
  <c r="F468" i="9" s="1"/>
  <c r="G468" i="9" s="1"/>
  <c r="I468" i="9" s="1"/>
  <c r="E469" i="9"/>
  <c r="F469" i="9" s="1"/>
  <c r="G469" i="9" s="1"/>
  <c r="I469" i="9" s="1"/>
  <c r="E470" i="9"/>
  <c r="F470" i="9"/>
  <c r="G470" i="9" s="1"/>
  <c r="I470" i="9" s="1"/>
  <c r="E471" i="9"/>
  <c r="F471" i="9"/>
  <c r="G471" i="9" s="1"/>
  <c r="I471" i="9" s="1"/>
  <c r="E472" i="9"/>
  <c r="F472" i="9" s="1"/>
  <c r="G472" i="9" s="1"/>
  <c r="I472" i="9" s="1"/>
  <c r="E473" i="9"/>
  <c r="F473" i="9" s="1"/>
  <c r="G473" i="9" s="1"/>
  <c r="I473" i="9" s="1"/>
  <c r="E474" i="9"/>
  <c r="F474" i="9"/>
  <c r="G474" i="9" s="1"/>
  <c r="I474" i="9" s="1"/>
  <c r="E475" i="9"/>
  <c r="F475" i="9" s="1"/>
  <c r="G475" i="9" s="1"/>
  <c r="I475" i="9" s="1"/>
  <c r="J475" i="9" s="1"/>
  <c r="E476" i="9"/>
  <c r="F476" i="9" s="1"/>
  <c r="G476" i="9" s="1"/>
  <c r="E477" i="9"/>
  <c r="F477" i="9"/>
  <c r="G477" i="9" s="1"/>
  <c r="I477" i="9" s="1"/>
  <c r="E478" i="9"/>
  <c r="F478" i="9" s="1"/>
  <c r="G478" i="9" s="1"/>
  <c r="E479" i="9"/>
  <c r="F479" i="9" s="1"/>
  <c r="E480" i="9"/>
  <c r="F480" i="9" s="1"/>
  <c r="G480" i="9" s="1"/>
  <c r="I480" i="9" s="1"/>
  <c r="E481" i="9"/>
  <c r="F481" i="9"/>
  <c r="G481" i="9" s="1"/>
  <c r="E482" i="9"/>
  <c r="F482" i="9" s="1"/>
  <c r="G482" i="9" s="1"/>
  <c r="E483" i="9"/>
  <c r="F483" i="9" s="1"/>
  <c r="G483" i="9" s="1"/>
  <c r="I483" i="9" s="1"/>
  <c r="E484" i="9"/>
  <c r="F484" i="9" s="1"/>
  <c r="G484" i="9"/>
  <c r="E485" i="9"/>
  <c r="F485" i="9" s="1"/>
  <c r="E486" i="9"/>
  <c r="F486" i="9"/>
  <c r="G486" i="9" s="1"/>
  <c r="I486" i="9" s="1"/>
  <c r="E487" i="9"/>
  <c r="F487" i="9"/>
  <c r="E488" i="9"/>
  <c r="F488" i="9" s="1"/>
  <c r="G488" i="9"/>
  <c r="I488" i="9" s="1"/>
  <c r="E489" i="9"/>
  <c r="F489" i="9" s="1"/>
  <c r="E490" i="9"/>
  <c r="F490" i="9"/>
  <c r="G490" i="9" s="1"/>
  <c r="I490" i="9" s="1"/>
  <c r="E491" i="9"/>
  <c r="F491" i="9"/>
  <c r="G491" i="9" s="1"/>
  <c r="I491" i="9" s="1"/>
  <c r="J491" i="9" s="1"/>
  <c r="E492" i="9"/>
  <c r="F492" i="9" s="1"/>
  <c r="G492" i="9" s="1"/>
  <c r="E493" i="9"/>
  <c r="F493" i="9"/>
  <c r="E494" i="9"/>
  <c r="F494" i="9" s="1"/>
  <c r="G494" i="9"/>
  <c r="I494" i="9"/>
  <c r="E495" i="9"/>
  <c r="F495" i="9" s="1"/>
  <c r="E496" i="9"/>
  <c r="F496" i="9" s="1"/>
  <c r="G496" i="9" s="1"/>
  <c r="I496" i="9" s="1"/>
  <c r="E497" i="9"/>
  <c r="F497" i="9"/>
  <c r="E498" i="9"/>
  <c r="F498" i="9" s="1"/>
  <c r="G498" i="9"/>
  <c r="I498" i="9"/>
  <c r="E499" i="9"/>
  <c r="F499" i="9" s="1"/>
  <c r="G499" i="9" s="1"/>
  <c r="E500" i="9"/>
  <c r="F500" i="9" s="1"/>
  <c r="G500" i="9"/>
  <c r="I500" i="9" s="1"/>
  <c r="E501" i="9"/>
  <c r="F501" i="9" s="1"/>
  <c r="E502" i="9"/>
  <c r="F502" i="9"/>
  <c r="G502" i="9" s="1"/>
  <c r="I502" i="9" s="1"/>
  <c r="E503" i="9"/>
  <c r="F503" i="9" s="1"/>
  <c r="G503" i="9" s="1"/>
  <c r="E504" i="9"/>
  <c r="F504" i="9" s="1"/>
  <c r="G504" i="9" s="1"/>
  <c r="I504" i="9" s="1"/>
  <c r="E505" i="9"/>
  <c r="F505" i="9" s="1"/>
  <c r="G505" i="9" s="1"/>
  <c r="I505" i="9" s="1"/>
  <c r="E506" i="9"/>
  <c r="F506" i="9" s="1"/>
  <c r="G506" i="9" s="1"/>
  <c r="I506" i="9" s="1"/>
  <c r="E507" i="9"/>
  <c r="F507" i="9" s="1"/>
  <c r="G507" i="9" s="1"/>
  <c r="E508" i="9"/>
  <c r="F508" i="9"/>
  <c r="G508" i="9" s="1"/>
  <c r="I508" i="9" s="1"/>
  <c r="E509" i="9"/>
  <c r="F509" i="9"/>
  <c r="G509" i="9" s="1"/>
  <c r="E510" i="9"/>
  <c r="F510" i="9" s="1"/>
  <c r="G510" i="9" s="1"/>
  <c r="I510" i="9" s="1"/>
  <c r="E511" i="9"/>
  <c r="F511" i="9" s="1"/>
  <c r="E512" i="9"/>
  <c r="F512" i="9"/>
  <c r="G512" i="9"/>
  <c r="E513" i="9"/>
  <c r="F513" i="9" s="1"/>
  <c r="G513" i="9" s="1"/>
  <c r="I513" i="9" s="1"/>
  <c r="E514" i="9"/>
  <c r="F514" i="9" s="1"/>
  <c r="G514" i="9" s="1"/>
  <c r="E515" i="9"/>
  <c r="F515" i="9" s="1"/>
  <c r="G515" i="9"/>
  <c r="I515" i="9"/>
  <c r="E516" i="9"/>
  <c r="F516" i="9" s="1"/>
  <c r="G516" i="9" s="1"/>
  <c r="E517" i="9"/>
  <c r="F517" i="9" s="1"/>
  <c r="E518" i="9"/>
  <c r="F518" i="9" s="1"/>
  <c r="G518" i="9" s="1"/>
  <c r="E519" i="9"/>
  <c r="F519" i="9"/>
  <c r="G519" i="9" s="1"/>
  <c r="I519" i="9" s="1"/>
  <c r="E520" i="9"/>
  <c r="F520" i="9" s="1"/>
  <c r="G520" i="9" s="1"/>
  <c r="E521" i="9"/>
  <c r="F521" i="9" s="1"/>
  <c r="E522" i="9"/>
  <c r="F522" i="9" s="1"/>
  <c r="G522" i="9" s="1"/>
  <c r="I522" i="9" s="1"/>
  <c r="E523" i="9"/>
  <c r="F523" i="9"/>
  <c r="G523" i="9" s="1"/>
  <c r="E524" i="9"/>
  <c r="F524" i="9" s="1"/>
  <c r="G524" i="9" s="1"/>
  <c r="E525" i="9"/>
  <c r="F525" i="9"/>
  <c r="E526" i="9"/>
  <c r="F526" i="9" s="1"/>
  <c r="G526" i="9" s="1"/>
  <c r="E527" i="9"/>
  <c r="F527" i="9" s="1"/>
  <c r="G527" i="9" s="1"/>
  <c r="I527" i="9" s="1"/>
  <c r="E528" i="9"/>
  <c r="F528" i="9" s="1"/>
  <c r="G528" i="9" s="1"/>
  <c r="I528" i="9" s="1"/>
  <c r="J528" i="9" s="1"/>
  <c r="E529" i="9"/>
  <c r="F529" i="9"/>
  <c r="G529" i="9" s="1"/>
  <c r="E530" i="9"/>
  <c r="F530" i="9" s="1"/>
  <c r="G530" i="9" s="1"/>
  <c r="I530" i="9" s="1"/>
  <c r="E531" i="9"/>
  <c r="F531" i="9" s="1"/>
  <c r="G531" i="9" s="1"/>
  <c r="E532" i="9"/>
  <c r="F532" i="9" s="1"/>
  <c r="G532" i="9" s="1"/>
  <c r="I532" i="9" s="1"/>
  <c r="E533" i="9"/>
  <c r="F533" i="9" s="1"/>
  <c r="E534" i="9"/>
  <c r="F534" i="9" s="1"/>
  <c r="G534" i="9" s="1"/>
  <c r="I534" i="9"/>
  <c r="E535" i="9"/>
  <c r="F535" i="9" s="1"/>
  <c r="G535" i="9" s="1"/>
  <c r="E536" i="9"/>
  <c r="F536" i="9" s="1"/>
  <c r="G536" i="9" s="1"/>
  <c r="I536" i="9" s="1"/>
  <c r="E537" i="9"/>
  <c r="F537" i="9"/>
  <c r="E538" i="9"/>
  <c r="F538" i="9"/>
  <c r="G538" i="9" s="1"/>
  <c r="I538" i="9" s="1"/>
  <c r="E539" i="9"/>
  <c r="F539" i="9" s="1"/>
  <c r="G539" i="9" s="1"/>
  <c r="I539" i="9" s="1"/>
  <c r="E540" i="9"/>
  <c r="F540" i="9"/>
  <c r="G540" i="9" s="1"/>
  <c r="I540" i="9" s="1"/>
  <c r="E541" i="9"/>
  <c r="F541" i="9"/>
  <c r="G541" i="9" s="1"/>
  <c r="I541" i="9" s="1"/>
  <c r="J541" i="9" s="1"/>
  <c r="E542" i="9"/>
  <c r="F542" i="9" s="1"/>
  <c r="G542" i="9" s="1"/>
  <c r="E543" i="9"/>
  <c r="F543" i="9" s="1"/>
  <c r="E544" i="9"/>
  <c r="F544" i="9"/>
  <c r="G544" i="9"/>
  <c r="I544" i="9" s="1"/>
  <c r="E545" i="9"/>
  <c r="F545" i="9" s="1"/>
  <c r="G545" i="9" s="1"/>
  <c r="H546" i="9" s="1"/>
  <c r="E546" i="9"/>
  <c r="F546" i="9" s="1"/>
  <c r="G546" i="9" s="1"/>
  <c r="I546" i="9" s="1"/>
  <c r="E547" i="9"/>
  <c r="F547" i="9"/>
  <c r="G547" i="9" s="1"/>
  <c r="E548" i="9"/>
  <c r="F548" i="9" s="1"/>
  <c r="G548" i="9" s="1"/>
  <c r="I548" i="9" s="1"/>
  <c r="E549" i="9"/>
  <c r="F549" i="9"/>
  <c r="E550" i="9"/>
  <c r="F550" i="9"/>
  <c r="G550" i="9"/>
  <c r="I550" i="9"/>
  <c r="J550" i="9" s="1"/>
  <c r="E551" i="9"/>
  <c r="F551" i="9" s="1"/>
  <c r="E552" i="9"/>
  <c r="F552" i="9" s="1"/>
  <c r="G552" i="9" s="1"/>
  <c r="I552" i="9" s="1"/>
  <c r="E553" i="9"/>
  <c r="F553" i="9"/>
  <c r="G553" i="9" s="1"/>
  <c r="I553" i="9" s="1"/>
  <c r="J553" i="9" s="1"/>
  <c r="E554" i="9"/>
  <c r="F554" i="9" s="1"/>
  <c r="G554" i="9" s="1"/>
  <c r="I554" i="9" s="1"/>
  <c r="E555" i="9"/>
  <c r="F555" i="9"/>
  <c r="G555" i="9" s="1"/>
  <c r="I555" i="9" s="1"/>
  <c r="J555" i="9" s="1"/>
  <c r="E556" i="9"/>
  <c r="F556" i="9" s="1"/>
  <c r="G556" i="9"/>
  <c r="I556" i="9" s="1"/>
  <c r="J556" i="9" s="1"/>
  <c r="E557" i="9"/>
  <c r="F557" i="9" s="1"/>
  <c r="G557" i="9" s="1"/>
  <c r="E558" i="9"/>
  <c r="F558" i="9" s="1"/>
  <c r="G558" i="9" s="1"/>
  <c r="I558" i="9" s="1"/>
  <c r="E559" i="9"/>
  <c r="F559" i="9"/>
  <c r="G559" i="9" s="1"/>
  <c r="E560" i="9"/>
  <c r="F560" i="9" s="1"/>
  <c r="G560" i="9" s="1"/>
  <c r="E561" i="9"/>
  <c r="F561" i="9" s="1"/>
  <c r="E562" i="9"/>
  <c r="F562" i="9"/>
  <c r="G562" i="9"/>
  <c r="I562" i="9"/>
  <c r="E563" i="9"/>
  <c r="F563" i="9" s="1"/>
  <c r="G563" i="9" s="1"/>
  <c r="I563" i="9" s="1"/>
  <c r="J563" i="9" s="1"/>
  <c r="E564" i="9"/>
  <c r="F564" i="9"/>
  <c r="G564" i="9" s="1"/>
  <c r="E565" i="9"/>
  <c r="F565" i="9"/>
  <c r="G565" i="9" s="1"/>
  <c r="I565" i="9" s="1"/>
  <c r="E566" i="9"/>
  <c r="F566" i="9" s="1"/>
  <c r="G566" i="9" s="1"/>
  <c r="E567" i="9"/>
  <c r="F567" i="9" s="1"/>
  <c r="G567" i="9" s="1"/>
  <c r="E568" i="9"/>
  <c r="F568" i="9"/>
  <c r="G568" i="9" s="1"/>
  <c r="I568" i="9" s="1"/>
  <c r="E569" i="9"/>
  <c r="F569" i="9" s="1"/>
  <c r="G569" i="9" s="1"/>
  <c r="I569" i="9" s="1"/>
  <c r="E570" i="9"/>
  <c r="F570" i="9" s="1"/>
  <c r="G570" i="9" s="1"/>
  <c r="I570" i="9" s="1"/>
  <c r="J570" i="9" s="1"/>
  <c r="E571" i="9"/>
  <c r="F571" i="9" s="1"/>
  <c r="G571" i="9"/>
  <c r="I571" i="9"/>
  <c r="E572" i="9"/>
  <c r="F572" i="9" s="1"/>
  <c r="G572" i="9" s="1"/>
  <c r="I572" i="9" s="1"/>
  <c r="E573" i="9"/>
  <c r="F573" i="9" s="1"/>
  <c r="E574" i="9"/>
  <c r="F574" i="9"/>
  <c r="G574" i="9"/>
  <c r="E575" i="9"/>
  <c r="F575" i="9" s="1"/>
  <c r="G575" i="9" s="1"/>
  <c r="E576" i="9"/>
  <c r="F576" i="9" s="1"/>
  <c r="G576" i="9" s="1"/>
  <c r="I576" i="9" s="1"/>
  <c r="E577" i="9"/>
  <c r="F577" i="9" s="1"/>
  <c r="G577" i="9" s="1"/>
  <c r="E578" i="9"/>
  <c r="F578" i="9" s="1"/>
  <c r="G578" i="9" s="1"/>
  <c r="I578" i="9" s="1"/>
  <c r="E579" i="9"/>
  <c r="F579" i="9"/>
  <c r="E580" i="9"/>
  <c r="F580" i="9"/>
  <c r="G580" i="9"/>
  <c r="H580" i="9" s="1"/>
  <c r="I580" i="9"/>
  <c r="E581" i="9"/>
  <c r="F581" i="9" s="1"/>
  <c r="E582" i="9"/>
  <c r="F582" i="9" s="1"/>
  <c r="G582" i="9" s="1"/>
  <c r="I582" i="9" s="1"/>
  <c r="E583" i="9"/>
  <c r="F583" i="9"/>
  <c r="E584" i="9"/>
  <c r="F584" i="9" s="1"/>
  <c r="G584" i="9" s="1"/>
  <c r="I584" i="9" s="1"/>
  <c r="J584" i="9" s="1"/>
  <c r="E585" i="9"/>
  <c r="F585" i="9"/>
  <c r="E586" i="9"/>
  <c r="F586" i="9"/>
  <c r="G586" i="9" s="1"/>
  <c r="I586" i="9" s="1"/>
  <c r="E587" i="9"/>
  <c r="F587" i="9"/>
  <c r="G587" i="9" s="1"/>
  <c r="E588" i="9"/>
  <c r="F588" i="9"/>
  <c r="G588" i="9" s="1"/>
  <c r="I588" i="9" s="1"/>
  <c r="E589" i="9"/>
  <c r="F589" i="9"/>
  <c r="E590" i="9"/>
  <c r="F590" i="9" s="1"/>
  <c r="G590" i="9" s="1"/>
  <c r="E591" i="9"/>
  <c r="F591" i="9"/>
  <c r="E592" i="9"/>
  <c r="F592" i="9"/>
  <c r="G592" i="9"/>
  <c r="I592" i="9"/>
  <c r="E593" i="9"/>
  <c r="F593" i="9" s="1"/>
  <c r="G593" i="9" s="1"/>
  <c r="E13" i="9"/>
  <c r="F13" i="9"/>
  <c r="G13" i="9" s="1"/>
  <c r="I13" i="9" s="1"/>
  <c r="E594" i="9"/>
  <c r="F594" i="9"/>
  <c r="G594" i="9" s="1"/>
  <c r="I594" i="9" s="1"/>
  <c r="EB12" i="12"/>
  <c r="E9" i="13"/>
  <c r="H9" i="13" s="1"/>
  <c r="H21" i="12"/>
  <c r="BP21" i="12"/>
  <c r="H22" i="12"/>
  <c r="BP22" i="12" s="1"/>
  <c r="H23" i="12"/>
  <c r="BP23" i="12" s="1"/>
  <c r="H24" i="12"/>
  <c r="BP24" i="12" s="1"/>
  <c r="H25" i="12"/>
  <c r="BP25" i="12"/>
  <c r="H26" i="12"/>
  <c r="BP26" i="12" s="1"/>
  <c r="H27" i="12"/>
  <c r="BP27" i="12" s="1"/>
  <c r="H28" i="12"/>
  <c r="BP28" i="12" s="1"/>
  <c r="H29" i="12"/>
  <c r="BP29" i="12"/>
  <c r="H30" i="12"/>
  <c r="BP30" i="12" s="1"/>
  <c r="H31" i="12"/>
  <c r="BP31" i="12" s="1"/>
  <c r="H32" i="12"/>
  <c r="BP32" i="12" s="1"/>
  <c r="H33" i="12"/>
  <c r="BP33" i="12"/>
  <c r="H34" i="12"/>
  <c r="BP34" i="12" s="1"/>
  <c r="H35" i="12"/>
  <c r="BP35" i="12" s="1"/>
  <c r="H36" i="12"/>
  <c r="BP36" i="12" s="1"/>
  <c r="H37" i="12"/>
  <c r="BP37" i="12"/>
  <c r="H38" i="12"/>
  <c r="BP38" i="12" s="1"/>
  <c r="H39" i="12"/>
  <c r="BP39" i="12" s="1"/>
  <c r="H40" i="12"/>
  <c r="BP40" i="12" s="1"/>
  <c r="H41" i="12"/>
  <c r="BP41" i="12" s="1"/>
  <c r="H42" i="12"/>
  <c r="BP42" i="12" s="1"/>
  <c r="H43" i="12"/>
  <c r="BP43" i="12" s="1"/>
  <c r="H44" i="12"/>
  <c r="BP44" i="12" s="1"/>
  <c r="H45" i="12"/>
  <c r="BP45" i="12" s="1"/>
  <c r="H46" i="12"/>
  <c r="BP46" i="12" s="1"/>
  <c r="H47" i="12"/>
  <c r="BP47" i="12" s="1"/>
  <c r="H48" i="12"/>
  <c r="BP48" i="12" s="1"/>
  <c r="H49" i="12"/>
  <c r="BP49" i="12"/>
  <c r="H50" i="12"/>
  <c r="BP50" i="12" s="1"/>
  <c r="H51" i="12"/>
  <c r="BP51" i="12" s="1"/>
  <c r="H52" i="12"/>
  <c r="BP52" i="12" s="1"/>
  <c r="H53" i="12"/>
  <c r="BP53" i="12"/>
  <c r="H54" i="12"/>
  <c r="BP54" i="12" s="1"/>
  <c r="H55" i="12"/>
  <c r="BP55" i="12" s="1"/>
  <c r="H56" i="12"/>
  <c r="BP56" i="12" s="1"/>
  <c r="H57" i="12"/>
  <c r="BP57" i="12"/>
  <c r="H58" i="12"/>
  <c r="BP58" i="12" s="1"/>
  <c r="H59" i="12"/>
  <c r="BP59" i="12" s="1"/>
  <c r="H60" i="12"/>
  <c r="BP60" i="12" s="1"/>
  <c r="C13" i="12"/>
  <c r="D13" i="12"/>
  <c r="C14" i="12"/>
  <c r="D14" i="12"/>
  <c r="C15" i="12"/>
  <c r="D15" i="12"/>
  <c r="C16" i="12"/>
  <c r="D16" i="12"/>
  <c r="C17" i="12"/>
  <c r="D17" i="12"/>
  <c r="C18" i="12"/>
  <c r="D18" i="12"/>
  <c r="C19" i="12"/>
  <c r="D19" i="12"/>
  <c r="C20" i="12"/>
  <c r="D20" i="12"/>
  <c r="C21" i="12"/>
  <c r="D21" i="12"/>
  <c r="C22" i="12"/>
  <c r="D22" i="12"/>
  <c r="C23" i="12"/>
  <c r="D23" i="12"/>
  <c r="C24" i="12"/>
  <c r="D24" i="12"/>
  <c r="C25" i="12"/>
  <c r="D25" i="12"/>
  <c r="C26" i="12"/>
  <c r="D26" i="12"/>
  <c r="C27" i="12"/>
  <c r="D27" i="12"/>
  <c r="C28" i="12"/>
  <c r="D28" i="12"/>
  <c r="C29" i="12"/>
  <c r="D29" i="12"/>
  <c r="C30" i="12"/>
  <c r="D30" i="12"/>
  <c r="C31" i="12"/>
  <c r="D31" i="12"/>
  <c r="C32" i="12"/>
  <c r="D32" i="12"/>
  <c r="C33" i="12"/>
  <c r="D33" i="12"/>
  <c r="C34" i="12"/>
  <c r="D34" i="12"/>
  <c r="C35" i="12"/>
  <c r="D35" i="12"/>
  <c r="C36" i="12"/>
  <c r="D36" i="12"/>
  <c r="C37" i="12"/>
  <c r="D37" i="12"/>
  <c r="C38" i="12"/>
  <c r="D38" i="12"/>
  <c r="C39" i="12"/>
  <c r="D39" i="12"/>
  <c r="C40" i="12"/>
  <c r="D40" i="12"/>
  <c r="C41" i="12"/>
  <c r="D41" i="12"/>
  <c r="C42" i="12"/>
  <c r="D42" i="12"/>
  <c r="C43" i="12"/>
  <c r="D43" i="12"/>
  <c r="C44" i="12"/>
  <c r="D44" i="12"/>
  <c r="C45" i="12"/>
  <c r="D45" i="12"/>
  <c r="C46" i="12"/>
  <c r="D46" i="12"/>
  <c r="C47" i="12"/>
  <c r="D47" i="12"/>
  <c r="C48" i="12"/>
  <c r="D48" i="12"/>
  <c r="C49" i="12"/>
  <c r="D49" i="12"/>
  <c r="C50" i="12"/>
  <c r="D50" i="12"/>
  <c r="C51" i="12"/>
  <c r="D51" i="12"/>
  <c r="C52" i="12"/>
  <c r="D52" i="12"/>
  <c r="C53" i="12"/>
  <c r="D53" i="12"/>
  <c r="C54" i="12"/>
  <c r="D54" i="12"/>
  <c r="C55" i="12"/>
  <c r="D55" i="12"/>
  <c r="C56" i="12"/>
  <c r="D56" i="12"/>
  <c r="C57" i="12"/>
  <c r="D57" i="12"/>
  <c r="C58" i="12"/>
  <c r="D58" i="12"/>
  <c r="C59" i="12"/>
  <c r="D59" i="12"/>
  <c r="C60" i="12"/>
  <c r="D60" i="12"/>
  <c r="D12" i="12"/>
  <c r="C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12" i="12"/>
  <c r="G585" i="9"/>
  <c r="I585" i="9" s="1"/>
  <c r="J569" i="9"/>
  <c r="G561" i="9"/>
  <c r="I561" i="9"/>
  <c r="I545" i="9"/>
  <c r="G537" i="9"/>
  <c r="I537" i="9" s="1"/>
  <c r="G521" i="9"/>
  <c r="I521" i="9"/>
  <c r="J505" i="9"/>
  <c r="G497" i="9"/>
  <c r="H498" i="9" s="1"/>
  <c r="I497" i="9"/>
  <c r="J497" i="9" s="1"/>
  <c r="G489" i="9"/>
  <c r="I489" i="9" s="1"/>
  <c r="I481" i="9"/>
  <c r="J481" i="9" s="1"/>
  <c r="I559" i="9"/>
  <c r="J559" i="9" s="1"/>
  <c r="G479" i="9"/>
  <c r="I479" i="9" s="1"/>
  <c r="G591" i="9"/>
  <c r="I591" i="9"/>
  <c r="G551" i="9"/>
  <c r="I551" i="9" s="1"/>
  <c r="G583" i="9"/>
  <c r="I583" i="9"/>
  <c r="J583" i="9" s="1"/>
  <c r="G589" i="9"/>
  <c r="I589" i="9" s="1"/>
  <c r="J589" i="9" s="1"/>
  <c r="G581" i="9"/>
  <c r="I581" i="9"/>
  <c r="G573" i="9"/>
  <c r="I573" i="9" s="1"/>
  <c r="J573" i="9" s="1"/>
  <c r="I557" i="9"/>
  <c r="G549" i="9"/>
  <c r="I549" i="9" s="1"/>
  <c r="J549" i="9" s="1"/>
  <c r="G533" i="9"/>
  <c r="G525" i="9"/>
  <c r="I525" i="9" s="1"/>
  <c r="G517" i="9"/>
  <c r="I517" i="9" s="1"/>
  <c r="G501" i="9"/>
  <c r="I501" i="9" s="1"/>
  <c r="J501" i="9" s="1"/>
  <c r="G493" i="9"/>
  <c r="I493" i="9"/>
  <c r="G485" i="9"/>
  <c r="I485" i="9" s="1"/>
  <c r="J538" i="9"/>
  <c r="EC12" i="12"/>
  <c r="D9" i="13" s="1"/>
  <c r="H563" i="9"/>
  <c r="H555" i="9"/>
  <c r="H539" i="9"/>
  <c r="G579" i="9"/>
  <c r="I579" i="9" s="1"/>
  <c r="J579" i="9" s="1"/>
  <c r="H491" i="9"/>
  <c r="H475" i="9"/>
  <c r="G495" i="9"/>
  <c r="G543" i="9"/>
  <c r="I543" i="9"/>
  <c r="G511" i="9"/>
  <c r="I511" i="9"/>
  <c r="J511" i="9" s="1"/>
  <c r="G487" i="9"/>
  <c r="I487" i="9"/>
  <c r="E9" i="15"/>
  <c r="F9" i="15" s="1"/>
  <c r="H13" i="15"/>
  <c r="R9" i="15"/>
  <c r="K9" i="15"/>
  <c r="C92" i="14"/>
  <c r="D231" i="14"/>
  <c r="E231" i="14" s="1"/>
  <c r="C230" i="14"/>
  <c r="A234" i="14"/>
  <c r="A235" i="14" s="1"/>
  <c r="A236" i="14" s="1"/>
  <c r="A237" i="14" s="1"/>
  <c r="A98" i="14"/>
  <c r="A99" i="14" s="1"/>
  <c r="A100" i="14" s="1"/>
  <c r="A101" i="14" s="1"/>
  <c r="A102" i="14" s="1"/>
  <c r="A103" i="14" s="1"/>
  <c r="E93" i="14"/>
  <c r="F93" i="14"/>
  <c r="D92" i="14"/>
  <c r="D22" i="14"/>
  <c r="E22" i="14"/>
  <c r="E21" i="14" s="1"/>
  <c r="C21" i="14"/>
  <c r="D162" i="14"/>
  <c r="E162" i="14"/>
  <c r="E161" i="14" s="1"/>
  <c r="C161" i="14"/>
  <c r="F162" i="14"/>
  <c r="A165" i="14"/>
  <c r="B83" i="1"/>
  <c r="B84" i="1"/>
  <c r="D81" i="1"/>
  <c r="C84" i="1"/>
  <c r="A85" i="1"/>
  <c r="C85" i="1"/>
  <c r="H588" i="9"/>
  <c r="H572" i="9"/>
  <c r="H568" i="9"/>
  <c r="H558" i="9"/>
  <c r="H552" i="9"/>
  <c r="H544" i="9"/>
  <c r="H540" i="9"/>
  <c r="H532" i="9"/>
  <c r="H528" i="9"/>
  <c r="H526" i="9"/>
  <c r="H500" i="9"/>
  <c r="H494" i="9"/>
  <c r="H480" i="9"/>
  <c r="EA13" i="12"/>
  <c r="ED12" i="12"/>
  <c r="BQ11" i="12"/>
  <c r="BR11" i="12"/>
  <c r="BS11" i="12"/>
  <c r="BT11" i="12" s="1"/>
  <c r="BU11" i="12" s="1"/>
  <c r="BV11" i="12" s="1"/>
  <c r="BW11" i="12" s="1"/>
  <c r="BX11" i="12" s="1"/>
  <c r="BY11" i="12" s="1"/>
  <c r="BZ11" i="12" s="1"/>
  <c r="CA11" i="12" s="1"/>
  <c r="CB11" i="12" s="1"/>
  <c r="CC11" i="12" s="1"/>
  <c r="CD11" i="12" s="1"/>
  <c r="CE11" i="12" s="1"/>
  <c r="CF11" i="12" s="1"/>
  <c r="CG11" i="12" s="1"/>
  <c r="CH11" i="12" s="1"/>
  <c r="CI11" i="12" s="1"/>
  <c r="CJ11" i="12" s="1"/>
  <c r="CK11" i="12" s="1"/>
  <c r="CL11" i="12" s="1"/>
  <c r="CM11" i="12" s="1"/>
  <c r="CN11" i="12" s="1"/>
  <c r="CO11" i="12" s="1"/>
  <c r="CP11" i="12" s="1"/>
  <c r="CQ11" i="12" s="1"/>
  <c r="CR11" i="12" s="1"/>
  <c r="CS11" i="12" s="1"/>
  <c r="CT11" i="12" s="1"/>
  <c r="CU11" i="12" s="1"/>
  <c r="CV11" i="12" s="1"/>
  <c r="CW11" i="12" s="1"/>
  <c r="CX11" i="12" s="1"/>
  <c r="CY11" i="12" s="1"/>
  <c r="CZ11" i="12" s="1"/>
  <c r="DA11" i="12" s="1"/>
  <c r="DB11" i="12" s="1"/>
  <c r="DC11" i="12" s="1"/>
  <c r="DD11" i="12" s="1"/>
  <c r="DE11" i="12" s="1"/>
  <c r="DF11" i="12" s="1"/>
  <c r="DG11" i="12" s="1"/>
  <c r="DH11" i="12" s="1"/>
  <c r="DI11" i="12" s="1"/>
  <c r="DJ11" i="12" s="1"/>
  <c r="DK11" i="12" s="1"/>
  <c r="DL11" i="12" s="1"/>
  <c r="DM11" i="12" s="1"/>
  <c r="DN11" i="12" s="1"/>
  <c r="DO11" i="12" s="1"/>
  <c r="DP11" i="12" s="1"/>
  <c r="DQ11" i="12" s="1"/>
  <c r="DR11" i="12" s="1"/>
  <c r="DS11" i="12" s="1"/>
  <c r="DT11" i="12" s="1"/>
  <c r="DU11" i="12" s="1"/>
  <c r="DV11" i="12" s="1"/>
  <c r="DW11" i="12" s="1"/>
  <c r="I11" i="12"/>
  <c r="J11" i="12"/>
  <c r="K11" i="12" s="1"/>
  <c r="L11" i="12"/>
  <c r="M11" i="12" s="1"/>
  <c r="N11" i="12" s="1"/>
  <c r="O11" i="12"/>
  <c r="P11" i="12" s="1"/>
  <c r="Q11" i="12" s="1"/>
  <c r="R11" i="12" s="1"/>
  <c r="S11" i="12" s="1"/>
  <c r="T11" i="12" s="1"/>
  <c r="U11" i="12" s="1"/>
  <c r="V11" i="12" s="1"/>
  <c r="W11" i="12" s="1"/>
  <c r="X11" i="12" s="1"/>
  <c r="Y11" i="12" s="1"/>
  <c r="Z11" i="12" s="1"/>
  <c r="AA11" i="12" s="1"/>
  <c r="AB11" i="12" s="1"/>
  <c r="AC11" i="12" s="1"/>
  <c r="AD11" i="12" s="1"/>
  <c r="AE11" i="12" s="1"/>
  <c r="AF11" i="12" s="1"/>
  <c r="AG11" i="12" s="1"/>
  <c r="AH11" i="12" s="1"/>
  <c r="AI11" i="12" s="1"/>
  <c r="AJ11" i="12" s="1"/>
  <c r="AK11" i="12" s="1"/>
  <c r="AL11" i="12" s="1"/>
  <c r="AM11" i="12" s="1"/>
  <c r="AN11" i="12" s="1"/>
  <c r="AO11" i="12" s="1"/>
  <c r="AP11" i="12" s="1"/>
  <c r="AQ11" i="12" s="1"/>
  <c r="AR11" i="12" s="1"/>
  <c r="AS11" i="12" s="1"/>
  <c r="AT11" i="12" s="1"/>
  <c r="AU11" i="12" s="1"/>
  <c r="AV11" i="12" s="1"/>
  <c r="AW11" i="12" s="1"/>
  <c r="AX11" i="12" s="1"/>
  <c r="AY11" i="12" s="1"/>
  <c r="AZ11" i="12" s="1"/>
  <c r="BA11" i="12" s="1"/>
  <c r="BB11" i="12" s="1"/>
  <c r="BC11" i="12" s="1"/>
  <c r="BD11" i="12" s="1"/>
  <c r="BE11" i="12" s="1"/>
  <c r="BF11" i="12" s="1"/>
  <c r="BG11" i="12" s="1"/>
  <c r="BH11" i="12" s="1"/>
  <c r="BI11" i="12" s="1"/>
  <c r="BJ11" i="12" s="1"/>
  <c r="BK11" i="12" s="1"/>
  <c r="BL11" i="12" s="1"/>
  <c r="BM11" i="12" s="1"/>
  <c r="BN11" i="12" s="1"/>
  <c r="BO11" i="12" s="1"/>
  <c r="H584" i="9"/>
  <c r="H525" i="9"/>
  <c r="H589" i="9"/>
  <c r="J494" i="9"/>
  <c r="H478" i="9"/>
  <c r="H514" i="9"/>
  <c r="H592" i="9"/>
  <c r="H477" i="9"/>
  <c r="H541" i="9"/>
  <c r="H573" i="9"/>
  <c r="J558" i="9"/>
  <c r="J592" i="9"/>
  <c r="H559" i="9"/>
  <c r="J506" i="9"/>
  <c r="H553" i="9"/>
  <c r="H517" i="9"/>
  <c r="H581" i="9"/>
  <c r="J582" i="9"/>
  <c r="H497" i="9"/>
  <c r="H593" i="9"/>
  <c r="J490" i="9"/>
  <c r="J580" i="9"/>
  <c r="J544" i="9"/>
  <c r="J562" i="9"/>
  <c r="H505" i="9"/>
  <c r="H537" i="9"/>
  <c r="H569" i="9"/>
  <c r="H489" i="9"/>
  <c r="H585" i="9"/>
  <c r="H511" i="9"/>
  <c r="H486" i="9"/>
  <c r="B10" i="13"/>
  <c r="G10" i="13" s="1"/>
  <c r="H10" i="13" s="1"/>
  <c r="EB13" i="12"/>
  <c r="E10" i="13"/>
  <c r="H490" i="9"/>
  <c r="H506" i="9"/>
  <c r="H522" i="9"/>
  <c r="H538" i="9"/>
  <c r="H554" i="9"/>
  <c r="H570" i="9"/>
  <c r="H586" i="9"/>
  <c r="J522" i="9"/>
  <c r="H501" i="9"/>
  <c r="H551" i="9"/>
  <c r="H582" i="9"/>
  <c r="H487" i="9"/>
  <c r="H579" i="9"/>
  <c r="J554" i="9"/>
  <c r="H583" i="9"/>
  <c r="J486" i="9"/>
  <c r="H481" i="9"/>
  <c r="H545" i="9"/>
  <c r="H14" i="15"/>
  <c r="L9" i="15"/>
  <c r="E92" i="14"/>
  <c r="D230" i="14"/>
  <c r="D21" i="14"/>
  <c r="F92" i="14"/>
  <c r="G93" i="14"/>
  <c r="D161" i="14"/>
  <c r="A166" i="14"/>
  <c r="A167" i="14" s="1"/>
  <c r="A168" i="14" s="1"/>
  <c r="A169" i="14" s="1"/>
  <c r="A170" i="14" s="1"/>
  <c r="A171" i="14" s="1"/>
  <c r="A172" i="14" s="1"/>
  <c r="A173" i="14" s="1"/>
  <c r="A174" i="14" s="1"/>
  <c r="A175" i="14" s="1"/>
  <c r="A176" i="14" s="1"/>
  <c r="A177" i="14" s="1"/>
  <c r="A178" i="14" s="1"/>
  <c r="A179" i="14" s="1"/>
  <c r="A180" i="14" s="1"/>
  <c r="A181" i="14" s="1"/>
  <c r="A182" i="14" s="1"/>
  <c r="A183" i="14" s="1"/>
  <c r="A184" i="14" s="1"/>
  <c r="G162" i="14"/>
  <c r="F161" i="14"/>
  <c r="F22" i="14"/>
  <c r="B85" i="1"/>
  <c r="E81" i="1"/>
  <c r="D80" i="1"/>
  <c r="A86" i="1"/>
  <c r="EA14" i="12"/>
  <c r="EA15" i="12" s="1"/>
  <c r="C3" i="1"/>
  <c r="EC13" i="12"/>
  <c r="H15" i="15"/>
  <c r="H16" i="15" s="1"/>
  <c r="G161" i="14"/>
  <c r="H162" i="14"/>
  <c r="I162" i="14" s="1"/>
  <c r="B78" i="1"/>
  <c r="E80" i="1"/>
  <c r="F81" i="1"/>
  <c r="G81" i="1" s="1"/>
  <c r="G80" i="1" s="1"/>
  <c r="D85" i="1"/>
  <c r="A104" i="14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39" i="14" s="1"/>
  <c r="A140" i="14" s="1"/>
  <c r="A141" i="14" s="1"/>
  <c r="A142" i="14" s="1"/>
  <c r="A143" i="14" s="1"/>
  <c r="A144" i="14" s="1"/>
  <c r="A145" i="14" s="1"/>
  <c r="A146" i="14" s="1"/>
  <c r="A147" i="14" s="1"/>
  <c r="A148" i="14" s="1"/>
  <c r="A149" i="14" s="1"/>
  <c r="A150" i="14" s="1"/>
  <c r="A151" i="14" s="1"/>
  <c r="A152" i="14" s="1"/>
  <c r="A153" i="14" s="1"/>
  <c r="E86" i="1"/>
  <c r="A238" i="14"/>
  <c r="A239" i="14" s="1"/>
  <c r="A240" i="14" s="1"/>
  <c r="A241" i="14" s="1"/>
  <c r="A242" i="14" s="1"/>
  <c r="A243" i="14" s="1"/>
  <c r="A244" i="14"/>
  <c r="A245" i="14" s="1"/>
  <c r="A246" i="14" s="1"/>
  <c r="A247" i="14" s="1"/>
  <c r="A248" i="14" s="1"/>
  <c r="A249" i="14" s="1"/>
  <c r="A250" i="14" s="1"/>
  <c r="A251" i="14" s="1"/>
  <c r="A252" i="14" s="1"/>
  <c r="A253" i="14" s="1"/>
  <c r="A254" i="14" s="1"/>
  <c r="A255" i="14" s="1"/>
  <c r="A256" i="14" s="1"/>
  <c r="A257" i="14" s="1"/>
  <c r="A258" i="14" s="1"/>
  <c r="A259" i="14" s="1"/>
  <c r="A260" i="14" s="1"/>
  <c r="A185" i="14"/>
  <c r="A186" i="14" s="1"/>
  <c r="A187" i="14" s="1"/>
  <c r="A188" i="14" s="1"/>
  <c r="A189" i="14" s="1"/>
  <c r="A190" i="14" s="1"/>
  <c r="A191" i="14" s="1"/>
  <c r="A192" i="14" s="1"/>
  <c r="A193" i="14" s="1"/>
  <c r="A194" i="14" s="1"/>
  <c r="A195" i="14" s="1"/>
  <c r="A196" i="14" s="1"/>
  <c r="A197" i="14" s="1"/>
  <c r="A198" i="14" s="1"/>
  <c r="A199" i="14" s="1"/>
  <c r="A200" i="14" s="1"/>
  <c r="A201" i="14" s="1"/>
  <c r="A202" i="14" s="1"/>
  <c r="A203" i="14" s="1"/>
  <c r="A204" i="14" s="1"/>
  <c r="A205" i="14" s="1"/>
  <c r="A206" i="14" s="1"/>
  <c r="A207" i="14" s="1"/>
  <c r="A208" i="14" s="1"/>
  <c r="A209" i="14" s="1"/>
  <c r="A210" i="14" s="1"/>
  <c r="A211" i="14" s="1"/>
  <c r="A212" i="14" s="1"/>
  <c r="A213" i="14" s="1"/>
  <c r="A214" i="14" s="1"/>
  <c r="A215" i="14" s="1"/>
  <c r="A216" i="14" s="1"/>
  <c r="A217" i="14" s="1"/>
  <c r="A218" i="14" s="1"/>
  <c r="A219" i="14" s="1"/>
  <c r="A261" i="14"/>
  <c r="A262" i="14" s="1"/>
  <c r="A263" i="14" s="1"/>
  <c r="A264" i="14" s="1"/>
  <c r="A265" i="14" s="1"/>
  <c r="A266" i="14" s="1"/>
  <c r="A267" i="14" s="1"/>
  <c r="A268" i="14" s="1"/>
  <c r="A269" i="14" s="1"/>
  <c r="A270" i="14" s="1"/>
  <c r="A271" i="14" s="1"/>
  <c r="A272" i="14" s="1"/>
  <c r="A273" i="14" s="1"/>
  <c r="A274" i="14" s="1"/>
  <c r="A275" i="14" s="1"/>
  <c r="A276" i="14" s="1"/>
  <c r="A277" i="14" s="1"/>
  <c r="A278" i="14" s="1"/>
  <c r="A279" i="14" s="1"/>
  <c r="A280" i="14" s="1"/>
  <c r="A281" i="14" s="1"/>
  <c r="A282" i="14" s="1"/>
  <c r="A283" i="14" s="1"/>
  <c r="A284" i="14" s="1"/>
  <c r="A285" i="14"/>
  <c r="A286" i="14" s="1"/>
  <c r="A287" i="14" s="1"/>
  <c r="A288" i="14" s="1"/>
  <c r="A289" i="14" s="1"/>
  <c r="A290" i="14" s="1"/>
  <c r="A291" i="14" s="1"/>
  <c r="A292" i="14" s="1"/>
  <c r="A154" i="14"/>
  <c r="A220" i="14"/>
  <c r="A221" i="14"/>
  <c r="A222" i="14"/>
  <c r="A223" i="14" s="1"/>
  <c r="I59" i="10"/>
  <c r="E60" i="12"/>
  <c r="G60" i="12"/>
  <c r="H59" i="10"/>
  <c r="I58" i="10"/>
  <c r="E59" i="12"/>
  <c r="G59" i="12"/>
  <c r="H58" i="10"/>
  <c r="I57" i="10"/>
  <c r="E58" i="12" s="1"/>
  <c r="G58" i="12" s="1"/>
  <c r="H57" i="10"/>
  <c r="I56" i="10"/>
  <c r="E57" i="12"/>
  <c r="G57" i="12"/>
  <c r="H56" i="10"/>
  <c r="F57" i="12" s="1"/>
  <c r="I55" i="10"/>
  <c r="E56" i="12" s="1"/>
  <c r="G56" i="12" s="1"/>
  <c r="H55" i="10"/>
  <c r="L55" i="10" s="1"/>
  <c r="I54" i="10"/>
  <c r="E55" i="12"/>
  <c r="G55" i="12"/>
  <c r="H54" i="10"/>
  <c r="F55" i="12" s="1"/>
  <c r="I53" i="10"/>
  <c r="E54" i="12" s="1"/>
  <c r="G54" i="12" s="1"/>
  <c r="H53" i="10"/>
  <c r="L53" i="10" s="1"/>
  <c r="I52" i="10"/>
  <c r="E53" i="12"/>
  <c r="G53" i="12"/>
  <c r="H52" i="10"/>
  <c r="F53" i="12" s="1"/>
  <c r="I51" i="10"/>
  <c r="E52" i="12" s="1"/>
  <c r="G52" i="12" s="1"/>
  <c r="H51" i="10"/>
  <c r="L51" i="10" s="1"/>
  <c r="I50" i="10"/>
  <c r="E51" i="12"/>
  <c r="G51" i="12"/>
  <c r="H50" i="10"/>
  <c r="F51" i="12" s="1"/>
  <c r="I49" i="10"/>
  <c r="E50" i="12" s="1"/>
  <c r="G50" i="12" s="1"/>
  <c r="H49" i="10"/>
  <c r="L49" i="10" s="1"/>
  <c r="I48" i="10"/>
  <c r="E49" i="12"/>
  <c r="G49" i="12"/>
  <c r="H48" i="10"/>
  <c r="I47" i="10"/>
  <c r="E48" i="12" s="1"/>
  <c r="G48" i="12" s="1"/>
  <c r="H47" i="10"/>
  <c r="L47" i="10" s="1"/>
  <c r="I46" i="10"/>
  <c r="E47" i="12"/>
  <c r="G47" i="12"/>
  <c r="H46" i="10"/>
  <c r="I45" i="10"/>
  <c r="E46" i="12" s="1"/>
  <c r="G46" i="12" s="1"/>
  <c r="H45" i="10"/>
  <c r="L45" i="10" s="1"/>
  <c r="I44" i="10"/>
  <c r="E45" i="12"/>
  <c r="G45" i="12"/>
  <c r="H44" i="10"/>
  <c r="I43" i="10"/>
  <c r="E44" i="12" s="1"/>
  <c r="G44" i="12" s="1"/>
  <c r="H43" i="10"/>
  <c r="L43" i="10" s="1"/>
  <c r="I42" i="10"/>
  <c r="E43" i="12"/>
  <c r="G43" i="12"/>
  <c r="H42" i="10"/>
  <c r="I41" i="10"/>
  <c r="E42" i="12" s="1"/>
  <c r="G42" i="12" s="1"/>
  <c r="H41" i="10"/>
  <c r="L41" i="10" s="1"/>
  <c r="I42" i="12" s="1"/>
  <c r="I40" i="10"/>
  <c r="E41" i="12"/>
  <c r="G41" i="12"/>
  <c r="H40" i="10"/>
  <c r="I39" i="10"/>
  <c r="E40" i="12" s="1"/>
  <c r="G40" i="12" s="1"/>
  <c r="H39" i="10"/>
  <c r="L39" i="10" s="1"/>
  <c r="I38" i="10"/>
  <c r="E39" i="12"/>
  <c r="G39" i="12"/>
  <c r="H38" i="10"/>
  <c r="I37" i="10"/>
  <c r="E38" i="12" s="1"/>
  <c r="G38" i="12" s="1"/>
  <c r="H37" i="10"/>
  <c r="I36" i="10"/>
  <c r="E37" i="12"/>
  <c r="G37" i="12"/>
  <c r="H36" i="10"/>
  <c r="I35" i="10"/>
  <c r="E36" i="12" s="1"/>
  <c r="G36" i="12" s="1"/>
  <c r="H35" i="10"/>
  <c r="I34" i="10"/>
  <c r="E35" i="12"/>
  <c r="G35" i="12"/>
  <c r="H34" i="10"/>
  <c r="I33" i="10"/>
  <c r="E34" i="12" s="1"/>
  <c r="G34" i="12" s="1"/>
  <c r="H33" i="10"/>
  <c r="I32" i="10"/>
  <c r="E33" i="12"/>
  <c r="G33" i="12"/>
  <c r="H32" i="10"/>
  <c r="I31" i="10"/>
  <c r="E32" i="12" s="1"/>
  <c r="G32" i="12" s="1"/>
  <c r="H31" i="10"/>
  <c r="I30" i="10"/>
  <c r="E31" i="12"/>
  <c r="G31" i="12"/>
  <c r="H30" i="10"/>
  <c r="I29" i="10"/>
  <c r="E30" i="12" s="1"/>
  <c r="G30" i="12" s="1"/>
  <c r="H29" i="10"/>
  <c r="I28" i="10"/>
  <c r="E29" i="12"/>
  <c r="G29" i="12"/>
  <c r="H28" i="10"/>
  <c r="I27" i="10"/>
  <c r="E28" i="12" s="1"/>
  <c r="G28" i="12" s="1"/>
  <c r="H27" i="10"/>
  <c r="I26" i="10"/>
  <c r="E27" i="12"/>
  <c r="G27" i="12"/>
  <c r="H26" i="10"/>
  <c r="I25" i="10"/>
  <c r="E26" i="12" s="1"/>
  <c r="G26" i="12" s="1"/>
  <c r="H25" i="10"/>
  <c r="I24" i="10"/>
  <c r="E25" i="12"/>
  <c r="G25" i="12"/>
  <c r="H24" i="10"/>
  <c r="I23" i="10"/>
  <c r="E24" i="12" s="1"/>
  <c r="G24" i="12" s="1"/>
  <c r="H23" i="10"/>
  <c r="I22" i="10"/>
  <c r="E23" i="12"/>
  <c r="G23" i="12"/>
  <c r="H22" i="10"/>
  <c r="I21" i="10"/>
  <c r="E22" i="12" s="1"/>
  <c r="G22" i="12" s="1"/>
  <c r="H21" i="10"/>
  <c r="I20" i="10"/>
  <c r="E21" i="12"/>
  <c r="G21" i="12"/>
  <c r="H20" i="10"/>
  <c r="I19" i="10"/>
  <c r="E20" i="12" s="1"/>
  <c r="G20" i="12" s="1"/>
  <c r="H19" i="10"/>
  <c r="I18" i="10"/>
  <c r="E19" i="12"/>
  <c r="G19" i="12"/>
  <c r="H18" i="10"/>
  <c r="I17" i="10"/>
  <c r="E18" i="12" s="1"/>
  <c r="G18" i="12" s="1"/>
  <c r="H17" i="10"/>
  <c r="I16" i="10"/>
  <c r="E17" i="12"/>
  <c r="G17" i="12"/>
  <c r="H16" i="10"/>
  <c r="I15" i="10"/>
  <c r="E16" i="12" s="1"/>
  <c r="G16" i="12" s="1"/>
  <c r="H15" i="10"/>
  <c r="I14" i="10"/>
  <c r="E15" i="12" s="1"/>
  <c r="G15" i="12" s="1"/>
  <c r="H14" i="10"/>
  <c r="I13" i="10"/>
  <c r="E14" i="12" s="1"/>
  <c r="G14" i="12" s="1"/>
  <c r="H13" i="10"/>
  <c r="I12" i="10"/>
  <c r="E13" i="12" s="1"/>
  <c r="G13" i="12" s="1"/>
  <c r="H12" i="10"/>
  <c r="I11" i="10"/>
  <c r="E12" i="12" s="1"/>
  <c r="G12" i="12" s="1"/>
  <c r="H11" i="10"/>
  <c r="I40" i="12"/>
  <c r="I44" i="12"/>
  <c r="I48" i="12"/>
  <c r="I50" i="12"/>
  <c r="I52" i="12"/>
  <c r="F52" i="12"/>
  <c r="I54" i="12"/>
  <c r="F54" i="12"/>
  <c r="I56" i="12"/>
  <c r="F56" i="12"/>
  <c r="L57" i="10"/>
  <c r="M57" i="10"/>
  <c r="F58" i="12"/>
  <c r="L58" i="10"/>
  <c r="I59" i="12" s="1"/>
  <c r="M58" i="10"/>
  <c r="F59" i="12"/>
  <c r="L59" i="10"/>
  <c r="F60" i="12"/>
  <c r="B12" i="1"/>
  <c r="BK8" i="1"/>
  <c r="BK9" i="1"/>
  <c r="BL8" i="1"/>
  <c r="BL9" i="1"/>
  <c r="A15" i="1"/>
  <c r="A16" i="1"/>
  <c r="A17" i="1" s="1"/>
  <c r="C13" i="1"/>
  <c r="C12" i="1" s="1"/>
  <c r="M53" i="10"/>
  <c r="C17" i="1"/>
  <c r="C26" i="14" s="1"/>
  <c r="B15" i="1"/>
  <c r="D13" i="1"/>
  <c r="BU59" i="10"/>
  <c r="J59" i="12"/>
  <c r="BR59" i="12" s="1"/>
  <c r="BV58" i="10"/>
  <c r="BU53" i="10"/>
  <c r="M51" i="10"/>
  <c r="M43" i="10"/>
  <c r="BU58" i="10"/>
  <c r="BQ59" i="12"/>
  <c r="BU57" i="10"/>
  <c r="I58" i="12"/>
  <c r="BQ58" i="12"/>
  <c r="N58" i="10"/>
  <c r="BW58" i="10" s="1"/>
  <c r="K59" i="12"/>
  <c r="BS59" i="12"/>
  <c r="B24" i="14"/>
  <c r="L11" i="15"/>
  <c r="L15" i="15"/>
  <c r="L12" i="15"/>
  <c r="L13" i="15"/>
  <c r="L14" i="15"/>
  <c r="D10" i="16"/>
  <c r="D12" i="16"/>
  <c r="D11" i="16" s="1"/>
  <c r="J44" i="12" l="1"/>
  <c r="N43" i="10"/>
  <c r="BW43" i="10"/>
  <c r="BR44" i="12"/>
  <c r="K11" i="10"/>
  <c r="F12" i="12"/>
  <c r="K15" i="10"/>
  <c r="F16" i="12"/>
  <c r="F19" i="12"/>
  <c r="K18" i="10"/>
  <c r="L23" i="10"/>
  <c r="F24" i="12"/>
  <c r="F27" i="12"/>
  <c r="L26" i="10"/>
  <c r="E13" i="1"/>
  <c r="D12" i="1"/>
  <c r="N53" i="10"/>
  <c r="J54" i="12"/>
  <c r="BR54" i="12" s="1"/>
  <c r="F13" i="12"/>
  <c r="K12" i="10"/>
  <c r="N51" i="10"/>
  <c r="J52" i="12"/>
  <c r="BR52" i="12" s="1"/>
  <c r="I60" i="12"/>
  <c r="BQ60" i="12" s="1"/>
  <c r="M59" i="10"/>
  <c r="BV59" i="10"/>
  <c r="K13" i="10"/>
  <c r="F14" i="12"/>
  <c r="C8" i="1"/>
  <c r="C9" i="1"/>
  <c r="C16" i="1"/>
  <c r="C25" i="14" s="1"/>
  <c r="C7" i="1"/>
  <c r="C4" i="1" s="1"/>
  <c r="B14" i="1" s="1"/>
  <c r="C15" i="1"/>
  <c r="F15" i="12"/>
  <c r="K14" i="10"/>
  <c r="L31" i="10"/>
  <c r="F32" i="12"/>
  <c r="F35" i="12"/>
  <c r="L34" i="10"/>
  <c r="M39" i="10"/>
  <c r="BQ40" i="12"/>
  <c r="BU39" i="10"/>
  <c r="F43" i="12"/>
  <c r="L42" i="10"/>
  <c r="M47" i="10"/>
  <c r="BQ48" i="12"/>
  <c r="BU47" i="10"/>
  <c r="M55" i="10"/>
  <c r="BQ56" i="12"/>
  <c r="BU55" i="10"/>
  <c r="N57" i="10"/>
  <c r="BW57" i="10"/>
  <c r="J58" i="12"/>
  <c r="BR58" i="12" s="1"/>
  <c r="F17" i="12"/>
  <c r="K16" i="10"/>
  <c r="L21" i="10"/>
  <c r="F22" i="12"/>
  <c r="F25" i="12"/>
  <c r="L24" i="10"/>
  <c r="L29" i="10"/>
  <c r="F30" i="12"/>
  <c r="F33" i="12"/>
  <c r="L32" i="10"/>
  <c r="L37" i="10"/>
  <c r="F38" i="12"/>
  <c r="F41" i="12"/>
  <c r="L40" i="10"/>
  <c r="BU45" i="10"/>
  <c r="F49" i="12"/>
  <c r="L48" i="10"/>
  <c r="BQ54" i="12"/>
  <c r="BV53" i="10"/>
  <c r="B17" i="1"/>
  <c r="B26" i="14" s="1"/>
  <c r="A18" i="1"/>
  <c r="A19" i="1" s="1"/>
  <c r="C19" i="1" s="1"/>
  <c r="C28" i="14" s="1"/>
  <c r="K19" i="10"/>
  <c r="F20" i="12"/>
  <c r="F23" i="12"/>
  <c r="L22" i="10"/>
  <c r="L27" i="10"/>
  <c r="F28" i="12"/>
  <c r="F31" i="12"/>
  <c r="L30" i="10"/>
  <c r="L35" i="10"/>
  <c r="F36" i="12"/>
  <c r="F39" i="12"/>
  <c r="L38" i="10"/>
  <c r="BV43" i="10"/>
  <c r="BU43" i="10"/>
  <c r="BQ44" i="12"/>
  <c r="F47" i="12"/>
  <c r="L46" i="10"/>
  <c r="BQ52" i="12"/>
  <c r="BV51" i="10"/>
  <c r="BU51" i="10"/>
  <c r="M45" i="10"/>
  <c r="K17" i="10"/>
  <c r="F18" i="12"/>
  <c r="F21" i="12"/>
  <c r="L20" i="10"/>
  <c r="L25" i="10"/>
  <c r="F26" i="12"/>
  <c r="F29" i="12"/>
  <c r="L28" i="10"/>
  <c r="L33" i="10"/>
  <c r="F34" i="12"/>
  <c r="F37" i="12"/>
  <c r="L36" i="10"/>
  <c r="BU41" i="10"/>
  <c r="M41" i="10"/>
  <c r="BQ42" i="12"/>
  <c r="F45" i="12"/>
  <c r="L44" i="10"/>
  <c r="BU49" i="10"/>
  <c r="M49" i="10"/>
  <c r="BQ50" i="12"/>
  <c r="BV57" i="10"/>
  <c r="B16" i="1"/>
  <c r="B25" i="14" s="1"/>
  <c r="I46" i="12"/>
  <c r="BQ46" i="12" s="1"/>
  <c r="L56" i="10"/>
  <c r="L54" i="10"/>
  <c r="L52" i="10"/>
  <c r="L50" i="10"/>
  <c r="F50" i="12"/>
  <c r="F48" i="12"/>
  <c r="F46" i="12"/>
  <c r="F44" i="12"/>
  <c r="F42" i="12"/>
  <c r="F40" i="12"/>
  <c r="O58" i="10"/>
  <c r="E78" i="1"/>
  <c r="EB15" i="12"/>
  <c r="E12" i="13" s="1"/>
  <c r="EA16" i="12"/>
  <c r="B12" i="13"/>
  <c r="I161" i="14"/>
  <c r="J162" i="14"/>
  <c r="I577" i="9"/>
  <c r="H577" i="9"/>
  <c r="J571" i="9"/>
  <c r="J572" i="9"/>
  <c r="I566" i="9"/>
  <c r="J566" i="9" s="1"/>
  <c r="H566" i="9"/>
  <c r="I547" i="9"/>
  <c r="H548" i="9"/>
  <c r="H542" i="9"/>
  <c r="I542" i="9"/>
  <c r="J542" i="9" s="1"/>
  <c r="H543" i="9"/>
  <c r="L16" i="15"/>
  <c r="H495" i="9"/>
  <c r="I495" i="9"/>
  <c r="I590" i="9"/>
  <c r="J590" i="9" s="1"/>
  <c r="H590" i="9"/>
  <c r="H591" i="9"/>
  <c r="I524" i="9"/>
  <c r="H524" i="9"/>
  <c r="I518" i="9"/>
  <c r="J518" i="9" s="1"/>
  <c r="H519" i="9"/>
  <c r="H518" i="9"/>
  <c r="I512" i="9"/>
  <c r="J512" i="9" s="1"/>
  <c r="H512" i="9"/>
  <c r="H513" i="9"/>
  <c r="I492" i="9"/>
  <c r="H493" i="9"/>
  <c r="H492" i="9"/>
  <c r="I482" i="9"/>
  <c r="H482" i="9"/>
  <c r="H483" i="9"/>
  <c r="I476" i="9"/>
  <c r="H476" i="9"/>
  <c r="F21" i="14"/>
  <c r="G22" i="14"/>
  <c r="J487" i="9"/>
  <c r="J488" i="9"/>
  <c r="I533" i="9"/>
  <c r="H533" i="9"/>
  <c r="J545" i="9"/>
  <c r="J546" i="9"/>
  <c r="I593" i="9"/>
  <c r="H594" i="9"/>
  <c r="H575" i="9"/>
  <c r="I575" i="9"/>
  <c r="I529" i="9"/>
  <c r="H530" i="9"/>
  <c r="H529" i="9"/>
  <c r="H81" i="1"/>
  <c r="C78" i="1"/>
  <c r="D10" i="13"/>
  <c r="ED13" i="12"/>
  <c r="H578" i="9"/>
  <c r="H496" i="9"/>
  <c r="H556" i="9"/>
  <c r="J485" i="9"/>
  <c r="I574" i="9"/>
  <c r="J574" i="9" s="1"/>
  <c r="H574" i="9"/>
  <c r="I564" i="9"/>
  <c r="J564" i="9" s="1"/>
  <c r="H564" i="9"/>
  <c r="I560" i="9"/>
  <c r="J560" i="9" s="1"/>
  <c r="H560" i="9"/>
  <c r="H561" i="9"/>
  <c r="H535" i="9"/>
  <c r="H536" i="9"/>
  <c r="I535" i="9"/>
  <c r="H17" i="15"/>
  <c r="E230" i="14"/>
  <c r="F231" i="14"/>
  <c r="J557" i="9"/>
  <c r="J552" i="9"/>
  <c r="J551" i="9"/>
  <c r="J498" i="9"/>
  <c r="A87" i="1"/>
  <c r="E87" i="1" s="1"/>
  <c r="C86" i="1"/>
  <c r="B86" i="1"/>
  <c r="D86" i="1"/>
  <c r="H547" i="9"/>
  <c r="J581" i="9"/>
  <c r="J585" i="9"/>
  <c r="J586" i="9"/>
  <c r="I526" i="9"/>
  <c r="H527" i="9"/>
  <c r="I520" i="9"/>
  <c r="H521" i="9"/>
  <c r="H520" i="9"/>
  <c r="H510" i="9"/>
  <c r="H509" i="9"/>
  <c r="I509" i="9"/>
  <c r="H503" i="9"/>
  <c r="I503" i="9"/>
  <c r="H504" i="9"/>
  <c r="I484" i="9"/>
  <c r="J484" i="9" s="1"/>
  <c r="H484" i="9"/>
  <c r="H485" i="9"/>
  <c r="I478" i="9"/>
  <c r="H479" i="9"/>
  <c r="D87" i="1"/>
  <c r="G92" i="14"/>
  <c r="H93" i="14"/>
  <c r="J532" i="9"/>
  <c r="J502" i="9"/>
  <c r="J561" i="9"/>
  <c r="H571" i="9"/>
  <c r="J565" i="9"/>
  <c r="H531" i="9"/>
  <c r="I531" i="9"/>
  <c r="J531" i="9" s="1"/>
  <c r="J519" i="9"/>
  <c r="H515" i="9"/>
  <c r="I514" i="9"/>
  <c r="H549" i="9"/>
  <c r="J513" i="9"/>
  <c r="EB14" i="12"/>
  <c r="I523" i="9"/>
  <c r="J523" i="9" s="1"/>
  <c r="H523" i="9"/>
  <c r="I507" i="9"/>
  <c r="H507" i="9"/>
  <c r="H508" i="9"/>
  <c r="J500" i="9"/>
  <c r="F80" i="1"/>
  <c r="B11" i="13"/>
  <c r="H565" i="9"/>
  <c r="H550" i="9"/>
  <c r="H502" i="9"/>
  <c r="H576" i="9"/>
  <c r="J525" i="9"/>
  <c r="I587" i="9"/>
  <c r="H587" i="9"/>
  <c r="J540" i="9"/>
  <c r="J539" i="9"/>
  <c r="H534" i="9"/>
  <c r="I516" i="9"/>
  <c r="H516" i="9"/>
  <c r="H161" i="14"/>
  <c r="H488" i="9"/>
  <c r="J537" i="9"/>
  <c r="I499" i="9"/>
  <c r="J499" i="9" s="1"/>
  <c r="H499" i="9"/>
  <c r="J480" i="9"/>
  <c r="J591" i="9"/>
  <c r="J489" i="9"/>
  <c r="H567" i="9"/>
  <c r="I567" i="9"/>
  <c r="H562" i="9"/>
  <c r="H557" i="9"/>
  <c r="J515" i="9" l="1"/>
  <c r="J514" i="9"/>
  <c r="J478" i="9"/>
  <c r="J479" i="9"/>
  <c r="J593" i="9"/>
  <c r="J594" i="9"/>
  <c r="J492" i="9"/>
  <c r="J493" i="9"/>
  <c r="J524" i="9"/>
  <c r="N41" i="10"/>
  <c r="J42" i="12"/>
  <c r="BV41" i="10"/>
  <c r="BR42" i="12"/>
  <c r="BW41" i="10"/>
  <c r="M48" i="10"/>
  <c r="BV48" i="10" s="1"/>
  <c r="BU48" i="10"/>
  <c r="I49" i="12"/>
  <c r="BQ49" i="12"/>
  <c r="M32" i="10"/>
  <c r="BU32" i="10"/>
  <c r="I33" i="12"/>
  <c r="BQ33" i="12" s="1"/>
  <c r="L16" i="10"/>
  <c r="BU16" i="10" s="1"/>
  <c r="H17" i="12"/>
  <c r="BP17" i="12" s="1"/>
  <c r="J56" i="12"/>
  <c r="BR56" i="12" s="1"/>
  <c r="N55" i="10"/>
  <c r="C18" i="1"/>
  <c r="C27" i="14" s="1"/>
  <c r="D19" i="1"/>
  <c r="D28" i="14" s="1"/>
  <c r="D7" i="1"/>
  <c r="D17" i="1"/>
  <c r="D26" i="14" s="1"/>
  <c r="D18" i="1"/>
  <c r="D27" i="14" s="1"/>
  <c r="D8" i="1"/>
  <c r="D9" i="1"/>
  <c r="I81" i="1"/>
  <c r="H80" i="1"/>
  <c r="B13" i="13"/>
  <c r="EB16" i="12"/>
  <c r="E13" i="13" s="1"/>
  <c r="EA17" i="12"/>
  <c r="BV25" i="10"/>
  <c r="I26" i="12"/>
  <c r="BQ26" i="12" s="1"/>
  <c r="M25" i="10"/>
  <c r="BU25" i="10"/>
  <c r="N39" i="10"/>
  <c r="BW39" i="10"/>
  <c r="BR40" i="12"/>
  <c r="J40" i="12"/>
  <c r="C24" i="14"/>
  <c r="E12" i="1"/>
  <c r="D14" i="1" s="1"/>
  <c r="F13" i="1"/>
  <c r="BU15" i="10"/>
  <c r="H16" i="12"/>
  <c r="BP16" i="12" s="1"/>
  <c r="L15" i="10"/>
  <c r="J509" i="9"/>
  <c r="J510" i="9"/>
  <c r="G21" i="14"/>
  <c r="H22" i="14"/>
  <c r="J577" i="9"/>
  <c r="J578" i="9"/>
  <c r="BU34" i="10"/>
  <c r="BQ35" i="12"/>
  <c r="M34" i="10"/>
  <c r="BV34" i="10" s="1"/>
  <c r="I35" i="12"/>
  <c r="K52" i="12"/>
  <c r="BS52" i="12"/>
  <c r="O51" i="10"/>
  <c r="BX51" i="10"/>
  <c r="M26" i="10"/>
  <c r="BU26" i="10"/>
  <c r="BQ27" i="12"/>
  <c r="I27" i="12"/>
  <c r="I37" i="12"/>
  <c r="M36" i="10"/>
  <c r="BU36" i="10"/>
  <c r="BQ37" i="12"/>
  <c r="M20" i="10"/>
  <c r="BU20" i="10"/>
  <c r="I21" i="12"/>
  <c r="BQ21" i="12"/>
  <c r="M46" i="10"/>
  <c r="BU46" i="10"/>
  <c r="BV46" i="10"/>
  <c r="BQ47" i="12"/>
  <c r="I47" i="12"/>
  <c r="BU35" i="10"/>
  <c r="I36" i="12"/>
  <c r="BQ36" i="12" s="1"/>
  <c r="M35" i="10"/>
  <c r="BP20" i="12"/>
  <c r="BU19" i="10"/>
  <c r="L19" i="10"/>
  <c r="H20" i="12"/>
  <c r="K11" i="15"/>
  <c r="K13" i="15"/>
  <c r="K15" i="15"/>
  <c r="K162" i="14"/>
  <c r="J161" i="14"/>
  <c r="EC15" i="12"/>
  <c r="BU50" i="10"/>
  <c r="M50" i="10"/>
  <c r="BV50" i="10" s="1"/>
  <c r="I51" i="12"/>
  <c r="BQ51" i="12" s="1"/>
  <c r="BR50" i="12"/>
  <c r="N49" i="10"/>
  <c r="BV49" i="10"/>
  <c r="BW49" i="10"/>
  <c r="J50" i="12"/>
  <c r="M30" i="10"/>
  <c r="BU30" i="10"/>
  <c r="I31" i="12"/>
  <c r="BQ31" i="12" s="1"/>
  <c r="B19" i="1"/>
  <c r="B28" i="14" s="1"/>
  <c r="A20" i="1"/>
  <c r="BU29" i="10"/>
  <c r="M29" i="10"/>
  <c r="I30" i="12"/>
  <c r="BQ30" i="12" s="1"/>
  <c r="J48" i="12"/>
  <c r="BR48" i="12"/>
  <c r="BW47" i="10"/>
  <c r="N47" i="10"/>
  <c r="BV47" i="10"/>
  <c r="B23" i="14"/>
  <c r="H14" i="12"/>
  <c r="BP14" i="12" s="1"/>
  <c r="L13" i="10"/>
  <c r="H13" i="12"/>
  <c r="BP13" i="12" s="1"/>
  <c r="L12" i="10"/>
  <c r="L11" i="10"/>
  <c r="BU11" i="10" s="1"/>
  <c r="H12" i="12"/>
  <c r="BP12" i="12" s="1"/>
  <c r="I93" i="14"/>
  <c r="H92" i="14"/>
  <c r="K12" i="15" s="1"/>
  <c r="G11" i="13"/>
  <c r="H11" i="13" s="1"/>
  <c r="J521" i="9"/>
  <c r="J520" i="9"/>
  <c r="F230" i="14"/>
  <c r="R14" i="15" s="1"/>
  <c r="G231" i="14"/>
  <c r="J529" i="9"/>
  <c r="J530" i="9"/>
  <c r="J534" i="9"/>
  <c r="J533" i="9"/>
  <c r="J495" i="9"/>
  <c r="J496" i="9"/>
  <c r="J547" i="9"/>
  <c r="J548" i="9"/>
  <c r="BT59" i="12"/>
  <c r="P58" i="10"/>
  <c r="BY58" i="10" s="1"/>
  <c r="BX58" i="10"/>
  <c r="L59" i="12"/>
  <c r="BU52" i="10"/>
  <c r="M52" i="10"/>
  <c r="BV52" i="10" s="1"/>
  <c r="BQ53" i="12"/>
  <c r="I53" i="12"/>
  <c r="M40" i="10"/>
  <c r="I41" i="12"/>
  <c r="BU40" i="10"/>
  <c r="BV40" i="10"/>
  <c r="BQ41" i="12"/>
  <c r="BV24" i="10"/>
  <c r="M24" i="10"/>
  <c r="BU24" i="10"/>
  <c r="I25" i="12"/>
  <c r="BQ25" i="12"/>
  <c r="K58" i="12"/>
  <c r="O57" i="10"/>
  <c r="BS58" i="12"/>
  <c r="BX57" i="10"/>
  <c r="BU42" i="10"/>
  <c r="BV42" i="10"/>
  <c r="M42" i="10"/>
  <c r="I43" i="12"/>
  <c r="BQ43" i="12" s="1"/>
  <c r="BW51" i="10"/>
  <c r="J536" i="9"/>
  <c r="J535" i="9"/>
  <c r="J567" i="9"/>
  <c r="J568" i="9"/>
  <c r="J543" i="9"/>
  <c r="D78" i="1"/>
  <c r="G12" i="13" s="1"/>
  <c r="H12" i="13" s="1"/>
  <c r="F87" i="1"/>
  <c r="J503" i="9"/>
  <c r="J504" i="9"/>
  <c r="R13" i="15"/>
  <c r="R12" i="15"/>
  <c r="R11" i="15"/>
  <c r="J575" i="9"/>
  <c r="J576" i="9"/>
  <c r="J483" i="9"/>
  <c r="J482" i="9"/>
  <c r="BU54" i="10"/>
  <c r="M54" i="10"/>
  <c r="BQ55" i="12"/>
  <c r="I55" i="12"/>
  <c r="M44" i="10"/>
  <c r="I45" i="12"/>
  <c r="BU44" i="10"/>
  <c r="BQ45" i="12"/>
  <c r="M33" i="10"/>
  <c r="BV33" i="10" s="1"/>
  <c r="BU33" i="10"/>
  <c r="I34" i="12"/>
  <c r="BQ34" i="12" s="1"/>
  <c r="L17" i="10"/>
  <c r="BU17" i="10"/>
  <c r="BP18" i="12"/>
  <c r="H18" i="12"/>
  <c r="BV55" i="10"/>
  <c r="B18" i="1"/>
  <c r="B27" i="14" s="1"/>
  <c r="BQ32" i="12"/>
  <c r="M31" i="10"/>
  <c r="BV31" i="10"/>
  <c r="BU31" i="10"/>
  <c r="I32" i="12"/>
  <c r="M23" i="10"/>
  <c r="BU23" i="10"/>
  <c r="BV23" i="10"/>
  <c r="I24" i="12"/>
  <c r="BQ24" i="12" s="1"/>
  <c r="J516" i="9"/>
  <c r="J517" i="9"/>
  <c r="J508" i="9"/>
  <c r="J507" i="9"/>
  <c r="J477" i="9"/>
  <c r="J476" i="9"/>
  <c r="EC14" i="12"/>
  <c r="E11" i="13"/>
  <c r="J587" i="9"/>
  <c r="J588" i="9"/>
  <c r="J526" i="9"/>
  <c r="J527" i="9"/>
  <c r="B87" i="1"/>
  <c r="A88" i="1"/>
  <c r="C87" i="1"/>
  <c r="L17" i="15"/>
  <c r="H18" i="15"/>
  <c r="R17" i="15"/>
  <c r="K17" i="15"/>
  <c r="R16" i="15"/>
  <c r="M56" i="10"/>
  <c r="BV56" i="10" s="1"/>
  <c r="BQ57" i="12"/>
  <c r="BU56" i="10"/>
  <c r="I57" i="12"/>
  <c r="I29" i="12"/>
  <c r="BQ29" i="12"/>
  <c r="BU28" i="10"/>
  <c r="M28" i="10"/>
  <c r="J46" i="12"/>
  <c r="BR46" i="12" s="1"/>
  <c r="N45" i="10"/>
  <c r="BV45" i="10"/>
  <c r="M27" i="10"/>
  <c r="BV27" i="10" s="1"/>
  <c r="I28" i="12"/>
  <c r="BQ28" i="12" s="1"/>
  <c r="BU27" i="10"/>
  <c r="BV39" i="10"/>
  <c r="H15" i="12"/>
  <c r="BP15" i="12" s="1"/>
  <c r="L14" i="10"/>
  <c r="BU14" i="10" s="1"/>
  <c r="J60" i="12"/>
  <c r="BR60" i="12"/>
  <c r="N59" i="10"/>
  <c r="BW59" i="10" s="1"/>
  <c r="K54" i="12"/>
  <c r="BS54" i="12" s="1"/>
  <c r="O53" i="10"/>
  <c r="BW53" i="10"/>
  <c r="BU18" i="10"/>
  <c r="BP19" i="12"/>
  <c r="L18" i="10"/>
  <c r="H19" i="12"/>
  <c r="K44" i="12"/>
  <c r="BS44" i="12" s="1"/>
  <c r="O43" i="10"/>
  <c r="BV38" i="10"/>
  <c r="M38" i="10"/>
  <c r="BU38" i="10"/>
  <c r="I39" i="12"/>
  <c r="BQ39" i="12" s="1"/>
  <c r="BU22" i="10"/>
  <c r="M22" i="10"/>
  <c r="BV22" i="10"/>
  <c r="BQ23" i="12"/>
  <c r="I23" i="12"/>
  <c r="BU37" i="10"/>
  <c r="I38" i="12"/>
  <c r="BQ38" i="12" s="1"/>
  <c r="M37" i="10"/>
  <c r="BQ22" i="12"/>
  <c r="BU21" i="10"/>
  <c r="M21" i="10"/>
  <c r="BV21" i="10"/>
  <c r="I22" i="12"/>
  <c r="C14" i="1"/>
  <c r="D23" i="14" l="1"/>
  <c r="J55" i="12"/>
  <c r="BR55" i="12" s="1"/>
  <c r="N54" i="10"/>
  <c r="BW54" i="10"/>
  <c r="I14" i="12"/>
  <c r="BQ14" i="12"/>
  <c r="M13" i="10"/>
  <c r="BV13" i="10"/>
  <c r="B20" i="1"/>
  <c r="B29" i="14" s="1"/>
  <c r="A21" i="1"/>
  <c r="C20" i="1"/>
  <c r="C29" i="14" s="1"/>
  <c r="N20" i="10"/>
  <c r="J21" i="12"/>
  <c r="BR21" i="12" s="1"/>
  <c r="BW20" i="10"/>
  <c r="H21" i="14"/>
  <c r="I22" i="14"/>
  <c r="F12" i="1"/>
  <c r="G13" i="1"/>
  <c r="EC16" i="12"/>
  <c r="BX55" i="10"/>
  <c r="K56" i="12"/>
  <c r="BS56" i="12" s="1"/>
  <c r="O55" i="10"/>
  <c r="J38" i="12"/>
  <c r="BR38" i="12"/>
  <c r="N37" i="10"/>
  <c r="BW37" i="10"/>
  <c r="C23" i="14"/>
  <c r="BR35" i="12"/>
  <c r="N34" i="10"/>
  <c r="J35" i="12"/>
  <c r="E7" i="1"/>
  <c r="E20" i="1"/>
  <c r="E29" i="14" s="1"/>
  <c r="E14" i="1"/>
  <c r="E18" i="1"/>
  <c r="E27" i="14" s="1"/>
  <c r="E19" i="1"/>
  <c r="E28" i="14" s="1"/>
  <c r="E15" i="1"/>
  <c r="E8" i="1"/>
  <c r="E9" i="1"/>
  <c r="J23" i="12"/>
  <c r="BR23" i="12" s="1"/>
  <c r="N22" i="10"/>
  <c r="BW22" i="10"/>
  <c r="J29" i="12"/>
  <c r="BR29" i="12"/>
  <c r="N28" i="10"/>
  <c r="BW28" i="10"/>
  <c r="J32" i="12"/>
  <c r="BR32" i="12"/>
  <c r="N31" i="10"/>
  <c r="BW31" i="10" s="1"/>
  <c r="M17" i="10"/>
  <c r="I18" i="12"/>
  <c r="BQ18" i="12" s="1"/>
  <c r="BV17" i="10"/>
  <c r="L58" i="12"/>
  <c r="BT58" i="12" s="1"/>
  <c r="P57" i="10"/>
  <c r="BY57" i="10" s="1"/>
  <c r="BU13" i="10"/>
  <c r="K50" i="12"/>
  <c r="BX49" i="10"/>
  <c r="BS50" i="12"/>
  <c r="O49" i="10"/>
  <c r="N35" i="10"/>
  <c r="BW35" i="10"/>
  <c r="J36" i="12"/>
  <c r="BR36" i="12" s="1"/>
  <c r="J27" i="12"/>
  <c r="BR27" i="12" s="1"/>
  <c r="N26" i="10"/>
  <c r="J26" i="12"/>
  <c r="BR26" i="12"/>
  <c r="N25" i="10"/>
  <c r="BW25" i="10"/>
  <c r="G13" i="13"/>
  <c r="H13" i="13" s="1"/>
  <c r="BR33" i="12"/>
  <c r="N32" i="10"/>
  <c r="J33" i="12"/>
  <c r="J45" i="12"/>
  <c r="BR45" i="12" s="1"/>
  <c r="N44" i="10"/>
  <c r="BW44" i="10" s="1"/>
  <c r="K161" i="14"/>
  <c r="L162" i="14"/>
  <c r="N46" i="10"/>
  <c r="BW46" i="10" s="1"/>
  <c r="J47" i="12"/>
  <c r="BR47" i="12" s="1"/>
  <c r="J37" i="12"/>
  <c r="N36" i="10"/>
  <c r="BR37" i="12"/>
  <c r="F78" i="1"/>
  <c r="D15" i="1"/>
  <c r="BT44" i="12"/>
  <c r="P43" i="10"/>
  <c r="BY43" i="10"/>
  <c r="L44" i="12"/>
  <c r="BV14" i="10"/>
  <c r="I15" i="12"/>
  <c r="BQ15" i="12" s="1"/>
  <c r="M14" i="10"/>
  <c r="J57" i="12"/>
  <c r="BR57" i="12"/>
  <c r="N56" i="10"/>
  <c r="BW56" i="10"/>
  <c r="D11" i="13"/>
  <c r="ED14" i="12"/>
  <c r="BV44" i="10"/>
  <c r="R15" i="15"/>
  <c r="N42" i="10"/>
  <c r="BW42" i="10"/>
  <c r="J43" i="12"/>
  <c r="BR43" i="12" s="1"/>
  <c r="N29" i="10"/>
  <c r="BW29" i="10"/>
  <c r="J30" i="12"/>
  <c r="BR30" i="12"/>
  <c r="K14" i="15"/>
  <c r="BV35" i="10"/>
  <c r="BV20" i="10"/>
  <c r="BY51" i="10"/>
  <c r="L52" i="12"/>
  <c r="BT52" i="12" s="1"/>
  <c r="P51" i="10"/>
  <c r="M15" i="10"/>
  <c r="BV15" i="10"/>
  <c r="I16" i="12"/>
  <c r="BQ16" i="12"/>
  <c r="I80" i="1"/>
  <c r="J81" i="1"/>
  <c r="D20" i="1"/>
  <c r="D29" i="14" s="1"/>
  <c r="O41" i="10"/>
  <c r="K42" i="12"/>
  <c r="BS42" i="12"/>
  <c r="BX41" i="10"/>
  <c r="BV11" i="10"/>
  <c r="I12" i="12"/>
  <c r="BQ12" i="12"/>
  <c r="M11" i="10"/>
  <c r="D12" i="13"/>
  <c r="ED15" i="12"/>
  <c r="L54" i="12"/>
  <c r="BT54" i="12" s="1"/>
  <c r="P53" i="10"/>
  <c r="BY53" i="10" s="1"/>
  <c r="N27" i="10"/>
  <c r="J28" i="12"/>
  <c r="BR28" i="12" s="1"/>
  <c r="BW27" i="10"/>
  <c r="BX43" i="10"/>
  <c r="B88" i="1"/>
  <c r="A89" i="1"/>
  <c r="H89" i="1" s="1"/>
  <c r="C88" i="1"/>
  <c r="D88" i="1"/>
  <c r="E88" i="1"/>
  <c r="G88" i="1"/>
  <c r="N21" i="10"/>
  <c r="BR22" i="12"/>
  <c r="J22" i="12"/>
  <c r="BX53" i="10"/>
  <c r="BV28" i="10"/>
  <c r="BV54" i="10"/>
  <c r="J41" i="12"/>
  <c r="BR41" i="12" s="1"/>
  <c r="N40" i="10"/>
  <c r="BW40" i="10" s="1"/>
  <c r="BV12" i="10"/>
  <c r="M12" i="10"/>
  <c r="I13" i="12"/>
  <c r="BQ13" i="12" s="1"/>
  <c r="J31" i="12"/>
  <c r="BR31" i="12"/>
  <c r="BW30" i="10"/>
  <c r="N30" i="10"/>
  <c r="K16" i="15"/>
  <c r="BV36" i="10"/>
  <c r="BV16" i="10"/>
  <c r="M16" i="10"/>
  <c r="I17" i="12"/>
  <c r="BQ17" i="12" s="1"/>
  <c r="K46" i="12"/>
  <c r="BS46" i="12" s="1"/>
  <c r="O45" i="10"/>
  <c r="R18" i="15"/>
  <c r="K18" i="15"/>
  <c r="L18" i="15"/>
  <c r="H19" i="15"/>
  <c r="BV37" i="10"/>
  <c r="N52" i="10"/>
  <c r="BW52" i="10"/>
  <c r="J53" i="12"/>
  <c r="BR53" i="12" s="1"/>
  <c r="G230" i="14"/>
  <c r="H231" i="14"/>
  <c r="J39" i="12"/>
  <c r="BR39" i="12"/>
  <c r="N38" i="10"/>
  <c r="M18" i="10"/>
  <c r="I19" i="12"/>
  <c r="BQ19" i="12"/>
  <c r="BV18" i="10"/>
  <c r="BW45" i="10"/>
  <c r="N23" i="10"/>
  <c r="J24" i="12"/>
  <c r="BR24" i="12" s="1"/>
  <c r="BW23" i="10"/>
  <c r="F88" i="1"/>
  <c r="BU12" i="10"/>
  <c r="BV29" i="10"/>
  <c r="BV30" i="10"/>
  <c r="BR51" i="12"/>
  <c r="N50" i="10"/>
  <c r="J51" i="12"/>
  <c r="BV26" i="10"/>
  <c r="D16" i="1"/>
  <c r="BW55" i="10"/>
  <c r="O59" i="10"/>
  <c r="BX59" i="10"/>
  <c r="K60" i="12"/>
  <c r="BS60" i="12" s="1"/>
  <c r="BW33" i="10"/>
  <c r="BR34" i="12"/>
  <c r="N33" i="10"/>
  <c r="J34" i="12"/>
  <c r="N24" i="10"/>
  <c r="J25" i="12"/>
  <c r="BR25" i="12" s="1"/>
  <c r="BW24" i="10"/>
  <c r="BU59" i="12"/>
  <c r="Q58" i="10"/>
  <c r="M59" i="12"/>
  <c r="BZ58" i="10"/>
  <c r="J93" i="14"/>
  <c r="I92" i="14"/>
  <c r="K48" i="12"/>
  <c r="BS48" i="12"/>
  <c r="BX47" i="10"/>
  <c r="O47" i="10"/>
  <c r="I20" i="12"/>
  <c r="M19" i="10"/>
  <c r="BV19" i="10"/>
  <c r="BQ20" i="12"/>
  <c r="K40" i="12"/>
  <c r="BS40" i="12" s="1"/>
  <c r="O39" i="10"/>
  <c r="BX39" i="10" s="1"/>
  <c r="B14" i="13"/>
  <c r="G14" i="13" s="1"/>
  <c r="H14" i="13" s="1"/>
  <c r="EB17" i="12"/>
  <c r="E14" i="13" s="1"/>
  <c r="EC17" i="12"/>
  <c r="EA18" i="12"/>
  <c r="BV32" i="10"/>
  <c r="BR49" i="12"/>
  <c r="N48" i="10"/>
  <c r="BW48" i="10" s="1"/>
  <c r="J49" i="12"/>
  <c r="O50" i="10" l="1"/>
  <c r="K51" i="12"/>
  <c r="BS51" i="12" s="1"/>
  <c r="J19" i="12"/>
  <c r="BW18" i="10"/>
  <c r="N18" i="10"/>
  <c r="BR19" i="12"/>
  <c r="E23" i="14"/>
  <c r="BX34" i="10"/>
  <c r="O34" i="10"/>
  <c r="K35" i="12"/>
  <c r="BS35" i="12" s="1"/>
  <c r="G12" i="1"/>
  <c r="F18" i="1" s="1"/>
  <c r="H13" i="1"/>
  <c r="ED17" i="12"/>
  <c r="D14" i="13"/>
  <c r="BW50" i="10"/>
  <c r="BS39" i="12"/>
  <c r="K39" i="12"/>
  <c r="O38" i="10"/>
  <c r="BX38" i="10" s="1"/>
  <c r="BR13" i="12"/>
  <c r="N12" i="10"/>
  <c r="BW12" i="10"/>
  <c r="J13" i="12"/>
  <c r="K30" i="12"/>
  <c r="BS30" i="12" s="1"/>
  <c r="O29" i="10"/>
  <c r="BX29" i="10" s="1"/>
  <c r="BZ43" i="10"/>
  <c r="M44" i="12"/>
  <c r="BU44" i="12"/>
  <c r="Q43" i="10"/>
  <c r="K37" i="12"/>
  <c r="O36" i="10"/>
  <c r="BS37" i="12"/>
  <c r="O28" i="10"/>
  <c r="BX28" i="10" s="1"/>
  <c r="BS29" i="12"/>
  <c r="K29" i="12"/>
  <c r="E24" i="14"/>
  <c r="F7" i="1"/>
  <c r="F20" i="1"/>
  <c r="F29" i="14" s="1"/>
  <c r="F17" i="15" s="1"/>
  <c r="F17" i="1"/>
  <c r="F19" i="1"/>
  <c r="F28" i="14" s="1"/>
  <c r="F16" i="15" s="1"/>
  <c r="F21" i="1"/>
  <c r="F30" i="14" s="1"/>
  <c r="F18" i="15" s="1"/>
  <c r="F9" i="1"/>
  <c r="F8" i="1"/>
  <c r="BX23" i="10"/>
  <c r="O23" i="10"/>
  <c r="BS24" i="12"/>
  <c r="K24" i="12"/>
  <c r="L46" i="12"/>
  <c r="BT46" i="12" s="1"/>
  <c r="P45" i="10"/>
  <c r="BY45" i="10" s="1"/>
  <c r="J15" i="12"/>
  <c r="BR15" i="12" s="1"/>
  <c r="BW14" i="10"/>
  <c r="N14" i="10"/>
  <c r="K26" i="12"/>
  <c r="BS26" i="12" s="1"/>
  <c r="O25" i="10"/>
  <c r="BX25" i="10" s="1"/>
  <c r="J22" i="14"/>
  <c r="I21" i="14"/>
  <c r="B21" i="1"/>
  <c r="B30" i="14" s="1"/>
  <c r="C21" i="1"/>
  <c r="C30" i="14" s="1"/>
  <c r="A22" i="1"/>
  <c r="D21" i="1"/>
  <c r="D30" i="14" s="1"/>
  <c r="O54" i="10"/>
  <c r="BX54" i="10"/>
  <c r="K55" i="12"/>
  <c r="BS55" i="12" s="1"/>
  <c r="J16" i="15"/>
  <c r="J13" i="15"/>
  <c r="J11" i="15"/>
  <c r="BW38" i="10"/>
  <c r="BS53" i="12"/>
  <c r="K53" i="12"/>
  <c r="BX52" i="10"/>
  <c r="O52" i="10"/>
  <c r="O27" i="10"/>
  <c r="K28" i="12"/>
  <c r="BS28" i="12" s="1"/>
  <c r="BX27" i="10"/>
  <c r="J16" i="12"/>
  <c r="BR16" i="12"/>
  <c r="BW15" i="10"/>
  <c r="N15" i="10"/>
  <c r="J18" i="12"/>
  <c r="BW17" i="10"/>
  <c r="BR18" i="12"/>
  <c r="N17" i="10"/>
  <c r="E17" i="1"/>
  <c r="L56" i="12"/>
  <c r="BT56" i="12"/>
  <c r="P55" i="10"/>
  <c r="EB18" i="12"/>
  <c r="E15" i="13" s="1"/>
  <c r="EA19" i="12"/>
  <c r="B15" i="13"/>
  <c r="D25" i="14"/>
  <c r="J12" i="12"/>
  <c r="BR12" i="12" s="1"/>
  <c r="BW11" i="10"/>
  <c r="N11" i="10"/>
  <c r="BW19" i="10"/>
  <c r="N19" i="10"/>
  <c r="J20" i="12"/>
  <c r="BR20" i="12" s="1"/>
  <c r="K93" i="14"/>
  <c r="J92" i="14"/>
  <c r="BS25" i="12"/>
  <c r="K25" i="12"/>
  <c r="O24" i="10"/>
  <c r="BX24" i="10" s="1"/>
  <c r="P59" i="10"/>
  <c r="BY59" i="10" s="1"/>
  <c r="BT60" i="12"/>
  <c r="L60" i="12"/>
  <c r="BX45" i="10"/>
  <c r="K31" i="12"/>
  <c r="BS31" i="12"/>
  <c r="O30" i="10"/>
  <c r="BX30" i="10"/>
  <c r="BT42" i="12"/>
  <c r="P41" i="10"/>
  <c r="L42" i="12"/>
  <c r="BY41" i="10"/>
  <c r="M52" i="12"/>
  <c r="Q51" i="10"/>
  <c r="BU52" i="12"/>
  <c r="BZ51" i="10"/>
  <c r="K43" i="12"/>
  <c r="BS43" i="12"/>
  <c r="O42" i="10"/>
  <c r="BX42" i="10"/>
  <c r="E16" i="1"/>
  <c r="K22" i="12"/>
  <c r="O21" i="10"/>
  <c r="BX21" i="10"/>
  <c r="BS22" i="12"/>
  <c r="K49" i="12"/>
  <c r="O48" i="10"/>
  <c r="BS49" i="12"/>
  <c r="L19" i="15"/>
  <c r="K19" i="15"/>
  <c r="H20" i="15"/>
  <c r="R19" i="15"/>
  <c r="Q19" i="15"/>
  <c r="J19" i="15"/>
  <c r="BW16" i="10"/>
  <c r="N16" i="10"/>
  <c r="J17" i="12"/>
  <c r="BR17" i="12" s="1"/>
  <c r="BX40" i="10"/>
  <c r="O40" i="10"/>
  <c r="K41" i="12"/>
  <c r="BS41" i="12" s="1"/>
  <c r="A90" i="1"/>
  <c r="B89" i="1"/>
  <c r="C89" i="1"/>
  <c r="D89" i="1"/>
  <c r="E89" i="1"/>
  <c r="G89" i="1"/>
  <c r="F89" i="1"/>
  <c r="BU54" i="12"/>
  <c r="M54" i="12"/>
  <c r="Q53" i="10"/>
  <c r="K45" i="12"/>
  <c r="O44" i="10"/>
  <c r="BX44" i="10" s="1"/>
  <c r="BS45" i="12"/>
  <c r="K33" i="12"/>
  <c r="BS33" i="12" s="1"/>
  <c r="O32" i="10"/>
  <c r="BX32" i="10" s="1"/>
  <c r="K27" i="12"/>
  <c r="BS27" i="12" s="1"/>
  <c r="BX26" i="10"/>
  <c r="O26" i="10"/>
  <c r="Q57" i="10"/>
  <c r="M58" i="12"/>
  <c r="BU58" i="12" s="1"/>
  <c r="K32" i="12"/>
  <c r="BS32" i="12" s="1"/>
  <c r="O31" i="10"/>
  <c r="BX31" i="10" s="1"/>
  <c r="E21" i="1"/>
  <c r="E30" i="14" s="1"/>
  <c r="BW13" i="10"/>
  <c r="J14" i="12"/>
  <c r="BR14" i="12" s="1"/>
  <c r="N13" i="10"/>
  <c r="L40" i="12"/>
  <c r="BT40" i="12" s="1"/>
  <c r="P39" i="10"/>
  <c r="K81" i="1"/>
  <c r="J80" i="1"/>
  <c r="K47" i="12"/>
  <c r="BS47" i="12"/>
  <c r="O46" i="10"/>
  <c r="BX46" i="10" s="1"/>
  <c r="BW26" i="10"/>
  <c r="O35" i="10"/>
  <c r="K36" i="12"/>
  <c r="BS36" i="12"/>
  <c r="K23" i="12"/>
  <c r="BS23" i="12"/>
  <c r="O22" i="10"/>
  <c r="BX22" i="10" s="1"/>
  <c r="I231" i="14"/>
  <c r="H230" i="14"/>
  <c r="P47" i="10"/>
  <c r="L48" i="12"/>
  <c r="BT48" i="12"/>
  <c r="BY47" i="10"/>
  <c r="N59" i="12"/>
  <c r="BV59" i="12" s="1"/>
  <c r="CA58" i="10"/>
  <c r="R58" i="10"/>
  <c r="O33" i="10"/>
  <c r="K34" i="12"/>
  <c r="BS34" i="12"/>
  <c r="BX33" i="10"/>
  <c r="Q15" i="15"/>
  <c r="Q17" i="15"/>
  <c r="Q16" i="15"/>
  <c r="Q13" i="15"/>
  <c r="Q14" i="15"/>
  <c r="Q12" i="15"/>
  <c r="BW21" i="10"/>
  <c r="I90" i="1"/>
  <c r="G78" i="1"/>
  <c r="K57" i="12"/>
  <c r="BS57" i="12" s="1"/>
  <c r="O56" i="10"/>
  <c r="BX56" i="10" s="1"/>
  <c r="D24" i="14"/>
  <c r="BW36" i="10"/>
  <c r="M162" i="14"/>
  <c r="L161" i="14"/>
  <c r="BW32" i="10"/>
  <c r="P49" i="10"/>
  <c r="BY49" i="10"/>
  <c r="L50" i="12"/>
  <c r="BT50" i="12" s="1"/>
  <c r="BW34" i="10"/>
  <c r="K38" i="12"/>
  <c r="BS38" i="12"/>
  <c r="O37" i="10"/>
  <c r="D13" i="13"/>
  <c r="ED16" i="12"/>
  <c r="O20" i="10"/>
  <c r="K21" i="12"/>
  <c r="BS21" i="12" s="1"/>
  <c r="BX20" i="10"/>
  <c r="F27" i="14" l="1"/>
  <c r="F15" i="15" s="1"/>
  <c r="J231" i="14"/>
  <c r="I230" i="14"/>
  <c r="L36" i="12"/>
  <c r="BT36" i="12" s="1"/>
  <c r="P35" i="10"/>
  <c r="BY35" i="10" s="1"/>
  <c r="BV58" i="12"/>
  <c r="CA57" i="10"/>
  <c r="R57" i="10"/>
  <c r="N58" i="12"/>
  <c r="B22" i="1"/>
  <c r="B31" i="14" s="1"/>
  <c r="A23" i="1"/>
  <c r="C22" i="1"/>
  <c r="C31" i="14" s="1"/>
  <c r="D22" i="1"/>
  <c r="D31" i="14" s="1"/>
  <c r="E22" i="1"/>
  <c r="E31" i="14" s="1"/>
  <c r="F26" i="14"/>
  <c r="F14" i="15" s="1"/>
  <c r="N162" i="14"/>
  <c r="M161" i="14"/>
  <c r="L27" i="12"/>
  <c r="BT27" i="12"/>
  <c r="P26" i="10"/>
  <c r="P40" i="10"/>
  <c r="L41" i="12"/>
  <c r="BT41" i="12"/>
  <c r="L49" i="12"/>
  <c r="BT49" i="12" s="1"/>
  <c r="P48" i="10"/>
  <c r="BY48" i="10"/>
  <c r="BT43" i="12"/>
  <c r="P42" i="10"/>
  <c r="BY42" i="10" s="1"/>
  <c r="L43" i="12"/>
  <c r="J14" i="15"/>
  <c r="J18" i="15"/>
  <c r="K18" i="12"/>
  <c r="O17" i="10"/>
  <c r="BX17" i="10"/>
  <c r="BS18" i="12"/>
  <c r="J17" i="15"/>
  <c r="BS15" i="12"/>
  <c r="O14" i="10"/>
  <c r="BX14" i="10"/>
  <c r="K15" i="12"/>
  <c r="O12" i="10"/>
  <c r="BX12" i="10"/>
  <c r="K13" i="12"/>
  <c r="BS13" i="12" s="1"/>
  <c r="BY50" i="10"/>
  <c r="L51" i="12"/>
  <c r="BT51" i="12"/>
  <c r="P50" i="10"/>
  <c r="BY22" i="10"/>
  <c r="L23" i="12"/>
  <c r="BT23" i="12" s="1"/>
  <c r="P22" i="10"/>
  <c r="P31" i="10"/>
  <c r="BY31" i="10"/>
  <c r="BT32" i="12"/>
  <c r="L32" i="12"/>
  <c r="R20" i="15"/>
  <c r="Q20" i="15"/>
  <c r="K20" i="15"/>
  <c r="H21" i="15"/>
  <c r="L20" i="15"/>
  <c r="J20" i="15"/>
  <c r="M42" i="12"/>
  <c r="BU42" i="12" s="1"/>
  <c r="Q41" i="10"/>
  <c r="BZ41" i="10" s="1"/>
  <c r="K92" i="14"/>
  <c r="L93" i="14"/>
  <c r="F22" i="1"/>
  <c r="F31" i="14" s="1"/>
  <c r="F19" i="15" s="1"/>
  <c r="P28" i="10"/>
  <c r="L29" i="12"/>
  <c r="BT29" i="12" s="1"/>
  <c r="H12" i="1"/>
  <c r="I13" i="1"/>
  <c r="M40" i="12"/>
  <c r="BU40" i="12" s="1"/>
  <c r="Q39" i="10"/>
  <c r="BZ39" i="10"/>
  <c r="L45" i="12"/>
  <c r="BT45" i="12" s="1"/>
  <c r="P44" i="10"/>
  <c r="BY44" i="10" s="1"/>
  <c r="P23" i="10"/>
  <c r="L24" i="12"/>
  <c r="BT24" i="12"/>
  <c r="BY23" i="10"/>
  <c r="G17" i="1"/>
  <c r="G21" i="1"/>
  <c r="G30" i="14" s="1"/>
  <c r="G7" i="1"/>
  <c r="G18" i="1"/>
  <c r="G22" i="1"/>
  <c r="G31" i="14" s="1"/>
  <c r="G23" i="1"/>
  <c r="G32" i="14" s="1"/>
  <c r="G15" i="1"/>
  <c r="G20" i="1"/>
  <c r="G29" i="14" s="1"/>
  <c r="G19" i="1"/>
  <c r="G16" i="1"/>
  <c r="G8" i="1"/>
  <c r="G9" i="1"/>
  <c r="BS19" i="12"/>
  <c r="BX18" i="10"/>
  <c r="O18" i="10"/>
  <c r="K19" i="12"/>
  <c r="BY39" i="10"/>
  <c r="O19" i="10"/>
  <c r="K20" i="12"/>
  <c r="BS20" i="12" s="1"/>
  <c r="BX19" i="10"/>
  <c r="M56" i="12"/>
  <c r="BU56" i="12" s="1"/>
  <c r="Q55" i="10"/>
  <c r="J21" i="14"/>
  <c r="K22" i="14"/>
  <c r="L37" i="12"/>
  <c r="BT37" i="12" s="1"/>
  <c r="P36" i="10"/>
  <c r="BY36" i="10"/>
  <c r="L30" i="12"/>
  <c r="P29" i="10"/>
  <c r="BT30" i="12"/>
  <c r="L39" i="12"/>
  <c r="BT39" i="12" s="1"/>
  <c r="P38" i="10"/>
  <c r="BY38" i="10" s="1"/>
  <c r="L47" i="12"/>
  <c r="BT47" i="12" s="1"/>
  <c r="P46" i="10"/>
  <c r="K14" i="12"/>
  <c r="BS14" i="12"/>
  <c r="BX13" i="10"/>
  <c r="O13" i="10"/>
  <c r="Q59" i="10"/>
  <c r="BZ59" i="10"/>
  <c r="M60" i="12"/>
  <c r="BU60" i="12"/>
  <c r="I10" i="16"/>
  <c r="I11" i="16"/>
  <c r="M50" i="12"/>
  <c r="BU50" i="12" s="1"/>
  <c r="Q49" i="10"/>
  <c r="BZ49" i="10"/>
  <c r="BX35" i="10"/>
  <c r="R53" i="10"/>
  <c r="N54" i="12"/>
  <c r="BV54" i="12" s="1"/>
  <c r="K17" i="12"/>
  <c r="BS17" i="12" s="1"/>
  <c r="BX16" i="10"/>
  <c r="O16" i="10"/>
  <c r="L22" i="12"/>
  <c r="BT22" i="12" s="1"/>
  <c r="BY21" i="10"/>
  <c r="P21" i="10"/>
  <c r="P30" i="10"/>
  <c r="L31" i="12"/>
  <c r="BY30" i="10"/>
  <c r="BT31" i="12"/>
  <c r="G15" i="13"/>
  <c r="H15" i="13" s="1"/>
  <c r="L28" i="12"/>
  <c r="BT28" i="12" s="1"/>
  <c r="P27" i="10"/>
  <c r="BY27" i="10"/>
  <c r="BY54" i="10"/>
  <c r="L55" i="12"/>
  <c r="BT55" i="12" s="1"/>
  <c r="P54" i="10"/>
  <c r="BX36" i="10"/>
  <c r="L35" i="12"/>
  <c r="BT35" i="12"/>
  <c r="P34" i="10"/>
  <c r="BY34" i="10" s="1"/>
  <c r="BT34" i="12"/>
  <c r="BY33" i="10"/>
  <c r="L34" i="12"/>
  <c r="P33" i="10"/>
  <c r="Q47" i="10"/>
  <c r="M48" i="12"/>
  <c r="BU48" i="12"/>
  <c r="BZ47" i="10"/>
  <c r="J91" i="1"/>
  <c r="H78" i="1"/>
  <c r="L33" i="12"/>
  <c r="BT33" i="12" s="1"/>
  <c r="P32" i="10"/>
  <c r="BY32" i="10"/>
  <c r="J15" i="15"/>
  <c r="N52" i="12"/>
  <c r="BV52" i="12" s="1"/>
  <c r="R51" i="10"/>
  <c r="CA51" i="10"/>
  <c r="L25" i="12"/>
  <c r="BT25" i="12"/>
  <c r="BY24" i="10"/>
  <c r="P24" i="10"/>
  <c r="EC18" i="12"/>
  <c r="BY55" i="10"/>
  <c r="K16" i="12"/>
  <c r="BX15" i="10"/>
  <c r="O15" i="10"/>
  <c r="BS16" i="12"/>
  <c r="J12" i="15"/>
  <c r="L26" i="12"/>
  <c r="BT26" i="12" s="1"/>
  <c r="P25" i="10"/>
  <c r="BY25" i="10" s="1"/>
  <c r="M46" i="12"/>
  <c r="BU46" i="12" s="1"/>
  <c r="BZ45" i="10"/>
  <c r="Q45" i="10"/>
  <c r="F16" i="1"/>
  <c r="F15" i="1"/>
  <c r="BX50" i="10"/>
  <c r="E26" i="14"/>
  <c r="L21" i="12"/>
  <c r="BT21" i="12" s="1"/>
  <c r="BY20" i="10"/>
  <c r="P20" i="10"/>
  <c r="H10" i="16"/>
  <c r="H11" i="16"/>
  <c r="BY37" i="10"/>
  <c r="L38" i="12"/>
  <c r="BT38" i="12"/>
  <c r="P37" i="10"/>
  <c r="L57" i="12"/>
  <c r="P56" i="10"/>
  <c r="BT57" i="12"/>
  <c r="BX37" i="10"/>
  <c r="O59" i="12"/>
  <c r="BW59" i="12" s="1"/>
  <c r="S58" i="10"/>
  <c r="Q18" i="15"/>
  <c r="Q11" i="15"/>
  <c r="L81" i="1"/>
  <c r="K80" i="1"/>
  <c r="BZ57" i="10"/>
  <c r="BZ53" i="10"/>
  <c r="A91" i="1"/>
  <c r="C90" i="1"/>
  <c r="B90" i="1"/>
  <c r="D90" i="1"/>
  <c r="E90" i="1"/>
  <c r="G90" i="1"/>
  <c r="F90" i="1"/>
  <c r="H90" i="1"/>
  <c r="BX48" i="10"/>
  <c r="E25" i="14"/>
  <c r="K12" i="12"/>
  <c r="BS12" i="12"/>
  <c r="BX11" i="10"/>
  <c r="O11" i="10"/>
  <c r="EA20" i="12"/>
  <c r="B16" i="13"/>
  <c r="G16" i="13" s="1"/>
  <c r="H16" i="13" s="1"/>
  <c r="EB19" i="12"/>
  <c r="E16" i="13" s="1"/>
  <c r="L53" i="12"/>
  <c r="BT53" i="12"/>
  <c r="P52" i="10"/>
  <c r="F14" i="1"/>
  <c r="R43" i="10"/>
  <c r="CA43" i="10"/>
  <c r="N44" i="12"/>
  <c r="BV44" i="12"/>
  <c r="BU53" i="12" l="1"/>
  <c r="M53" i="12"/>
  <c r="Q52" i="10"/>
  <c r="BZ52" i="10"/>
  <c r="Q40" i="10"/>
  <c r="M41" i="12"/>
  <c r="BU41" i="12" s="1"/>
  <c r="BZ40" i="10"/>
  <c r="R39" i="10"/>
  <c r="CA39" i="10"/>
  <c r="N40" i="12"/>
  <c r="BV40" i="12" s="1"/>
  <c r="BY15" i="10"/>
  <c r="L16" i="12"/>
  <c r="P15" i="10"/>
  <c r="BT16" i="12"/>
  <c r="T58" i="10"/>
  <c r="CC58" i="10"/>
  <c r="P59" i="12"/>
  <c r="BX59" i="12" s="1"/>
  <c r="M81" i="1"/>
  <c r="L80" i="1"/>
  <c r="M33" i="12"/>
  <c r="BU33" i="12" s="1"/>
  <c r="Q32" i="10"/>
  <c r="O54" i="12"/>
  <c r="BW54" i="12" s="1"/>
  <c r="S53" i="10"/>
  <c r="CB53" i="10" s="1"/>
  <c r="G24" i="14"/>
  <c r="M47" i="12"/>
  <c r="BU47" i="12" s="1"/>
  <c r="Q46" i="10"/>
  <c r="G26" i="14"/>
  <c r="BU23" i="12"/>
  <c r="BZ22" i="10"/>
  <c r="Q22" i="10"/>
  <c r="M23" i="12"/>
  <c r="M93" i="14"/>
  <c r="L92" i="14"/>
  <c r="A24" i="1"/>
  <c r="B23" i="1"/>
  <c r="B32" i="14" s="1"/>
  <c r="C23" i="1"/>
  <c r="C32" i="14" s="1"/>
  <c r="D23" i="1"/>
  <c r="D32" i="14" s="1"/>
  <c r="E23" i="1"/>
  <c r="E32" i="14" s="1"/>
  <c r="F23" i="1"/>
  <c r="F32" i="14" s="1"/>
  <c r="F20" i="15" s="1"/>
  <c r="BU37" i="12"/>
  <c r="BZ36" i="10"/>
  <c r="Q36" i="10"/>
  <c r="M37" i="12"/>
  <c r="G25" i="14"/>
  <c r="Q28" i="10"/>
  <c r="BZ28" i="10"/>
  <c r="M29" i="12"/>
  <c r="BU29" i="12" s="1"/>
  <c r="P14" i="10"/>
  <c r="BY14" i="10"/>
  <c r="L15" i="12"/>
  <c r="BT15" i="12" s="1"/>
  <c r="Q26" i="10"/>
  <c r="M27" i="12"/>
  <c r="BZ26" i="10"/>
  <c r="BU27" i="12"/>
  <c r="R21" i="15"/>
  <c r="Q21" i="15"/>
  <c r="L21" i="15"/>
  <c r="H22" i="15"/>
  <c r="K21" i="15"/>
  <c r="J21" i="15"/>
  <c r="I21" i="15"/>
  <c r="Q35" i="10"/>
  <c r="M36" i="12"/>
  <c r="BU36" i="12" s="1"/>
  <c r="BZ35" i="10"/>
  <c r="S43" i="10"/>
  <c r="CB43" i="10"/>
  <c r="O44" i="12"/>
  <c r="BW44" i="12" s="1"/>
  <c r="Q56" i="10"/>
  <c r="BZ56" i="10"/>
  <c r="M57" i="12"/>
  <c r="BU57" i="12" s="1"/>
  <c r="L17" i="12"/>
  <c r="P16" i="10"/>
  <c r="BT17" i="12"/>
  <c r="BY16" i="10"/>
  <c r="F23" i="14"/>
  <c r="F11" i="15" s="1"/>
  <c r="B91" i="1"/>
  <c r="C91" i="1"/>
  <c r="D91" i="1"/>
  <c r="A92" i="1"/>
  <c r="G91" i="1"/>
  <c r="E91" i="1"/>
  <c r="F91" i="1"/>
  <c r="H91" i="1"/>
  <c r="I91" i="1"/>
  <c r="BY56" i="10"/>
  <c r="N48" i="12"/>
  <c r="BV48" i="12" s="1"/>
  <c r="R47" i="10"/>
  <c r="CA47" i="10"/>
  <c r="M31" i="12"/>
  <c r="BU31" i="12"/>
  <c r="Q30" i="10"/>
  <c r="G27" i="14"/>
  <c r="M24" i="12"/>
  <c r="BU24" i="12"/>
  <c r="BZ23" i="10"/>
  <c r="Q23" i="10"/>
  <c r="I12" i="1"/>
  <c r="J13" i="1"/>
  <c r="I19" i="15"/>
  <c r="P12" i="10"/>
  <c r="BT13" i="12"/>
  <c r="L13" i="12"/>
  <c r="BY12" i="10"/>
  <c r="K92" i="1"/>
  <c r="I78" i="1"/>
  <c r="M39" i="12"/>
  <c r="Q38" i="10"/>
  <c r="BU39" i="12"/>
  <c r="Q34" i="10"/>
  <c r="M35" i="12"/>
  <c r="BU35" i="12" s="1"/>
  <c r="CA53" i="10"/>
  <c r="BY46" i="10"/>
  <c r="BU30" i="12"/>
  <c r="Q29" i="10"/>
  <c r="M30" i="12"/>
  <c r="BZ29" i="10"/>
  <c r="BT20" i="12"/>
  <c r="L20" i="12"/>
  <c r="BY19" i="10"/>
  <c r="P19" i="10"/>
  <c r="Q44" i="10"/>
  <c r="M45" i="12"/>
  <c r="BU45" i="12"/>
  <c r="EC19" i="12"/>
  <c r="F25" i="14"/>
  <c r="F13" i="15" s="1"/>
  <c r="B17" i="13"/>
  <c r="G17" i="13" s="1"/>
  <c r="H17" i="13" s="1"/>
  <c r="EB20" i="12"/>
  <c r="E17" i="13" s="1"/>
  <c r="EA21" i="12"/>
  <c r="CB58" i="10"/>
  <c r="BZ20" i="10"/>
  <c r="M21" i="12"/>
  <c r="BU21" i="12" s="1"/>
  <c r="Q20" i="10"/>
  <c r="D15" i="13"/>
  <c r="ED18" i="12"/>
  <c r="M34" i="12"/>
  <c r="Q33" i="10"/>
  <c r="BU34" i="12"/>
  <c r="BZ33" i="10"/>
  <c r="M28" i="12"/>
  <c r="BU28" i="12"/>
  <c r="Q27" i="10"/>
  <c r="Q21" i="10"/>
  <c r="M22" i="12"/>
  <c r="BU22" i="12"/>
  <c r="BZ21" i="10"/>
  <c r="R59" i="10"/>
  <c r="N60" i="12"/>
  <c r="BV60" i="12" s="1"/>
  <c r="BY29" i="10"/>
  <c r="N56" i="12"/>
  <c r="BV56" i="12" s="1"/>
  <c r="CA55" i="10"/>
  <c r="R55" i="10"/>
  <c r="G28" i="14"/>
  <c r="H23" i="1"/>
  <c r="H32" i="14" s="1"/>
  <c r="E20" i="15" s="1"/>
  <c r="H22" i="1"/>
  <c r="H31" i="14" s="1"/>
  <c r="E19" i="15" s="1"/>
  <c r="H24" i="1"/>
  <c r="H33" i="14" s="1"/>
  <c r="E21" i="15" s="1"/>
  <c r="H21" i="1"/>
  <c r="H30" i="14" s="1"/>
  <c r="E18" i="15" s="1"/>
  <c r="H7" i="1"/>
  <c r="H9" i="1"/>
  <c r="H8" i="1"/>
  <c r="L18" i="12"/>
  <c r="BT18" i="12" s="1"/>
  <c r="P17" i="10"/>
  <c r="BY17" i="10"/>
  <c r="BY40" i="10"/>
  <c r="O162" i="14"/>
  <c r="N161" i="14"/>
  <c r="P15" i="15"/>
  <c r="Q31" i="10"/>
  <c r="BZ31" i="10"/>
  <c r="M32" i="12"/>
  <c r="BU32" i="12" s="1"/>
  <c r="M49" i="12"/>
  <c r="BU49" i="12"/>
  <c r="Q48" i="10"/>
  <c r="BZ48" i="10" s="1"/>
  <c r="BY26" i="10"/>
  <c r="M26" i="12"/>
  <c r="Q25" i="10"/>
  <c r="BZ25" i="10" s="1"/>
  <c r="BU26" i="12"/>
  <c r="K21" i="14"/>
  <c r="L22" i="14"/>
  <c r="F24" i="14"/>
  <c r="F12" i="15" s="1"/>
  <c r="S51" i="10"/>
  <c r="CB51" i="10" s="1"/>
  <c r="O52" i="12"/>
  <c r="BW52" i="12" s="1"/>
  <c r="BY52" i="10"/>
  <c r="L12" i="12"/>
  <c r="BT12" i="12"/>
  <c r="BY11" i="10"/>
  <c r="P11" i="10"/>
  <c r="M38" i="12"/>
  <c r="BU38" i="12" s="1"/>
  <c r="BZ37" i="10"/>
  <c r="Q37" i="10"/>
  <c r="R45" i="10"/>
  <c r="CA45" i="10" s="1"/>
  <c r="N46" i="12"/>
  <c r="BV46" i="12"/>
  <c r="BZ24" i="10"/>
  <c r="M25" i="12"/>
  <c r="BU25" i="12" s="1"/>
  <c r="Q24" i="10"/>
  <c r="M55" i="12"/>
  <c r="BU55" i="12"/>
  <c r="Q54" i="10"/>
  <c r="BZ54" i="10"/>
  <c r="R49" i="10"/>
  <c r="CA49" i="10"/>
  <c r="N50" i="12"/>
  <c r="BV50" i="12" s="1"/>
  <c r="L14" i="12"/>
  <c r="BT14" i="12" s="1"/>
  <c r="BY13" i="10"/>
  <c r="P13" i="10"/>
  <c r="BZ55" i="10"/>
  <c r="L19" i="12"/>
  <c r="P18" i="10"/>
  <c r="BY18" i="10"/>
  <c r="BT19" i="12"/>
  <c r="G14" i="1"/>
  <c r="BY28" i="10"/>
  <c r="N42" i="12"/>
  <c r="R41" i="10"/>
  <c r="CA41" i="10" s="1"/>
  <c r="BV42" i="12"/>
  <c r="BZ50" i="10"/>
  <c r="M51" i="12"/>
  <c r="BU51" i="12"/>
  <c r="Q50" i="10"/>
  <c r="BZ42" i="10"/>
  <c r="Q42" i="10"/>
  <c r="M43" i="12"/>
  <c r="BU43" i="12"/>
  <c r="BW58" i="12"/>
  <c r="O58" i="12"/>
  <c r="S57" i="10"/>
  <c r="K231" i="14"/>
  <c r="J230" i="14"/>
  <c r="N45" i="12" l="1"/>
  <c r="BV45" i="12"/>
  <c r="R44" i="10"/>
  <c r="CA44" i="10"/>
  <c r="I22" i="1"/>
  <c r="I31" i="14" s="1"/>
  <c r="I23" i="1"/>
  <c r="I32" i="14" s="1"/>
  <c r="I7" i="1"/>
  <c r="I24" i="1"/>
  <c r="I33" i="14" s="1"/>
  <c r="I15" i="1"/>
  <c r="I9" i="1"/>
  <c r="I8" i="1"/>
  <c r="N31" i="12"/>
  <c r="R30" i="10"/>
  <c r="BV31" i="12"/>
  <c r="N33" i="12"/>
  <c r="BV33" i="12" s="1"/>
  <c r="R32" i="10"/>
  <c r="CA32" i="10" s="1"/>
  <c r="P21" i="15"/>
  <c r="BZ15" i="10"/>
  <c r="M16" i="12"/>
  <c r="BU16" i="12"/>
  <c r="Q15" i="10"/>
  <c r="G23" i="14"/>
  <c r="H14" i="1"/>
  <c r="M20" i="12"/>
  <c r="BZ19" i="10"/>
  <c r="Q19" i="10"/>
  <c r="BU20" i="12"/>
  <c r="N39" i="12"/>
  <c r="R38" i="10"/>
  <c r="CA38" i="10"/>
  <c r="BV39" i="12"/>
  <c r="Q16" i="10"/>
  <c r="BZ16" i="10"/>
  <c r="M17" i="12"/>
  <c r="BU17" i="12" s="1"/>
  <c r="R24" i="10"/>
  <c r="N25" i="12"/>
  <c r="BV25" i="12" s="1"/>
  <c r="CA24" i="10"/>
  <c r="N38" i="12"/>
  <c r="BV38" i="12" s="1"/>
  <c r="R37" i="10"/>
  <c r="CA37" i="10" s="1"/>
  <c r="P11" i="15"/>
  <c r="H18" i="1"/>
  <c r="H16" i="1"/>
  <c r="N24" i="12"/>
  <c r="BV24" i="12" s="1"/>
  <c r="R23" i="10"/>
  <c r="CA23" i="10"/>
  <c r="BZ30" i="10"/>
  <c r="P44" i="12"/>
  <c r="BX44" i="12" s="1"/>
  <c r="T43" i="10"/>
  <c r="CC43" i="10"/>
  <c r="J78" i="1"/>
  <c r="R40" i="10"/>
  <c r="N41" i="12"/>
  <c r="BV41" i="12"/>
  <c r="N49" i="12"/>
  <c r="BV49" i="12" s="1"/>
  <c r="R48" i="10"/>
  <c r="CA48" i="10"/>
  <c r="O161" i="14"/>
  <c r="P162" i="14"/>
  <c r="CA20" i="10"/>
  <c r="N21" i="12"/>
  <c r="BV21" i="12" s="1"/>
  <c r="R20" i="10"/>
  <c r="P18" i="15"/>
  <c r="P12" i="15"/>
  <c r="P20" i="15"/>
  <c r="N43" i="12"/>
  <c r="CA42" i="10"/>
  <c r="R42" i="10"/>
  <c r="BV43" i="12"/>
  <c r="O42" i="12"/>
  <c r="BW42" i="12" s="1"/>
  <c r="S41" i="10"/>
  <c r="M19" i="12"/>
  <c r="BU19" i="12" s="1"/>
  <c r="BZ18" i="10"/>
  <c r="Q18" i="10"/>
  <c r="P16" i="15"/>
  <c r="H19" i="1"/>
  <c r="CB55" i="10"/>
  <c r="O56" i="12"/>
  <c r="BW56" i="12" s="1"/>
  <c r="S55" i="10"/>
  <c r="M15" i="12"/>
  <c r="BZ14" i="10"/>
  <c r="BU15" i="12"/>
  <c r="Q14" i="10"/>
  <c r="N37" i="12"/>
  <c r="CA36" i="10"/>
  <c r="BV37" i="12"/>
  <c r="R36" i="10"/>
  <c r="C24" i="1"/>
  <c r="C33" i="14" s="1"/>
  <c r="B24" i="1"/>
  <c r="B33" i="14" s="1"/>
  <c r="A25" i="1"/>
  <c r="I25" i="1" s="1"/>
  <c r="I34" i="14" s="1"/>
  <c r="D24" i="1"/>
  <c r="D33" i="14" s="1"/>
  <c r="E24" i="1"/>
  <c r="E33" i="14" s="1"/>
  <c r="F24" i="1"/>
  <c r="F33" i="14" s="1"/>
  <c r="F21" i="15" s="1"/>
  <c r="G24" i="1"/>
  <c r="G33" i="14" s="1"/>
  <c r="N81" i="1"/>
  <c r="M80" i="1"/>
  <c r="R27" i="10"/>
  <c r="CA27" i="10"/>
  <c r="BV28" i="12"/>
  <c r="N28" i="12"/>
  <c r="P17" i="15"/>
  <c r="Q17" i="10"/>
  <c r="M18" i="12"/>
  <c r="BU18" i="12" s="1"/>
  <c r="BZ17" i="10"/>
  <c r="H15" i="1"/>
  <c r="H20" i="1"/>
  <c r="D16" i="13"/>
  <c r="ED19" i="12"/>
  <c r="R34" i="10"/>
  <c r="N35" i="12"/>
  <c r="BV35" i="12"/>
  <c r="CA34" i="10"/>
  <c r="BU13" i="12"/>
  <c r="Q12" i="10"/>
  <c r="M13" i="12"/>
  <c r="BZ12" i="10"/>
  <c r="I14" i="15"/>
  <c r="I17" i="15"/>
  <c r="I12" i="15"/>
  <c r="I16" i="15"/>
  <c r="I13" i="15"/>
  <c r="I18" i="15"/>
  <c r="I11" i="15"/>
  <c r="I20" i="15"/>
  <c r="I15" i="15"/>
  <c r="N47" i="12"/>
  <c r="BV47" i="12"/>
  <c r="R46" i="10"/>
  <c r="CC53" i="10"/>
  <c r="P54" i="12"/>
  <c r="BX54" i="12" s="1"/>
  <c r="T53" i="10"/>
  <c r="H17" i="1"/>
  <c r="N34" i="12"/>
  <c r="BV34" i="12" s="1"/>
  <c r="CA33" i="10"/>
  <c r="R33" i="10"/>
  <c r="BZ44" i="10"/>
  <c r="BZ34" i="10"/>
  <c r="O48" i="12"/>
  <c r="S47" i="10"/>
  <c r="BW48" i="12"/>
  <c r="CB47" i="10"/>
  <c r="M92" i="14"/>
  <c r="N93" i="14"/>
  <c r="BZ46" i="10"/>
  <c r="S45" i="10"/>
  <c r="CB45" i="10" s="1"/>
  <c r="O46" i="12"/>
  <c r="BW46" i="12"/>
  <c r="T57" i="10"/>
  <c r="CC57" i="10" s="1"/>
  <c r="P58" i="12"/>
  <c r="BX58" i="12"/>
  <c r="O50" i="12"/>
  <c r="S49" i="10"/>
  <c r="BW50" i="12"/>
  <c r="CB49" i="10"/>
  <c r="CA25" i="10"/>
  <c r="BV26" i="12"/>
  <c r="R25" i="10"/>
  <c r="N26" i="12"/>
  <c r="P19" i="15"/>
  <c r="M12" i="12"/>
  <c r="BZ11" i="10"/>
  <c r="Q11" i="10"/>
  <c r="BU12" i="12"/>
  <c r="N32" i="12"/>
  <c r="BV32" i="12" s="1"/>
  <c r="CA31" i="10"/>
  <c r="R31" i="10"/>
  <c r="P13" i="15"/>
  <c r="R21" i="10"/>
  <c r="N22" i="12"/>
  <c r="BV22" i="12" s="1"/>
  <c r="CA21" i="10"/>
  <c r="EB21" i="12"/>
  <c r="E18" i="13" s="1"/>
  <c r="EA22" i="12"/>
  <c r="B18" i="13"/>
  <c r="G18" i="13" s="1"/>
  <c r="H18" i="13" s="1"/>
  <c r="EC21" i="12"/>
  <c r="B92" i="1"/>
  <c r="C92" i="1"/>
  <c r="D92" i="1"/>
  <c r="A93" i="1"/>
  <c r="L93" i="1" s="1"/>
  <c r="E92" i="1"/>
  <c r="G92" i="1"/>
  <c r="F92" i="1"/>
  <c r="H92" i="1"/>
  <c r="I92" i="1"/>
  <c r="J92" i="1"/>
  <c r="BV57" i="12"/>
  <c r="R56" i="10"/>
  <c r="N57" i="12"/>
  <c r="CA56" i="10"/>
  <c r="N36" i="12"/>
  <c r="BV36" i="12" s="1"/>
  <c r="R35" i="10"/>
  <c r="CA35" i="10"/>
  <c r="Q59" i="12"/>
  <c r="BY59" i="12" s="1"/>
  <c r="U58" i="10"/>
  <c r="CD58" i="10"/>
  <c r="O40" i="12"/>
  <c r="BW40" i="12"/>
  <c r="CB39" i="10"/>
  <c r="S39" i="10"/>
  <c r="N53" i="12"/>
  <c r="BV53" i="12" s="1"/>
  <c r="R52" i="10"/>
  <c r="L21" i="14"/>
  <c r="M22" i="14"/>
  <c r="O60" i="12"/>
  <c r="BW60" i="12" s="1"/>
  <c r="S59" i="10"/>
  <c r="K230" i="14"/>
  <c r="L231" i="14"/>
  <c r="R50" i="10"/>
  <c r="N51" i="12"/>
  <c r="BV51" i="12" s="1"/>
  <c r="CA50" i="10"/>
  <c r="P52" i="12"/>
  <c r="BX52" i="12" s="1"/>
  <c r="T51" i="10"/>
  <c r="CC51" i="10" s="1"/>
  <c r="CB57" i="10"/>
  <c r="M14" i="12"/>
  <c r="BU14" i="12" s="1"/>
  <c r="BZ13" i="10"/>
  <c r="Q13" i="10"/>
  <c r="R54" i="10"/>
  <c r="CA54" i="10"/>
  <c r="N55" i="12"/>
  <c r="BV55" i="12" s="1"/>
  <c r="P14" i="15"/>
  <c r="CA59" i="10"/>
  <c r="BZ27" i="10"/>
  <c r="EC20" i="12"/>
  <c r="N30" i="12"/>
  <c r="BV30" i="12"/>
  <c r="R29" i="10"/>
  <c r="BZ38" i="10"/>
  <c r="J12" i="1"/>
  <c r="I20" i="1" s="1"/>
  <c r="K13" i="1"/>
  <c r="J22" i="15"/>
  <c r="H23" i="15"/>
  <c r="I22" i="15"/>
  <c r="R22" i="15"/>
  <c r="Q22" i="15"/>
  <c r="P22" i="15"/>
  <c r="K22" i="15"/>
  <c r="L22" i="15"/>
  <c r="CA26" i="10"/>
  <c r="N27" i="12"/>
  <c r="BV27" i="12" s="1"/>
  <c r="R26" i="10"/>
  <c r="N29" i="12"/>
  <c r="BV29" i="12"/>
  <c r="R28" i="10"/>
  <c r="CA22" i="10"/>
  <c r="R22" i="10"/>
  <c r="N23" i="12"/>
  <c r="BV23" i="12" s="1"/>
  <c r="BZ32" i="10"/>
  <c r="I29" i="14" l="1"/>
  <c r="S21" i="10"/>
  <c r="BW22" i="12"/>
  <c r="O22" i="12"/>
  <c r="CB21" i="10"/>
  <c r="Q44" i="12"/>
  <c r="BY44" i="12"/>
  <c r="U43" i="10"/>
  <c r="CD43" i="10"/>
  <c r="H25" i="14"/>
  <c r="E13" i="15" s="1"/>
  <c r="N20" i="12"/>
  <c r="CA19" i="10"/>
  <c r="BV20" i="12"/>
  <c r="R19" i="10"/>
  <c r="S30" i="10"/>
  <c r="CB30" i="10"/>
  <c r="O31" i="12"/>
  <c r="BW31" i="12" s="1"/>
  <c r="I24" i="14"/>
  <c r="I17" i="1"/>
  <c r="O41" i="12"/>
  <c r="BW41" i="12" s="1"/>
  <c r="S40" i="10"/>
  <c r="CB40" i="10"/>
  <c r="H27" i="14"/>
  <c r="E15" i="15" s="1"/>
  <c r="CA16" i="10"/>
  <c r="R16" i="10"/>
  <c r="N17" i="12"/>
  <c r="BV17" i="12" s="1"/>
  <c r="CA30" i="10"/>
  <c r="O29" i="12"/>
  <c r="S28" i="10"/>
  <c r="CB28" i="10"/>
  <c r="BW29" i="12"/>
  <c r="O47" i="12"/>
  <c r="BW47" i="12" s="1"/>
  <c r="S46" i="10"/>
  <c r="B25" i="1"/>
  <c r="B34" i="14" s="1"/>
  <c r="C25" i="1"/>
  <c r="C34" i="14" s="1"/>
  <c r="A26" i="1"/>
  <c r="D25" i="1"/>
  <c r="D34" i="14" s="1"/>
  <c r="E25" i="1"/>
  <c r="E34" i="14" s="1"/>
  <c r="F25" i="1"/>
  <c r="F34" i="14" s="1"/>
  <c r="F22" i="15" s="1"/>
  <c r="G25" i="1"/>
  <c r="G34" i="14" s="1"/>
  <c r="H25" i="1"/>
  <c r="H34" i="14" s="1"/>
  <c r="E22" i="15" s="1"/>
  <c r="R11" i="10"/>
  <c r="CA11" i="10"/>
  <c r="N12" i="12"/>
  <c r="BV12" i="12" s="1"/>
  <c r="H26" i="14"/>
  <c r="E14" i="15" s="1"/>
  <c r="CA46" i="10"/>
  <c r="K78" i="1"/>
  <c r="R18" i="10"/>
  <c r="N19" i="12"/>
  <c r="BV19" i="12" s="1"/>
  <c r="CA18" i="10"/>
  <c r="O21" i="12"/>
  <c r="CB20" i="10"/>
  <c r="BW21" i="12"/>
  <c r="S20" i="10"/>
  <c r="I16" i="1"/>
  <c r="H24" i="14"/>
  <c r="E12" i="15" s="1"/>
  <c r="O30" i="12"/>
  <c r="BW30" i="12" s="1"/>
  <c r="S29" i="10"/>
  <c r="O51" i="12"/>
  <c r="BW51" i="12" s="1"/>
  <c r="S50" i="10"/>
  <c r="J23" i="15"/>
  <c r="Q23" i="15"/>
  <c r="K23" i="15"/>
  <c r="P23" i="15"/>
  <c r="L23" i="15"/>
  <c r="I23" i="15"/>
  <c r="R23" i="15"/>
  <c r="H24" i="15"/>
  <c r="S52" i="10"/>
  <c r="CB52" i="10" s="1"/>
  <c r="O53" i="12"/>
  <c r="BW53" i="12" s="1"/>
  <c r="P48" i="12"/>
  <c r="BX48" i="12" s="1"/>
  <c r="T47" i="10"/>
  <c r="CC47" i="10"/>
  <c r="O27" i="12"/>
  <c r="BW27" i="12" s="1"/>
  <c r="CB26" i="10"/>
  <c r="S26" i="10"/>
  <c r="S54" i="10"/>
  <c r="O55" i="12"/>
  <c r="BW55" i="12" s="1"/>
  <c r="R59" i="12"/>
  <c r="V58" i="10"/>
  <c r="BZ59" i="12"/>
  <c r="CE58" i="10"/>
  <c r="EB22" i="12"/>
  <c r="E19" i="13" s="1"/>
  <c r="B19" i="13"/>
  <c r="G19" i="13" s="1"/>
  <c r="H19" i="13" s="1"/>
  <c r="EA23" i="12"/>
  <c r="T49" i="10"/>
  <c r="P50" i="12"/>
  <c r="BX50" i="12" s="1"/>
  <c r="Q54" i="12"/>
  <c r="BY54" i="12" s="1"/>
  <c r="U53" i="10"/>
  <c r="CD53" i="10"/>
  <c r="O35" i="12"/>
  <c r="BW35" i="12" s="1"/>
  <c r="S34" i="10"/>
  <c r="CA17" i="10"/>
  <c r="R17" i="10"/>
  <c r="N18" i="12"/>
  <c r="BV18" i="12" s="1"/>
  <c r="O81" i="1"/>
  <c r="N80" i="1"/>
  <c r="CB36" i="10"/>
  <c r="S36" i="10"/>
  <c r="O37" i="12"/>
  <c r="BW37" i="12" s="1"/>
  <c r="P56" i="12"/>
  <c r="BX56" i="12"/>
  <c r="T55" i="10"/>
  <c r="O43" i="12"/>
  <c r="BW43" i="12" s="1"/>
  <c r="S42" i="10"/>
  <c r="CB42" i="10" s="1"/>
  <c r="H23" i="14"/>
  <c r="E11" i="15" s="1"/>
  <c r="I14" i="1"/>
  <c r="I21" i="1"/>
  <c r="P42" i="12"/>
  <c r="BX42" i="12"/>
  <c r="T41" i="10"/>
  <c r="CC41" i="10"/>
  <c r="S35" i="10"/>
  <c r="O36" i="12"/>
  <c r="BW36" i="12" s="1"/>
  <c r="CB35" i="10"/>
  <c r="O49" i="12"/>
  <c r="S48" i="10"/>
  <c r="CB48" i="10" s="1"/>
  <c r="BW49" i="12"/>
  <c r="CA28" i="10"/>
  <c r="T59" i="10"/>
  <c r="CC59" i="10"/>
  <c r="P60" i="12"/>
  <c r="BX60" i="12" s="1"/>
  <c r="O57" i="12"/>
  <c r="BW57" i="12" s="1"/>
  <c r="S56" i="10"/>
  <c r="CB56" i="10" s="1"/>
  <c r="S31" i="10"/>
  <c r="CB31" i="10"/>
  <c r="O32" i="12"/>
  <c r="BW32" i="12" s="1"/>
  <c r="P46" i="12"/>
  <c r="BX46" i="12" s="1"/>
  <c r="T45" i="10"/>
  <c r="O33" i="12"/>
  <c r="BW33" i="12" s="1"/>
  <c r="CB32" i="10"/>
  <c r="S32" i="10"/>
  <c r="I18" i="1"/>
  <c r="O45" i="12"/>
  <c r="S44" i="10"/>
  <c r="CB44" i="10" s="1"/>
  <c r="BW45" i="12"/>
  <c r="CA14" i="10"/>
  <c r="R14" i="10"/>
  <c r="N15" i="12"/>
  <c r="BV15" i="12" s="1"/>
  <c r="S37" i="10"/>
  <c r="CB37" i="10" s="1"/>
  <c r="O38" i="12"/>
  <c r="BW38" i="12" s="1"/>
  <c r="N22" i="14"/>
  <c r="M21" i="14"/>
  <c r="CA29" i="10"/>
  <c r="M231" i="14"/>
  <c r="L230" i="14"/>
  <c r="O23" i="15" s="1"/>
  <c r="O23" i="12"/>
  <c r="S22" i="10"/>
  <c r="BW23" i="12"/>
  <c r="CB22" i="10"/>
  <c r="L13" i="1"/>
  <c r="K12" i="1"/>
  <c r="N14" i="12"/>
  <c r="R13" i="10"/>
  <c r="CA13" i="10"/>
  <c r="BV14" i="12"/>
  <c r="CA52" i="10"/>
  <c r="BW25" i="12"/>
  <c r="O25" i="12"/>
  <c r="CB24" i="10"/>
  <c r="S24" i="10"/>
  <c r="BW39" i="12"/>
  <c r="O39" i="12"/>
  <c r="S38" i="10"/>
  <c r="Q58" i="12"/>
  <c r="BY58" i="12"/>
  <c r="U57" i="10"/>
  <c r="H28" i="14"/>
  <c r="E16" i="15" s="1"/>
  <c r="D18" i="13"/>
  <c r="ED21" i="12"/>
  <c r="S27" i="10"/>
  <c r="CB27" i="10"/>
  <c r="O28" i="12"/>
  <c r="BW28" i="12" s="1"/>
  <c r="Q52" i="12"/>
  <c r="BY52" i="12" s="1"/>
  <c r="U51" i="10"/>
  <c r="D17" i="13"/>
  <c r="ED20" i="12"/>
  <c r="C93" i="1"/>
  <c r="B93" i="1"/>
  <c r="D93" i="1"/>
  <c r="A94" i="1"/>
  <c r="E93" i="1"/>
  <c r="G93" i="1"/>
  <c r="F93" i="1"/>
  <c r="H93" i="1"/>
  <c r="I93" i="1"/>
  <c r="J93" i="1"/>
  <c r="K93" i="1"/>
  <c r="J25" i="1"/>
  <c r="J34" i="14" s="1"/>
  <c r="D22" i="15" s="1"/>
  <c r="J16" i="1"/>
  <c r="J26" i="1"/>
  <c r="J35" i="14" s="1"/>
  <c r="D23" i="15" s="1"/>
  <c r="J19" i="1"/>
  <c r="J20" i="1"/>
  <c r="J21" i="1"/>
  <c r="J18" i="1"/>
  <c r="J24" i="1"/>
  <c r="J33" i="14" s="1"/>
  <c r="D21" i="15" s="1"/>
  <c r="J23" i="1"/>
  <c r="J32" i="14" s="1"/>
  <c r="D20" i="15" s="1"/>
  <c r="J7" i="1"/>
  <c r="J14" i="1"/>
  <c r="J17" i="1"/>
  <c r="J15" i="1"/>
  <c r="J9" i="1"/>
  <c r="J8" i="1"/>
  <c r="CB59" i="10"/>
  <c r="P40" i="12"/>
  <c r="BX40" i="12" s="1"/>
  <c r="T39" i="10"/>
  <c r="BW26" i="12"/>
  <c r="S25" i="10"/>
  <c r="O26" i="12"/>
  <c r="CB25" i="10"/>
  <c r="O93" i="14"/>
  <c r="N92" i="14"/>
  <c r="S33" i="10"/>
  <c r="CB33" i="10"/>
  <c r="O34" i="12"/>
  <c r="BW34" i="12"/>
  <c r="BV13" i="12"/>
  <c r="CA12" i="10"/>
  <c r="N13" i="12"/>
  <c r="R12" i="10"/>
  <c r="H29" i="14"/>
  <c r="E17" i="15" s="1"/>
  <c r="CB41" i="10"/>
  <c r="O20" i="15"/>
  <c r="Q162" i="14"/>
  <c r="P161" i="14"/>
  <c r="CA40" i="10"/>
  <c r="CB23" i="10"/>
  <c r="O24" i="12"/>
  <c r="BW24" i="12" s="1"/>
  <c r="S23" i="10"/>
  <c r="N16" i="12"/>
  <c r="BV16" i="12" s="1"/>
  <c r="CA15" i="10"/>
  <c r="R15" i="10"/>
  <c r="I19" i="1"/>
  <c r="J25" i="14" l="1"/>
  <c r="D13" i="15" s="1"/>
  <c r="P39" i="12"/>
  <c r="T38" i="10"/>
  <c r="CC38" i="10"/>
  <c r="BX39" i="12"/>
  <c r="P30" i="12"/>
  <c r="BX30" i="12" s="1"/>
  <c r="T29" i="10"/>
  <c r="CC29" i="10"/>
  <c r="S19" i="10"/>
  <c r="O20" i="12"/>
  <c r="BW20" i="12"/>
  <c r="CB19" i="10"/>
  <c r="Q161" i="14"/>
  <c r="R162" i="14"/>
  <c r="J30" i="14"/>
  <c r="D18" i="15" s="1"/>
  <c r="C94" i="1"/>
  <c r="B94" i="1"/>
  <c r="D94" i="1"/>
  <c r="A95" i="1"/>
  <c r="E94" i="1"/>
  <c r="G94" i="1"/>
  <c r="F94" i="1"/>
  <c r="H94" i="1"/>
  <c r="I94" i="1"/>
  <c r="J94" i="1"/>
  <c r="K94" i="1"/>
  <c r="L94" i="1"/>
  <c r="CC22" i="10"/>
  <c r="P23" i="12"/>
  <c r="BX23" i="12" s="1"/>
  <c r="T22" i="10"/>
  <c r="I23" i="14"/>
  <c r="Q56" i="12"/>
  <c r="BY56" i="12" s="1"/>
  <c r="U55" i="10"/>
  <c r="CD55" i="10" s="1"/>
  <c r="L78" i="1"/>
  <c r="N95" i="1"/>
  <c r="Q50" i="12"/>
  <c r="BY50" i="12" s="1"/>
  <c r="U49" i="10"/>
  <c r="CD49" i="10"/>
  <c r="U47" i="10"/>
  <c r="Q48" i="12"/>
  <c r="BY48" i="12"/>
  <c r="CD47" i="10"/>
  <c r="CB29" i="10"/>
  <c r="A27" i="1"/>
  <c r="C26" i="1"/>
  <c r="C35" i="14" s="1"/>
  <c r="B26" i="1"/>
  <c r="B35" i="14" s="1"/>
  <c r="D26" i="1"/>
  <c r="D35" i="14" s="1"/>
  <c r="E26" i="1"/>
  <c r="E35" i="14" s="1"/>
  <c r="F26" i="1"/>
  <c r="F35" i="14" s="1"/>
  <c r="F23" i="15" s="1"/>
  <c r="G26" i="1"/>
  <c r="G35" i="14" s="1"/>
  <c r="H26" i="1"/>
  <c r="H35" i="14" s="1"/>
  <c r="E23" i="15" s="1"/>
  <c r="I26" i="1"/>
  <c r="I35" i="14" s="1"/>
  <c r="I26" i="14"/>
  <c r="T31" i="10"/>
  <c r="P32" i="12"/>
  <c r="BX32" i="12"/>
  <c r="CC31" i="10"/>
  <c r="U59" i="10"/>
  <c r="Q60" i="12"/>
  <c r="BY60" i="12" s="1"/>
  <c r="CC55" i="10"/>
  <c r="O80" i="1"/>
  <c r="P81" i="1"/>
  <c r="CC49" i="10"/>
  <c r="CA59" i="12"/>
  <c r="CF58" i="10"/>
  <c r="W58" i="10"/>
  <c r="S59" i="12"/>
  <c r="P55" i="12"/>
  <c r="BX55" i="12" s="1"/>
  <c r="T54" i="10"/>
  <c r="CC54" i="10"/>
  <c r="BW12" i="12"/>
  <c r="CB11" i="10"/>
  <c r="S11" i="10"/>
  <c r="O12" i="12"/>
  <c r="P29" i="12"/>
  <c r="BX29" i="12" s="1"/>
  <c r="T28" i="10"/>
  <c r="P27" i="12"/>
  <c r="BX27" i="12" s="1"/>
  <c r="CC26" i="10"/>
  <c r="T26" i="10"/>
  <c r="I24" i="15"/>
  <c r="Q24" i="15"/>
  <c r="P24" i="15"/>
  <c r="O24" i="15"/>
  <c r="L24" i="15"/>
  <c r="R24" i="15"/>
  <c r="J24" i="15"/>
  <c r="K24" i="15"/>
  <c r="H25" i="15"/>
  <c r="J27" i="14"/>
  <c r="D15" i="15" s="1"/>
  <c r="I30" i="14"/>
  <c r="P35" i="12"/>
  <c r="BX35" i="12"/>
  <c r="T34" i="10"/>
  <c r="CC34" i="10"/>
  <c r="P24" i="12"/>
  <c r="BX24" i="12" s="1"/>
  <c r="CC23" i="10"/>
  <c r="T23" i="10"/>
  <c r="P26" i="12"/>
  <c r="T25" i="10"/>
  <c r="BX26" i="12"/>
  <c r="CC25" i="10"/>
  <c r="R58" i="12"/>
  <c r="BZ58" i="12" s="1"/>
  <c r="CE57" i="10"/>
  <c r="V57" i="10"/>
  <c r="CC24" i="10"/>
  <c r="P25" i="12"/>
  <c r="T24" i="10"/>
  <c r="BX25" i="12"/>
  <c r="BW14" i="12"/>
  <c r="CB13" i="10"/>
  <c r="O14" i="12"/>
  <c r="S13" i="10"/>
  <c r="Q46" i="12"/>
  <c r="BY46" i="12"/>
  <c r="U45" i="10"/>
  <c r="CD45" i="10"/>
  <c r="I28" i="14"/>
  <c r="M230" i="14"/>
  <c r="N231" i="14"/>
  <c r="I27" i="14"/>
  <c r="CC45" i="10"/>
  <c r="O18" i="12"/>
  <c r="BW18" i="12" s="1"/>
  <c r="CB17" i="10"/>
  <c r="S17" i="10"/>
  <c r="V53" i="10"/>
  <c r="R54" i="12"/>
  <c r="CE53" i="10"/>
  <c r="BZ54" i="12"/>
  <c r="EB23" i="12"/>
  <c r="E20" i="13" s="1"/>
  <c r="B20" i="13"/>
  <c r="EA24" i="12"/>
  <c r="O18" i="15"/>
  <c r="P51" i="12"/>
  <c r="BX51" i="12"/>
  <c r="T50" i="10"/>
  <c r="CC50" i="10" s="1"/>
  <c r="T46" i="10"/>
  <c r="P47" i="12"/>
  <c r="BX47" i="12" s="1"/>
  <c r="J23" i="14"/>
  <c r="D11" i="15" s="1"/>
  <c r="CE51" i="10"/>
  <c r="R52" i="12"/>
  <c r="BZ52" i="12"/>
  <c r="V51" i="10"/>
  <c r="P38" i="12"/>
  <c r="BX38" i="12" s="1"/>
  <c r="T37" i="10"/>
  <c r="CC37" i="10"/>
  <c r="P57" i="12"/>
  <c r="T56" i="10"/>
  <c r="BX57" i="12"/>
  <c r="BX36" i="12"/>
  <c r="P36" i="12"/>
  <c r="T35" i="10"/>
  <c r="CC35" i="10"/>
  <c r="T33" i="10"/>
  <c r="P34" i="12"/>
  <c r="BX34" i="12"/>
  <c r="J24" i="14"/>
  <c r="D12" i="15" s="1"/>
  <c r="J22" i="1"/>
  <c r="P28" i="12"/>
  <c r="BX28" i="12" s="1"/>
  <c r="T27" i="10"/>
  <c r="CC27" i="10"/>
  <c r="K24" i="1"/>
  <c r="K33" i="14" s="1"/>
  <c r="K7" i="1"/>
  <c r="K26" i="1"/>
  <c r="K35" i="14" s="1"/>
  <c r="K17" i="1"/>
  <c r="K15" i="1"/>
  <c r="K25" i="1"/>
  <c r="K34" i="14" s="1"/>
  <c r="K19" i="1"/>
  <c r="K23" i="1"/>
  <c r="K20" i="1"/>
  <c r="K8" i="1"/>
  <c r="K9" i="1"/>
  <c r="S14" i="10"/>
  <c r="O15" i="12"/>
  <c r="BW15" i="12" s="1"/>
  <c r="CB14" i="10"/>
  <c r="T32" i="10"/>
  <c r="P33" i="12"/>
  <c r="BX33" i="12" s="1"/>
  <c r="U41" i="10"/>
  <c r="CD41" i="10"/>
  <c r="Q42" i="12"/>
  <c r="BY42" i="12"/>
  <c r="O13" i="15"/>
  <c r="CB50" i="10"/>
  <c r="BX22" i="12"/>
  <c r="T21" i="10"/>
  <c r="P22" i="12"/>
  <c r="CC21" i="10"/>
  <c r="O16" i="12"/>
  <c r="BW16" i="12"/>
  <c r="CB15" i="10"/>
  <c r="S15" i="10"/>
  <c r="O13" i="12"/>
  <c r="BW13" i="12" s="1"/>
  <c r="CB12" i="10"/>
  <c r="S12" i="10"/>
  <c r="U39" i="10"/>
  <c r="Q40" i="12"/>
  <c r="BY40" i="12"/>
  <c r="CD39" i="10"/>
  <c r="J26" i="14"/>
  <c r="D14" i="15" s="1"/>
  <c r="J28" i="14"/>
  <c r="D16" i="15" s="1"/>
  <c r="CD57" i="10"/>
  <c r="M13" i="1"/>
  <c r="L12" i="1"/>
  <c r="K14" i="1" s="1"/>
  <c r="CC48" i="10"/>
  <c r="P49" i="12"/>
  <c r="BX49" i="12" s="1"/>
  <c r="T48" i="10"/>
  <c r="P43" i="12"/>
  <c r="BX43" i="12" s="1"/>
  <c r="T42" i="10"/>
  <c r="CC42" i="10"/>
  <c r="O15" i="15"/>
  <c r="P53" i="12"/>
  <c r="BX53" i="12"/>
  <c r="T52" i="10"/>
  <c r="I25" i="14"/>
  <c r="CB18" i="10"/>
  <c r="S18" i="10"/>
  <c r="O19" i="12"/>
  <c r="BW19" i="12" s="1"/>
  <c r="M94" i="1"/>
  <c r="CB46" i="10"/>
  <c r="T30" i="10"/>
  <c r="CC30" i="10"/>
  <c r="P31" i="12"/>
  <c r="BX31" i="12"/>
  <c r="J29" i="14"/>
  <c r="D17" i="15" s="1"/>
  <c r="P45" i="12"/>
  <c r="BX45" i="12" s="1"/>
  <c r="T44" i="10"/>
  <c r="O22" i="15"/>
  <c r="O12" i="15"/>
  <c r="O21" i="15"/>
  <c r="O19" i="15"/>
  <c r="O92" i="14"/>
  <c r="P93" i="14"/>
  <c r="CC39" i="10"/>
  <c r="CD51" i="10"/>
  <c r="CB38" i="10"/>
  <c r="O22" i="14"/>
  <c r="N21" i="14"/>
  <c r="T36" i="10"/>
  <c r="P37" i="12"/>
  <c r="BX37" i="12" s="1"/>
  <c r="CB34" i="10"/>
  <c r="EC22" i="12"/>
  <c r="CB54" i="10"/>
  <c r="P21" i="12"/>
  <c r="BX21" i="12" s="1"/>
  <c r="CC20" i="10"/>
  <c r="T20" i="10"/>
  <c r="O17" i="12"/>
  <c r="S16" i="10"/>
  <c r="BW17" i="12"/>
  <c r="CB16" i="10"/>
  <c r="BX41" i="12"/>
  <c r="T40" i="10"/>
  <c r="P41" i="12"/>
  <c r="V43" i="10"/>
  <c r="R44" i="12"/>
  <c r="BZ44" i="12"/>
  <c r="CE43" i="10"/>
  <c r="K23" i="14" l="1"/>
  <c r="K24" i="14"/>
  <c r="U46" i="10"/>
  <c r="Q47" i="12"/>
  <c r="BY47" i="12"/>
  <c r="CD46" i="10"/>
  <c r="C27" i="1"/>
  <c r="C36" i="14" s="1"/>
  <c r="B27" i="1"/>
  <c r="B36" i="14" s="1"/>
  <c r="A28" i="1"/>
  <c r="D27" i="1"/>
  <c r="D36" i="14" s="1"/>
  <c r="E27" i="1"/>
  <c r="E36" i="14" s="1"/>
  <c r="F27" i="1"/>
  <c r="F36" i="14" s="1"/>
  <c r="F24" i="15" s="1"/>
  <c r="G27" i="1"/>
  <c r="G36" i="14" s="1"/>
  <c r="H27" i="1"/>
  <c r="H36" i="14" s="1"/>
  <c r="E24" i="15" s="1"/>
  <c r="I27" i="1"/>
  <c r="I36" i="14" s="1"/>
  <c r="J27" i="1"/>
  <c r="J36" i="14" s="1"/>
  <c r="D24" i="15" s="1"/>
  <c r="R161" i="14"/>
  <c r="S162" i="14"/>
  <c r="Q22" i="12"/>
  <c r="BY22" i="12"/>
  <c r="CD21" i="10"/>
  <c r="U21" i="10"/>
  <c r="P19" i="12"/>
  <c r="CC18" i="10"/>
  <c r="BX19" i="12"/>
  <c r="T18" i="10"/>
  <c r="EC23" i="12"/>
  <c r="V59" i="10"/>
  <c r="R60" i="12"/>
  <c r="BZ60" i="12"/>
  <c r="V55" i="10"/>
  <c r="CE55" i="10" s="1"/>
  <c r="R56" i="12"/>
  <c r="BZ56" i="12" s="1"/>
  <c r="U40" i="10"/>
  <c r="Q41" i="12"/>
  <c r="BY41" i="12"/>
  <c r="K32" i="14"/>
  <c r="Q29" i="12"/>
  <c r="BY29" i="12"/>
  <c r="U28" i="10"/>
  <c r="C95" i="1"/>
  <c r="D95" i="1"/>
  <c r="A96" i="1"/>
  <c r="B95" i="1"/>
  <c r="E95" i="1"/>
  <c r="G95" i="1"/>
  <c r="F95" i="1"/>
  <c r="H95" i="1"/>
  <c r="I95" i="1"/>
  <c r="J95" i="1"/>
  <c r="K95" i="1"/>
  <c r="L95" i="1"/>
  <c r="M95" i="1"/>
  <c r="K28" i="14"/>
  <c r="Q37" i="12"/>
  <c r="BY37" i="12"/>
  <c r="U36" i="10"/>
  <c r="CD36" i="10"/>
  <c r="BY33" i="12"/>
  <c r="U32" i="10"/>
  <c r="Q33" i="12"/>
  <c r="CD32" i="10"/>
  <c r="CD24" i="10"/>
  <c r="U24" i="10"/>
  <c r="Q25" i="12"/>
  <c r="BY25" i="12"/>
  <c r="D19" i="13"/>
  <c r="ED22" i="12"/>
  <c r="U44" i="10"/>
  <c r="Q45" i="12"/>
  <c r="CD44" i="10"/>
  <c r="BY45" i="12"/>
  <c r="Q43" i="12"/>
  <c r="BY43" i="12"/>
  <c r="U42" i="10"/>
  <c r="CD42" i="10" s="1"/>
  <c r="N13" i="1"/>
  <c r="M12" i="1"/>
  <c r="J31" i="14"/>
  <c r="D19" i="15" s="1"/>
  <c r="Q36" i="12"/>
  <c r="BY36" i="12"/>
  <c r="U35" i="10"/>
  <c r="CD35" i="10" s="1"/>
  <c r="Q38" i="12"/>
  <c r="BY38" i="12"/>
  <c r="U37" i="10"/>
  <c r="CC28" i="10"/>
  <c r="M78" i="1"/>
  <c r="O96" i="1"/>
  <c r="U38" i="10"/>
  <c r="Q39" i="12"/>
  <c r="BY39" i="12"/>
  <c r="K26" i="14"/>
  <c r="BY57" i="12"/>
  <c r="CD56" i="10"/>
  <c r="U56" i="10"/>
  <c r="Q57" i="12"/>
  <c r="CC32" i="10"/>
  <c r="Q35" i="12"/>
  <c r="BY35" i="12"/>
  <c r="U34" i="10"/>
  <c r="L7" i="1"/>
  <c r="L28" i="1"/>
  <c r="L37" i="14" s="1"/>
  <c r="C25" i="15" s="1"/>
  <c r="L25" i="1"/>
  <c r="L34" i="14" s="1"/>
  <c r="C22" i="15" s="1"/>
  <c r="L20" i="1"/>
  <c r="L16" i="1"/>
  <c r="L24" i="1"/>
  <c r="L27" i="1"/>
  <c r="L36" i="14" s="1"/>
  <c r="C24" i="15" s="1"/>
  <c r="L18" i="1"/>
  <c r="L26" i="1"/>
  <c r="L35" i="14" s="1"/>
  <c r="C23" i="15" s="1"/>
  <c r="L8" i="1"/>
  <c r="L9" i="1"/>
  <c r="U54" i="10"/>
  <c r="CD54" i="10" s="1"/>
  <c r="Q55" i="12"/>
  <c r="BY55" i="12"/>
  <c r="P80" i="1"/>
  <c r="Q81" i="1"/>
  <c r="P17" i="12"/>
  <c r="BX17" i="12"/>
  <c r="CC16" i="10"/>
  <c r="T16" i="10"/>
  <c r="S44" i="12"/>
  <c r="CA44" i="12" s="1"/>
  <c r="W43" i="10"/>
  <c r="CC36" i="10"/>
  <c r="CC44" i="10"/>
  <c r="U30" i="10"/>
  <c r="Q31" i="12"/>
  <c r="BY31" i="12" s="1"/>
  <c r="R40" i="12"/>
  <c r="BZ40" i="12" s="1"/>
  <c r="V39" i="10"/>
  <c r="K16" i="1"/>
  <c r="L17" i="1" s="1"/>
  <c r="K27" i="1"/>
  <c r="K36" i="14" s="1"/>
  <c r="S54" i="12"/>
  <c r="CA54" i="12"/>
  <c r="W53" i="10"/>
  <c r="CF53" i="10" s="1"/>
  <c r="O231" i="14"/>
  <c r="N230" i="14"/>
  <c r="CC13" i="10"/>
  <c r="P14" i="12"/>
  <c r="BX14" i="12" s="1"/>
  <c r="T13" i="10"/>
  <c r="S58" i="12"/>
  <c r="W57" i="10"/>
  <c r="CF57" i="10"/>
  <c r="CA58" i="12"/>
  <c r="K25" i="15"/>
  <c r="P25" i="15"/>
  <c r="J25" i="15"/>
  <c r="O25" i="15"/>
  <c r="I25" i="15"/>
  <c r="L25" i="15"/>
  <c r="H26" i="15"/>
  <c r="R25" i="15"/>
  <c r="Q25" i="15"/>
  <c r="U31" i="10"/>
  <c r="Q32" i="12"/>
  <c r="BY32" i="12"/>
  <c r="CD31" i="10"/>
  <c r="R48" i="12"/>
  <c r="BZ48" i="12" s="1"/>
  <c r="V47" i="10"/>
  <c r="CE47" i="10" s="1"/>
  <c r="P20" i="12"/>
  <c r="BX20" i="12"/>
  <c r="CC19" i="10"/>
  <c r="T19" i="10"/>
  <c r="Q51" i="12"/>
  <c r="BY51" i="12" s="1"/>
  <c r="U50" i="10"/>
  <c r="CD50" i="10"/>
  <c r="P22" i="14"/>
  <c r="O21" i="14"/>
  <c r="CC15" i="10"/>
  <c r="T15" i="10"/>
  <c r="P16" i="12"/>
  <c r="BX16" i="12" s="1"/>
  <c r="Q34" i="12"/>
  <c r="BY34" i="12" s="1"/>
  <c r="U33" i="10"/>
  <c r="Q26" i="12"/>
  <c r="BY26" i="12"/>
  <c r="CD25" i="10"/>
  <c r="U25" i="10"/>
  <c r="P92" i="14"/>
  <c r="Q93" i="14"/>
  <c r="U52" i="10"/>
  <c r="Q53" i="12"/>
  <c r="BY53" i="12"/>
  <c r="CD52" i="10"/>
  <c r="K22" i="1"/>
  <c r="K18" i="1"/>
  <c r="L19" i="1" s="1"/>
  <c r="B21" i="13"/>
  <c r="G21" i="13" s="1"/>
  <c r="H21" i="13" s="1"/>
  <c r="EC24" i="12"/>
  <c r="EB24" i="12"/>
  <c r="E21" i="13" s="1"/>
  <c r="EA25" i="12"/>
  <c r="P18" i="12"/>
  <c r="BX18" i="12"/>
  <c r="CC17" i="10"/>
  <c r="T17" i="10"/>
  <c r="Q24" i="12"/>
  <c r="BY24" i="12" s="1"/>
  <c r="CD23" i="10"/>
  <c r="U23" i="10"/>
  <c r="Q27" i="12"/>
  <c r="CD26" i="10"/>
  <c r="BY27" i="12"/>
  <c r="U26" i="10"/>
  <c r="CD59" i="10"/>
  <c r="K29" i="14"/>
  <c r="Q28" i="12"/>
  <c r="CD27" i="10"/>
  <c r="BY28" i="12"/>
  <c r="U27" i="10"/>
  <c r="V45" i="10"/>
  <c r="R46" i="12"/>
  <c r="BZ46" i="12" s="1"/>
  <c r="CE45" i="10"/>
  <c r="K21" i="1"/>
  <c r="L22" i="1" s="1"/>
  <c r="CC40" i="10"/>
  <c r="CD20" i="10"/>
  <c r="U20" i="10"/>
  <c r="Q21" i="12"/>
  <c r="BY21" i="12"/>
  <c r="CC52" i="10"/>
  <c r="Q49" i="12"/>
  <c r="BY49" i="12"/>
  <c r="U48" i="10"/>
  <c r="CD48" i="10" s="1"/>
  <c r="T12" i="10"/>
  <c r="P13" i="12"/>
  <c r="BX13" i="12"/>
  <c r="CC12" i="10"/>
  <c r="R42" i="12"/>
  <c r="BZ42" i="12"/>
  <c r="V41" i="10"/>
  <c r="CE41" i="10"/>
  <c r="P15" i="12"/>
  <c r="BX15" i="12" s="1"/>
  <c r="CC14" i="10"/>
  <c r="T14" i="10"/>
  <c r="CC33" i="10"/>
  <c r="CC56" i="10"/>
  <c r="S52" i="12"/>
  <c r="W51" i="10"/>
  <c r="CA52" i="12"/>
  <c r="CC46" i="10"/>
  <c r="G20" i="13"/>
  <c r="H20" i="13" s="1"/>
  <c r="P12" i="12"/>
  <c r="BX12" i="12"/>
  <c r="CC11" i="10"/>
  <c r="T11" i="10"/>
  <c r="CG58" i="10"/>
  <c r="T59" i="12"/>
  <c r="CB59" i="12"/>
  <c r="X58" i="10"/>
  <c r="V49" i="10"/>
  <c r="CE49" i="10"/>
  <c r="R50" i="12"/>
  <c r="BZ50" i="12" s="1"/>
  <c r="CD22" i="10"/>
  <c r="U22" i="10"/>
  <c r="Q23" i="12"/>
  <c r="BY23" i="12"/>
  <c r="Q30" i="12"/>
  <c r="BY30" i="12"/>
  <c r="U29" i="10"/>
  <c r="CD29" i="10"/>
  <c r="L26" i="14" l="1"/>
  <c r="L31" i="14"/>
  <c r="C19" i="15" s="1"/>
  <c r="L28" i="14"/>
  <c r="CD16" i="10"/>
  <c r="Q17" i="12"/>
  <c r="BY17" i="12" s="1"/>
  <c r="U16" i="10"/>
  <c r="R57" i="12"/>
  <c r="BZ57" i="12" s="1"/>
  <c r="V56" i="10"/>
  <c r="CE56" i="10"/>
  <c r="V38" i="10"/>
  <c r="R39" i="12"/>
  <c r="BZ39" i="12" s="1"/>
  <c r="R38" i="12"/>
  <c r="BZ38" i="12" s="1"/>
  <c r="V37" i="10"/>
  <c r="R25" i="12"/>
  <c r="BZ25" i="12"/>
  <c r="CE24" i="10"/>
  <c r="V24" i="10"/>
  <c r="R22" i="12"/>
  <c r="BZ22" i="12" s="1"/>
  <c r="V21" i="10"/>
  <c r="CE21" i="10"/>
  <c r="CD15" i="10"/>
  <c r="U15" i="10"/>
  <c r="Q16" i="12"/>
  <c r="BY16" i="12"/>
  <c r="K25" i="14"/>
  <c r="R31" i="12"/>
  <c r="BZ31" i="12"/>
  <c r="V30" i="10"/>
  <c r="R55" i="12"/>
  <c r="BZ55" i="12"/>
  <c r="V54" i="10"/>
  <c r="CE54" i="10" s="1"/>
  <c r="L25" i="14"/>
  <c r="BZ29" i="12"/>
  <c r="V28" i="10"/>
  <c r="R29" i="12"/>
  <c r="CE28" i="10"/>
  <c r="R28" i="12"/>
  <c r="BZ28" i="12" s="1"/>
  <c r="V27" i="10"/>
  <c r="CE27" i="10"/>
  <c r="CD11" i="10"/>
  <c r="U11" i="10"/>
  <c r="Q12" i="12"/>
  <c r="BY12" i="12"/>
  <c r="CF41" i="10"/>
  <c r="S42" i="12"/>
  <c r="W41" i="10"/>
  <c r="CA42" i="12"/>
  <c r="CA40" i="12"/>
  <c r="CF39" i="10"/>
  <c r="W39" i="10"/>
  <c r="S40" i="12"/>
  <c r="L27" i="14"/>
  <c r="L29" i="14"/>
  <c r="R35" i="12"/>
  <c r="BZ35" i="12" s="1"/>
  <c r="V34" i="10"/>
  <c r="CE34" i="10"/>
  <c r="M26" i="1"/>
  <c r="M35" i="14" s="1"/>
  <c r="M7" i="1"/>
  <c r="M28" i="1"/>
  <c r="M37" i="14" s="1"/>
  <c r="M27" i="1"/>
  <c r="M36" i="14" s="1"/>
  <c r="M9" i="1"/>
  <c r="M8" i="1"/>
  <c r="R41" i="12"/>
  <c r="BZ41" i="12" s="1"/>
  <c r="V40" i="10"/>
  <c r="CE40" i="10"/>
  <c r="CA60" i="12"/>
  <c r="W59" i="10"/>
  <c r="S60" i="12"/>
  <c r="K31" i="14"/>
  <c r="S50" i="12"/>
  <c r="CA50" i="12"/>
  <c r="W49" i="10"/>
  <c r="CF49" i="10" s="1"/>
  <c r="V33" i="10"/>
  <c r="R34" i="12"/>
  <c r="BZ34" i="12" s="1"/>
  <c r="I26" i="15"/>
  <c r="J26" i="15"/>
  <c r="H27" i="15"/>
  <c r="L26" i="15"/>
  <c r="R26" i="15"/>
  <c r="P26" i="15"/>
  <c r="O26" i="15"/>
  <c r="K26" i="15"/>
  <c r="Q26" i="15"/>
  <c r="O230" i="14"/>
  <c r="P231" i="14"/>
  <c r="CE39" i="10"/>
  <c r="CD37" i="10"/>
  <c r="O13" i="1"/>
  <c r="N12" i="1"/>
  <c r="M15" i="1" s="1"/>
  <c r="R45" i="12"/>
  <c r="BZ45" i="12" s="1"/>
  <c r="V44" i="10"/>
  <c r="ED23" i="12"/>
  <c r="D20" i="13"/>
  <c r="V46" i="10"/>
  <c r="R47" i="12"/>
  <c r="BZ47" i="12" s="1"/>
  <c r="CE46" i="10"/>
  <c r="CE20" i="10"/>
  <c r="V20" i="10"/>
  <c r="R21" i="12"/>
  <c r="BZ21" i="12"/>
  <c r="BZ49" i="12"/>
  <c r="V48" i="10"/>
  <c r="R49" i="12"/>
  <c r="Q20" i="12"/>
  <c r="BY20" i="12"/>
  <c r="CD19" i="10"/>
  <c r="U19" i="10"/>
  <c r="R30" i="12"/>
  <c r="BZ30" i="12"/>
  <c r="CE29" i="10"/>
  <c r="V29" i="10"/>
  <c r="K30" i="14"/>
  <c r="EA26" i="12"/>
  <c r="B22" i="13"/>
  <c r="EB25" i="12"/>
  <c r="E22" i="13" s="1"/>
  <c r="R24" i="12"/>
  <c r="BZ24" i="12" s="1"/>
  <c r="V23" i="10"/>
  <c r="CE23" i="10"/>
  <c r="V52" i="10"/>
  <c r="R53" i="12"/>
  <c r="CE52" i="10"/>
  <c r="BZ53" i="12"/>
  <c r="CD33" i="10"/>
  <c r="P21" i="14"/>
  <c r="Q22" i="14"/>
  <c r="R32" i="12"/>
  <c r="BZ32" i="12" s="1"/>
  <c r="V31" i="10"/>
  <c r="CE31" i="10"/>
  <c r="T58" i="12"/>
  <c r="CB58" i="12" s="1"/>
  <c r="X57" i="10"/>
  <c r="CG57" i="10"/>
  <c r="R81" i="1"/>
  <c r="Q80" i="1"/>
  <c r="L15" i="1"/>
  <c r="L21" i="1"/>
  <c r="R33" i="12"/>
  <c r="BZ33" i="12" s="1"/>
  <c r="CE32" i="10"/>
  <c r="V32" i="10"/>
  <c r="CD28" i="10"/>
  <c r="CD18" i="10"/>
  <c r="Q19" i="12"/>
  <c r="BY19" i="12"/>
  <c r="U18" i="10"/>
  <c r="S161" i="14"/>
  <c r="T162" i="14"/>
  <c r="T52" i="12"/>
  <c r="CB52" i="12" s="1"/>
  <c r="X51" i="10"/>
  <c r="CG51" i="10" s="1"/>
  <c r="Q15" i="12"/>
  <c r="BY15" i="12"/>
  <c r="CD14" i="10"/>
  <c r="U14" i="10"/>
  <c r="ED24" i="12"/>
  <c r="D21" i="13"/>
  <c r="Q92" i="14"/>
  <c r="R93" i="14"/>
  <c r="CG53" i="10"/>
  <c r="T54" i="12"/>
  <c r="CB54" i="12" s="1"/>
  <c r="X53" i="10"/>
  <c r="CB44" i="12"/>
  <c r="X43" i="10"/>
  <c r="CG43" i="10" s="1"/>
  <c r="T44" i="12"/>
  <c r="N78" i="1"/>
  <c r="CD34" i="10"/>
  <c r="CD38" i="10"/>
  <c r="V35" i="10"/>
  <c r="CE35" i="10"/>
  <c r="R36" i="12"/>
  <c r="BZ36" i="12" s="1"/>
  <c r="V42" i="10"/>
  <c r="R43" i="12"/>
  <c r="BZ43" i="12" s="1"/>
  <c r="CE42" i="10"/>
  <c r="C28" i="1"/>
  <c r="C37" i="14" s="1"/>
  <c r="B28" i="1"/>
  <c r="B37" i="14" s="1"/>
  <c r="A29" i="1"/>
  <c r="M29" i="1" s="1"/>
  <c r="M38" i="14" s="1"/>
  <c r="D28" i="1"/>
  <c r="D37" i="14" s="1"/>
  <c r="E28" i="1"/>
  <c r="E37" i="14" s="1"/>
  <c r="F28" i="1"/>
  <c r="F37" i="14" s="1"/>
  <c r="F25" i="15" s="1"/>
  <c r="G28" i="1"/>
  <c r="G37" i="14" s="1"/>
  <c r="H28" i="1"/>
  <c r="H37" i="14" s="1"/>
  <c r="E25" i="15" s="1"/>
  <c r="I28" i="1"/>
  <c r="I37" i="14" s="1"/>
  <c r="J28" i="1"/>
  <c r="J37" i="14" s="1"/>
  <c r="D25" i="15" s="1"/>
  <c r="K28" i="1"/>
  <c r="K37" i="14" s="1"/>
  <c r="U59" i="12"/>
  <c r="CC59" i="12"/>
  <c r="Y58" i="10"/>
  <c r="L33" i="14"/>
  <c r="C21" i="15" s="1"/>
  <c r="L23" i="1"/>
  <c r="C96" i="1"/>
  <c r="D96" i="1"/>
  <c r="A97" i="1"/>
  <c r="P97" i="1" s="1"/>
  <c r="B96" i="1"/>
  <c r="G96" i="1"/>
  <c r="E96" i="1"/>
  <c r="F96" i="1"/>
  <c r="H96" i="1"/>
  <c r="I96" i="1"/>
  <c r="J96" i="1"/>
  <c r="K96" i="1"/>
  <c r="L96" i="1"/>
  <c r="M96" i="1"/>
  <c r="N96" i="1"/>
  <c r="S56" i="12"/>
  <c r="CA56" i="12" s="1"/>
  <c r="W55" i="10"/>
  <c r="CF55" i="10"/>
  <c r="U12" i="10"/>
  <c r="Q13" i="12"/>
  <c r="BY13" i="12" s="1"/>
  <c r="CD12" i="10"/>
  <c r="S48" i="12"/>
  <c r="CA48" i="12"/>
  <c r="W47" i="10"/>
  <c r="R23" i="12"/>
  <c r="BZ23" i="12" s="1"/>
  <c r="V22" i="10"/>
  <c r="CE22" i="10"/>
  <c r="CF51" i="10"/>
  <c r="W45" i="10"/>
  <c r="CA46" i="12"/>
  <c r="S46" i="12"/>
  <c r="CE26" i="10"/>
  <c r="R27" i="12"/>
  <c r="BZ27" i="12"/>
  <c r="V26" i="10"/>
  <c r="Q18" i="12"/>
  <c r="BY18" i="12" s="1"/>
  <c r="U17" i="10"/>
  <c r="CD17" i="10"/>
  <c r="K27" i="14"/>
  <c r="CE25" i="10"/>
  <c r="R26" i="12"/>
  <c r="BZ26" i="12"/>
  <c r="V25" i="10"/>
  <c r="V50" i="10"/>
  <c r="R51" i="12"/>
  <c r="BZ51" i="12"/>
  <c r="CE50" i="10"/>
  <c r="CD13" i="10"/>
  <c r="U13" i="10"/>
  <c r="Q14" i="12"/>
  <c r="BY14" i="12"/>
  <c r="CD30" i="10"/>
  <c r="CF43" i="10"/>
  <c r="L14" i="1"/>
  <c r="R37" i="12"/>
  <c r="V36" i="10"/>
  <c r="BZ37" i="12"/>
  <c r="CD40" i="10"/>
  <c r="CE59" i="10"/>
  <c r="M24" i="14" l="1"/>
  <c r="W48" i="10"/>
  <c r="CF48" i="10"/>
  <c r="S49" i="12"/>
  <c r="CA49" i="12" s="1"/>
  <c r="T60" i="12"/>
  <c r="CB60" i="12" s="1"/>
  <c r="X59" i="10"/>
  <c r="V11" i="10"/>
  <c r="R12" i="12"/>
  <c r="BZ12" i="12" s="1"/>
  <c r="CE11" i="10"/>
  <c r="S29" i="12"/>
  <c r="CA29" i="12"/>
  <c r="CF28" i="10"/>
  <c r="W28" i="10"/>
  <c r="S31" i="12"/>
  <c r="CA31" i="12" s="1"/>
  <c r="W30" i="10"/>
  <c r="R16" i="12"/>
  <c r="BZ16" i="12"/>
  <c r="CE15" i="10"/>
  <c r="V15" i="10"/>
  <c r="X47" i="10"/>
  <c r="T48" i="12"/>
  <c r="CB48" i="12" s="1"/>
  <c r="CE48" i="10"/>
  <c r="N28" i="1"/>
  <c r="N37" i="14" s="1"/>
  <c r="N7" i="1"/>
  <c r="N27" i="1"/>
  <c r="N36" i="14" s="1"/>
  <c r="N29" i="1"/>
  <c r="N38" i="14" s="1"/>
  <c r="N9" i="1"/>
  <c r="N8" i="1"/>
  <c r="H28" i="15"/>
  <c r="L27" i="15"/>
  <c r="R27" i="15"/>
  <c r="K27" i="15"/>
  <c r="P27" i="15"/>
  <c r="I27" i="15"/>
  <c r="Q27" i="15"/>
  <c r="O27" i="15"/>
  <c r="J27" i="15"/>
  <c r="T50" i="12"/>
  <c r="CB50" i="12" s="1"/>
  <c r="X49" i="10"/>
  <c r="W38" i="10"/>
  <c r="CF38" i="10" s="1"/>
  <c r="S39" i="12"/>
  <c r="CA39" i="12" s="1"/>
  <c r="CE17" i="10"/>
  <c r="V17" i="10"/>
  <c r="R18" i="12"/>
  <c r="BZ18" i="12" s="1"/>
  <c r="X45" i="10"/>
  <c r="T46" i="12"/>
  <c r="CB46" i="12" s="1"/>
  <c r="CE18" i="10"/>
  <c r="V18" i="10"/>
  <c r="R19" i="12"/>
  <c r="BZ19" i="12"/>
  <c r="CE13" i="10"/>
  <c r="R14" i="12"/>
  <c r="V13" i="10"/>
  <c r="BZ14" i="12"/>
  <c r="S36" i="12"/>
  <c r="CA36" i="12" s="1"/>
  <c r="W35" i="10"/>
  <c r="CF35" i="10"/>
  <c r="L30" i="14"/>
  <c r="C18" i="15" s="1"/>
  <c r="G22" i="13"/>
  <c r="H22" i="13" s="1"/>
  <c r="CF46" i="10"/>
  <c r="S47" i="12"/>
  <c r="CA47" i="12" s="1"/>
  <c r="W46" i="10"/>
  <c r="P13" i="1"/>
  <c r="O12" i="1"/>
  <c r="N20" i="1" s="1"/>
  <c r="M23" i="1"/>
  <c r="S38" i="12"/>
  <c r="CA38" i="12" s="1"/>
  <c r="W37" i="10"/>
  <c r="CF37" i="10" s="1"/>
  <c r="S37" i="12"/>
  <c r="CA37" i="12"/>
  <c r="W36" i="10"/>
  <c r="CF36" i="10"/>
  <c r="S93" i="14"/>
  <c r="R92" i="14"/>
  <c r="L24" i="14"/>
  <c r="S32" i="12"/>
  <c r="CA32" i="12" s="1"/>
  <c r="CF31" i="10"/>
  <c r="W31" i="10"/>
  <c r="EC25" i="12"/>
  <c r="CE19" i="10"/>
  <c r="V19" i="10"/>
  <c r="R20" i="12"/>
  <c r="BZ20" i="12"/>
  <c r="M18" i="1"/>
  <c r="M14" i="1"/>
  <c r="M21" i="1"/>
  <c r="T42" i="12"/>
  <c r="CB42" i="12" s="1"/>
  <c r="X41" i="10"/>
  <c r="CG41" i="10" s="1"/>
  <c r="CE30" i="10"/>
  <c r="CE37" i="10"/>
  <c r="S57" i="12"/>
  <c r="W56" i="10"/>
  <c r="CA57" i="12"/>
  <c r="CF56" i="10"/>
  <c r="CB56" i="12"/>
  <c r="X55" i="10"/>
  <c r="T56" i="12"/>
  <c r="W26" i="10"/>
  <c r="S27" i="12"/>
  <c r="CA27" i="12"/>
  <c r="CF26" i="10"/>
  <c r="CE36" i="10"/>
  <c r="V59" i="12"/>
  <c r="CD59" i="12"/>
  <c r="CI58" i="10"/>
  <c r="Z58" i="10"/>
  <c r="O78" i="1"/>
  <c r="W52" i="10"/>
  <c r="S53" i="12"/>
  <c r="CA53" i="12" s="1"/>
  <c r="CF52" i="10"/>
  <c r="EA27" i="12"/>
  <c r="B23" i="13"/>
  <c r="G23" i="13" s="1"/>
  <c r="H23" i="13" s="1"/>
  <c r="EB26" i="12"/>
  <c r="E23" i="13" s="1"/>
  <c r="EC26" i="12"/>
  <c r="W40" i="10"/>
  <c r="S41" i="12"/>
  <c r="CA41" i="12"/>
  <c r="M24" i="1"/>
  <c r="M22" i="1"/>
  <c r="CF27" i="10"/>
  <c r="S28" i="12"/>
  <c r="CA28" i="12" s="1"/>
  <c r="W27" i="10"/>
  <c r="S22" i="12"/>
  <c r="CA22" i="12" s="1"/>
  <c r="CF21" i="10"/>
  <c r="W21" i="10"/>
  <c r="CF22" i="10"/>
  <c r="S23" i="12"/>
  <c r="CA23" i="12" s="1"/>
  <c r="W22" i="10"/>
  <c r="Y43" i="10"/>
  <c r="U44" i="12"/>
  <c r="CC44" i="12" s="1"/>
  <c r="CH43" i="10"/>
  <c r="U52" i="12"/>
  <c r="CC52" i="12"/>
  <c r="Y51" i="10"/>
  <c r="R80" i="1"/>
  <c r="S81" i="1"/>
  <c r="S21" i="12"/>
  <c r="CA21" i="12"/>
  <c r="CF20" i="10"/>
  <c r="W20" i="10"/>
  <c r="W44" i="10"/>
  <c r="S45" i="12"/>
  <c r="CA45" i="12"/>
  <c r="P230" i="14"/>
  <c r="Q231" i="14"/>
  <c r="S34" i="12"/>
  <c r="CA34" i="12" s="1"/>
  <c r="W33" i="10"/>
  <c r="M16" i="1"/>
  <c r="M20" i="1"/>
  <c r="W54" i="10"/>
  <c r="CF54" i="10" s="1"/>
  <c r="S55" i="12"/>
  <c r="CA55" i="12" s="1"/>
  <c r="CF25" i="10"/>
  <c r="W25" i="10"/>
  <c r="S26" i="12"/>
  <c r="CA26" i="12" s="1"/>
  <c r="A30" i="1"/>
  <c r="N30" i="1" s="1"/>
  <c r="N39" i="14" s="1"/>
  <c r="B29" i="1"/>
  <c r="B38" i="14" s="1"/>
  <c r="C29" i="1"/>
  <c r="C38" i="14" s="1"/>
  <c r="D29" i="1"/>
  <c r="D38" i="14" s="1"/>
  <c r="E29" i="1"/>
  <c r="E38" i="14" s="1"/>
  <c r="F29" i="1"/>
  <c r="F38" i="14" s="1"/>
  <c r="F26" i="15" s="1"/>
  <c r="G29" i="1"/>
  <c r="G38" i="14" s="1"/>
  <c r="H29" i="1"/>
  <c r="H38" i="14" s="1"/>
  <c r="E26" i="15" s="1"/>
  <c r="I29" i="1"/>
  <c r="I38" i="14" s="1"/>
  <c r="J29" i="1"/>
  <c r="J38" i="14" s="1"/>
  <c r="D26" i="15" s="1"/>
  <c r="K29" i="1"/>
  <c r="K38" i="14" s="1"/>
  <c r="L29" i="1"/>
  <c r="L38" i="14" s="1"/>
  <c r="C26" i="15" s="1"/>
  <c r="L32" i="14"/>
  <c r="C20" i="15" s="1"/>
  <c r="L23" i="14"/>
  <c r="R13" i="12"/>
  <c r="BZ13" i="12"/>
  <c r="CE12" i="10"/>
  <c r="V12" i="10"/>
  <c r="S43" i="12"/>
  <c r="CA43" i="12" s="1"/>
  <c r="W42" i="10"/>
  <c r="CF42" i="10" s="1"/>
  <c r="R22" i="14"/>
  <c r="Q21" i="14"/>
  <c r="CE44" i="10"/>
  <c r="CE33" i="10"/>
  <c r="M17" i="1"/>
  <c r="M19" i="1"/>
  <c r="S25" i="12"/>
  <c r="CA25" i="12"/>
  <c r="CF24" i="10"/>
  <c r="W24" i="10"/>
  <c r="R17" i="12"/>
  <c r="BZ17" i="12"/>
  <c r="CE16" i="10"/>
  <c r="V16" i="10"/>
  <c r="D97" i="1"/>
  <c r="A98" i="1"/>
  <c r="Q98" i="1" s="1"/>
  <c r="B97" i="1"/>
  <c r="C97" i="1"/>
  <c r="E97" i="1"/>
  <c r="G97" i="1"/>
  <c r="F97" i="1"/>
  <c r="H97" i="1"/>
  <c r="I97" i="1"/>
  <c r="J97" i="1"/>
  <c r="K97" i="1"/>
  <c r="L97" i="1"/>
  <c r="M97" i="1"/>
  <c r="N97" i="1"/>
  <c r="O97" i="1"/>
  <c r="W50" i="10"/>
  <c r="S51" i="12"/>
  <c r="CA51" i="12" s="1"/>
  <c r="CF45" i="10"/>
  <c r="CF47" i="10"/>
  <c r="CH58" i="10"/>
  <c r="Y53" i="10"/>
  <c r="U54" i="12"/>
  <c r="CC54" i="12"/>
  <c r="CH53" i="10"/>
  <c r="R15" i="12"/>
  <c r="BZ15" i="12"/>
  <c r="CE14" i="10"/>
  <c r="V14" i="10"/>
  <c r="U162" i="14"/>
  <c r="T161" i="14"/>
  <c r="S33" i="12"/>
  <c r="CA33" i="12"/>
  <c r="W32" i="10"/>
  <c r="CF32" i="10"/>
  <c r="Y57" i="10"/>
  <c r="U58" i="12"/>
  <c r="CC58" i="12" s="1"/>
  <c r="S24" i="12"/>
  <c r="CA24" i="12"/>
  <c r="CF23" i="10"/>
  <c r="W23" i="10"/>
  <c r="W29" i="10"/>
  <c r="S30" i="12"/>
  <c r="CA30" i="12"/>
  <c r="CF29" i="10"/>
  <c r="CF59" i="10"/>
  <c r="M25" i="1"/>
  <c r="W34" i="10"/>
  <c r="CF34" i="10" s="1"/>
  <c r="S35" i="12"/>
  <c r="CA35" i="12" s="1"/>
  <c r="X39" i="10"/>
  <c r="T40" i="12"/>
  <c r="CB40" i="12"/>
  <c r="CG39" i="10"/>
  <c r="CE38" i="10"/>
  <c r="N29" i="14" l="1"/>
  <c r="M26" i="14"/>
  <c r="X33" i="10"/>
  <c r="T34" i="12"/>
  <c r="CB34" i="12"/>
  <c r="CG33" i="10"/>
  <c r="T45" i="12"/>
  <c r="CG44" i="10"/>
  <c r="CB45" i="12"/>
  <c r="X44" i="10"/>
  <c r="V52" i="12"/>
  <c r="CD52" i="12" s="1"/>
  <c r="Z51" i="10"/>
  <c r="CI51" i="10" s="1"/>
  <c r="T41" i="12"/>
  <c r="CG40" i="10"/>
  <c r="CB41" i="12"/>
  <c r="X40" i="10"/>
  <c r="T53" i="12"/>
  <c r="CB53" i="12" s="1"/>
  <c r="X52" i="10"/>
  <c r="CG52" i="10" s="1"/>
  <c r="M27" i="14"/>
  <c r="P12" i="1"/>
  <c r="Q13" i="1"/>
  <c r="U50" i="12"/>
  <c r="Y49" i="10"/>
  <c r="CC50" i="12"/>
  <c r="I28" i="15"/>
  <c r="H29" i="15"/>
  <c r="K28" i="15"/>
  <c r="L28" i="15"/>
  <c r="Q28" i="15"/>
  <c r="O28" i="15"/>
  <c r="J28" i="15"/>
  <c r="R28" i="15"/>
  <c r="P28" i="15"/>
  <c r="N15" i="1"/>
  <c r="N16" i="1"/>
  <c r="Y59" i="10"/>
  <c r="U60" i="12"/>
  <c r="CC60" i="12"/>
  <c r="V54" i="12"/>
  <c r="Z53" i="10"/>
  <c r="CD54" i="12"/>
  <c r="CI53" i="10"/>
  <c r="W12" i="10"/>
  <c r="S13" i="12"/>
  <c r="CA13" i="12"/>
  <c r="CF12" i="10"/>
  <c r="CG20" i="10"/>
  <c r="X20" i="10"/>
  <c r="T21" i="12"/>
  <c r="CB21" i="12" s="1"/>
  <c r="ED26" i="12"/>
  <c r="D23" i="13"/>
  <c r="U56" i="12"/>
  <c r="Y55" i="10"/>
  <c r="CC56" i="12"/>
  <c r="CB47" i="12"/>
  <c r="X46" i="10"/>
  <c r="CG46" i="10" s="1"/>
  <c r="T47" i="12"/>
  <c r="CF17" i="10"/>
  <c r="S18" i="12"/>
  <c r="W17" i="10"/>
  <c r="CA18" i="12"/>
  <c r="N18" i="1"/>
  <c r="N25" i="1"/>
  <c r="T25" i="12"/>
  <c r="CB25" i="12" s="1"/>
  <c r="CG24" i="10"/>
  <c r="X24" i="10"/>
  <c r="U40" i="12"/>
  <c r="CC40" i="12" s="1"/>
  <c r="Y39" i="10"/>
  <c r="U161" i="14"/>
  <c r="V162" i="14"/>
  <c r="V58" i="12"/>
  <c r="CD58" i="12" s="1"/>
  <c r="Z57" i="10"/>
  <c r="W14" i="10"/>
  <c r="S15" i="12"/>
  <c r="CA15" i="12" s="1"/>
  <c r="CF14" i="10"/>
  <c r="T30" i="12"/>
  <c r="CG29" i="10"/>
  <c r="CB30" i="12"/>
  <c r="X29" i="10"/>
  <c r="CG55" i="10"/>
  <c r="T36" i="12"/>
  <c r="CB36" i="12" s="1"/>
  <c r="X35" i="10"/>
  <c r="CG35" i="10"/>
  <c r="S19" i="12"/>
  <c r="CA19" i="12"/>
  <c r="CF18" i="10"/>
  <c r="W18" i="10"/>
  <c r="CG49" i="10"/>
  <c r="N17" i="1"/>
  <c r="T31" i="12"/>
  <c r="CG30" i="10"/>
  <c r="CB31" i="12"/>
  <c r="X30" i="10"/>
  <c r="R231" i="14"/>
  <c r="Q230" i="14"/>
  <c r="T22" i="12"/>
  <c r="CB22" i="12" s="1"/>
  <c r="CG21" i="10"/>
  <c r="X21" i="10"/>
  <c r="M31" i="14"/>
  <c r="W19" i="10"/>
  <c r="S20" i="12"/>
  <c r="CA20" i="12"/>
  <c r="CF19" i="10"/>
  <c r="X37" i="10"/>
  <c r="CG37" i="10"/>
  <c r="T38" i="12"/>
  <c r="CB38" i="12"/>
  <c r="N14" i="1"/>
  <c r="N24" i="1"/>
  <c r="N23" i="1"/>
  <c r="CG34" i="10"/>
  <c r="T35" i="12"/>
  <c r="CB35" i="12"/>
  <c r="X34" i="10"/>
  <c r="T33" i="12"/>
  <c r="CB33" i="12"/>
  <c r="X32" i="10"/>
  <c r="R21" i="14"/>
  <c r="S22" i="14"/>
  <c r="A31" i="1"/>
  <c r="C30" i="1"/>
  <c r="C39" i="14" s="1"/>
  <c r="B30" i="1"/>
  <c r="B39" i="14" s="1"/>
  <c r="D30" i="1"/>
  <c r="D39" i="14" s="1"/>
  <c r="E30" i="1"/>
  <c r="E39" i="14" s="1"/>
  <c r="F30" i="1"/>
  <c r="F39" i="14" s="1"/>
  <c r="F27" i="15" s="1"/>
  <c r="G30" i="1"/>
  <c r="G39" i="14" s="1"/>
  <c r="H30" i="1"/>
  <c r="H39" i="14" s="1"/>
  <c r="E27" i="15" s="1"/>
  <c r="I30" i="1"/>
  <c r="I39" i="14" s="1"/>
  <c r="J30" i="1"/>
  <c r="J39" i="14" s="1"/>
  <c r="D27" i="15" s="1"/>
  <c r="K30" i="1"/>
  <c r="K39" i="14" s="1"/>
  <c r="L30" i="1"/>
  <c r="L39" i="14" s="1"/>
  <c r="C27" i="15" s="1"/>
  <c r="M30" i="1"/>
  <c r="M39" i="14" s="1"/>
  <c r="T55" i="12"/>
  <c r="CB55" i="12" s="1"/>
  <c r="CG54" i="10"/>
  <c r="X54" i="10"/>
  <c r="M33" i="14"/>
  <c r="EB27" i="12"/>
  <c r="E24" i="13" s="1"/>
  <c r="EA28" i="12"/>
  <c r="EC27" i="12"/>
  <c r="B24" i="13"/>
  <c r="Y41" i="10"/>
  <c r="U42" i="12"/>
  <c r="CC42" i="12"/>
  <c r="CH41" i="10"/>
  <c r="N19" i="1"/>
  <c r="Y47" i="10"/>
  <c r="U48" i="12"/>
  <c r="CC48" i="12" s="1"/>
  <c r="D22" i="13"/>
  <c r="ED25" i="12"/>
  <c r="S92" i="14"/>
  <c r="T93" i="14"/>
  <c r="N22" i="1"/>
  <c r="N21" i="1"/>
  <c r="CG47" i="10"/>
  <c r="CF30" i="10"/>
  <c r="S12" i="12"/>
  <c r="CF11" i="10"/>
  <c r="CA12" i="12"/>
  <c r="W11" i="10"/>
  <c r="X48" i="10"/>
  <c r="T49" i="12"/>
  <c r="CB49" i="12" s="1"/>
  <c r="M29" i="14"/>
  <c r="S80" i="1"/>
  <c r="T81" i="1"/>
  <c r="W13" i="10"/>
  <c r="S14" i="12"/>
  <c r="CA14" i="12" s="1"/>
  <c r="CF13" i="10"/>
  <c r="T51" i="12"/>
  <c r="X50" i="10"/>
  <c r="CB51" i="12"/>
  <c r="CG50" i="10"/>
  <c r="CG25" i="10"/>
  <c r="T26" i="12"/>
  <c r="CB26" i="12" s="1"/>
  <c r="X25" i="10"/>
  <c r="M25" i="14"/>
  <c r="P78" i="1"/>
  <c r="V44" i="12"/>
  <c r="CD44" i="12" s="1"/>
  <c r="Z43" i="10"/>
  <c r="CG56" i="10"/>
  <c r="T57" i="12"/>
  <c r="CB57" i="12"/>
  <c r="X56" i="10"/>
  <c r="M30" i="14"/>
  <c r="CG31" i="10"/>
  <c r="X31" i="10"/>
  <c r="T32" i="12"/>
  <c r="CB32" i="12" s="1"/>
  <c r="M32" i="14"/>
  <c r="U46" i="12"/>
  <c r="CC46" i="12"/>
  <c r="Y45" i="10"/>
  <c r="CH45" i="10"/>
  <c r="T39" i="12"/>
  <c r="X38" i="10"/>
  <c r="CB39" i="12"/>
  <c r="N26" i="1"/>
  <c r="CF15" i="10"/>
  <c r="W15" i="10"/>
  <c r="S16" i="12"/>
  <c r="CA16" i="12" s="1"/>
  <c r="CG28" i="10"/>
  <c r="T29" i="12"/>
  <c r="CB29" i="12" s="1"/>
  <c r="X28" i="10"/>
  <c r="CG59" i="10"/>
  <c r="CG23" i="10"/>
  <c r="T24" i="12"/>
  <c r="X23" i="10"/>
  <c r="CB24" i="12"/>
  <c r="M34" i="14"/>
  <c r="C98" i="1"/>
  <c r="B98" i="1"/>
  <c r="D98" i="1"/>
  <c r="A99" i="1"/>
  <c r="E98" i="1"/>
  <c r="G98" i="1"/>
  <c r="F98" i="1"/>
  <c r="H98" i="1"/>
  <c r="I98" i="1"/>
  <c r="J98" i="1"/>
  <c r="K98" i="1"/>
  <c r="L98" i="1"/>
  <c r="M98" i="1"/>
  <c r="N98" i="1"/>
  <c r="O98" i="1"/>
  <c r="P98" i="1"/>
  <c r="X42" i="10"/>
  <c r="CG42" i="10" s="1"/>
  <c r="T43" i="12"/>
  <c r="CB43" i="12" s="1"/>
  <c r="CH57" i="10"/>
  <c r="CF50" i="10"/>
  <c r="CF16" i="10"/>
  <c r="S17" i="12"/>
  <c r="W16" i="10"/>
  <c r="CA17" i="12"/>
  <c r="M28" i="14"/>
  <c r="CF33" i="10"/>
  <c r="CF44" i="10"/>
  <c r="CH51" i="10"/>
  <c r="CG22" i="10"/>
  <c r="X22" i="10"/>
  <c r="T23" i="12"/>
  <c r="CB23" i="12" s="1"/>
  <c r="CG27" i="10"/>
  <c r="X27" i="10"/>
  <c r="T28" i="12"/>
  <c r="CB28" i="12"/>
  <c r="CF40" i="10"/>
  <c r="AA58" i="10"/>
  <c r="W59" i="12"/>
  <c r="CE59" i="12" s="1"/>
  <c r="CJ58" i="10"/>
  <c r="T27" i="12"/>
  <c r="CB27" i="12"/>
  <c r="CG26" i="10"/>
  <c r="X26" i="10"/>
  <c r="M23" i="14"/>
  <c r="X36" i="10"/>
  <c r="CG36" i="10" s="1"/>
  <c r="T37" i="12"/>
  <c r="CB37" i="12"/>
  <c r="O30" i="1"/>
  <c r="O39" i="14" s="1"/>
  <c r="O29" i="1"/>
  <c r="O38" i="14" s="1"/>
  <c r="O23" i="1"/>
  <c r="O14" i="1"/>
  <c r="O31" i="1"/>
  <c r="O40" i="14" s="1"/>
  <c r="O25" i="1"/>
  <c r="O15" i="1"/>
  <c r="O28" i="1"/>
  <c r="O37" i="14" s="1"/>
  <c r="O18" i="1"/>
  <c r="O7" i="1"/>
  <c r="O27" i="1"/>
  <c r="O21" i="1"/>
  <c r="O17" i="1"/>
  <c r="O16" i="1"/>
  <c r="O19" i="1"/>
  <c r="O8" i="1"/>
  <c r="O9" i="1"/>
  <c r="CG45" i="10"/>
  <c r="O34" i="14" l="1"/>
  <c r="CH25" i="10"/>
  <c r="Y25" i="10"/>
  <c r="U26" i="12"/>
  <c r="CC26" i="12" s="1"/>
  <c r="G24" i="13"/>
  <c r="H24" i="13" s="1"/>
  <c r="N26" i="14"/>
  <c r="CG12" i="10"/>
  <c r="T13" i="12"/>
  <c r="CB13" i="12"/>
  <c r="X12" i="10"/>
  <c r="Z59" i="10"/>
  <c r="V60" i="12"/>
  <c r="CD60" i="12" s="1"/>
  <c r="N30" i="14"/>
  <c r="D24" i="13"/>
  <c r="ED27" i="12"/>
  <c r="U33" i="12"/>
  <c r="CC33" i="12"/>
  <c r="Y32" i="10"/>
  <c r="N32" i="14"/>
  <c r="V40" i="12"/>
  <c r="CD40" i="12" s="1"/>
  <c r="Z39" i="10"/>
  <c r="CI39" i="10"/>
  <c r="N34" i="14"/>
  <c r="Y46" i="10"/>
  <c r="CH46" i="10"/>
  <c r="U47" i="12"/>
  <c r="CC47" i="12" s="1"/>
  <c r="N25" i="14"/>
  <c r="V50" i="12"/>
  <c r="CD50" i="12" s="1"/>
  <c r="Z49" i="10"/>
  <c r="CI49" i="10"/>
  <c r="Y52" i="10"/>
  <c r="CH52" i="10" s="1"/>
  <c r="U53" i="12"/>
  <c r="CC53" i="12"/>
  <c r="W52" i="12"/>
  <c r="CE52" i="12" s="1"/>
  <c r="AA51" i="10"/>
  <c r="CJ51" i="10"/>
  <c r="O23" i="14"/>
  <c r="U28" i="12"/>
  <c r="CC28" i="12"/>
  <c r="CH27" i="10"/>
  <c r="Y27" i="10"/>
  <c r="U24" i="12"/>
  <c r="CC24" i="12"/>
  <c r="CH23" i="10"/>
  <c r="Y23" i="10"/>
  <c r="CC32" i="12"/>
  <c r="CH31" i="10"/>
  <c r="Y31" i="10"/>
  <c r="U32" i="12"/>
  <c r="X13" i="10"/>
  <c r="T14" i="12"/>
  <c r="CB14" i="12"/>
  <c r="CG13" i="10"/>
  <c r="U49" i="12"/>
  <c r="CC49" i="12"/>
  <c r="CH48" i="10"/>
  <c r="Y48" i="10"/>
  <c r="N31" i="14"/>
  <c r="V48" i="12"/>
  <c r="CD48" i="12" s="1"/>
  <c r="Z47" i="10"/>
  <c r="CI47" i="10"/>
  <c r="EA29" i="12"/>
  <c r="B25" i="13"/>
  <c r="EB28" i="12"/>
  <c r="E25" i="13" s="1"/>
  <c r="N33" i="14"/>
  <c r="CB19" i="12"/>
  <c r="CG18" i="10"/>
  <c r="X18" i="10"/>
  <c r="T19" i="12"/>
  <c r="X14" i="10"/>
  <c r="T15" i="12"/>
  <c r="CB15" i="12"/>
  <c r="CG14" i="10"/>
  <c r="N27" i="14"/>
  <c r="CH20" i="10"/>
  <c r="Y20" i="10"/>
  <c r="U21" i="12"/>
  <c r="CC21" i="12"/>
  <c r="N24" i="14"/>
  <c r="O32" i="14"/>
  <c r="U81" i="1"/>
  <c r="T80" i="1"/>
  <c r="T12" i="12"/>
  <c r="CB12" i="12"/>
  <c r="CG11" i="10"/>
  <c r="X11" i="10"/>
  <c r="T92" i="14"/>
  <c r="U93" i="14"/>
  <c r="N28" i="14"/>
  <c r="CG32" i="10"/>
  <c r="N23" i="14"/>
  <c r="X19" i="10"/>
  <c r="T20" i="12"/>
  <c r="CB20" i="12"/>
  <c r="CG19" i="10"/>
  <c r="S231" i="14"/>
  <c r="R230" i="14"/>
  <c r="U30" i="12"/>
  <c r="CC30" i="12"/>
  <c r="CH29" i="10"/>
  <c r="Y29" i="10"/>
  <c r="W58" i="12"/>
  <c r="CE58" i="12" s="1"/>
  <c r="AA57" i="10"/>
  <c r="CJ57" i="10"/>
  <c r="W54" i="12"/>
  <c r="CE54" i="12" s="1"/>
  <c r="AA53" i="10"/>
  <c r="CH49" i="10"/>
  <c r="CH33" i="10"/>
  <c r="U34" i="12"/>
  <c r="CC34" i="12" s="1"/>
  <c r="Y33" i="10"/>
  <c r="CG15" i="10"/>
  <c r="X15" i="10"/>
  <c r="T16" i="12"/>
  <c r="CB16" i="12"/>
  <c r="W44" i="12"/>
  <c r="CE44" i="12" s="1"/>
  <c r="AA43" i="10"/>
  <c r="CJ43" i="10"/>
  <c r="O26" i="1"/>
  <c r="O22" i="1"/>
  <c r="CI45" i="10"/>
  <c r="V46" i="12"/>
  <c r="CD46" i="12" s="1"/>
  <c r="Z45" i="10"/>
  <c r="Q78" i="1"/>
  <c r="CC31" i="12"/>
  <c r="CH30" i="10"/>
  <c r="Y30" i="10"/>
  <c r="U31" i="12"/>
  <c r="CH39" i="10"/>
  <c r="T18" i="12"/>
  <c r="CB18" i="12"/>
  <c r="CG17" i="10"/>
  <c r="X17" i="10"/>
  <c r="Z55" i="10"/>
  <c r="CI55" i="10"/>
  <c r="V56" i="12"/>
  <c r="CD56" i="12" s="1"/>
  <c r="R13" i="1"/>
  <c r="Q12" i="1"/>
  <c r="CC41" i="12"/>
  <c r="Y40" i="10"/>
  <c r="U41" i="12"/>
  <c r="U45" i="12"/>
  <c r="CC45" i="12" s="1"/>
  <c r="Y44" i="10"/>
  <c r="CH44" i="10"/>
  <c r="O27" i="14"/>
  <c r="U43" i="12"/>
  <c r="Y42" i="10"/>
  <c r="CC43" i="12"/>
  <c r="Y50" i="10"/>
  <c r="CH50" i="10"/>
  <c r="U51" i="12"/>
  <c r="CC51" i="12"/>
  <c r="U35" i="12"/>
  <c r="Y34" i="10"/>
  <c r="CC35" i="12"/>
  <c r="CH34" i="10"/>
  <c r="CH24" i="10"/>
  <c r="Y24" i="10"/>
  <c r="U25" i="12"/>
  <c r="CC25" i="12" s="1"/>
  <c r="CH59" i="10"/>
  <c r="P24" i="1"/>
  <c r="P18" i="1"/>
  <c r="P27" i="1"/>
  <c r="P22" i="1"/>
  <c r="P7" i="1"/>
  <c r="P20" i="1"/>
  <c r="P28" i="1"/>
  <c r="P17" i="1"/>
  <c r="P15" i="1"/>
  <c r="P31" i="1"/>
  <c r="P40" i="14" s="1"/>
  <c r="P26" i="1"/>
  <c r="P29" i="1"/>
  <c r="P38" i="14" s="1"/>
  <c r="P30" i="1"/>
  <c r="P39" i="14" s="1"/>
  <c r="P19" i="1"/>
  <c r="P23" i="1"/>
  <c r="P14" i="1"/>
  <c r="P8" i="1"/>
  <c r="P9" i="1"/>
  <c r="O24" i="14"/>
  <c r="X59" i="12"/>
  <c r="CF59" i="12" s="1"/>
  <c r="AB58" i="10"/>
  <c r="CK58" i="10"/>
  <c r="U23" i="12"/>
  <c r="CC23" i="12" s="1"/>
  <c r="CH22" i="10"/>
  <c r="Y22" i="10"/>
  <c r="CG16" i="10"/>
  <c r="X16" i="10"/>
  <c r="T17" i="12"/>
  <c r="CB17" i="12" s="1"/>
  <c r="N35" i="14"/>
  <c r="CI43" i="10"/>
  <c r="U55" i="12"/>
  <c r="CC55" i="12"/>
  <c r="Y54" i="10"/>
  <c r="CH54" i="10" s="1"/>
  <c r="A32" i="1"/>
  <c r="C31" i="1"/>
  <c r="C40" i="14" s="1"/>
  <c r="B31" i="1"/>
  <c r="B40" i="14" s="1"/>
  <c r="D31" i="1"/>
  <c r="D40" i="14" s="1"/>
  <c r="E31" i="1"/>
  <c r="E40" i="14" s="1"/>
  <c r="F31" i="1"/>
  <c r="F40" i="14" s="1"/>
  <c r="F28" i="15" s="1"/>
  <c r="G31" i="1"/>
  <c r="G40" i="14" s="1"/>
  <c r="H31" i="1"/>
  <c r="H40" i="14" s="1"/>
  <c r="E28" i="15" s="1"/>
  <c r="I31" i="1"/>
  <c r="I40" i="14" s="1"/>
  <c r="J31" i="1"/>
  <c r="J40" i="14" s="1"/>
  <c r="D28" i="15" s="1"/>
  <c r="K31" i="1"/>
  <c r="K40" i="14" s="1"/>
  <c r="L31" i="1"/>
  <c r="L40" i="14" s="1"/>
  <c r="C28" i="15" s="1"/>
  <c r="M31" i="1"/>
  <c r="M40" i="14" s="1"/>
  <c r="N31" i="1"/>
  <c r="N40" i="14" s="1"/>
  <c r="CI57" i="10"/>
  <c r="CH55" i="10"/>
  <c r="K29" i="15"/>
  <c r="H30" i="15"/>
  <c r="R29" i="15"/>
  <c r="Q29" i="15"/>
  <c r="L29" i="15"/>
  <c r="O29" i="15"/>
  <c r="P29" i="15"/>
  <c r="I29" i="15"/>
  <c r="J29" i="15"/>
  <c r="U39" i="12"/>
  <c r="CC39" i="12" s="1"/>
  <c r="Y38" i="10"/>
  <c r="CH38" i="10" s="1"/>
  <c r="O25" i="14"/>
  <c r="Y36" i="10"/>
  <c r="U37" i="12"/>
  <c r="CC37" i="12"/>
  <c r="CH36" i="10"/>
  <c r="B99" i="1"/>
  <c r="C99" i="1"/>
  <c r="D99" i="1"/>
  <c r="A100" i="1"/>
  <c r="E99" i="1"/>
  <c r="G99" i="1"/>
  <c r="F99" i="1"/>
  <c r="H99" i="1"/>
  <c r="I99" i="1"/>
  <c r="J99" i="1"/>
  <c r="K99" i="1"/>
  <c r="L99" i="1"/>
  <c r="M99" i="1"/>
  <c r="N99" i="1"/>
  <c r="O99" i="1"/>
  <c r="P99" i="1"/>
  <c r="Q99" i="1"/>
  <c r="O26" i="14"/>
  <c r="O30" i="14"/>
  <c r="O28" i="14"/>
  <c r="O36" i="14"/>
  <c r="O24" i="1"/>
  <c r="O20" i="1"/>
  <c r="CH26" i="10"/>
  <c r="Y26" i="10"/>
  <c r="U27" i="12"/>
  <c r="CC27" i="12" s="1"/>
  <c r="U29" i="12"/>
  <c r="CC29" i="12"/>
  <c r="CH28" i="10"/>
  <c r="Y28" i="10"/>
  <c r="CG38" i="10"/>
  <c r="Y56" i="10"/>
  <c r="CH56" i="10" s="1"/>
  <c r="U57" i="12"/>
  <c r="CC57" i="12" s="1"/>
  <c r="R99" i="1"/>
  <c r="CG48" i="10"/>
  <c r="CH47" i="10"/>
  <c r="V42" i="12"/>
  <c r="Z41" i="10"/>
  <c r="CD42" i="12"/>
  <c r="S21" i="14"/>
  <c r="T22" i="14"/>
  <c r="U38" i="12"/>
  <c r="CC38" i="12" s="1"/>
  <c r="CH37" i="10"/>
  <c r="Y37" i="10"/>
  <c r="Y21" i="10"/>
  <c r="U22" i="12"/>
  <c r="CC22" i="12" s="1"/>
  <c r="CH21" i="10"/>
  <c r="CH35" i="10"/>
  <c r="U36" i="12"/>
  <c r="CC36" i="12" s="1"/>
  <c r="Y35" i="10"/>
  <c r="W162" i="14"/>
  <c r="V161" i="14"/>
  <c r="P31" i="14" l="1"/>
  <c r="V41" i="12"/>
  <c r="CD41" i="12" s="1"/>
  <c r="Z40" i="10"/>
  <c r="CI40" i="10"/>
  <c r="CC18" i="12"/>
  <c r="CH17" i="10"/>
  <c r="Y17" i="10"/>
  <c r="U18" i="12"/>
  <c r="U80" i="1"/>
  <c r="V81" i="1"/>
  <c r="CH18" i="10"/>
  <c r="U19" i="12"/>
  <c r="Y18" i="10"/>
  <c r="CC19" i="12"/>
  <c r="B26" i="13"/>
  <c r="EB29" i="12"/>
  <c r="E26" i="13" s="1"/>
  <c r="EA30" i="12"/>
  <c r="CI31" i="10"/>
  <c r="V32" i="12"/>
  <c r="Z31" i="10"/>
  <c r="CD32" i="12"/>
  <c r="CI32" i="10"/>
  <c r="Z32" i="10"/>
  <c r="V33" i="12"/>
  <c r="CD33" i="12" s="1"/>
  <c r="O29" i="14"/>
  <c r="P24" i="14"/>
  <c r="U92" i="14"/>
  <c r="V93" i="14"/>
  <c r="W60" i="12"/>
  <c r="CE60" i="12" s="1"/>
  <c r="AA59" i="10"/>
  <c r="T21" i="14"/>
  <c r="U22" i="14"/>
  <c r="U17" i="12"/>
  <c r="CC17" i="12"/>
  <c r="Y16" i="10"/>
  <c r="CH16" i="10"/>
  <c r="Y59" i="12"/>
  <c r="CG59" i="12"/>
  <c r="AC58" i="10"/>
  <c r="P21" i="1"/>
  <c r="Q30" i="1"/>
  <c r="Q39" i="14" s="1"/>
  <c r="Q32" i="1"/>
  <c r="Q41" i="14" s="1"/>
  <c r="Q31" i="1"/>
  <c r="Q40" i="14" s="1"/>
  <c r="Q21" i="1"/>
  <c r="Q28" i="1"/>
  <c r="Q7" i="1"/>
  <c r="Q8" i="1"/>
  <c r="Q9" i="1"/>
  <c r="CF54" i="12"/>
  <c r="AB53" i="10"/>
  <c r="CK53" i="10" s="1"/>
  <c r="X54" i="12"/>
  <c r="Z29" i="10"/>
  <c r="V30" i="12"/>
  <c r="CD30" i="12" s="1"/>
  <c r="CI29" i="10"/>
  <c r="CJ47" i="10"/>
  <c r="CE48" i="12"/>
  <c r="AA47" i="10"/>
  <c r="W48" i="12"/>
  <c r="AA39" i="10"/>
  <c r="W40" i="12"/>
  <c r="CE40" i="12" s="1"/>
  <c r="CI59" i="10"/>
  <c r="O30" i="15"/>
  <c r="L30" i="15"/>
  <c r="I30" i="15"/>
  <c r="Q30" i="15"/>
  <c r="J30" i="15"/>
  <c r="P30" i="15"/>
  <c r="R30" i="15"/>
  <c r="H31" i="15"/>
  <c r="K30" i="15"/>
  <c r="A33" i="1"/>
  <c r="C32" i="1"/>
  <c r="C41" i="14" s="1"/>
  <c r="B32" i="1"/>
  <c r="B41" i="14" s="1"/>
  <c r="D32" i="1"/>
  <c r="D41" i="14" s="1"/>
  <c r="E32" i="1"/>
  <c r="E41" i="14" s="1"/>
  <c r="F32" i="1"/>
  <c r="F41" i="14" s="1"/>
  <c r="F29" i="15" s="1"/>
  <c r="G32" i="1"/>
  <c r="G41" i="14" s="1"/>
  <c r="H32" i="1"/>
  <c r="H41" i="14" s="1"/>
  <c r="E29" i="15" s="1"/>
  <c r="I32" i="1"/>
  <c r="I41" i="14" s="1"/>
  <c r="J32" i="1"/>
  <c r="J41" i="14" s="1"/>
  <c r="D29" i="15" s="1"/>
  <c r="K32" i="1"/>
  <c r="K41" i="14" s="1"/>
  <c r="L32" i="1"/>
  <c r="L41" i="14" s="1"/>
  <c r="C29" i="15" s="1"/>
  <c r="M32" i="1"/>
  <c r="M41" i="14" s="1"/>
  <c r="N32" i="1"/>
  <c r="N41" i="14" s="1"/>
  <c r="O32" i="1"/>
  <c r="O41" i="14" s="1"/>
  <c r="V25" i="12"/>
  <c r="CD25" i="12" s="1"/>
  <c r="CI24" i="10"/>
  <c r="Z24" i="10"/>
  <c r="V55" i="12"/>
  <c r="CD55" i="12" s="1"/>
  <c r="CI54" i="10"/>
  <c r="Z54" i="10"/>
  <c r="P26" i="14"/>
  <c r="P27" i="14"/>
  <c r="Z50" i="10"/>
  <c r="CI50" i="10" s="1"/>
  <c r="V51" i="12"/>
  <c r="CD51" i="12"/>
  <c r="V45" i="12"/>
  <c r="CD45" i="12" s="1"/>
  <c r="CI44" i="10"/>
  <c r="Z44" i="10"/>
  <c r="R12" i="1"/>
  <c r="Q29" i="1" s="1"/>
  <c r="S13" i="1"/>
  <c r="O31" i="14"/>
  <c r="U16" i="12"/>
  <c r="CC16" i="12" s="1"/>
  <c r="CH15" i="10"/>
  <c r="Y15" i="10"/>
  <c r="CJ53" i="10"/>
  <c r="U20" i="12"/>
  <c r="CC20" i="12" s="1"/>
  <c r="CH19" i="10"/>
  <c r="Y19" i="10"/>
  <c r="CC12" i="12"/>
  <c r="Y11" i="10"/>
  <c r="U12" i="12"/>
  <c r="CH11" i="10"/>
  <c r="CI23" i="10"/>
  <c r="Z23" i="10"/>
  <c r="V24" i="12"/>
  <c r="CD24" i="12" s="1"/>
  <c r="Y12" i="10"/>
  <c r="U13" i="12"/>
  <c r="CC13" i="12"/>
  <c r="CH12" i="10"/>
  <c r="V26" i="12"/>
  <c r="CD26" i="12"/>
  <c r="Z25" i="10"/>
  <c r="CI25" i="10"/>
  <c r="O33" i="14"/>
  <c r="V39" i="12"/>
  <c r="CD39" i="12" s="1"/>
  <c r="Z38" i="10"/>
  <c r="CI38" i="10"/>
  <c r="P23" i="14"/>
  <c r="P37" i="14"/>
  <c r="O35" i="14"/>
  <c r="V53" i="12"/>
  <c r="CD53" i="12"/>
  <c r="Z52" i="10"/>
  <c r="CI52" i="10"/>
  <c r="CI21" i="10"/>
  <c r="V22" i="12"/>
  <c r="Z21" i="10"/>
  <c r="CD22" i="12"/>
  <c r="V23" i="12"/>
  <c r="CD23" i="12"/>
  <c r="CI22" i="10"/>
  <c r="Z22" i="10"/>
  <c r="P25" i="1"/>
  <c r="P29" i="14"/>
  <c r="P33" i="14"/>
  <c r="V43" i="12"/>
  <c r="Z42" i="10"/>
  <c r="CD43" i="12"/>
  <c r="CI42" i="10"/>
  <c r="V34" i="12"/>
  <c r="CD34" i="12"/>
  <c r="CI33" i="10"/>
  <c r="Z33" i="10"/>
  <c r="P36" i="14"/>
  <c r="W42" i="12"/>
  <c r="CE42" i="12" s="1"/>
  <c r="AA41" i="10"/>
  <c r="CI37" i="10"/>
  <c r="V38" i="12"/>
  <c r="CD38" i="12"/>
  <c r="Z37" i="10"/>
  <c r="Z36" i="10"/>
  <c r="CI36" i="10"/>
  <c r="V37" i="12"/>
  <c r="CD37" i="12"/>
  <c r="P32" i="14"/>
  <c r="P35" i="14"/>
  <c r="P16" i="1"/>
  <c r="Q17" i="1" s="1"/>
  <c r="V35" i="12"/>
  <c r="CD35" i="12" s="1"/>
  <c r="Z34" i="10"/>
  <c r="CI34" i="10"/>
  <c r="V31" i="12"/>
  <c r="CD31" i="12" s="1"/>
  <c r="Z30" i="10"/>
  <c r="CI30" i="10"/>
  <c r="AB43" i="10"/>
  <c r="X44" i="12"/>
  <c r="CF44" i="12"/>
  <c r="U15" i="12"/>
  <c r="CC15" i="12" s="1"/>
  <c r="CH14" i="10"/>
  <c r="Y14" i="10"/>
  <c r="G25" i="13"/>
  <c r="H25" i="13" s="1"/>
  <c r="U14" i="12"/>
  <c r="CC14" i="12"/>
  <c r="CH13" i="10"/>
  <c r="Y13" i="10"/>
  <c r="CE50" i="12"/>
  <c r="W50" i="12"/>
  <c r="AA49" i="10"/>
  <c r="CJ49" i="10"/>
  <c r="Z46" i="10"/>
  <c r="CI46" i="10"/>
  <c r="V47" i="12"/>
  <c r="CD47" i="12" s="1"/>
  <c r="CI28" i="10"/>
  <c r="Z28" i="10"/>
  <c r="V29" i="12"/>
  <c r="CD29" i="12" s="1"/>
  <c r="P28" i="14"/>
  <c r="W161" i="14"/>
  <c r="X162" i="14"/>
  <c r="V57" i="12"/>
  <c r="CD57" i="12" s="1"/>
  <c r="Z56" i="10"/>
  <c r="CI56" i="10"/>
  <c r="Z26" i="10"/>
  <c r="V27" i="12"/>
  <c r="CD27" i="12"/>
  <c r="CI26" i="10"/>
  <c r="Z35" i="10"/>
  <c r="V36" i="12"/>
  <c r="CD36" i="12"/>
  <c r="CI35" i="10"/>
  <c r="CI41" i="10"/>
  <c r="C100" i="1"/>
  <c r="A101" i="1"/>
  <c r="B100" i="1"/>
  <c r="D100" i="1"/>
  <c r="E100" i="1"/>
  <c r="G100" i="1"/>
  <c r="F100" i="1"/>
  <c r="H100" i="1"/>
  <c r="I100" i="1"/>
  <c r="J100" i="1"/>
  <c r="K100" i="1"/>
  <c r="L100" i="1"/>
  <c r="M100" i="1"/>
  <c r="N100" i="1"/>
  <c r="O100" i="1"/>
  <c r="P100" i="1"/>
  <c r="Q100" i="1"/>
  <c r="R100" i="1"/>
  <c r="P32" i="1"/>
  <c r="P41" i="14" s="1"/>
  <c r="CH42" i="10"/>
  <c r="CH40" i="10"/>
  <c r="AA55" i="10"/>
  <c r="CJ55" i="10"/>
  <c r="W56" i="12"/>
  <c r="CE56" i="12"/>
  <c r="S100" i="1"/>
  <c r="W46" i="12"/>
  <c r="CE46" i="12" s="1"/>
  <c r="AA45" i="10"/>
  <c r="AB57" i="10"/>
  <c r="X58" i="12"/>
  <c r="CF58" i="12"/>
  <c r="S230" i="14"/>
  <c r="T231" i="14"/>
  <c r="R78" i="1"/>
  <c r="T101" i="1"/>
  <c r="V21" i="12"/>
  <c r="CD21" i="12" s="1"/>
  <c r="CI20" i="10"/>
  <c r="Z20" i="10"/>
  <c r="EC28" i="12"/>
  <c r="Z48" i="10"/>
  <c r="CI48" i="10"/>
  <c r="V49" i="12"/>
  <c r="CD49" i="12" s="1"/>
  <c r="V28" i="12"/>
  <c r="CD28" i="12" s="1"/>
  <c r="Z27" i="10"/>
  <c r="CI27" i="10"/>
  <c r="AB51" i="10"/>
  <c r="X52" i="12"/>
  <c r="CF52" i="12"/>
  <c r="CK51" i="10"/>
  <c r="CH32" i="10"/>
  <c r="Q38" i="14" l="1"/>
  <c r="Q26" i="14"/>
  <c r="X42" i="12"/>
  <c r="CF42" i="12" s="1"/>
  <c r="AB41" i="10"/>
  <c r="P34" i="14"/>
  <c r="V13" i="12"/>
  <c r="CD13" i="12"/>
  <c r="CI12" i="10"/>
  <c r="Z12" i="10"/>
  <c r="A34" i="1"/>
  <c r="C33" i="1"/>
  <c r="C42" i="14" s="1"/>
  <c r="B33" i="1"/>
  <c r="B42" i="14" s="1"/>
  <c r="D33" i="1"/>
  <c r="D42" i="14" s="1"/>
  <c r="E33" i="1"/>
  <c r="E42" i="14" s="1"/>
  <c r="F33" i="1"/>
  <c r="F42" i="14" s="1"/>
  <c r="F30" i="15" s="1"/>
  <c r="G33" i="1"/>
  <c r="G42" i="14" s="1"/>
  <c r="H33" i="1"/>
  <c r="H42" i="14" s="1"/>
  <c r="E30" i="15" s="1"/>
  <c r="I33" i="1"/>
  <c r="I42" i="14" s="1"/>
  <c r="J33" i="1"/>
  <c r="J42" i="14" s="1"/>
  <c r="D30" i="15" s="1"/>
  <c r="K33" i="1"/>
  <c r="K42" i="14" s="1"/>
  <c r="L33" i="1"/>
  <c r="L42" i="14" s="1"/>
  <c r="C30" i="15" s="1"/>
  <c r="M33" i="1"/>
  <c r="M42" i="14" s="1"/>
  <c r="N33" i="1"/>
  <c r="N42" i="14" s="1"/>
  <c r="O33" i="1"/>
  <c r="O42" i="14" s="1"/>
  <c r="P33" i="1"/>
  <c r="P42" i="14" s="1"/>
  <c r="Q26" i="1"/>
  <c r="CH59" i="12"/>
  <c r="AD58" i="10"/>
  <c r="CM58" i="10"/>
  <c r="Z59" i="12"/>
  <c r="V22" i="14"/>
  <c r="U21" i="14"/>
  <c r="X40" i="12"/>
  <c r="CF40" i="12" s="1"/>
  <c r="AB39" i="10"/>
  <c r="CJ29" i="10"/>
  <c r="W30" i="12"/>
  <c r="AA29" i="10"/>
  <c r="CE30" i="12"/>
  <c r="Q37" i="14"/>
  <c r="Q30" i="14"/>
  <c r="CJ31" i="10"/>
  <c r="AA31" i="10"/>
  <c r="W32" i="12"/>
  <c r="CE32" i="12"/>
  <c r="V19" i="12"/>
  <c r="CD19" i="12" s="1"/>
  <c r="CI18" i="10"/>
  <c r="Z18" i="10"/>
  <c r="Y44" i="12"/>
  <c r="CG44" i="12" s="1"/>
  <c r="AC43" i="10"/>
  <c r="X46" i="12"/>
  <c r="CF46" i="12" s="1"/>
  <c r="CK45" i="10"/>
  <c r="AB45" i="10"/>
  <c r="CJ56" i="10"/>
  <c r="AA56" i="10"/>
  <c r="W57" i="12"/>
  <c r="CE57" i="12"/>
  <c r="CJ36" i="10"/>
  <c r="AA36" i="10"/>
  <c r="W37" i="12"/>
  <c r="CE37" i="12" s="1"/>
  <c r="CI19" i="10"/>
  <c r="Z19" i="10"/>
  <c r="V20" i="12"/>
  <c r="CD20" i="12"/>
  <c r="W31" i="12"/>
  <c r="CE31" i="12" s="1"/>
  <c r="CJ30" i="10"/>
  <c r="AA30" i="10"/>
  <c r="CJ37" i="10"/>
  <c r="AA37" i="10"/>
  <c r="W38" i="12"/>
  <c r="CE38" i="12"/>
  <c r="W43" i="12"/>
  <c r="CE43" i="12" s="1"/>
  <c r="CJ42" i="10"/>
  <c r="AA42" i="10"/>
  <c r="CJ52" i="10"/>
  <c r="AA52" i="10"/>
  <c r="W53" i="12"/>
  <c r="CE53" i="12"/>
  <c r="W26" i="12"/>
  <c r="CE26" i="12" s="1"/>
  <c r="CJ25" i="10"/>
  <c r="AA25" i="10"/>
  <c r="W24" i="12"/>
  <c r="AA23" i="10"/>
  <c r="CE24" i="12"/>
  <c r="CJ23" i="10"/>
  <c r="AA54" i="10"/>
  <c r="CJ54" i="10" s="1"/>
  <c r="W55" i="12"/>
  <c r="CE55" i="12" s="1"/>
  <c r="Q20" i="1"/>
  <c r="CL58" i="10"/>
  <c r="AB59" i="10"/>
  <c r="X60" i="12"/>
  <c r="CF60" i="12" s="1"/>
  <c r="CK59" i="10"/>
  <c r="AB55" i="10"/>
  <c r="X56" i="12"/>
  <c r="CF56" i="12"/>
  <c r="X50" i="12"/>
  <c r="CF50" i="12"/>
  <c r="AB49" i="10"/>
  <c r="CK49" i="10" s="1"/>
  <c r="U231" i="14"/>
  <c r="T230" i="14"/>
  <c r="W36" i="12"/>
  <c r="CE36" i="12"/>
  <c r="AA35" i="10"/>
  <c r="Q14" i="1"/>
  <c r="Q24" i="1"/>
  <c r="CJ59" i="10"/>
  <c r="CJ40" i="10"/>
  <c r="AA40" i="10"/>
  <c r="W41" i="12"/>
  <c r="CE41" i="12" s="1"/>
  <c r="D25" i="13"/>
  <c r="ED28" i="12"/>
  <c r="W21" i="12"/>
  <c r="CE21" i="12" s="1"/>
  <c r="CJ20" i="10"/>
  <c r="AA20" i="10"/>
  <c r="CJ45" i="10"/>
  <c r="Y162" i="14"/>
  <c r="X161" i="14"/>
  <c r="CI13" i="10"/>
  <c r="Z13" i="10"/>
  <c r="V14" i="12"/>
  <c r="CD14" i="12" s="1"/>
  <c r="CJ33" i="10"/>
  <c r="W34" i="12"/>
  <c r="AA33" i="10"/>
  <c r="CE34" i="12"/>
  <c r="AA38" i="10"/>
  <c r="CJ38" i="10" s="1"/>
  <c r="W39" i="12"/>
  <c r="CE39" i="12" s="1"/>
  <c r="S12" i="1"/>
  <c r="T13" i="1"/>
  <c r="AB47" i="10"/>
  <c r="CK47" i="10"/>
  <c r="X48" i="12"/>
  <c r="CF48" i="12" s="1"/>
  <c r="Q19" i="1"/>
  <c r="Q18" i="1"/>
  <c r="EA31" i="12"/>
  <c r="B27" i="13"/>
  <c r="EB30" i="12"/>
  <c r="E27" i="13" s="1"/>
  <c r="EC30" i="12"/>
  <c r="W81" i="1"/>
  <c r="V80" i="1"/>
  <c r="B101" i="1"/>
  <c r="E101" i="1"/>
  <c r="A102" i="1"/>
  <c r="C101" i="1"/>
  <c r="D101" i="1"/>
  <c r="G101" i="1"/>
  <c r="F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CK43" i="10"/>
  <c r="R7" i="1"/>
  <c r="R34" i="1"/>
  <c r="R43" i="14" s="1"/>
  <c r="R22" i="1"/>
  <c r="R25" i="1"/>
  <c r="R30" i="1"/>
  <c r="R21" i="1"/>
  <c r="R26" i="1"/>
  <c r="R14" i="1"/>
  <c r="R23" i="1"/>
  <c r="R32" i="1"/>
  <c r="R41" i="14" s="1"/>
  <c r="R19" i="1"/>
  <c r="R17" i="1"/>
  <c r="R31" i="1"/>
  <c r="R40" i="14" s="1"/>
  <c r="R33" i="1"/>
  <c r="R42" i="14" s="1"/>
  <c r="R27" i="1"/>
  <c r="R18" i="1"/>
  <c r="R9" i="1"/>
  <c r="R8" i="1"/>
  <c r="AA50" i="10"/>
  <c r="W51" i="12"/>
  <c r="CE51" i="12" s="1"/>
  <c r="CJ50" i="10"/>
  <c r="AC53" i="10"/>
  <c r="Y54" i="12"/>
  <c r="CG54" i="12"/>
  <c r="Q22" i="1"/>
  <c r="Q16" i="1"/>
  <c r="Q23" i="1"/>
  <c r="R24" i="1" s="1"/>
  <c r="V17" i="12"/>
  <c r="CD17" i="12"/>
  <c r="CI16" i="10"/>
  <c r="Z16" i="10"/>
  <c r="S78" i="1"/>
  <c r="U102" i="1"/>
  <c r="Y58" i="12"/>
  <c r="CG58" i="12" s="1"/>
  <c r="AC57" i="10"/>
  <c r="CL57" i="10"/>
  <c r="CJ28" i="10"/>
  <c r="AA28" i="10"/>
  <c r="W29" i="12"/>
  <c r="CE29" i="12"/>
  <c r="CI14" i="10"/>
  <c r="Z14" i="10"/>
  <c r="V15" i="12"/>
  <c r="CD15" i="12"/>
  <c r="CJ22" i="10"/>
  <c r="AA22" i="10"/>
  <c r="W23" i="12"/>
  <c r="CE23" i="12" s="1"/>
  <c r="CK57" i="10"/>
  <c r="CJ21" i="10"/>
  <c r="AA21" i="10"/>
  <c r="W22" i="12"/>
  <c r="CE22" i="12"/>
  <c r="V16" i="12"/>
  <c r="CD16" i="12" s="1"/>
  <c r="CI15" i="10"/>
  <c r="Z15" i="10"/>
  <c r="W45" i="12"/>
  <c r="CE45" i="12"/>
  <c r="AA44" i="10"/>
  <c r="W25" i="12"/>
  <c r="CE25" i="12"/>
  <c r="CJ24" i="10"/>
  <c r="AA24" i="10"/>
  <c r="J31" i="15"/>
  <c r="R31" i="15"/>
  <c r="Q31" i="15"/>
  <c r="P31" i="15"/>
  <c r="K31" i="15"/>
  <c r="L31" i="15"/>
  <c r="I31" i="15"/>
  <c r="H32" i="15"/>
  <c r="O31" i="15"/>
  <c r="Q33" i="1"/>
  <c r="Q42" i="14" s="1"/>
  <c r="Q27" i="1"/>
  <c r="R28" i="1" s="1"/>
  <c r="V92" i="14"/>
  <c r="W93" i="14"/>
  <c r="AA32" i="10"/>
  <c r="W33" i="12"/>
  <c r="CE33" i="12"/>
  <c r="CJ32" i="10"/>
  <c r="G26" i="13"/>
  <c r="H26" i="13" s="1"/>
  <c r="CE28" i="12"/>
  <c r="W28" i="12"/>
  <c r="CJ27" i="10"/>
  <c r="AA27" i="10"/>
  <c r="P25" i="14"/>
  <c r="AC51" i="10"/>
  <c r="Y52" i="12"/>
  <c r="CG52" i="12" s="1"/>
  <c r="CL51" i="10"/>
  <c r="AA48" i="10"/>
  <c r="CJ48" i="10"/>
  <c r="W49" i="12"/>
  <c r="CE49" i="12"/>
  <c r="W27" i="12"/>
  <c r="CE27" i="12"/>
  <c r="CJ26" i="10"/>
  <c r="AA26" i="10"/>
  <c r="W47" i="12"/>
  <c r="CE47" i="12"/>
  <c r="AA46" i="10"/>
  <c r="W35" i="12"/>
  <c r="AA34" i="10"/>
  <c r="CE35" i="12"/>
  <c r="CJ41" i="10"/>
  <c r="CI11" i="10"/>
  <c r="V12" i="12"/>
  <c r="Z11" i="10"/>
  <c r="CD12" i="12"/>
  <c r="CJ39" i="10"/>
  <c r="Q15" i="1"/>
  <c r="Q25" i="1"/>
  <c r="P30" i="14"/>
  <c r="EC29" i="12"/>
  <c r="V18" i="12"/>
  <c r="CI17" i="10"/>
  <c r="CD18" i="12"/>
  <c r="Z17" i="10"/>
  <c r="R37" i="14" l="1"/>
  <c r="R33" i="14"/>
  <c r="Z54" i="12"/>
  <c r="AD53" i="10"/>
  <c r="CH54" i="12"/>
  <c r="CM53" i="10"/>
  <c r="R26" i="14"/>
  <c r="Q28" i="14"/>
  <c r="U230" i="14"/>
  <c r="V231" i="14"/>
  <c r="Y56" i="12"/>
  <c r="CG56" i="12" s="1"/>
  <c r="AC55" i="10"/>
  <c r="Y40" i="12"/>
  <c r="CG40" i="12" s="1"/>
  <c r="AC39" i="10"/>
  <c r="CL39" i="10"/>
  <c r="CG42" i="12"/>
  <c r="AC41" i="10"/>
  <c r="Y42" i="12"/>
  <c r="CK22" i="10"/>
  <c r="X23" i="12"/>
  <c r="AB22" i="10"/>
  <c r="CF23" i="12"/>
  <c r="R28" i="14"/>
  <c r="R34" i="14"/>
  <c r="T78" i="1"/>
  <c r="CJ13" i="10"/>
  <c r="AA13" i="10"/>
  <c r="W14" i="12"/>
  <c r="CE14" i="12" s="1"/>
  <c r="Q33" i="14"/>
  <c r="CK36" i="10"/>
  <c r="X37" i="12"/>
  <c r="CF37" i="12" s="1"/>
  <c r="AB36" i="10"/>
  <c r="Q35" i="14"/>
  <c r="C34" i="1"/>
  <c r="C43" i="14" s="1"/>
  <c r="B34" i="1"/>
  <c r="B43" i="14" s="1"/>
  <c r="A35" i="1"/>
  <c r="D34" i="1"/>
  <c r="D43" i="14" s="1"/>
  <c r="E34" i="1"/>
  <c r="E43" i="14" s="1"/>
  <c r="F34" i="1"/>
  <c r="F43" i="14" s="1"/>
  <c r="F31" i="15" s="1"/>
  <c r="G34" i="1"/>
  <c r="G43" i="14" s="1"/>
  <c r="H34" i="1"/>
  <c r="H43" i="14" s="1"/>
  <c r="E31" i="15" s="1"/>
  <c r="I34" i="1"/>
  <c r="I43" i="14" s="1"/>
  <c r="J34" i="1"/>
  <c r="J43" i="14" s="1"/>
  <c r="D31" i="15" s="1"/>
  <c r="K34" i="1"/>
  <c r="K43" i="14" s="1"/>
  <c r="L34" i="1"/>
  <c r="L43" i="14" s="1"/>
  <c r="C31" i="15" s="1"/>
  <c r="M34" i="1"/>
  <c r="M43" i="14" s="1"/>
  <c r="N34" i="1"/>
  <c r="N43" i="14" s="1"/>
  <c r="O34" i="1"/>
  <c r="O43" i="14" s="1"/>
  <c r="P34" i="1"/>
  <c r="P43" i="14" s="1"/>
  <c r="Q34" i="1"/>
  <c r="Q43" i="14" s="1"/>
  <c r="CK41" i="10"/>
  <c r="Q32" i="14"/>
  <c r="R23" i="14"/>
  <c r="R31" i="14"/>
  <c r="W80" i="1"/>
  <c r="X81" i="1"/>
  <c r="X39" i="12"/>
  <c r="CF39" i="12"/>
  <c r="AB38" i="10"/>
  <c r="CK38" i="10"/>
  <c r="Q23" i="14"/>
  <c r="Y50" i="12"/>
  <c r="CG50" i="12"/>
  <c r="AC49" i="10"/>
  <c r="CL49" i="10"/>
  <c r="AB54" i="10"/>
  <c r="X55" i="12"/>
  <c r="CF55" i="12" s="1"/>
  <c r="CK54" i="10"/>
  <c r="CJ12" i="10"/>
  <c r="AA12" i="10"/>
  <c r="W13" i="12"/>
  <c r="CE13" i="12" s="1"/>
  <c r="Q24" i="14"/>
  <c r="W12" i="12"/>
  <c r="CJ11" i="10"/>
  <c r="CE12" i="12"/>
  <c r="AA11" i="10"/>
  <c r="R35" i="14"/>
  <c r="D27" i="13"/>
  <c r="ED30" i="12"/>
  <c r="AB35" i="10"/>
  <c r="CK35" i="10" s="1"/>
  <c r="X36" i="12"/>
  <c r="CF36" i="12" s="1"/>
  <c r="Y60" i="12"/>
  <c r="CG60" i="12"/>
  <c r="AC59" i="10"/>
  <c r="AD43" i="10"/>
  <c r="CM43" i="10"/>
  <c r="Z44" i="12"/>
  <c r="CH44" i="12"/>
  <c r="D26" i="13"/>
  <c r="ED29" i="12"/>
  <c r="Q31" i="14"/>
  <c r="R36" i="14"/>
  <c r="R30" i="14"/>
  <c r="Y48" i="12"/>
  <c r="CG48" i="12"/>
  <c r="AC47" i="10"/>
  <c r="CK33" i="10"/>
  <c r="AB33" i="10"/>
  <c r="X34" i="12"/>
  <c r="CF34" i="12"/>
  <c r="Y161" i="14"/>
  <c r="Z162" i="14"/>
  <c r="CL43" i="10"/>
  <c r="X30" i="12"/>
  <c r="CF30" i="12" s="1"/>
  <c r="CK29" i="10"/>
  <c r="AB29" i="10"/>
  <c r="W22" i="14"/>
  <c r="V21" i="14"/>
  <c r="Z52" i="12"/>
  <c r="CH52" i="12" s="1"/>
  <c r="AD51" i="10"/>
  <c r="CM51" i="10" s="1"/>
  <c r="X47" i="12"/>
  <c r="CF47" i="12" s="1"/>
  <c r="AB46" i="10"/>
  <c r="AB44" i="10"/>
  <c r="X45" i="12"/>
  <c r="CF45" i="12" s="1"/>
  <c r="R32" i="14"/>
  <c r="AB27" i="10"/>
  <c r="X28" i="12"/>
  <c r="CF28" i="12" s="1"/>
  <c r="CK27" i="10"/>
  <c r="X33" i="12"/>
  <c r="CF33" i="12" s="1"/>
  <c r="CK32" i="10"/>
  <c r="AB32" i="10"/>
  <c r="CJ44" i="10"/>
  <c r="CK21" i="10"/>
  <c r="X22" i="12"/>
  <c r="CF22" i="12" s="1"/>
  <c r="AB21" i="10"/>
  <c r="Z58" i="12"/>
  <c r="CH58" i="12" s="1"/>
  <c r="AD57" i="10"/>
  <c r="CL53" i="10"/>
  <c r="R20" i="1"/>
  <c r="G27" i="13"/>
  <c r="H27" i="13" s="1"/>
  <c r="T12" i="1"/>
  <c r="S20" i="1" s="1"/>
  <c r="U13" i="1"/>
  <c r="AB40" i="10"/>
  <c r="CK40" i="10" s="1"/>
  <c r="X41" i="12"/>
  <c r="CF41" i="12"/>
  <c r="CK55" i="10"/>
  <c r="X24" i="12"/>
  <c r="CF24" i="12"/>
  <c r="CK23" i="10"/>
  <c r="AB23" i="10"/>
  <c r="X53" i="12"/>
  <c r="CF53" i="12"/>
  <c r="AB52" i="10"/>
  <c r="CK52" i="10"/>
  <c r="AB37" i="10"/>
  <c r="X38" i="12"/>
  <c r="CF38" i="12" s="1"/>
  <c r="CK37" i="10"/>
  <c r="CJ19" i="10"/>
  <c r="AA19" i="10"/>
  <c r="W20" i="12"/>
  <c r="CE20" i="12"/>
  <c r="X57" i="12"/>
  <c r="CF57" i="12"/>
  <c r="AB56" i="10"/>
  <c r="CK56" i="10"/>
  <c r="CK31" i="10"/>
  <c r="X32" i="12"/>
  <c r="AB31" i="10"/>
  <c r="CF32" i="12"/>
  <c r="Q36" i="14"/>
  <c r="X51" i="12"/>
  <c r="CF51" i="12" s="1"/>
  <c r="AB50" i="10"/>
  <c r="X49" i="12"/>
  <c r="CF49" i="12"/>
  <c r="AB48" i="10"/>
  <c r="W92" i="14"/>
  <c r="X93" i="14"/>
  <c r="CJ16" i="10"/>
  <c r="AA16" i="10"/>
  <c r="W17" i="12"/>
  <c r="CE17" i="12"/>
  <c r="R27" i="14"/>
  <c r="R15" i="1"/>
  <c r="R39" i="14"/>
  <c r="B102" i="1"/>
  <c r="D102" i="1"/>
  <c r="C102" i="1"/>
  <c r="A103" i="1"/>
  <c r="V103" i="1" s="1"/>
  <c r="G102" i="1"/>
  <c r="E102" i="1"/>
  <c r="F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EA32" i="12"/>
  <c r="B28" i="13"/>
  <c r="G28" i="13" s="1"/>
  <c r="H28" i="13" s="1"/>
  <c r="EB31" i="12"/>
  <c r="E28" i="13" s="1"/>
  <c r="S28" i="1"/>
  <c r="S24" i="1"/>
  <c r="S34" i="1"/>
  <c r="S43" i="14" s="1"/>
  <c r="S26" i="1"/>
  <c r="S33" i="1"/>
  <c r="S42" i="14" s="1"/>
  <c r="S22" i="1"/>
  <c r="S14" i="1"/>
  <c r="S32" i="1"/>
  <c r="S41" i="14" s="1"/>
  <c r="S23" i="1"/>
  <c r="S16" i="1"/>
  <c r="S15" i="1"/>
  <c r="S35" i="1"/>
  <c r="S44" i="14" s="1"/>
  <c r="S7" i="1"/>
  <c r="S27" i="1"/>
  <c r="S30" i="1"/>
  <c r="S19" i="1"/>
  <c r="S18" i="1"/>
  <c r="S8" i="1"/>
  <c r="S9" i="1"/>
  <c r="X21" i="12"/>
  <c r="CF21" i="12" s="1"/>
  <c r="CK20" i="10"/>
  <c r="AB20" i="10"/>
  <c r="CJ35" i="10"/>
  <c r="Q29" i="14"/>
  <c r="W18" i="12"/>
  <c r="CE18" i="12"/>
  <c r="CJ17" i="10"/>
  <c r="AA17" i="10"/>
  <c r="CK34" i="10"/>
  <c r="AB34" i="10"/>
  <c r="X35" i="12"/>
  <c r="CF35" i="12"/>
  <c r="X29" i="12"/>
  <c r="CF29" i="12"/>
  <c r="CK28" i="10"/>
  <c r="AB28" i="10"/>
  <c r="Q25" i="14"/>
  <c r="CJ46" i="10"/>
  <c r="CJ14" i="10"/>
  <c r="AA14" i="10"/>
  <c r="W15" i="12"/>
  <c r="CE15" i="12"/>
  <c r="Q34" i="14"/>
  <c r="CJ34" i="10"/>
  <c r="AB26" i="10"/>
  <c r="X27" i="12"/>
  <c r="CF27" i="12" s="1"/>
  <c r="CK26" i="10"/>
  <c r="L32" i="15"/>
  <c r="O32" i="15"/>
  <c r="R32" i="15"/>
  <c r="Q32" i="15"/>
  <c r="I32" i="15"/>
  <c r="J32" i="15"/>
  <c r="K32" i="15"/>
  <c r="H33" i="15"/>
  <c r="P32" i="15"/>
  <c r="CK24" i="10"/>
  <c r="AB24" i="10"/>
  <c r="X25" i="12"/>
  <c r="CF25" i="12" s="1"/>
  <c r="CE16" i="12"/>
  <c r="W16" i="12"/>
  <c r="CJ15" i="10"/>
  <c r="AA15" i="10"/>
  <c r="R16" i="1"/>
  <c r="R29" i="1"/>
  <c r="Q27" i="14"/>
  <c r="CK25" i="10"/>
  <c r="AB25" i="10"/>
  <c r="X26" i="12"/>
  <c r="CF26" i="12" s="1"/>
  <c r="X43" i="12"/>
  <c r="CF43" i="12" s="1"/>
  <c r="AB42" i="10"/>
  <c r="CK42" i="10"/>
  <c r="CK30" i="10"/>
  <c r="AB30" i="10"/>
  <c r="X31" i="12"/>
  <c r="CF31" i="12" s="1"/>
  <c r="AC45" i="10"/>
  <c r="CL45" i="10"/>
  <c r="Y46" i="12"/>
  <c r="CG46" i="12" s="1"/>
  <c r="CE19" i="12"/>
  <c r="W19" i="12"/>
  <c r="CJ18" i="10"/>
  <c r="AA18" i="10"/>
  <c r="CK39" i="10"/>
  <c r="AA59" i="12"/>
  <c r="CI59" i="12"/>
  <c r="AE58" i="10"/>
  <c r="CN58" i="10"/>
  <c r="S29" i="14" l="1"/>
  <c r="R29" i="14"/>
  <c r="Y45" i="12"/>
  <c r="CG45" i="12" s="1"/>
  <c r="AC44" i="10"/>
  <c r="AA162" i="14"/>
  <c r="Z161" i="14"/>
  <c r="Z42" i="12"/>
  <c r="CH42" i="12"/>
  <c r="AD41" i="10"/>
  <c r="CM41" i="10" s="1"/>
  <c r="AB59" i="12"/>
  <c r="CJ59" i="12" s="1"/>
  <c r="AF58" i="10"/>
  <c r="CO58" i="10"/>
  <c r="S21" i="1"/>
  <c r="AC31" i="10"/>
  <c r="Y32" i="12"/>
  <c r="CG32" i="12" s="1"/>
  <c r="CL31" i="10"/>
  <c r="Y28" i="12"/>
  <c r="CG28" i="12" s="1"/>
  <c r="CL27" i="10"/>
  <c r="AC27" i="10"/>
  <c r="Y47" i="12"/>
  <c r="CG47" i="12"/>
  <c r="AC46" i="10"/>
  <c r="CF13" i="12"/>
  <c r="AB12" i="10"/>
  <c r="X13" i="12"/>
  <c r="CK12" i="10"/>
  <c r="Z50" i="12"/>
  <c r="CH50" i="12"/>
  <c r="AD49" i="10"/>
  <c r="C35" i="1"/>
  <c r="C44" i="14" s="1"/>
  <c r="B35" i="1"/>
  <c r="B44" i="14" s="1"/>
  <c r="A36" i="1"/>
  <c r="D35" i="1"/>
  <c r="D44" i="14" s="1"/>
  <c r="E35" i="1"/>
  <c r="E44" i="14" s="1"/>
  <c r="F35" i="1"/>
  <c r="F44" i="14" s="1"/>
  <c r="F32" i="15" s="1"/>
  <c r="G35" i="1"/>
  <c r="G44" i="14" s="1"/>
  <c r="H35" i="1"/>
  <c r="H44" i="14" s="1"/>
  <c r="E32" i="15" s="1"/>
  <c r="I35" i="1"/>
  <c r="I44" i="14" s="1"/>
  <c r="J35" i="1"/>
  <c r="J44" i="14" s="1"/>
  <c r="D32" i="15" s="1"/>
  <c r="K35" i="1"/>
  <c r="K44" i="14" s="1"/>
  <c r="L35" i="1"/>
  <c r="L44" i="14" s="1"/>
  <c r="C32" i="15" s="1"/>
  <c r="M35" i="1"/>
  <c r="M44" i="14" s="1"/>
  <c r="N35" i="1"/>
  <c r="N44" i="14" s="1"/>
  <c r="O35" i="1"/>
  <c r="O44" i="14" s="1"/>
  <c r="P35" i="1"/>
  <c r="P44" i="14" s="1"/>
  <c r="Q35" i="1"/>
  <c r="Q44" i="14" s="1"/>
  <c r="R35" i="1"/>
  <c r="R44" i="14" s="1"/>
  <c r="S27" i="14"/>
  <c r="S31" i="14"/>
  <c r="S37" i="14"/>
  <c r="X17" i="12"/>
  <c r="CF17" i="12" s="1"/>
  <c r="CK16" i="10"/>
  <c r="AB16" i="10"/>
  <c r="AC50" i="10"/>
  <c r="Y51" i="12"/>
  <c r="CG51" i="12" s="1"/>
  <c r="CL50" i="10"/>
  <c r="X20" i="12"/>
  <c r="CF20" i="12" s="1"/>
  <c r="CK19" i="10"/>
  <c r="AB19" i="10"/>
  <c r="AA58" i="12"/>
  <c r="CI58" i="12" s="1"/>
  <c r="CN57" i="10"/>
  <c r="AE57" i="10"/>
  <c r="X22" i="14"/>
  <c r="W21" i="14"/>
  <c r="CK11" i="10"/>
  <c r="AB11" i="10"/>
  <c r="X12" i="12"/>
  <c r="CF12" i="12"/>
  <c r="X80" i="1"/>
  <c r="Y81" i="1"/>
  <c r="W231" i="14"/>
  <c r="V230" i="14"/>
  <c r="AE53" i="10"/>
  <c r="AA54" i="12"/>
  <c r="CI54" i="12" s="1"/>
  <c r="CN53" i="10"/>
  <c r="CL28" i="10"/>
  <c r="Y29" i="12"/>
  <c r="CG29" i="12" s="1"/>
  <c r="AC28" i="10"/>
  <c r="Y25" i="12"/>
  <c r="AC24" i="10"/>
  <c r="CG25" i="12"/>
  <c r="CL24" i="10"/>
  <c r="R38" i="14"/>
  <c r="X15" i="12"/>
  <c r="CF15" i="12" s="1"/>
  <c r="CK14" i="10"/>
  <c r="AB14" i="10"/>
  <c r="S28" i="14"/>
  <c r="S36" i="14"/>
  <c r="S24" i="14"/>
  <c r="S31" i="1"/>
  <c r="CG33" i="12"/>
  <c r="CL32" i="10"/>
  <c r="AC32" i="10"/>
  <c r="Y33" i="12"/>
  <c r="CK46" i="10"/>
  <c r="CL29" i="10"/>
  <c r="AC29" i="10"/>
  <c r="Y30" i="12"/>
  <c r="CG30" i="12"/>
  <c r="U78" i="1"/>
  <c r="CL22" i="10"/>
  <c r="AC22" i="10"/>
  <c r="Y23" i="12"/>
  <c r="CG23" i="12"/>
  <c r="Z40" i="12"/>
  <c r="CM39" i="10"/>
  <c r="CH40" i="12"/>
  <c r="AD39" i="10"/>
  <c r="S23" i="14"/>
  <c r="S33" i="14"/>
  <c r="AD45" i="10"/>
  <c r="Z46" i="12"/>
  <c r="CH46" i="12" s="1"/>
  <c r="S25" i="14"/>
  <c r="Y93" i="14"/>
  <c r="X92" i="14"/>
  <c r="CL23" i="10"/>
  <c r="Y24" i="12"/>
  <c r="CG24" i="12" s="1"/>
  <c r="AC23" i="10"/>
  <c r="Y41" i="12"/>
  <c r="CG41" i="12"/>
  <c r="AC40" i="10"/>
  <c r="CL40" i="10"/>
  <c r="Y34" i="12"/>
  <c r="CG34" i="12"/>
  <c r="CL33" i="10"/>
  <c r="AC33" i="10"/>
  <c r="Y36" i="12"/>
  <c r="CG36" i="12"/>
  <c r="CL35" i="10"/>
  <c r="AC35" i="10"/>
  <c r="CK17" i="10"/>
  <c r="X18" i="12"/>
  <c r="CF18" i="12" s="1"/>
  <c r="AB17" i="10"/>
  <c r="S39" i="14"/>
  <c r="R33" i="15"/>
  <c r="H34" i="15"/>
  <c r="Q33" i="15"/>
  <c r="O33" i="15"/>
  <c r="J33" i="15"/>
  <c r="K33" i="15"/>
  <c r="I33" i="15"/>
  <c r="L33" i="15"/>
  <c r="P33" i="15"/>
  <c r="R25" i="14"/>
  <c r="X19" i="12"/>
  <c r="CF19" i="12" s="1"/>
  <c r="AB18" i="10"/>
  <c r="CK18" i="10"/>
  <c r="CF16" i="12"/>
  <c r="CK15" i="10"/>
  <c r="X16" i="12"/>
  <c r="AB15" i="10"/>
  <c r="Y27" i="12"/>
  <c r="CG27" i="12" s="1"/>
  <c r="CL26" i="10"/>
  <c r="AC26" i="10"/>
  <c r="S29" i="1"/>
  <c r="S17" i="1"/>
  <c r="EC31" i="12"/>
  <c r="R24" i="14"/>
  <c r="CK50" i="10"/>
  <c r="AC56" i="10"/>
  <c r="CL56" i="10" s="1"/>
  <c r="Y57" i="12"/>
  <c r="CG57" i="12" s="1"/>
  <c r="U12" i="1"/>
  <c r="V13" i="1"/>
  <c r="CM57" i="10"/>
  <c r="AA44" i="12"/>
  <c r="CI44" i="12" s="1"/>
  <c r="AE43" i="10"/>
  <c r="AC52" i="10"/>
  <c r="Y53" i="12"/>
  <c r="CG53" i="12"/>
  <c r="Y43" i="12"/>
  <c r="CG43" i="12"/>
  <c r="AC42" i="10"/>
  <c r="CL42" i="10"/>
  <c r="S32" i="14"/>
  <c r="B29" i="13"/>
  <c r="G29" i="13" s="1"/>
  <c r="H29" i="13" s="1"/>
  <c r="EB32" i="12"/>
  <c r="E29" i="13" s="1"/>
  <c r="EA33" i="12"/>
  <c r="T33" i="1"/>
  <c r="T42" i="14" s="1"/>
  <c r="T21" i="1"/>
  <c r="T22" i="1"/>
  <c r="T32" i="1"/>
  <c r="T19" i="1"/>
  <c r="T29" i="1"/>
  <c r="T24" i="1"/>
  <c r="T14" i="1"/>
  <c r="T25" i="1"/>
  <c r="T23" i="1"/>
  <c r="T15" i="1"/>
  <c r="T7" i="1"/>
  <c r="T27" i="1"/>
  <c r="T31" i="1"/>
  <c r="T36" i="1"/>
  <c r="T45" i="14" s="1"/>
  <c r="T20" i="1"/>
  <c r="T16" i="1"/>
  <c r="T28" i="1"/>
  <c r="T17" i="1"/>
  <c r="T35" i="1"/>
  <c r="T44" i="14" s="1"/>
  <c r="T34" i="1"/>
  <c r="T43" i="14" s="1"/>
  <c r="T8" i="1"/>
  <c r="T9" i="1"/>
  <c r="CN51" i="10"/>
  <c r="AA52" i="12"/>
  <c r="CI52" i="12" s="1"/>
  <c r="AE51" i="10"/>
  <c r="AD47" i="10"/>
  <c r="CM47" i="10"/>
  <c r="Z48" i="12"/>
  <c r="CH48" i="12"/>
  <c r="Z60" i="12"/>
  <c r="CH60" i="12"/>
  <c r="AD59" i="10"/>
  <c r="AC36" i="10"/>
  <c r="Y37" i="12"/>
  <c r="CG37" i="12" s="1"/>
  <c r="CL36" i="10"/>
  <c r="CK13" i="10"/>
  <c r="X14" i="12"/>
  <c r="CF14" i="12" s="1"/>
  <c r="AB13" i="10"/>
  <c r="CL41" i="10"/>
  <c r="Z56" i="12"/>
  <c r="CH56" i="12"/>
  <c r="AD55" i="10"/>
  <c r="CM55" i="10" s="1"/>
  <c r="Y35" i="12"/>
  <c r="CG35" i="12" s="1"/>
  <c r="CL34" i="10"/>
  <c r="AC34" i="10"/>
  <c r="S35" i="14"/>
  <c r="Y49" i="12"/>
  <c r="CG49" i="12" s="1"/>
  <c r="CL48" i="10"/>
  <c r="AC48" i="10"/>
  <c r="Y31" i="12"/>
  <c r="CG31" i="12"/>
  <c r="CL30" i="10"/>
  <c r="AC30" i="10"/>
  <c r="Y26" i="12"/>
  <c r="CL25" i="10"/>
  <c r="CG26" i="12"/>
  <c r="AC25" i="10"/>
  <c r="CL20" i="10"/>
  <c r="AC20" i="10"/>
  <c r="Y21" i="12"/>
  <c r="CG21" i="12" s="1"/>
  <c r="S25" i="1"/>
  <c r="B103" i="1"/>
  <c r="D103" i="1"/>
  <c r="E103" i="1"/>
  <c r="C103" i="1"/>
  <c r="A104" i="1"/>
  <c r="W104" i="1" s="1"/>
  <c r="G103" i="1"/>
  <c r="F103" i="1"/>
  <c r="H103" i="1"/>
  <c r="I103" i="1"/>
  <c r="J103" i="1"/>
  <c r="K103" i="1"/>
  <c r="L103" i="1"/>
  <c r="M103" i="1"/>
  <c r="N103" i="1"/>
  <c r="O103" i="1"/>
  <c r="P103" i="1"/>
  <c r="Q103" i="1"/>
  <c r="R103" i="1"/>
  <c r="S103" i="1"/>
  <c r="T103" i="1"/>
  <c r="U103" i="1"/>
  <c r="CK48" i="10"/>
  <c r="Y38" i="12"/>
  <c r="AC37" i="10"/>
  <c r="CL37" i="10" s="1"/>
  <c r="CG38" i="12"/>
  <c r="AC21" i="10"/>
  <c r="Y22" i="12"/>
  <c r="CG22" i="12"/>
  <c r="CL21" i="10"/>
  <c r="CK44" i="10"/>
  <c r="CL47" i="10"/>
  <c r="CL59" i="10"/>
  <c r="Y55" i="12"/>
  <c r="CG55" i="12" s="1"/>
  <c r="AC54" i="10"/>
  <c r="AC38" i="10"/>
  <c r="CL38" i="10"/>
  <c r="Y39" i="12"/>
  <c r="CG39" i="12" s="1"/>
  <c r="CL55" i="10"/>
  <c r="Z55" i="12" l="1"/>
  <c r="CH55" i="12"/>
  <c r="AD54" i="10"/>
  <c r="CM54" i="10"/>
  <c r="Z22" i="12"/>
  <c r="CH22" i="12"/>
  <c r="CM21" i="10"/>
  <c r="AD21" i="10"/>
  <c r="CM25" i="10"/>
  <c r="Z26" i="12"/>
  <c r="AD25" i="10"/>
  <c r="CH26" i="12"/>
  <c r="Z49" i="12"/>
  <c r="CH49" i="12" s="1"/>
  <c r="AD48" i="10"/>
  <c r="AA60" i="12"/>
  <c r="CI60" i="12"/>
  <c r="AE59" i="10"/>
  <c r="CN59" i="10"/>
  <c r="T24" i="14"/>
  <c r="T31" i="14"/>
  <c r="Z53" i="12"/>
  <c r="CH53" i="12"/>
  <c r="AD52" i="10"/>
  <c r="S26" i="14"/>
  <c r="W230" i="14"/>
  <c r="X231" i="14"/>
  <c r="X21" i="14"/>
  <c r="Y22" i="14"/>
  <c r="AD44" i="10"/>
  <c r="Z45" i="12"/>
  <c r="CH45" i="12"/>
  <c r="CM44" i="10"/>
  <c r="T30" i="14"/>
  <c r="AB44" i="12"/>
  <c r="CJ44" i="12"/>
  <c r="AF43" i="10"/>
  <c r="CO43" i="10"/>
  <c r="S38" i="14"/>
  <c r="AE45" i="10"/>
  <c r="AA46" i="12"/>
  <c r="CI46" i="12" s="1"/>
  <c r="Z81" i="1"/>
  <c r="Y80" i="1"/>
  <c r="AF57" i="10"/>
  <c r="AB58" i="12"/>
  <c r="CJ58" i="12" s="1"/>
  <c r="CO57" i="10"/>
  <c r="AE49" i="10"/>
  <c r="AA50" i="12"/>
  <c r="CI50" i="12" s="1"/>
  <c r="CH47" i="12"/>
  <c r="Z47" i="12"/>
  <c r="AD46" i="10"/>
  <c r="T32" i="14"/>
  <c r="T26" i="14"/>
  <c r="T30" i="1"/>
  <c r="T34" i="14"/>
  <c r="CH43" i="12"/>
  <c r="AD42" i="10"/>
  <c r="CM42" i="10"/>
  <c r="Z43" i="12"/>
  <c r="AD26" i="10"/>
  <c r="Z27" i="12"/>
  <c r="CH27" i="12" s="1"/>
  <c r="CM26" i="10"/>
  <c r="CM45" i="10"/>
  <c r="V78" i="1"/>
  <c r="CM49" i="10"/>
  <c r="CL46" i="10"/>
  <c r="CL44" i="10"/>
  <c r="T37" i="14"/>
  <c r="T29" i="14"/>
  <c r="T23" i="14"/>
  <c r="EA34" i="12"/>
  <c r="EB33" i="12"/>
  <c r="E30" i="13" s="1"/>
  <c r="B30" i="13"/>
  <c r="G30" i="13" s="1"/>
  <c r="H30" i="13" s="1"/>
  <c r="EC33" i="12"/>
  <c r="Z57" i="12"/>
  <c r="AD56" i="10"/>
  <c r="CM56" i="10" s="1"/>
  <c r="CH57" i="12"/>
  <c r="Y19" i="12"/>
  <c r="CG19" i="12" s="1"/>
  <c r="AC18" i="10"/>
  <c r="CL18" i="10"/>
  <c r="Q34" i="15"/>
  <c r="O34" i="15"/>
  <c r="K34" i="15"/>
  <c r="R34" i="15"/>
  <c r="J34" i="15"/>
  <c r="P34" i="15"/>
  <c r="L34" i="15"/>
  <c r="H35" i="15"/>
  <c r="I34" i="15"/>
  <c r="Z36" i="12"/>
  <c r="CH36" i="12" s="1"/>
  <c r="AD35" i="10"/>
  <c r="CM35" i="10"/>
  <c r="CH33" i="12"/>
  <c r="Z33" i="12"/>
  <c r="CM32" i="10"/>
  <c r="AD32" i="10"/>
  <c r="AE41" i="10"/>
  <c r="CN41" i="10"/>
  <c r="AA42" i="12"/>
  <c r="CI42" i="12"/>
  <c r="T33" i="14"/>
  <c r="EC32" i="12"/>
  <c r="CN43" i="10"/>
  <c r="Z41" i="12"/>
  <c r="CH41" i="12" s="1"/>
  <c r="AD40" i="10"/>
  <c r="Z93" i="14"/>
  <c r="Y92" i="14"/>
  <c r="AD50" i="10"/>
  <c r="CM50" i="10" s="1"/>
  <c r="Z51" i="12"/>
  <c r="CH51" i="12" s="1"/>
  <c r="CM31" i="10"/>
  <c r="AD31" i="10"/>
  <c r="Z32" i="12"/>
  <c r="CH32" i="12" s="1"/>
  <c r="S34" i="14"/>
  <c r="AA56" i="12"/>
  <c r="CI56" i="12" s="1"/>
  <c r="AE55" i="10"/>
  <c r="Z37" i="12"/>
  <c r="CH37" i="12" s="1"/>
  <c r="CM36" i="10"/>
  <c r="AD36" i="10"/>
  <c r="T25" i="14"/>
  <c r="T40" i="14"/>
  <c r="T38" i="14"/>
  <c r="Z23" i="12"/>
  <c r="CH23" i="12"/>
  <c r="CM22" i="10"/>
  <c r="AD22" i="10"/>
  <c r="CL14" i="10"/>
  <c r="AC14" i="10"/>
  <c r="Y15" i="12"/>
  <c r="CG15" i="12"/>
  <c r="CM24" i="10"/>
  <c r="Z25" i="12"/>
  <c r="CH25" i="12" s="1"/>
  <c r="AD24" i="10"/>
  <c r="CL11" i="10"/>
  <c r="AC11" i="10"/>
  <c r="Y12" i="12"/>
  <c r="CG12" i="12"/>
  <c r="Y20" i="12"/>
  <c r="CG20" i="12" s="1"/>
  <c r="CL19" i="10"/>
  <c r="AC19" i="10"/>
  <c r="Z28" i="12"/>
  <c r="CH28" i="12"/>
  <c r="AD27" i="10"/>
  <c r="CM27" i="10"/>
  <c r="S30" i="14"/>
  <c r="CL54" i="10"/>
  <c r="CM34" i="10"/>
  <c r="AD34" i="10"/>
  <c r="Z35" i="12"/>
  <c r="CH35" i="12"/>
  <c r="AA48" i="12"/>
  <c r="CI48" i="12" s="1"/>
  <c r="CN47" i="10"/>
  <c r="AE47" i="10"/>
  <c r="T36" i="14"/>
  <c r="T28" i="14"/>
  <c r="V12" i="1"/>
  <c r="W13" i="1"/>
  <c r="CG16" i="12"/>
  <c r="CL15" i="10"/>
  <c r="Y16" i="12"/>
  <c r="AC15" i="10"/>
  <c r="S40" i="14"/>
  <c r="AF53" i="10"/>
  <c r="CO53" i="10" s="1"/>
  <c r="AB54" i="12"/>
  <c r="CJ54" i="12" s="1"/>
  <c r="CL16" i="10"/>
  <c r="AC16" i="10"/>
  <c r="Y17" i="12"/>
  <c r="CG17" i="12"/>
  <c r="B36" i="1"/>
  <c r="B45" i="14" s="1"/>
  <c r="C36" i="1"/>
  <c r="C45" i="14" s="1"/>
  <c r="A37" i="1"/>
  <c r="D36" i="1"/>
  <c r="D45" i="14" s="1"/>
  <c r="E36" i="1"/>
  <c r="E45" i="14" s="1"/>
  <c r="F36" i="1"/>
  <c r="F45" i="14" s="1"/>
  <c r="F33" i="15" s="1"/>
  <c r="G36" i="1"/>
  <c r="G45" i="14" s="1"/>
  <c r="H36" i="1"/>
  <c r="H45" i="14" s="1"/>
  <c r="E33" i="15" s="1"/>
  <c r="I36" i="1"/>
  <c r="I45" i="14" s="1"/>
  <c r="J36" i="1"/>
  <c r="J45" i="14" s="1"/>
  <c r="D33" i="15" s="1"/>
  <c r="K36" i="1"/>
  <c r="K45" i="14" s="1"/>
  <c r="L36" i="1"/>
  <c r="L45" i="14" s="1"/>
  <c r="C33" i="15" s="1"/>
  <c r="M36" i="1"/>
  <c r="M45" i="14" s="1"/>
  <c r="N36" i="1"/>
  <c r="N45" i="14" s="1"/>
  <c r="O36" i="1"/>
  <c r="O45" i="14" s="1"/>
  <c r="P36" i="1"/>
  <c r="P45" i="14" s="1"/>
  <c r="Q36" i="1"/>
  <c r="Q45" i="14" s="1"/>
  <c r="R36" i="1"/>
  <c r="R45" i="14" s="1"/>
  <c r="S36" i="1"/>
  <c r="S45" i="14" s="1"/>
  <c r="AD37" i="10"/>
  <c r="Z38" i="12"/>
  <c r="CH38" i="12" s="1"/>
  <c r="Z31" i="12"/>
  <c r="CH31" i="12"/>
  <c r="CM30" i="10"/>
  <c r="AD30" i="10"/>
  <c r="Z39" i="12"/>
  <c r="AD38" i="10"/>
  <c r="CM38" i="10" s="1"/>
  <c r="CH39" i="12"/>
  <c r="Z21" i="12"/>
  <c r="CH21" i="12" s="1"/>
  <c r="CM20" i="10"/>
  <c r="AD20" i="10"/>
  <c r="A105" i="1"/>
  <c r="C104" i="1"/>
  <c r="D104" i="1"/>
  <c r="B104" i="1"/>
  <c r="G104" i="1"/>
  <c r="E104" i="1"/>
  <c r="F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Y14" i="12"/>
  <c r="CG14" i="12" s="1"/>
  <c r="CL13" i="10"/>
  <c r="AC13" i="10"/>
  <c r="CM59" i="10"/>
  <c r="AF51" i="10"/>
  <c r="CO51" i="10"/>
  <c r="AB52" i="12"/>
  <c r="CJ52" i="12" s="1"/>
  <c r="T18" i="1"/>
  <c r="T26" i="1"/>
  <c r="T41" i="14"/>
  <c r="CL52" i="10"/>
  <c r="U35" i="1"/>
  <c r="U44" i="14" s="1"/>
  <c r="U30" i="1"/>
  <c r="U31" i="1"/>
  <c r="U21" i="1"/>
  <c r="U15" i="1"/>
  <c r="U24" i="1"/>
  <c r="U16" i="1"/>
  <c r="U26" i="1"/>
  <c r="U20" i="1"/>
  <c r="U17" i="1"/>
  <c r="U7" i="1"/>
  <c r="U33" i="1"/>
  <c r="U23" i="1"/>
  <c r="U37" i="1"/>
  <c r="U46" i="14" s="1"/>
  <c r="U36" i="1"/>
  <c r="U45" i="14" s="1"/>
  <c r="U19" i="1"/>
  <c r="U29" i="1"/>
  <c r="U27" i="1"/>
  <c r="U14" i="1"/>
  <c r="U28" i="1"/>
  <c r="U22" i="1"/>
  <c r="U32" i="1"/>
  <c r="U34" i="1"/>
  <c r="U43" i="14" s="1"/>
  <c r="U25" i="1"/>
  <c r="U18" i="1"/>
  <c r="U9" i="1"/>
  <c r="U8" i="1"/>
  <c r="ED31" i="12"/>
  <c r="D28" i="13"/>
  <c r="Y18" i="12"/>
  <c r="CG18" i="12" s="1"/>
  <c r="CL17" i="10"/>
  <c r="AC17" i="10"/>
  <c r="CM33" i="10"/>
  <c r="AD33" i="10"/>
  <c r="Z34" i="12"/>
  <c r="CH34" i="12"/>
  <c r="CH24" i="12"/>
  <c r="CM23" i="10"/>
  <c r="AD23" i="10"/>
  <c r="Z24" i="12"/>
  <c r="AA40" i="12"/>
  <c r="CI40" i="12"/>
  <c r="AE39" i="10"/>
  <c r="Z30" i="12"/>
  <c r="CH30" i="12" s="1"/>
  <c r="CM29" i="10"/>
  <c r="AD29" i="10"/>
  <c r="CH29" i="12"/>
  <c r="Z29" i="12"/>
  <c r="CM28" i="10"/>
  <c r="AD28" i="10"/>
  <c r="Y13" i="12"/>
  <c r="CG13" i="12"/>
  <c r="CL12" i="10"/>
  <c r="AC12" i="10"/>
  <c r="AG58" i="10"/>
  <c r="CP58" i="10"/>
  <c r="AC59" i="12"/>
  <c r="CK59" i="12" s="1"/>
  <c r="AA161" i="14"/>
  <c r="AB162" i="14"/>
  <c r="U30" i="14" l="1"/>
  <c r="T27" i="14"/>
  <c r="CN20" i="10"/>
  <c r="AE20" i="10"/>
  <c r="AA21" i="12"/>
  <c r="CI21" i="12"/>
  <c r="AA31" i="12"/>
  <c r="CI31" i="12"/>
  <c r="CN30" i="10"/>
  <c r="AE30" i="10"/>
  <c r="C37" i="1"/>
  <c r="C46" i="14" s="1"/>
  <c r="A38" i="1"/>
  <c r="B37" i="1"/>
  <c r="B46" i="14" s="1"/>
  <c r="D37" i="1"/>
  <c r="D46" i="14" s="1"/>
  <c r="E37" i="1"/>
  <c r="E46" i="14" s="1"/>
  <c r="F37" i="1"/>
  <c r="F46" i="14" s="1"/>
  <c r="F34" i="15" s="1"/>
  <c r="G37" i="1"/>
  <c r="G46" i="14" s="1"/>
  <c r="H37" i="1"/>
  <c r="H46" i="14" s="1"/>
  <c r="E34" i="15" s="1"/>
  <c r="I37" i="1"/>
  <c r="I46" i="14" s="1"/>
  <c r="J37" i="1"/>
  <c r="J46" i="14" s="1"/>
  <c r="D34" i="15" s="1"/>
  <c r="K37" i="1"/>
  <c r="K46" i="14" s="1"/>
  <c r="L37" i="1"/>
  <c r="L46" i="14" s="1"/>
  <c r="C34" i="15" s="1"/>
  <c r="M37" i="1"/>
  <c r="M46" i="14" s="1"/>
  <c r="N37" i="1"/>
  <c r="N46" i="14" s="1"/>
  <c r="O37" i="1"/>
  <c r="O46" i="14" s="1"/>
  <c r="P37" i="1"/>
  <c r="P46" i="14" s="1"/>
  <c r="Q37" i="1"/>
  <c r="Q46" i="14" s="1"/>
  <c r="R37" i="1"/>
  <c r="R46" i="14" s="1"/>
  <c r="S37" i="1"/>
  <c r="S46" i="14" s="1"/>
  <c r="T37" i="1"/>
  <c r="T46" i="14" s="1"/>
  <c r="CN36" i="10"/>
  <c r="AE36" i="10"/>
  <c r="AA37" i="12"/>
  <c r="CI37" i="12" s="1"/>
  <c r="CN32" i="10"/>
  <c r="AE32" i="10"/>
  <c r="AA33" i="12"/>
  <c r="CI33" i="12" s="1"/>
  <c r="B31" i="13"/>
  <c r="EB34" i="12"/>
  <c r="E31" i="13" s="1"/>
  <c r="EA35" i="12"/>
  <c r="AA47" i="12"/>
  <c r="CI47" i="12"/>
  <c r="AE46" i="10"/>
  <c r="CN46" i="10"/>
  <c r="AB46" i="12"/>
  <c r="CJ46" i="12" s="1"/>
  <c r="AF45" i="10"/>
  <c r="Y231" i="14"/>
  <c r="X230" i="14"/>
  <c r="AE48" i="10"/>
  <c r="CN48" i="10"/>
  <c r="AA49" i="12"/>
  <c r="CI49" i="12"/>
  <c r="AA22" i="12"/>
  <c r="CI22" i="12"/>
  <c r="CN21" i="10"/>
  <c r="AE21" i="10"/>
  <c r="AC162" i="14"/>
  <c r="AB161" i="14"/>
  <c r="U26" i="14"/>
  <c r="U40" i="14"/>
  <c r="X13" i="1"/>
  <c r="W12" i="1"/>
  <c r="AA51" i="12"/>
  <c r="CI51" i="12"/>
  <c r="AE50" i="10"/>
  <c r="CN50" i="10"/>
  <c r="D29" i="13"/>
  <c r="ED32" i="12"/>
  <c r="CN45" i="10"/>
  <c r="U27" i="14"/>
  <c r="U37" i="14"/>
  <c r="U29" i="14"/>
  <c r="U39" i="14"/>
  <c r="AC54" i="12"/>
  <c r="CK54" i="12" s="1"/>
  <c r="AG53" i="10"/>
  <c r="V37" i="1"/>
  <c r="V46" i="14" s="1"/>
  <c r="V23" i="1"/>
  <c r="V34" i="1"/>
  <c r="V31" i="1"/>
  <c r="V22" i="1"/>
  <c r="V33" i="1"/>
  <c r="V18" i="1"/>
  <c r="V15" i="1"/>
  <c r="V16" i="1"/>
  <c r="V36" i="1"/>
  <c r="V45" i="14" s="1"/>
  <c r="V17" i="1"/>
  <c r="V35" i="1"/>
  <c r="V44" i="14" s="1"/>
  <c r="V27" i="1"/>
  <c r="V38" i="1"/>
  <c r="V47" i="14" s="1"/>
  <c r="V7" i="1"/>
  <c r="V20" i="1"/>
  <c r="V24" i="1"/>
  <c r="V25" i="1"/>
  <c r="V28" i="1"/>
  <c r="V9" i="1"/>
  <c r="V8" i="1"/>
  <c r="CM46" i="10"/>
  <c r="U35" i="14"/>
  <c r="AG51" i="10"/>
  <c r="AC52" i="12"/>
  <c r="CK52" i="12" s="1"/>
  <c r="CP51" i="10"/>
  <c r="AA28" i="12"/>
  <c r="CI28" i="12"/>
  <c r="CN27" i="10"/>
  <c r="AE27" i="10"/>
  <c r="AA93" i="14"/>
  <c r="Z92" i="14"/>
  <c r="CN56" i="10"/>
  <c r="AA57" i="12"/>
  <c r="CI57" i="12" s="1"/>
  <c r="AE56" i="10"/>
  <c r="T39" i="14"/>
  <c r="AC58" i="12"/>
  <c r="CK58" i="12"/>
  <c r="AG57" i="10"/>
  <c r="CP57" i="10"/>
  <c r="CM48" i="10"/>
  <c r="CO39" i="10"/>
  <c r="AF39" i="10"/>
  <c r="AB40" i="12"/>
  <c r="CJ40" i="12" s="1"/>
  <c r="U34" i="14"/>
  <c r="U28" i="14"/>
  <c r="AH58" i="10"/>
  <c r="CQ58" i="10" s="1"/>
  <c r="AD59" i="12"/>
  <c r="CL59" i="12"/>
  <c r="CN39" i="10"/>
  <c r="AE33" i="10"/>
  <c r="AA34" i="12"/>
  <c r="CI34" i="12" s="1"/>
  <c r="CN33" i="10"/>
  <c r="U23" i="14"/>
  <c r="U25" i="14"/>
  <c r="Z12" i="12"/>
  <c r="CH12" i="12"/>
  <c r="CM11" i="10"/>
  <c r="AD11" i="10"/>
  <c r="AD14" i="10"/>
  <c r="Z15" i="12"/>
  <c r="CH15" i="12" s="1"/>
  <c r="CM14" i="10"/>
  <c r="AA32" i="12"/>
  <c r="CI32" i="12"/>
  <c r="CN31" i="10"/>
  <c r="AE31" i="10"/>
  <c r="AA41" i="12"/>
  <c r="CI41" i="12"/>
  <c r="AE40" i="10"/>
  <c r="CN40" i="10"/>
  <c r="CN26" i="10"/>
  <c r="AE26" i="10"/>
  <c r="AA27" i="12"/>
  <c r="CI27" i="12"/>
  <c r="W78" i="1"/>
  <c r="AA53" i="12"/>
  <c r="CI53" i="12"/>
  <c r="AE52" i="10"/>
  <c r="CN52" i="10"/>
  <c r="U41" i="14"/>
  <c r="U36" i="14"/>
  <c r="Z17" i="12"/>
  <c r="CH17" i="12"/>
  <c r="CM16" i="10"/>
  <c r="AD16" i="10"/>
  <c r="CM15" i="10"/>
  <c r="AD15" i="10"/>
  <c r="Z16" i="12"/>
  <c r="CH16" i="12"/>
  <c r="AA35" i="12"/>
  <c r="CI35" i="12"/>
  <c r="CN34" i="10"/>
  <c r="AE34" i="10"/>
  <c r="AF55" i="10"/>
  <c r="AB56" i="12"/>
  <c r="CO55" i="10"/>
  <c r="CJ56" i="12"/>
  <c r="O35" i="15"/>
  <c r="L35" i="15"/>
  <c r="J35" i="15"/>
  <c r="R35" i="15"/>
  <c r="K35" i="15"/>
  <c r="Q35" i="15"/>
  <c r="P35" i="15"/>
  <c r="H36" i="15"/>
  <c r="I35" i="15"/>
  <c r="D30" i="13"/>
  <c r="ED33" i="12"/>
  <c r="AB50" i="12"/>
  <c r="CJ50" i="12" s="1"/>
  <c r="AF49" i="10"/>
  <c r="CO49" i="10"/>
  <c r="AA81" i="1"/>
  <c r="Z80" i="1"/>
  <c r="AG43" i="10"/>
  <c r="CP43" i="10"/>
  <c r="AC44" i="12"/>
  <c r="CK44" i="12" s="1"/>
  <c r="AE44" i="10"/>
  <c r="CN44" i="10" s="1"/>
  <c r="AA45" i="12"/>
  <c r="CI45" i="12"/>
  <c r="AF59" i="10"/>
  <c r="CO59" i="10"/>
  <c r="AB60" i="12"/>
  <c r="CJ60" i="12" s="1"/>
  <c r="AA26" i="12"/>
  <c r="CI26" i="12" s="1"/>
  <c r="CN25" i="10"/>
  <c r="AE25" i="10"/>
  <c r="AE54" i="10"/>
  <c r="CN54" i="10"/>
  <c r="CI55" i="12"/>
  <c r="AA55" i="12"/>
  <c r="Z13" i="12"/>
  <c r="AD12" i="10"/>
  <c r="CH13" i="12"/>
  <c r="CM12" i="10"/>
  <c r="AA30" i="12"/>
  <c r="CI30" i="12"/>
  <c r="CN29" i="10"/>
  <c r="AE29" i="10"/>
  <c r="CH18" i="12"/>
  <c r="CM17" i="10"/>
  <c r="AD17" i="10"/>
  <c r="Z18" i="12"/>
  <c r="U32" i="14"/>
  <c r="U33" i="14"/>
  <c r="CH14" i="12"/>
  <c r="CM13" i="10"/>
  <c r="AD13" i="10"/>
  <c r="Z14" i="12"/>
  <c r="CN38" i="10"/>
  <c r="AA39" i="12"/>
  <c r="CI39" i="12"/>
  <c r="AE38" i="10"/>
  <c r="AA38" i="12"/>
  <c r="CI38" i="12" s="1"/>
  <c r="CN37" i="10"/>
  <c r="AE37" i="10"/>
  <c r="AD19" i="10"/>
  <c r="Z20" i="12"/>
  <c r="CH20" i="12"/>
  <c r="CM19" i="10"/>
  <c r="AA23" i="12"/>
  <c r="CI23" i="12" s="1"/>
  <c r="CN22" i="10"/>
  <c r="AE22" i="10"/>
  <c r="CM40" i="10"/>
  <c r="AA36" i="12"/>
  <c r="CI36" i="12"/>
  <c r="CN35" i="10"/>
  <c r="AE35" i="10"/>
  <c r="Z19" i="12"/>
  <c r="CH19" i="12"/>
  <c r="CM18" i="10"/>
  <c r="AD18" i="10"/>
  <c r="CN49" i="10"/>
  <c r="Z22" i="14"/>
  <c r="Y21" i="14"/>
  <c r="CI29" i="12"/>
  <c r="CN28" i="10"/>
  <c r="AE28" i="10"/>
  <c r="AA29" i="12"/>
  <c r="CI24" i="12"/>
  <c r="CN23" i="10"/>
  <c r="AE23" i="10"/>
  <c r="AA24" i="12"/>
  <c r="U31" i="14"/>
  <c r="U38" i="14"/>
  <c r="U42" i="14"/>
  <c r="U24" i="14"/>
  <c r="T35" i="14"/>
  <c r="A106" i="1"/>
  <c r="Y106" i="1" s="1"/>
  <c r="C105" i="1"/>
  <c r="B105" i="1"/>
  <c r="D105" i="1"/>
  <c r="E105" i="1"/>
  <c r="G105" i="1"/>
  <c r="F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T105" i="1"/>
  <c r="U105" i="1"/>
  <c r="V105" i="1"/>
  <c r="W105" i="1"/>
  <c r="CM37" i="10"/>
  <c r="AB48" i="12"/>
  <c r="CJ48" i="12"/>
  <c r="AF47" i="10"/>
  <c r="CO47" i="10" s="1"/>
  <c r="CI25" i="12"/>
  <c r="CN24" i="10"/>
  <c r="AE24" i="10"/>
  <c r="AA25" i="12"/>
  <c r="CN55" i="10"/>
  <c r="AB42" i="12"/>
  <c r="AF41" i="10"/>
  <c r="CJ42" i="12"/>
  <c r="CO41" i="10"/>
  <c r="X105" i="1"/>
  <c r="AA43" i="12"/>
  <c r="CI43" i="12" s="1"/>
  <c r="AE42" i="10"/>
  <c r="CN42" i="10" s="1"/>
  <c r="CM52" i="10"/>
  <c r="J36" i="15" l="1"/>
  <c r="P36" i="15"/>
  <c r="I36" i="15"/>
  <c r="O36" i="15"/>
  <c r="K36" i="15"/>
  <c r="H37" i="15"/>
  <c r="R36" i="15"/>
  <c r="Q36" i="15"/>
  <c r="L36" i="15"/>
  <c r="AB27" i="12"/>
  <c r="CJ27" i="12"/>
  <c r="CO26" i="10"/>
  <c r="AF26" i="10"/>
  <c r="V34" i="14"/>
  <c r="V25" i="14"/>
  <c r="V40" i="14"/>
  <c r="AH53" i="10"/>
  <c r="AD54" i="12"/>
  <c r="CL54" i="12"/>
  <c r="AB34" i="12"/>
  <c r="CJ34" i="12"/>
  <c r="CO33" i="10"/>
  <c r="AF33" i="10"/>
  <c r="CQ57" i="10"/>
  <c r="AD58" i="12"/>
  <c r="CL58" i="12"/>
  <c r="AH57" i="10"/>
  <c r="V24" i="14"/>
  <c r="V43" i="14"/>
  <c r="AC161" i="14"/>
  <c r="AD162" i="14"/>
  <c r="AF48" i="10"/>
  <c r="CO48" i="10"/>
  <c r="AB49" i="12"/>
  <c r="CJ49" i="12"/>
  <c r="CO46" i="10"/>
  <c r="AB47" i="12"/>
  <c r="CJ47" i="12" s="1"/>
  <c r="AF46" i="10"/>
  <c r="AF32" i="10"/>
  <c r="AB33" i="12"/>
  <c r="CJ33" i="12"/>
  <c r="CO32" i="10"/>
  <c r="Z21" i="14"/>
  <c r="AA22" i="14"/>
  <c r="AA19" i="12"/>
  <c r="CI19" i="12" s="1"/>
  <c r="CN18" i="10"/>
  <c r="AE18" i="10"/>
  <c r="AA20" i="12"/>
  <c r="CI20" i="12"/>
  <c r="CN19" i="10"/>
  <c r="AE19" i="10"/>
  <c r="AB55" i="12"/>
  <c r="CJ55" i="12" s="1"/>
  <c r="AF54" i="10"/>
  <c r="CO54" i="10"/>
  <c r="AC60" i="12"/>
  <c r="CK60" i="12"/>
  <c r="AG59" i="10"/>
  <c r="AD44" i="12"/>
  <c r="CL44" i="12" s="1"/>
  <c r="AH43" i="10"/>
  <c r="CQ43" i="10"/>
  <c r="CN15" i="10"/>
  <c r="AE15" i="10"/>
  <c r="AA16" i="12"/>
  <c r="CI16" i="12"/>
  <c r="AD52" i="12"/>
  <c r="CL52" i="12" s="1"/>
  <c r="AH51" i="10"/>
  <c r="V33" i="14"/>
  <c r="V27" i="14"/>
  <c r="W38" i="1"/>
  <c r="W47" i="14" s="1"/>
  <c r="W37" i="1"/>
  <c r="W46" i="14" s="1"/>
  <c r="W7" i="1"/>
  <c r="W36" i="1"/>
  <c r="W45" i="14" s="1"/>
  <c r="W9" i="1"/>
  <c r="W8" i="1"/>
  <c r="AB22" i="12"/>
  <c r="CJ22" i="12" s="1"/>
  <c r="CO21" i="10"/>
  <c r="AF21" i="10"/>
  <c r="B38" i="1"/>
  <c r="B47" i="14" s="1"/>
  <c r="A39" i="1"/>
  <c r="W39" i="1" s="1"/>
  <c r="W48" i="14" s="1"/>
  <c r="C38" i="1"/>
  <c r="C47" i="14" s="1"/>
  <c r="D38" i="1"/>
  <c r="D47" i="14" s="1"/>
  <c r="E38" i="1"/>
  <c r="E47" i="14" s="1"/>
  <c r="F38" i="1"/>
  <c r="F47" i="14" s="1"/>
  <c r="F35" i="15" s="1"/>
  <c r="G38" i="1"/>
  <c r="G47" i="14" s="1"/>
  <c r="H38" i="1"/>
  <c r="H47" i="14" s="1"/>
  <c r="E35" i="15" s="1"/>
  <c r="I38" i="1"/>
  <c r="I47" i="14" s="1"/>
  <c r="J38" i="1"/>
  <c r="J47" i="14" s="1"/>
  <c r="D35" i="15" s="1"/>
  <c r="K38" i="1"/>
  <c r="K47" i="14" s="1"/>
  <c r="L38" i="1"/>
  <c r="L47" i="14" s="1"/>
  <c r="C35" i="15" s="1"/>
  <c r="M38" i="1"/>
  <c r="M47" i="14" s="1"/>
  <c r="N38" i="1"/>
  <c r="N47" i="14" s="1"/>
  <c r="O38" i="1"/>
  <c r="O47" i="14" s="1"/>
  <c r="P38" i="1"/>
  <c r="P47" i="14" s="1"/>
  <c r="Q38" i="1"/>
  <c r="Q47" i="14" s="1"/>
  <c r="R38" i="1"/>
  <c r="R47" i="14" s="1"/>
  <c r="S38" i="1"/>
  <c r="S47" i="14" s="1"/>
  <c r="T38" i="1"/>
  <c r="T47" i="14" s="1"/>
  <c r="U38" i="1"/>
  <c r="U47" i="14" s="1"/>
  <c r="CO20" i="10"/>
  <c r="AF20" i="10"/>
  <c r="AB21" i="12"/>
  <c r="CJ21" i="12"/>
  <c r="CP41" i="10"/>
  <c r="AG41" i="10"/>
  <c r="AC42" i="12"/>
  <c r="CK42" i="12" s="1"/>
  <c r="AB23" i="12"/>
  <c r="CJ23" i="12" s="1"/>
  <c r="CO22" i="10"/>
  <c r="AF22" i="10"/>
  <c r="AB38" i="12"/>
  <c r="CJ38" i="12" s="1"/>
  <c r="CO37" i="10"/>
  <c r="AF37" i="10"/>
  <c r="CO25" i="10"/>
  <c r="AF25" i="10"/>
  <c r="AB26" i="12"/>
  <c r="CJ26" i="12"/>
  <c r="X78" i="1"/>
  <c r="AG55" i="10"/>
  <c r="AC56" i="12"/>
  <c r="CK56" i="12" s="1"/>
  <c r="CJ41" i="12"/>
  <c r="AF40" i="10"/>
  <c r="AB41" i="12"/>
  <c r="AB93" i="14"/>
  <c r="AA92" i="14"/>
  <c r="V29" i="14"/>
  <c r="V36" i="14"/>
  <c r="V32" i="1"/>
  <c r="V19" i="1"/>
  <c r="X12" i="1"/>
  <c r="W24" i="1" s="1"/>
  <c r="Y13" i="1"/>
  <c r="Y230" i="14"/>
  <c r="Z231" i="14"/>
  <c r="AA14" i="12"/>
  <c r="CI14" i="12" s="1"/>
  <c r="AE13" i="10"/>
  <c r="CN13" i="10"/>
  <c r="AE17" i="10"/>
  <c r="AA18" i="12"/>
  <c r="CI18" i="12"/>
  <c r="CN17" i="10"/>
  <c r="AB81" i="1"/>
  <c r="AA80" i="1"/>
  <c r="CO34" i="10"/>
  <c r="AF34" i="10"/>
  <c r="AB35" i="12"/>
  <c r="CJ35" i="12" s="1"/>
  <c r="CN16" i="10"/>
  <c r="AE16" i="10"/>
  <c r="AA17" i="12"/>
  <c r="CI17" i="12" s="1"/>
  <c r="AB28" i="12"/>
  <c r="CJ28" i="12"/>
  <c r="CO27" i="10"/>
  <c r="AF27" i="10"/>
  <c r="V42" i="14"/>
  <c r="V32" i="14"/>
  <c r="AG45" i="10"/>
  <c r="AC46" i="12"/>
  <c r="CK46" i="12" s="1"/>
  <c r="CP45" i="10"/>
  <c r="EB35" i="12"/>
  <c r="E32" i="13" s="1"/>
  <c r="EA36" i="12"/>
  <c r="B32" i="13"/>
  <c r="G32" i="13" s="1"/>
  <c r="H32" i="13" s="1"/>
  <c r="CO30" i="10"/>
  <c r="AF30" i="10"/>
  <c r="AB31" i="12"/>
  <c r="CJ31" i="12"/>
  <c r="AF23" i="10"/>
  <c r="AB24" i="12"/>
  <c r="CJ24" i="12"/>
  <c r="CO23" i="10"/>
  <c r="AB43" i="12"/>
  <c r="CJ43" i="12"/>
  <c r="AF42" i="10"/>
  <c r="CO42" i="10"/>
  <c r="AF28" i="10"/>
  <c r="AB29" i="12"/>
  <c r="CJ29" i="12"/>
  <c r="CO28" i="10"/>
  <c r="AE12" i="10"/>
  <c r="AA13" i="12"/>
  <c r="CI13" i="12" s="1"/>
  <c r="CN12" i="10"/>
  <c r="AF52" i="10"/>
  <c r="CO52" i="10" s="1"/>
  <c r="AB53" i="12"/>
  <c r="CJ53" i="12"/>
  <c r="AA15" i="12"/>
  <c r="CI15" i="12"/>
  <c r="CN14" i="10"/>
  <c r="AE14" i="10"/>
  <c r="CP39" i="10"/>
  <c r="AG39" i="10"/>
  <c r="AC40" i="12"/>
  <c r="CK40" i="12"/>
  <c r="V29" i="1"/>
  <c r="V21" i="1"/>
  <c r="V30" i="1"/>
  <c r="EC34" i="12"/>
  <c r="AF36" i="10"/>
  <c r="AB37" i="12"/>
  <c r="CJ37" i="12"/>
  <c r="CO36" i="10"/>
  <c r="A107" i="1"/>
  <c r="Z107" i="1" s="1"/>
  <c r="B106" i="1"/>
  <c r="C106" i="1"/>
  <c r="D106" i="1"/>
  <c r="E106" i="1"/>
  <c r="G106" i="1"/>
  <c r="F106" i="1"/>
  <c r="H106" i="1"/>
  <c r="I106" i="1"/>
  <c r="J106" i="1"/>
  <c r="K106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AB25" i="12"/>
  <c r="CJ25" i="12"/>
  <c r="CO24" i="10"/>
  <c r="AF24" i="10"/>
  <c r="AB36" i="12"/>
  <c r="CJ36" i="12" s="1"/>
  <c r="CO35" i="10"/>
  <c r="AF35" i="10"/>
  <c r="AF44" i="10"/>
  <c r="CO44" i="10" s="1"/>
  <c r="AB45" i="12"/>
  <c r="CJ45" i="12" s="1"/>
  <c r="AB32" i="12"/>
  <c r="CJ32" i="12" s="1"/>
  <c r="CO31" i="10"/>
  <c r="AF31" i="10"/>
  <c r="CN11" i="10"/>
  <c r="AE11" i="10"/>
  <c r="AA12" i="12"/>
  <c r="CI12" i="12" s="1"/>
  <c r="AI58" i="10"/>
  <c r="CR58" i="10"/>
  <c r="AE59" i="12"/>
  <c r="CM59" i="12" s="1"/>
  <c r="AB57" i="12"/>
  <c r="CJ57" i="12" s="1"/>
  <c r="AF56" i="10"/>
  <c r="V37" i="14"/>
  <c r="V26" i="14"/>
  <c r="V31" i="14"/>
  <c r="AC48" i="12"/>
  <c r="CK48" i="12" s="1"/>
  <c r="CP47" i="10"/>
  <c r="AG47" i="10"/>
  <c r="AB39" i="12"/>
  <c r="CJ39" i="12" s="1"/>
  <c r="CO38" i="10"/>
  <c r="AF38" i="10"/>
  <c r="CO29" i="10"/>
  <c r="AF29" i="10"/>
  <c r="AB30" i="12"/>
  <c r="CJ30" i="12" s="1"/>
  <c r="AG49" i="10"/>
  <c r="CP49" i="10" s="1"/>
  <c r="AC50" i="12"/>
  <c r="CK50" i="12"/>
  <c r="V26" i="1"/>
  <c r="V14" i="1"/>
  <c r="CP53" i="10"/>
  <c r="AB51" i="12"/>
  <c r="CJ51" i="12"/>
  <c r="AF50" i="10"/>
  <c r="CO45" i="10"/>
  <c r="G31" i="13"/>
  <c r="H31" i="13" s="1"/>
  <c r="W33" i="14" l="1"/>
  <c r="AC51" i="12"/>
  <c r="CK51" i="12" s="1"/>
  <c r="AG50" i="10"/>
  <c r="Y78" i="1"/>
  <c r="AC41" i="12"/>
  <c r="AG40" i="10"/>
  <c r="CK41" i="12"/>
  <c r="AC38" i="12"/>
  <c r="CK38" i="12"/>
  <c r="CP37" i="10"/>
  <c r="AG37" i="10"/>
  <c r="W35" i="1"/>
  <c r="W29" i="1"/>
  <c r="AE54" i="12"/>
  <c r="CM54" i="12"/>
  <c r="AI53" i="10"/>
  <c r="EC35" i="12"/>
  <c r="AB80" i="1"/>
  <c r="AC81" i="1"/>
  <c r="W14" i="1"/>
  <c r="W17" i="1"/>
  <c r="W23" i="1"/>
  <c r="AD60" i="12"/>
  <c r="CL60" i="12"/>
  <c r="AH59" i="10"/>
  <c r="CO19" i="10"/>
  <c r="AF19" i="10"/>
  <c r="AB20" i="12"/>
  <c r="CJ20" i="12" s="1"/>
  <c r="AB22" i="14"/>
  <c r="AA21" i="14"/>
  <c r="CP33" i="10"/>
  <c r="AG33" i="10"/>
  <c r="AC34" i="12"/>
  <c r="CK34" i="12" s="1"/>
  <c r="AD48" i="12"/>
  <c r="CL48" i="12" s="1"/>
  <c r="AH47" i="10"/>
  <c r="CQ47" i="10"/>
  <c r="AF59" i="12"/>
  <c r="AJ58" i="10"/>
  <c r="CS58" i="10" s="1"/>
  <c r="CN59" i="12"/>
  <c r="AD40" i="12"/>
  <c r="CL40" i="12" s="1"/>
  <c r="CQ39" i="10"/>
  <c r="AH39" i="10"/>
  <c r="EA37" i="12"/>
  <c r="B33" i="13"/>
  <c r="G33" i="13" s="1"/>
  <c r="H33" i="13" s="1"/>
  <c r="EB36" i="12"/>
  <c r="E33" i="13" s="1"/>
  <c r="AF16" i="10"/>
  <c r="AB17" i="12"/>
  <c r="CJ17" i="12" s="1"/>
  <c r="CO16" i="10"/>
  <c r="Z230" i="14"/>
  <c r="AA231" i="14"/>
  <c r="AH41" i="10"/>
  <c r="CQ41" i="10"/>
  <c r="AD42" i="12"/>
  <c r="CL42" i="12" s="1"/>
  <c r="W25" i="1"/>
  <c r="W22" i="1"/>
  <c r="W19" i="1"/>
  <c r="CP59" i="10"/>
  <c r="Q37" i="15"/>
  <c r="O37" i="15"/>
  <c r="J37" i="15"/>
  <c r="H38" i="15"/>
  <c r="L37" i="15"/>
  <c r="R37" i="15"/>
  <c r="K37" i="15"/>
  <c r="P37" i="15"/>
  <c r="I37" i="15"/>
  <c r="B39" i="1"/>
  <c r="B48" i="14" s="1"/>
  <c r="C39" i="1"/>
  <c r="C48" i="14" s="1"/>
  <c r="A40" i="1"/>
  <c r="D39" i="1"/>
  <c r="D48" i="14" s="1"/>
  <c r="E39" i="1"/>
  <c r="E48" i="14" s="1"/>
  <c r="F39" i="1"/>
  <c r="F48" i="14" s="1"/>
  <c r="F36" i="15" s="1"/>
  <c r="G39" i="1"/>
  <c r="G48" i="14" s="1"/>
  <c r="H39" i="1"/>
  <c r="H48" i="14" s="1"/>
  <c r="E36" i="15" s="1"/>
  <c r="I39" i="1"/>
  <c r="I48" i="14" s="1"/>
  <c r="J39" i="1"/>
  <c r="J48" i="14" s="1"/>
  <c r="D36" i="15" s="1"/>
  <c r="K39" i="1"/>
  <c r="K48" i="14" s="1"/>
  <c r="L39" i="1"/>
  <c r="L48" i="14" s="1"/>
  <c r="C36" i="15" s="1"/>
  <c r="M39" i="1"/>
  <c r="M48" i="14" s="1"/>
  <c r="N39" i="1"/>
  <c r="N48" i="14" s="1"/>
  <c r="O39" i="1"/>
  <c r="O48" i="14" s="1"/>
  <c r="P39" i="1"/>
  <c r="P48" i="14" s="1"/>
  <c r="Q39" i="1"/>
  <c r="Q48" i="14" s="1"/>
  <c r="R39" i="1"/>
  <c r="R48" i="14" s="1"/>
  <c r="S39" i="1"/>
  <c r="S48" i="14" s="1"/>
  <c r="T39" i="1"/>
  <c r="T48" i="14" s="1"/>
  <c r="U39" i="1"/>
  <c r="U48" i="14" s="1"/>
  <c r="V39" i="1"/>
  <c r="V48" i="14" s="1"/>
  <c r="W27" i="1"/>
  <c r="AB16" i="12"/>
  <c r="CJ16" i="12"/>
  <c r="CO15" i="10"/>
  <c r="AF15" i="10"/>
  <c r="AC29" i="12"/>
  <c r="CK29" i="12"/>
  <c r="CP28" i="10"/>
  <c r="AG28" i="10"/>
  <c r="AC24" i="12"/>
  <c r="CK24" i="12"/>
  <c r="CP23" i="10"/>
  <c r="AG23" i="10"/>
  <c r="V23" i="14"/>
  <c r="CP29" i="10"/>
  <c r="AG29" i="10"/>
  <c r="AC30" i="12"/>
  <c r="CK30" i="12"/>
  <c r="CP24" i="10"/>
  <c r="AG24" i="10"/>
  <c r="AC25" i="12"/>
  <c r="CK25" i="12"/>
  <c r="D31" i="13"/>
  <c r="ED34" i="12"/>
  <c r="CO14" i="10"/>
  <c r="AF14" i="10"/>
  <c r="AB15" i="12"/>
  <c r="CJ15" i="12" s="1"/>
  <c r="CP27" i="10"/>
  <c r="AG27" i="10"/>
  <c r="AC28" i="12"/>
  <c r="CK28" i="12" s="1"/>
  <c r="Z13" i="1"/>
  <c r="Y12" i="1"/>
  <c r="AH55" i="10"/>
  <c r="CQ55" i="10"/>
  <c r="AD56" i="12"/>
  <c r="CL56" i="12"/>
  <c r="AC23" i="12"/>
  <c r="CK23" i="12" s="1"/>
  <c r="CP22" i="10"/>
  <c r="AG22" i="10"/>
  <c r="W34" i="1"/>
  <c r="W15" i="1"/>
  <c r="CP35" i="10"/>
  <c r="AG35" i="10"/>
  <c r="AC36" i="12"/>
  <c r="CK36" i="12" s="1"/>
  <c r="V35" i="14"/>
  <c r="AC57" i="12"/>
  <c r="CK57" i="12"/>
  <c r="AG56" i="10"/>
  <c r="V39" i="14"/>
  <c r="AC43" i="12"/>
  <c r="CK43" i="12"/>
  <c r="AG42" i="10"/>
  <c r="AB18" i="12"/>
  <c r="CJ18" i="12"/>
  <c r="CO17" i="10"/>
  <c r="AF17" i="10"/>
  <c r="X39" i="1"/>
  <c r="X48" i="14" s="1"/>
  <c r="X7" i="1"/>
  <c r="X37" i="1"/>
  <c r="X46" i="14" s="1"/>
  <c r="X38" i="1"/>
  <c r="X47" i="14" s="1"/>
  <c r="X23" i="1"/>
  <c r="X36" i="1"/>
  <c r="X16" i="1"/>
  <c r="X28" i="1"/>
  <c r="X27" i="1"/>
  <c r="X17" i="1"/>
  <c r="X40" i="1"/>
  <c r="X49" i="14" s="1"/>
  <c r="X35" i="1"/>
  <c r="X18" i="1"/>
  <c r="X24" i="1"/>
  <c r="X25" i="1"/>
  <c r="X14" i="1"/>
  <c r="X30" i="1"/>
  <c r="X26" i="1"/>
  <c r="X20" i="1"/>
  <c r="X15" i="1"/>
  <c r="X8" i="1"/>
  <c r="X9" i="1"/>
  <c r="AC93" i="14"/>
  <c r="AB92" i="14"/>
  <c r="CP55" i="10"/>
  <c r="CP21" i="10"/>
  <c r="AG21" i="10"/>
  <c r="AC22" i="12"/>
  <c r="CK22" i="12" s="1"/>
  <c r="W32" i="1"/>
  <c r="W16" i="1"/>
  <c r="W31" i="1"/>
  <c r="W21" i="1"/>
  <c r="AI51" i="10"/>
  <c r="CR51" i="10"/>
  <c r="AE52" i="12"/>
  <c r="CM52" i="12" s="1"/>
  <c r="CJ19" i="12"/>
  <c r="CO18" i="10"/>
  <c r="AF18" i="10"/>
  <c r="AB19" i="12"/>
  <c r="CR57" i="10"/>
  <c r="AI57" i="10"/>
  <c r="AE58" i="12"/>
  <c r="CM58" i="12" s="1"/>
  <c r="AC32" i="12"/>
  <c r="CK32" i="12" s="1"/>
  <c r="CP31" i="10"/>
  <c r="AG31" i="10"/>
  <c r="AC53" i="12"/>
  <c r="AG52" i="10"/>
  <c r="CK53" i="12"/>
  <c r="CP52" i="10"/>
  <c r="AG38" i="10"/>
  <c r="AC39" i="12"/>
  <c r="CK39" i="12"/>
  <c r="CP38" i="10"/>
  <c r="CO11" i="10"/>
  <c r="AF11" i="10"/>
  <c r="AB12" i="12"/>
  <c r="CJ12" i="12" s="1"/>
  <c r="CK45" i="12"/>
  <c r="AG44" i="10"/>
  <c r="CP44" i="10"/>
  <c r="AC45" i="12"/>
  <c r="V30" i="14"/>
  <c r="AG30" i="10"/>
  <c r="AC31" i="12"/>
  <c r="CK31" i="12" s="1"/>
  <c r="CP30" i="10"/>
  <c r="AG34" i="10"/>
  <c r="AC35" i="12"/>
  <c r="CK35" i="12" s="1"/>
  <c r="CP34" i="10"/>
  <c r="V28" i="14"/>
  <c r="AG25" i="10"/>
  <c r="AC26" i="12"/>
  <c r="CK26" i="12"/>
  <c r="CP25" i="10"/>
  <c r="AC21" i="12"/>
  <c r="CK21" i="12" s="1"/>
  <c r="CP20" i="10"/>
  <c r="AG20" i="10"/>
  <c r="W18" i="1"/>
  <c r="W26" i="1"/>
  <c r="AE44" i="12"/>
  <c r="AI43" i="10"/>
  <c r="CR43" i="10" s="1"/>
  <c r="CM44" i="12"/>
  <c r="AC55" i="12"/>
  <c r="CK55" i="12" s="1"/>
  <c r="AG54" i="10"/>
  <c r="AC33" i="12"/>
  <c r="CK33" i="12"/>
  <c r="CP32" i="10"/>
  <c r="AG32" i="10"/>
  <c r="CP48" i="10"/>
  <c r="AG48" i="10"/>
  <c r="AC49" i="12"/>
  <c r="CK49" i="12" s="1"/>
  <c r="AH49" i="10"/>
  <c r="AD50" i="12"/>
  <c r="CL50" i="12"/>
  <c r="CQ49" i="10"/>
  <c r="AC37" i="12"/>
  <c r="CK37" i="12" s="1"/>
  <c r="CP36" i="10"/>
  <c r="AG36" i="10"/>
  <c r="CO50" i="10"/>
  <c r="CO56" i="10"/>
  <c r="A108" i="1"/>
  <c r="C107" i="1"/>
  <c r="D107" i="1"/>
  <c r="B107" i="1"/>
  <c r="E107" i="1"/>
  <c r="G107" i="1"/>
  <c r="F107" i="1"/>
  <c r="H107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Y107" i="1"/>
  <c r="V38" i="14"/>
  <c r="AB13" i="12"/>
  <c r="CJ13" i="12" s="1"/>
  <c r="CO12" i="10"/>
  <c r="AF12" i="10"/>
  <c r="AD46" i="12"/>
  <c r="CL46" i="12" s="1"/>
  <c r="AH45" i="10"/>
  <c r="CO13" i="10"/>
  <c r="AF13" i="10"/>
  <c r="AB14" i="12"/>
  <c r="CJ14" i="12"/>
  <c r="V41" i="14"/>
  <c r="CO40" i="10"/>
  <c r="W33" i="1"/>
  <c r="X34" i="1" s="1"/>
  <c r="W30" i="1"/>
  <c r="X31" i="1" s="1"/>
  <c r="W20" i="1"/>
  <c r="W28" i="1"/>
  <c r="CQ51" i="10"/>
  <c r="AG46" i="10"/>
  <c r="AC47" i="12"/>
  <c r="CK47" i="12" s="1"/>
  <c r="CP46" i="10"/>
  <c r="AD161" i="14"/>
  <c r="AE162" i="14"/>
  <c r="CQ53" i="10"/>
  <c r="AC27" i="12"/>
  <c r="CK27" i="12" s="1"/>
  <c r="CP26" i="10"/>
  <c r="AG26" i="10"/>
  <c r="X43" i="14" l="1"/>
  <c r="X40" i="14"/>
  <c r="W29" i="14"/>
  <c r="CP13" i="10"/>
  <c r="AG13" i="10"/>
  <c r="AC14" i="12"/>
  <c r="CK14" i="12"/>
  <c r="AD55" i="12"/>
  <c r="CL55" i="12"/>
  <c r="AH54" i="10"/>
  <c r="CQ54" i="10" s="1"/>
  <c r="W27" i="14"/>
  <c r="AD26" i="12"/>
  <c r="CL26" i="12"/>
  <c r="CQ25" i="10"/>
  <c r="AH25" i="10"/>
  <c r="AD39" i="12"/>
  <c r="CL39" i="12" s="1"/>
  <c r="CQ38" i="10"/>
  <c r="AH38" i="10"/>
  <c r="W41" i="14"/>
  <c r="X34" i="14"/>
  <c r="AG17" i="10"/>
  <c r="CP17" i="10"/>
  <c r="AC18" i="12"/>
  <c r="CK18" i="12"/>
  <c r="CQ29" i="10"/>
  <c r="AH29" i="10"/>
  <c r="AD30" i="12"/>
  <c r="CL30" i="12"/>
  <c r="AH28" i="10"/>
  <c r="CQ28" i="10"/>
  <c r="AD29" i="12"/>
  <c r="CL29" i="12"/>
  <c r="W36" i="14"/>
  <c r="R38" i="15"/>
  <c r="Q38" i="15"/>
  <c r="I38" i="15"/>
  <c r="O38" i="15"/>
  <c r="J38" i="15"/>
  <c r="K38" i="15"/>
  <c r="L38" i="15"/>
  <c r="H39" i="15"/>
  <c r="P38" i="15"/>
  <c r="W32" i="14"/>
  <c r="AH48" i="10"/>
  <c r="CQ48" i="10"/>
  <c r="AD49" i="12"/>
  <c r="CL49" i="12"/>
  <c r="CL21" i="12"/>
  <c r="CQ20" i="10"/>
  <c r="AH20" i="10"/>
  <c r="AD21" i="12"/>
  <c r="X24" i="14"/>
  <c r="X29" i="14"/>
  <c r="X33" i="14"/>
  <c r="X26" i="14"/>
  <c r="X19" i="1"/>
  <c r="CQ35" i="10"/>
  <c r="AH35" i="10"/>
  <c r="AD36" i="12"/>
  <c r="CL36" i="12" s="1"/>
  <c r="CQ27" i="10"/>
  <c r="AH27" i="10"/>
  <c r="AD28" i="12"/>
  <c r="CL28" i="12"/>
  <c r="AC17" i="12"/>
  <c r="CK17" i="12"/>
  <c r="CP16" i="10"/>
  <c r="AG16" i="10"/>
  <c r="AC20" i="12"/>
  <c r="CK20" i="12" s="1"/>
  <c r="CP19" i="10"/>
  <c r="AG19" i="10"/>
  <c r="W26" i="14"/>
  <c r="AH40" i="10"/>
  <c r="CQ40" i="10" s="1"/>
  <c r="AD41" i="12"/>
  <c r="CL41" i="12"/>
  <c r="AE161" i="14"/>
  <c r="AF162" i="14"/>
  <c r="AD31" i="12"/>
  <c r="CL31" i="12"/>
  <c r="CQ30" i="10"/>
  <c r="AH30" i="10"/>
  <c r="CQ21" i="10"/>
  <c r="AH21" i="10"/>
  <c r="AD22" i="12"/>
  <c r="CL22" i="12"/>
  <c r="X35" i="14"/>
  <c r="X27" i="14"/>
  <c r="X36" i="14"/>
  <c r="X32" i="14"/>
  <c r="AD57" i="12"/>
  <c r="CL57" i="12"/>
  <c r="AH56" i="10"/>
  <c r="CQ56" i="10" s="1"/>
  <c r="W23" i="14"/>
  <c r="W38" i="14"/>
  <c r="AH50" i="10"/>
  <c r="CQ50" i="10"/>
  <c r="AD51" i="12"/>
  <c r="CL51" i="12" s="1"/>
  <c r="AD27" i="12"/>
  <c r="CL27" i="12"/>
  <c r="AH26" i="10"/>
  <c r="CQ26" i="10"/>
  <c r="AH32" i="10"/>
  <c r="AD33" i="12"/>
  <c r="CL33" i="12"/>
  <c r="CQ32" i="10"/>
  <c r="CP11" i="10"/>
  <c r="AG11" i="10"/>
  <c r="AC12" i="12"/>
  <c r="CK12" i="12"/>
  <c r="AD53" i="12"/>
  <c r="CL53" i="12"/>
  <c r="CQ52" i="10"/>
  <c r="AH52" i="10"/>
  <c r="AJ57" i="10"/>
  <c r="AF58" i="12"/>
  <c r="CN58" i="12"/>
  <c r="AF52" i="12"/>
  <c r="CN52" i="12"/>
  <c r="AJ51" i="10"/>
  <c r="X39" i="14"/>
  <c r="X37" i="14"/>
  <c r="CP56" i="10"/>
  <c r="AE42" i="12"/>
  <c r="CM42" i="12" s="1"/>
  <c r="AI41" i="10"/>
  <c r="AD34" i="12"/>
  <c r="CL34" i="12" s="1"/>
  <c r="CQ33" i="10"/>
  <c r="AH33" i="10"/>
  <c r="AC80" i="1"/>
  <c r="AD81" i="1"/>
  <c r="W44" i="14"/>
  <c r="CP40" i="10"/>
  <c r="X23" i="14"/>
  <c r="X33" i="1"/>
  <c r="X25" i="14"/>
  <c r="CL43" i="12"/>
  <c r="AH42" i="10"/>
  <c r="CQ42" i="10"/>
  <c r="AD43" i="12"/>
  <c r="W24" i="14"/>
  <c r="CQ24" i="10"/>
  <c r="AH24" i="10"/>
  <c r="AD25" i="12"/>
  <c r="CL25" i="12"/>
  <c r="AH23" i="10"/>
  <c r="AD24" i="12"/>
  <c r="CL24" i="12"/>
  <c r="CQ23" i="10"/>
  <c r="CK16" i="12"/>
  <c r="CP15" i="10"/>
  <c r="AG15" i="10"/>
  <c r="AC16" i="12"/>
  <c r="C40" i="1"/>
  <c r="C49" i="14" s="1"/>
  <c r="B40" i="1"/>
  <c r="B49" i="14" s="1"/>
  <c r="A41" i="1"/>
  <c r="D40" i="1"/>
  <c r="D49" i="14" s="1"/>
  <c r="E40" i="1"/>
  <c r="E49" i="14" s="1"/>
  <c r="F40" i="1"/>
  <c r="F49" i="14" s="1"/>
  <c r="F37" i="15" s="1"/>
  <c r="G40" i="1"/>
  <c r="G49" i="14" s="1"/>
  <c r="H40" i="1"/>
  <c r="H49" i="14" s="1"/>
  <c r="E37" i="15" s="1"/>
  <c r="I40" i="1"/>
  <c r="I49" i="14" s="1"/>
  <c r="J40" i="1"/>
  <c r="J49" i="14" s="1"/>
  <c r="D37" i="15" s="1"/>
  <c r="K40" i="1"/>
  <c r="K49" i="14" s="1"/>
  <c r="L40" i="1"/>
  <c r="L49" i="14" s="1"/>
  <c r="C37" i="15" s="1"/>
  <c r="M40" i="1"/>
  <c r="M49" i="14" s="1"/>
  <c r="N40" i="1"/>
  <c r="N49" i="14" s="1"/>
  <c r="O40" i="1"/>
  <c r="O49" i="14" s="1"/>
  <c r="P40" i="1"/>
  <c r="P49" i="14" s="1"/>
  <c r="Q40" i="1"/>
  <c r="Q49" i="14" s="1"/>
  <c r="R40" i="1"/>
  <c r="R49" i="14" s="1"/>
  <c r="S40" i="1"/>
  <c r="S49" i="14" s="1"/>
  <c r="T40" i="1"/>
  <c r="T49" i="14" s="1"/>
  <c r="U40" i="1"/>
  <c r="U49" i="14" s="1"/>
  <c r="V40" i="1"/>
  <c r="V49" i="14" s="1"/>
  <c r="W40" i="1"/>
  <c r="W49" i="14" s="1"/>
  <c r="AA230" i="14"/>
  <c r="AB231" i="14"/>
  <c r="B34" i="13"/>
  <c r="EB37" i="12"/>
  <c r="E34" i="13" s="1"/>
  <c r="EA38" i="12"/>
  <c r="EC37" i="12"/>
  <c r="AK58" i="10"/>
  <c r="CT58" i="10" s="1"/>
  <c r="AG59" i="12"/>
  <c r="CO59" i="12"/>
  <c r="AE60" i="12"/>
  <c r="AI59" i="10"/>
  <c r="CM60" i="12"/>
  <c r="Z78" i="1"/>
  <c r="CQ37" i="10"/>
  <c r="AH37" i="10"/>
  <c r="AD38" i="12"/>
  <c r="CL38" i="12" s="1"/>
  <c r="AE46" i="12"/>
  <c r="CM46" i="12" s="1"/>
  <c r="AI45" i="10"/>
  <c r="CR45" i="10" s="1"/>
  <c r="CS43" i="10"/>
  <c r="AF44" i="12"/>
  <c r="CN44" i="12" s="1"/>
  <c r="AJ43" i="10"/>
  <c r="CQ31" i="10"/>
  <c r="AH31" i="10"/>
  <c r="AD32" i="12"/>
  <c r="CL32" i="12" s="1"/>
  <c r="W30" i="14"/>
  <c r="X21" i="1"/>
  <c r="CP42" i="10"/>
  <c r="W43" i="14"/>
  <c r="AI55" i="10"/>
  <c r="CR55" i="10" s="1"/>
  <c r="AE56" i="12"/>
  <c r="CM56" i="12"/>
  <c r="AC15" i="12"/>
  <c r="CK15" i="12" s="1"/>
  <c r="CP14" i="10"/>
  <c r="AG14" i="10"/>
  <c r="W28" i="14"/>
  <c r="EC36" i="12"/>
  <c r="CQ59" i="10"/>
  <c r="D32" i="13"/>
  <c r="ED35" i="12"/>
  <c r="CP50" i="10"/>
  <c r="W39" i="14"/>
  <c r="B108" i="1"/>
  <c r="D108" i="1"/>
  <c r="C108" i="1"/>
  <c r="E108" i="1"/>
  <c r="A109" i="1"/>
  <c r="AB109" i="1" s="1"/>
  <c r="G108" i="1"/>
  <c r="F108" i="1"/>
  <c r="H108" i="1"/>
  <c r="I108" i="1"/>
  <c r="J108" i="1"/>
  <c r="K108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Y108" i="1"/>
  <c r="Z108" i="1"/>
  <c r="AD47" i="12"/>
  <c r="CL47" i="12" s="1"/>
  <c r="AH46" i="10"/>
  <c r="CQ46" i="10" s="1"/>
  <c r="CK13" i="12"/>
  <c r="AG12" i="10"/>
  <c r="CP12" i="10"/>
  <c r="AC13" i="12"/>
  <c r="AE50" i="12"/>
  <c r="CM50" i="12"/>
  <c r="AI49" i="10"/>
  <c r="CR49" i="10"/>
  <c r="AD35" i="12"/>
  <c r="CL35" i="12" s="1"/>
  <c r="CQ34" i="10"/>
  <c r="AH34" i="10"/>
  <c r="CP18" i="10"/>
  <c r="AG18" i="10"/>
  <c r="AC19" i="12"/>
  <c r="CK19" i="12"/>
  <c r="W40" i="14"/>
  <c r="X22" i="1"/>
  <c r="X44" i="14"/>
  <c r="X45" i="14"/>
  <c r="AD23" i="12"/>
  <c r="CL23" i="12" s="1"/>
  <c r="CQ22" i="10"/>
  <c r="AH22" i="10"/>
  <c r="Y41" i="1"/>
  <c r="Y50" i="14" s="1"/>
  <c r="Y38" i="1"/>
  <c r="Y47" i="14" s="1"/>
  <c r="Y7" i="1"/>
  <c r="Y40" i="1"/>
  <c r="Y49" i="14" s="1"/>
  <c r="Y39" i="1"/>
  <c r="Y48" i="14" s="1"/>
  <c r="Y8" i="1"/>
  <c r="Y9" i="1"/>
  <c r="W31" i="14"/>
  <c r="CR39" i="10"/>
  <c r="AI39" i="10"/>
  <c r="AE40" i="12"/>
  <c r="CM40" i="12" s="1"/>
  <c r="CN54" i="12"/>
  <c r="AJ53" i="10"/>
  <c r="AF54" i="12"/>
  <c r="CS53" i="10"/>
  <c r="W42" i="14"/>
  <c r="CQ45" i="10"/>
  <c r="W37" i="14"/>
  <c r="AH36" i="10"/>
  <c r="CQ36" i="10"/>
  <c r="AD37" i="12"/>
  <c r="CL37" i="12" s="1"/>
  <c r="CP54" i="10"/>
  <c r="W35" i="14"/>
  <c r="AD45" i="12"/>
  <c r="CL45" i="12"/>
  <c r="AH44" i="10"/>
  <c r="W25" i="14"/>
  <c r="AD93" i="14"/>
  <c r="AC92" i="14"/>
  <c r="X29" i="1"/>
  <c r="X32" i="1"/>
  <c r="AA13" i="1"/>
  <c r="Z12" i="1"/>
  <c r="Y27" i="1" s="1"/>
  <c r="W34" i="14"/>
  <c r="CR47" i="10"/>
  <c r="AE48" i="12"/>
  <c r="CM48" i="12" s="1"/>
  <c r="AI47" i="10"/>
  <c r="AB21" i="14"/>
  <c r="AC22" i="14"/>
  <c r="CR53" i="10"/>
  <c r="AA108" i="1"/>
  <c r="Y36" i="14" l="1"/>
  <c r="Y25" i="1"/>
  <c r="Y24" i="1"/>
  <c r="CQ14" i="10"/>
  <c r="AH14" i="10"/>
  <c r="AD15" i="12"/>
  <c r="CL15" i="12" s="1"/>
  <c r="AE32" i="12"/>
  <c r="CM32" i="12"/>
  <c r="CR31" i="10"/>
  <c r="AI31" i="10"/>
  <c r="AC231" i="14"/>
  <c r="AB230" i="14"/>
  <c r="AE24" i="12"/>
  <c r="CM24" i="12"/>
  <c r="CR23" i="10"/>
  <c r="AI23" i="10"/>
  <c r="AG58" i="12"/>
  <c r="CO58" i="12" s="1"/>
  <c r="AK57" i="10"/>
  <c r="AD12" i="12"/>
  <c r="CL12" i="12"/>
  <c r="CQ11" i="10"/>
  <c r="AH11" i="10"/>
  <c r="AE22" i="12"/>
  <c r="CM22" i="12"/>
  <c r="CR21" i="10"/>
  <c r="AI21" i="10"/>
  <c r="AE28" i="12"/>
  <c r="CM28" i="12"/>
  <c r="CR27" i="10"/>
  <c r="AI27" i="10"/>
  <c r="AE21" i="12"/>
  <c r="CM21" i="12"/>
  <c r="AI20" i="10"/>
  <c r="CR20" i="10"/>
  <c r="AE39" i="12"/>
  <c r="CM39" i="12"/>
  <c r="CR38" i="10"/>
  <c r="AI38" i="10"/>
  <c r="AD14" i="12"/>
  <c r="CL14" i="12"/>
  <c r="CQ13" i="10"/>
  <c r="AH13" i="10"/>
  <c r="AD92" i="14"/>
  <c r="AE93" i="14"/>
  <c r="Y14" i="1"/>
  <c r="Y31" i="1"/>
  <c r="AI42" i="10"/>
  <c r="AE43" i="12"/>
  <c r="CM43" i="12" s="1"/>
  <c r="CR42" i="10"/>
  <c r="AJ41" i="10"/>
  <c r="AF42" i="12"/>
  <c r="CN42" i="12"/>
  <c r="CS57" i="10"/>
  <c r="CS39" i="10"/>
  <c r="AJ39" i="10"/>
  <c r="AF40" i="12"/>
  <c r="CN40" i="12"/>
  <c r="Y22" i="1"/>
  <c r="Y18" i="1"/>
  <c r="Y15" i="1"/>
  <c r="Y26" i="1"/>
  <c r="AJ49" i="10"/>
  <c r="CS49" i="10" s="1"/>
  <c r="AF50" i="12"/>
  <c r="CN50" i="12"/>
  <c r="B109" i="1"/>
  <c r="D109" i="1"/>
  <c r="A110" i="1"/>
  <c r="E109" i="1"/>
  <c r="C109" i="1"/>
  <c r="G109" i="1"/>
  <c r="F109" i="1"/>
  <c r="H109" i="1"/>
  <c r="I109" i="1"/>
  <c r="J109" i="1"/>
  <c r="K109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X109" i="1"/>
  <c r="Y109" i="1"/>
  <c r="Z109" i="1"/>
  <c r="AA109" i="1"/>
  <c r="AG44" i="12"/>
  <c r="CO44" i="12" s="1"/>
  <c r="CT43" i="10"/>
  <c r="AK43" i="10"/>
  <c r="AD16" i="12"/>
  <c r="CL16" i="12" s="1"/>
  <c r="AH15" i="10"/>
  <c r="CQ15" i="10"/>
  <c r="CR41" i="10"/>
  <c r="AK51" i="10"/>
  <c r="CT51" i="10" s="1"/>
  <c r="AG52" i="12"/>
  <c r="CO52" i="12"/>
  <c r="CM53" i="12"/>
  <c r="AI52" i="10"/>
  <c r="CR52" i="10"/>
  <c r="AE53" i="12"/>
  <c r="AE31" i="12"/>
  <c r="CM31" i="12" s="1"/>
  <c r="CR30" i="10"/>
  <c r="AI30" i="10"/>
  <c r="AD17" i="12"/>
  <c r="CL17" i="12" s="1"/>
  <c r="CQ16" i="10"/>
  <c r="AH16" i="10"/>
  <c r="Y20" i="1"/>
  <c r="Y16" i="1"/>
  <c r="Y28" i="1"/>
  <c r="Y19" i="1"/>
  <c r="AD19" i="12"/>
  <c r="CL19" i="12" s="1"/>
  <c r="CQ18" i="10"/>
  <c r="AH18" i="10"/>
  <c r="AE47" i="12"/>
  <c r="CM47" i="12" s="1"/>
  <c r="AI46" i="10"/>
  <c r="CR46" i="10"/>
  <c r="X30" i="14"/>
  <c r="AH59" i="12"/>
  <c r="CP59" i="12"/>
  <c r="AL58" i="10"/>
  <c r="AE25" i="12"/>
  <c r="CM25" i="12"/>
  <c r="CR24" i="10"/>
  <c r="AI24" i="10"/>
  <c r="AD80" i="1"/>
  <c r="AE81" i="1"/>
  <c r="AE57" i="12"/>
  <c r="CM57" i="12" s="1"/>
  <c r="AI56" i="10"/>
  <c r="AE41" i="12"/>
  <c r="CM41" i="12" s="1"/>
  <c r="AI40" i="10"/>
  <c r="AE29" i="12"/>
  <c r="CM29" i="12" s="1"/>
  <c r="CR28" i="10"/>
  <c r="AI28" i="10"/>
  <c r="AD18" i="12"/>
  <c r="CL18" i="12" s="1"/>
  <c r="CQ17" i="10"/>
  <c r="AH17" i="10"/>
  <c r="AE55" i="12"/>
  <c r="CM55" i="12" s="1"/>
  <c r="AI54" i="10"/>
  <c r="CR54" i="10"/>
  <c r="AE45" i="12"/>
  <c r="CM45" i="12" s="1"/>
  <c r="AI44" i="10"/>
  <c r="Y35" i="1"/>
  <c r="Z36" i="1" s="1"/>
  <c r="Y23" i="1"/>
  <c r="Y30" i="1"/>
  <c r="Y21" i="1"/>
  <c r="AE38" i="12"/>
  <c r="CM38" i="12" s="1"/>
  <c r="CR37" i="10"/>
  <c r="AI37" i="10"/>
  <c r="D34" i="13"/>
  <c r="ED37" i="12"/>
  <c r="AA78" i="1"/>
  <c r="AC110" i="1"/>
  <c r="AE51" i="12"/>
  <c r="CM51" i="12" s="1"/>
  <c r="AI50" i="10"/>
  <c r="AE36" i="12"/>
  <c r="CM36" i="12" s="1"/>
  <c r="CR35" i="10"/>
  <c r="AI35" i="10"/>
  <c r="AE26" i="12"/>
  <c r="CM26" i="12" s="1"/>
  <c r="CR25" i="10"/>
  <c r="AI25" i="10"/>
  <c r="AD22" i="14"/>
  <c r="AC21" i="14"/>
  <c r="AA12" i="1"/>
  <c r="AB13" i="1"/>
  <c r="Y36" i="1"/>
  <c r="Z37" i="1" s="1"/>
  <c r="Y33" i="1"/>
  <c r="AE35" i="12"/>
  <c r="CR34" i="10"/>
  <c r="CM35" i="12"/>
  <c r="AI34" i="10"/>
  <c r="ED36" i="12"/>
  <c r="D33" i="13"/>
  <c r="AF60" i="12"/>
  <c r="CN60" i="12" s="1"/>
  <c r="AJ59" i="10"/>
  <c r="EB38" i="12"/>
  <c r="E35" i="13" s="1"/>
  <c r="B35" i="13"/>
  <c r="G35" i="13" s="1"/>
  <c r="H35" i="13" s="1"/>
  <c r="EA39" i="12"/>
  <c r="X42" i="14"/>
  <c r="CM34" i="12"/>
  <c r="CR33" i="10"/>
  <c r="AI33" i="10"/>
  <c r="AE34" i="12"/>
  <c r="CS51" i="10"/>
  <c r="AE33" i="12"/>
  <c r="CM33" i="12"/>
  <c r="CR32" i="10"/>
  <c r="AI32" i="10"/>
  <c r="Z21" i="1"/>
  <c r="Z19" i="1"/>
  <c r="Z15" i="1"/>
  <c r="Z40" i="1"/>
  <c r="Z49" i="14" s="1"/>
  <c r="Z26" i="1"/>
  <c r="Z28" i="1"/>
  <c r="Z39" i="1"/>
  <c r="Z48" i="14" s="1"/>
  <c r="Z31" i="1"/>
  <c r="Z22" i="1"/>
  <c r="Z16" i="1"/>
  <c r="Z41" i="1"/>
  <c r="Z50" i="14" s="1"/>
  <c r="Z7" i="1"/>
  <c r="Z34" i="1"/>
  <c r="Z29" i="1"/>
  <c r="Z23" i="1"/>
  <c r="Z27" i="1"/>
  <c r="Z17" i="1"/>
  <c r="Z25" i="1"/>
  <c r="Z32" i="1"/>
  <c r="Z35" i="1"/>
  <c r="Z20" i="1"/>
  <c r="Z24" i="1"/>
  <c r="Z14" i="1"/>
  <c r="Z9" i="1"/>
  <c r="Z8" i="1"/>
  <c r="AF48" i="12"/>
  <c r="CN48" i="12"/>
  <c r="AJ47" i="10"/>
  <c r="X41" i="14"/>
  <c r="AE37" i="12"/>
  <c r="CM37" i="12"/>
  <c r="CR36" i="10"/>
  <c r="AI36" i="10"/>
  <c r="AK53" i="10"/>
  <c r="AG54" i="12"/>
  <c r="CO54" i="12" s="1"/>
  <c r="Y32" i="1"/>
  <c r="Y34" i="1"/>
  <c r="CR22" i="10"/>
  <c r="AI22" i="10"/>
  <c r="AE23" i="12"/>
  <c r="CM23" i="12"/>
  <c r="X31" i="14"/>
  <c r="CR59" i="10"/>
  <c r="A42" i="1"/>
  <c r="C41" i="1"/>
  <c r="C50" i="14" s="1"/>
  <c r="B41" i="1"/>
  <c r="B50" i="14" s="1"/>
  <c r="D41" i="1"/>
  <c r="D50" i="14" s="1"/>
  <c r="E41" i="1"/>
  <c r="E50" i="14" s="1"/>
  <c r="F41" i="1"/>
  <c r="F50" i="14" s="1"/>
  <c r="F38" i="15" s="1"/>
  <c r="G41" i="1"/>
  <c r="G50" i="14" s="1"/>
  <c r="H41" i="1"/>
  <c r="H50" i="14" s="1"/>
  <c r="E38" i="15" s="1"/>
  <c r="I41" i="1"/>
  <c r="I50" i="14" s="1"/>
  <c r="J41" i="1"/>
  <c r="J50" i="14" s="1"/>
  <c r="D38" i="15" s="1"/>
  <c r="K41" i="1"/>
  <c r="K50" i="14" s="1"/>
  <c r="L41" i="1"/>
  <c r="L50" i="14" s="1"/>
  <c r="C38" i="15" s="1"/>
  <c r="M41" i="1"/>
  <c r="M50" i="14" s="1"/>
  <c r="N41" i="1"/>
  <c r="N50" i="14" s="1"/>
  <c r="O41" i="1"/>
  <c r="O50" i="14" s="1"/>
  <c r="P41" i="1"/>
  <c r="P50" i="14" s="1"/>
  <c r="Q41" i="1"/>
  <c r="Q50" i="14" s="1"/>
  <c r="R41" i="1"/>
  <c r="R50" i="14" s="1"/>
  <c r="S41" i="1"/>
  <c r="S50" i="14" s="1"/>
  <c r="T41" i="1"/>
  <c r="T50" i="14" s="1"/>
  <c r="U41" i="1"/>
  <c r="U50" i="14" s="1"/>
  <c r="V41" i="1"/>
  <c r="V50" i="14" s="1"/>
  <c r="W41" i="1"/>
  <c r="W50" i="14" s="1"/>
  <c r="X41" i="1"/>
  <c r="X50" i="14" s="1"/>
  <c r="AG162" i="14"/>
  <c r="AF161" i="14"/>
  <c r="CL20" i="12"/>
  <c r="AD20" i="12"/>
  <c r="CQ19" i="10"/>
  <c r="AH19" i="10"/>
  <c r="X28" i="14"/>
  <c r="AE49" i="12"/>
  <c r="CM49" i="12" s="1"/>
  <c r="AI48" i="10"/>
  <c r="H40" i="15"/>
  <c r="J39" i="15"/>
  <c r="R39" i="15"/>
  <c r="L39" i="15"/>
  <c r="Q39" i="15"/>
  <c r="K39" i="15"/>
  <c r="I39" i="15"/>
  <c r="P39" i="15"/>
  <c r="O39" i="15"/>
  <c r="AE30" i="12"/>
  <c r="CM30" i="12"/>
  <c r="CR29" i="10"/>
  <c r="AI29" i="10"/>
  <c r="X38" i="14"/>
  <c r="CQ44" i="10"/>
  <c r="Y17" i="1"/>
  <c r="Y37" i="1"/>
  <c r="Y29" i="1"/>
  <c r="AD13" i="12"/>
  <c r="CL13" i="12"/>
  <c r="CQ12" i="10"/>
  <c r="AH12" i="10"/>
  <c r="AF56" i="12"/>
  <c r="CN56" i="12"/>
  <c r="AJ55" i="10"/>
  <c r="AJ45" i="10"/>
  <c r="CS45" i="10"/>
  <c r="AF46" i="12"/>
  <c r="CN46" i="12"/>
  <c r="G34" i="13"/>
  <c r="H34" i="13" s="1"/>
  <c r="CR26" i="10"/>
  <c r="AI26" i="10"/>
  <c r="AE27" i="12"/>
  <c r="CM27" i="12" s="1"/>
  <c r="Z45" i="14" l="1"/>
  <c r="Z46" i="14"/>
  <c r="AJ48" i="10"/>
  <c r="AF49" i="12"/>
  <c r="CN49" i="12" s="1"/>
  <c r="CS22" i="10"/>
  <c r="AJ22" i="10"/>
  <c r="AF23" i="12"/>
  <c r="CN23" i="12"/>
  <c r="AF37" i="12"/>
  <c r="CS36" i="10"/>
  <c r="CN37" i="12"/>
  <c r="AJ36" i="10"/>
  <c r="Z33" i="14"/>
  <c r="Z44" i="14"/>
  <c r="Z32" i="14"/>
  <c r="Z28" i="14"/>
  <c r="AF34" i="12"/>
  <c r="CN34" i="12"/>
  <c r="CS33" i="10"/>
  <c r="AJ33" i="10"/>
  <c r="AD21" i="14"/>
  <c r="AE22" i="14"/>
  <c r="AE16" i="12"/>
  <c r="CM16" i="12"/>
  <c r="CR15" i="10"/>
  <c r="AI15" i="10"/>
  <c r="Y31" i="14"/>
  <c r="AK41" i="10"/>
  <c r="AG42" i="12"/>
  <c r="CO42" i="12"/>
  <c r="CT41" i="10"/>
  <c r="AE92" i="14"/>
  <c r="AF93" i="14"/>
  <c r="Z41" i="14"/>
  <c r="Z38" i="14"/>
  <c r="Z40" i="14"/>
  <c r="Z30" i="14"/>
  <c r="AJ25" i="10"/>
  <c r="AF26" i="12"/>
  <c r="CN26" i="12" s="1"/>
  <c r="CS25" i="10"/>
  <c r="AF51" i="12"/>
  <c r="CN51" i="12" s="1"/>
  <c r="CS50" i="10"/>
  <c r="AJ50" i="10"/>
  <c r="Y30" i="14"/>
  <c r="AF29" i="12"/>
  <c r="CS28" i="10"/>
  <c r="CN29" i="12"/>
  <c r="AJ28" i="10"/>
  <c r="AF57" i="12"/>
  <c r="CN57" i="12"/>
  <c r="AJ56" i="10"/>
  <c r="Y28" i="14"/>
  <c r="CN31" i="12"/>
  <c r="AJ30" i="10"/>
  <c r="AF31" i="12"/>
  <c r="CS30" i="10"/>
  <c r="CS41" i="10"/>
  <c r="AE15" i="12"/>
  <c r="CM15" i="12" s="1"/>
  <c r="CR14" i="10"/>
  <c r="AI14" i="10"/>
  <c r="Y38" i="14"/>
  <c r="Y46" i="14"/>
  <c r="Y26" i="14"/>
  <c r="AH162" i="14"/>
  <c r="AG161" i="14"/>
  <c r="A43" i="1"/>
  <c r="C42" i="1"/>
  <c r="C51" i="14" s="1"/>
  <c r="B42" i="1"/>
  <c r="B51" i="14" s="1"/>
  <c r="D42" i="1"/>
  <c r="D51" i="14" s="1"/>
  <c r="E42" i="1"/>
  <c r="E51" i="14" s="1"/>
  <c r="F42" i="1"/>
  <c r="F51" i="14" s="1"/>
  <c r="F39" i="15" s="1"/>
  <c r="G42" i="1"/>
  <c r="G51" i="14" s="1"/>
  <c r="H42" i="1"/>
  <c r="H51" i="14" s="1"/>
  <c r="E39" i="15" s="1"/>
  <c r="I42" i="1"/>
  <c r="I51" i="14" s="1"/>
  <c r="J42" i="1"/>
  <c r="J51" i="14" s="1"/>
  <c r="D39" i="15" s="1"/>
  <c r="K42" i="1"/>
  <c r="K51" i="14" s="1"/>
  <c r="L42" i="1"/>
  <c r="L51" i="14" s="1"/>
  <c r="C39" i="15" s="1"/>
  <c r="M42" i="1"/>
  <c r="M51" i="14" s="1"/>
  <c r="N42" i="1"/>
  <c r="N51" i="14" s="1"/>
  <c r="O42" i="1"/>
  <c r="O51" i="14" s="1"/>
  <c r="P42" i="1"/>
  <c r="P51" i="14" s="1"/>
  <c r="Q42" i="1"/>
  <c r="Q51" i="14" s="1"/>
  <c r="R42" i="1"/>
  <c r="R51" i="14" s="1"/>
  <c r="S42" i="1"/>
  <c r="S51" i="14" s="1"/>
  <c r="T42" i="1"/>
  <c r="T51" i="14" s="1"/>
  <c r="U42" i="1"/>
  <c r="U51" i="14" s="1"/>
  <c r="V42" i="1"/>
  <c r="V51" i="14" s="1"/>
  <c r="W42" i="1"/>
  <c r="W51" i="14" s="1"/>
  <c r="X42" i="1"/>
  <c r="X51" i="14" s="1"/>
  <c r="Y42" i="1"/>
  <c r="Y51" i="14" s="1"/>
  <c r="Y43" i="14"/>
  <c r="Z43" i="14"/>
  <c r="AF33" i="12"/>
  <c r="CS32" i="10"/>
  <c r="CN33" i="12"/>
  <c r="AJ32" i="10"/>
  <c r="AK59" i="10"/>
  <c r="AG60" i="12"/>
  <c r="CO60" i="12" s="1"/>
  <c r="CT59" i="10"/>
  <c r="CR50" i="10"/>
  <c r="Y39" i="14"/>
  <c r="AF55" i="12"/>
  <c r="CN55" i="12" s="1"/>
  <c r="AJ54" i="10"/>
  <c r="CS54" i="10"/>
  <c r="CR56" i="10"/>
  <c r="AF47" i="12"/>
  <c r="CN47" i="12" s="1"/>
  <c r="AJ46" i="10"/>
  <c r="CS46" i="10" s="1"/>
  <c r="Y37" i="14"/>
  <c r="AL43" i="10"/>
  <c r="CU43" i="10" s="1"/>
  <c r="AH44" i="12"/>
  <c r="CP44" i="12" s="1"/>
  <c r="AE14" i="12"/>
  <c r="CM14" i="12" s="1"/>
  <c r="CR13" i="10"/>
  <c r="AI13" i="10"/>
  <c r="AF22" i="12"/>
  <c r="CN22" i="12"/>
  <c r="CS21" i="10"/>
  <c r="AJ21" i="10"/>
  <c r="CP58" i="12"/>
  <c r="AL57" i="10"/>
  <c r="AH58" i="12"/>
  <c r="AG56" i="12"/>
  <c r="CO56" i="12"/>
  <c r="AK55" i="10"/>
  <c r="AF27" i="12"/>
  <c r="CN27" i="12" s="1"/>
  <c r="CS26" i="10"/>
  <c r="AJ26" i="10"/>
  <c r="CS55" i="10"/>
  <c r="Y41" i="14"/>
  <c r="Z38" i="1"/>
  <c r="Z34" i="14"/>
  <c r="CS59" i="10"/>
  <c r="Y42" i="14"/>
  <c r="Y32" i="14"/>
  <c r="AM58" i="10"/>
  <c r="CV58" i="10"/>
  <c r="AI59" i="12"/>
  <c r="CQ59" i="12" s="1"/>
  <c r="Y25" i="14"/>
  <c r="AK39" i="10"/>
  <c r="AG40" i="12"/>
  <c r="CO40" i="12" s="1"/>
  <c r="CT39" i="10"/>
  <c r="AF21" i="12"/>
  <c r="CN21" i="12" s="1"/>
  <c r="CS20" i="10"/>
  <c r="AJ20" i="10"/>
  <c r="AC230" i="14"/>
  <c r="AD231" i="14"/>
  <c r="Z26" i="14"/>
  <c r="Z37" i="14"/>
  <c r="Y45" i="14"/>
  <c r="Y44" i="14"/>
  <c r="Y29" i="14"/>
  <c r="AH52" i="12"/>
  <c r="CP52" i="12" s="1"/>
  <c r="AL51" i="10"/>
  <c r="CU51" i="10"/>
  <c r="AK49" i="10"/>
  <c r="AG50" i="12"/>
  <c r="CO50" i="12" s="1"/>
  <c r="CT49" i="10"/>
  <c r="CS31" i="10"/>
  <c r="AJ31" i="10"/>
  <c r="AF32" i="12"/>
  <c r="CN32" i="12"/>
  <c r="Y33" i="14"/>
  <c r="AE13" i="12"/>
  <c r="CM13" i="12" s="1"/>
  <c r="CR12" i="10"/>
  <c r="AI12" i="10"/>
  <c r="AE20" i="12"/>
  <c r="CM20" i="12"/>
  <c r="CR19" i="10"/>
  <c r="AI19" i="10"/>
  <c r="CP54" i="12"/>
  <c r="AL53" i="10"/>
  <c r="CU53" i="10" s="1"/>
  <c r="AH54" i="12"/>
  <c r="Z36" i="14"/>
  <c r="Z35" i="14"/>
  <c r="B36" i="13"/>
  <c r="EB39" i="12"/>
  <c r="E36" i="13" s="1"/>
  <c r="EA40" i="12"/>
  <c r="AB12" i="1"/>
  <c r="AC13" i="1"/>
  <c r="AF36" i="12"/>
  <c r="CN36" i="12" s="1"/>
  <c r="CS35" i="10"/>
  <c r="AJ35" i="10"/>
  <c r="CS37" i="10"/>
  <c r="AJ37" i="10"/>
  <c r="AF38" i="12"/>
  <c r="CN38" i="12"/>
  <c r="AJ44" i="10"/>
  <c r="CS44" i="10" s="1"/>
  <c r="AF45" i="12"/>
  <c r="CN45" i="12"/>
  <c r="AE18" i="12"/>
  <c r="CM18" i="12" s="1"/>
  <c r="CR17" i="10"/>
  <c r="AI17" i="10"/>
  <c r="AE80" i="1"/>
  <c r="AF81" i="1"/>
  <c r="AE19" i="12"/>
  <c r="CM19" i="12"/>
  <c r="CR18" i="10"/>
  <c r="AI18" i="10"/>
  <c r="AI16" i="10"/>
  <c r="AE17" i="12"/>
  <c r="CM17" i="12" s="1"/>
  <c r="CR16" i="10"/>
  <c r="Y35" i="14"/>
  <c r="AJ42" i="10"/>
  <c r="AF43" i="12"/>
  <c r="CN43" i="12" s="1"/>
  <c r="CT57" i="10"/>
  <c r="Y34" i="14"/>
  <c r="CS29" i="10"/>
  <c r="AF30" i="12"/>
  <c r="CN30" i="12" s="1"/>
  <c r="AJ29" i="10"/>
  <c r="L40" i="15"/>
  <c r="Q40" i="15"/>
  <c r="J40" i="15"/>
  <c r="P40" i="15"/>
  <c r="I40" i="15"/>
  <c r="H41" i="15"/>
  <c r="R40" i="15"/>
  <c r="O40" i="15"/>
  <c r="K40" i="15"/>
  <c r="CT53" i="10"/>
  <c r="AG48" i="12"/>
  <c r="CO48" i="12" s="1"/>
  <c r="AK47" i="10"/>
  <c r="Z30" i="1"/>
  <c r="Z18" i="1"/>
  <c r="Z33" i="1"/>
  <c r="Z25" i="14"/>
  <c r="AA40" i="1"/>
  <c r="AA49" i="14" s="1"/>
  <c r="AA33" i="1"/>
  <c r="AA43" i="1"/>
  <c r="AA52" i="14" s="1"/>
  <c r="AA28" i="1"/>
  <c r="AA34" i="1"/>
  <c r="AA20" i="1"/>
  <c r="AA39" i="1"/>
  <c r="AA23" i="1"/>
  <c r="AA38" i="1"/>
  <c r="AA18" i="1"/>
  <c r="AA32" i="1"/>
  <c r="AA22" i="1"/>
  <c r="AA24" i="1"/>
  <c r="AA14" i="1"/>
  <c r="AA7" i="1"/>
  <c r="AA21" i="1"/>
  <c r="AA27" i="1"/>
  <c r="AA26" i="1"/>
  <c r="AA37" i="1"/>
  <c r="AA16" i="1"/>
  <c r="AA42" i="1"/>
  <c r="AA51" i="14" s="1"/>
  <c r="AA35" i="1"/>
  <c r="AA41" i="1"/>
  <c r="AA50" i="14" s="1"/>
  <c r="AA19" i="1"/>
  <c r="AA17" i="1"/>
  <c r="AA15" i="1"/>
  <c r="AA36" i="1"/>
  <c r="AA25" i="1"/>
  <c r="AA30" i="1"/>
  <c r="AA29" i="1"/>
  <c r="AA9" i="1"/>
  <c r="AA8" i="1"/>
  <c r="CR44" i="10"/>
  <c r="AF41" i="12"/>
  <c r="CN41" i="12"/>
  <c r="CS40" i="10"/>
  <c r="AJ40" i="10"/>
  <c r="AB78" i="1"/>
  <c r="CU58" i="10"/>
  <c r="B110" i="1"/>
  <c r="D110" i="1"/>
  <c r="E110" i="1"/>
  <c r="C110" i="1"/>
  <c r="G110" i="1"/>
  <c r="A111" i="1"/>
  <c r="F110" i="1"/>
  <c r="H110" i="1"/>
  <c r="I110" i="1"/>
  <c r="J110" i="1"/>
  <c r="K110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X110" i="1"/>
  <c r="Y110" i="1"/>
  <c r="Z110" i="1"/>
  <c r="AA110" i="1"/>
  <c r="AB110" i="1"/>
  <c r="Y24" i="14"/>
  <c r="Y40" i="14"/>
  <c r="CN39" i="12"/>
  <c r="AJ38" i="10"/>
  <c r="AF39" i="12"/>
  <c r="CS38" i="10"/>
  <c r="AF28" i="12"/>
  <c r="CN28" i="12"/>
  <c r="CS27" i="10"/>
  <c r="AJ27" i="10"/>
  <c r="CR11" i="10"/>
  <c r="AE12" i="12"/>
  <c r="CM12" i="12" s="1"/>
  <c r="AI11" i="10"/>
  <c r="AF24" i="12"/>
  <c r="CS23" i="10"/>
  <c r="CN24" i="12"/>
  <c r="AJ23" i="10"/>
  <c r="AG46" i="12"/>
  <c r="CO46" i="12" s="1"/>
  <c r="AK45" i="10"/>
  <c r="CR48" i="10"/>
  <c r="CS47" i="10"/>
  <c r="Z23" i="14"/>
  <c r="Z29" i="14"/>
  <c r="Z42" i="1"/>
  <c r="Z51" i="14" s="1"/>
  <c r="Z31" i="14"/>
  <c r="Z24" i="14"/>
  <c r="EC38" i="12"/>
  <c r="CN35" i="12"/>
  <c r="AJ34" i="10"/>
  <c r="AF35" i="12"/>
  <c r="CS34" i="10"/>
  <c r="CR40" i="10"/>
  <c r="CS24" i="10"/>
  <c r="AF25" i="12"/>
  <c r="CN25" i="12" s="1"/>
  <c r="AJ24" i="10"/>
  <c r="AF53" i="12"/>
  <c r="CN53" i="12" s="1"/>
  <c r="AJ52" i="10"/>
  <c r="Y27" i="14"/>
  <c r="Y23" i="14"/>
  <c r="D35" i="13" l="1"/>
  <c r="ED38" i="12"/>
  <c r="AF12" i="12"/>
  <c r="CS11" i="10"/>
  <c r="CN12" i="12"/>
  <c r="AJ11" i="10"/>
  <c r="AA33" i="14"/>
  <c r="AA29" i="14"/>
  <c r="J41" i="15"/>
  <c r="O41" i="15"/>
  <c r="H42" i="15"/>
  <c r="I41" i="15"/>
  <c r="R41" i="15"/>
  <c r="Q41" i="15"/>
  <c r="P41" i="15"/>
  <c r="K41" i="15"/>
  <c r="L41" i="15"/>
  <c r="AG43" i="12"/>
  <c r="CO43" i="12" s="1"/>
  <c r="AK42" i="10"/>
  <c r="CT42" i="10"/>
  <c r="B37" i="13"/>
  <c r="EB40" i="12"/>
  <c r="E37" i="13" s="1"/>
  <c r="EA41" i="12"/>
  <c r="AJ12" i="10"/>
  <c r="AF13" i="12"/>
  <c r="CN13" i="12"/>
  <c r="CS12" i="10"/>
  <c r="AI58" i="12"/>
  <c r="CQ58" i="12" s="1"/>
  <c r="AM57" i="10"/>
  <c r="CV57" i="10"/>
  <c r="CT32" i="10"/>
  <c r="AG33" i="12"/>
  <c r="AK32" i="10"/>
  <c r="CO33" i="12"/>
  <c r="C43" i="1"/>
  <c r="C52" i="14" s="1"/>
  <c r="B43" i="1"/>
  <c r="B52" i="14" s="1"/>
  <c r="A44" i="1"/>
  <c r="D43" i="1"/>
  <c r="D52" i="14" s="1"/>
  <c r="E43" i="1"/>
  <c r="E52" i="14" s="1"/>
  <c r="F43" i="1"/>
  <c r="F52" i="14" s="1"/>
  <c r="F40" i="15" s="1"/>
  <c r="G43" i="1"/>
  <c r="G52" i="14" s="1"/>
  <c r="H43" i="1"/>
  <c r="H52" i="14" s="1"/>
  <c r="E40" i="15" s="1"/>
  <c r="I43" i="1"/>
  <c r="I52" i="14" s="1"/>
  <c r="J43" i="1"/>
  <c r="J52" i="14" s="1"/>
  <c r="D40" i="15" s="1"/>
  <c r="K43" i="1"/>
  <c r="K52" i="14" s="1"/>
  <c r="L43" i="1"/>
  <c r="L52" i="14" s="1"/>
  <c r="C40" i="15" s="1"/>
  <c r="M43" i="1"/>
  <c r="M52" i="14" s="1"/>
  <c r="N43" i="1"/>
  <c r="N52" i="14" s="1"/>
  <c r="O43" i="1"/>
  <c r="O52" i="14" s="1"/>
  <c r="P43" i="1"/>
  <c r="P52" i="14" s="1"/>
  <c r="Q43" i="1"/>
  <c r="Q52" i="14" s="1"/>
  <c r="R43" i="1"/>
  <c r="R52" i="14" s="1"/>
  <c r="S43" i="1"/>
  <c r="S52" i="14" s="1"/>
  <c r="T43" i="1"/>
  <c r="T52" i="14" s="1"/>
  <c r="U43" i="1"/>
  <c r="U52" i="14" s="1"/>
  <c r="V43" i="1"/>
  <c r="V52" i="14" s="1"/>
  <c r="W43" i="1"/>
  <c r="W52" i="14" s="1"/>
  <c r="X43" i="1"/>
  <c r="X52" i="14" s="1"/>
  <c r="Y43" i="1"/>
  <c r="Y52" i="14" s="1"/>
  <c r="Z43" i="1"/>
  <c r="Z52" i="14" s="1"/>
  <c r="CT30" i="10"/>
  <c r="AG31" i="12"/>
  <c r="CO31" i="12" s="1"/>
  <c r="AK30" i="10"/>
  <c r="CT28" i="10"/>
  <c r="AG29" i="12"/>
  <c r="AK28" i="10"/>
  <c r="CO29" i="12"/>
  <c r="CT36" i="10"/>
  <c r="AG37" i="12"/>
  <c r="CO37" i="12" s="1"/>
  <c r="AK36" i="10"/>
  <c r="AA25" i="14"/>
  <c r="AA31" i="14"/>
  <c r="AA43" i="14"/>
  <c r="Z42" i="14"/>
  <c r="AG36" i="12"/>
  <c r="CO36" i="12"/>
  <c r="CT35" i="10"/>
  <c r="AK35" i="10"/>
  <c r="AI54" i="12"/>
  <c r="CQ54" i="12" s="1"/>
  <c r="AM53" i="10"/>
  <c r="AK46" i="10"/>
  <c r="CT46" i="10"/>
  <c r="AG47" i="12"/>
  <c r="CO47" i="12" s="1"/>
  <c r="AF15" i="12"/>
  <c r="CN15" i="12"/>
  <c r="CS14" i="10"/>
  <c r="AJ14" i="10"/>
  <c r="AH46" i="12"/>
  <c r="AL45" i="10"/>
  <c r="CP46" i="12"/>
  <c r="CU45" i="10"/>
  <c r="CT40" i="10"/>
  <c r="AG41" i="12"/>
  <c r="CO41" i="12" s="1"/>
  <c r="AK40" i="10"/>
  <c r="AA38" i="14"/>
  <c r="AA26" i="14"/>
  <c r="AA46" i="14"/>
  <c r="AA41" i="14"/>
  <c r="AA37" i="14"/>
  <c r="Z27" i="14"/>
  <c r="G36" i="13"/>
  <c r="H36" i="13" s="1"/>
  <c r="CW58" i="10"/>
  <c r="AJ59" i="12"/>
  <c r="CR59" i="12" s="1"/>
  <c r="AN58" i="10"/>
  <c r="Z47" i="14"/>
  <c r="AH56" i="12"/>
  <c r="AL55" i="10"/>
  <c r="CP56" i="12"/>
  <c r="CU55" i="10"/>
  <c r="AG22" i="12"/>
  <c r="CO22" i="12"/>
  <c r="AK21" i="10"/>
  <c r="CT21" i="10"/>
  <c r="AI162" i="14"/>
  <c r="AH161" i="14"/>
  <c r="AE21" i="14"/>
  <c r="AF22" i="14"/>
  <c r="AG49" i="12"/>
  <c r="CO49" i="12"/>
  <c r="AK48" i="10"/>
  <c r="CT38" i="10"/>
  <c r="AG39" i="12"/>
  <c r="AK38" i="10"/>
  <c r="CO39" i="12"/>
  <c r="AK24" i="10"/>
  <c r="AG25" i="12"/>
  <c r="CO25" i="12" s="1"/>
  <c r="CT24" i="10"/>
  <c r="CT23" i="10"/>
  <c r="AG24" i="12"/>
  <c r="AK23" i="10"/>
  <c r="CO24" i="12"/>
  <c r="AG28" i="12"/>
  <c r="CO28" i="12"/>
  <c r="CT27" i="10"/>
  <c r="AK27" i="10"/>
  <c r="AA35" i="14"/>
  <c r="AA27" i="14"/>
  <c r="Z39" i="14"/>
  <c r="AF80" i="1"/>
  <c r="AG81" i="1"/>
  <c r="AF20" i="12"/>
  <c r="CN20" i="12" s="1"/>
  <c r="CS19" i="10"/>
  <c r="AJ19" i="10"/>
  <c r="AE231" i="14"/>
  <c r="AD230" i="14"/>
  <c r="CT55" i="10"/>
  <c r="AH42" i="12"/>
  <c r="CP42" i="12" s="1"/>
  <c r="CU41" i="10"/>
  <c r="AL41" i="10"/>
  <c r="CS48" i="10"/>
  <c r="CT34" i="10"/>
  <c r="AG35" i="12"/>
  <c r="AK34" i="10"/>
  <c r="CO35" i="12"/>
  <c r="AA39" i="14"/>
  <c r="AA28" i="14"/>
  <c r="AA36" i="14"/>
  <c r="AA47" i="14"/>
  <c r="AA42" i="14"/>
  <c r="AH48" i="12"/>
  <c r="CP48" i="12" s="1"/>
  <c r="AL47" i="10"/>
  <c r="CU47" i="10"/>
  <c r="AC78" i="1"/>
  <c r="AE112" i="1"/>
  <c r="AK44" i="10"/>
  <c r="AG45" i="12"/>
  <c r="CO45" i="12" s="1"/>
  <c r="AL49" i="10"/>
  <c r="AH50" i="12"/>
  <c r="CP50" i="12"/>
  <c r="CU49" i="10"/>
  <c r="AL39" i="10"/>
  <c r="AH40" i="12"/>
  <c r="CP40" i="12"/>
  <c r="CU39" i="10"/>
  <c r="AI44" i="12"/>
  <c r="CQ44" i="12"/>
  <c r="CV43" i="10"/>
  <c r="AM43" i="10"/>
  <c r="AG57" i="12"/>
  <c r="CO57" i="12"/>
  <c r="AK56" i="10"/>
  <c r="CT25" i="10"/>
  <c r="AG26" i="12"/>
  <c r="AK25" i="10"/>
  <c r="CO26" i="12"/>
  <c r="AG34" i="12"/>
  <c r="CO34" i="12"/>
  <c r="CT33" i="10"/>
  <c r="AK33" i="10"/>
  <c r="D111" i="1"/>
  <c r="E111" i="1"/>
  <c r="B111" i="1"/>
  <c r="C111" i="1"/>
  <c r="A112" i="1"/>
  <c r="G111" i="1"/>
  <c r="F111" i="1"/>
  <c r="H111" i="1"/>
  <c r="I111" i="1"/>
  <c r="J111" i="1"/>
  <c r="K111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X111" i="1"/>
  <c r="Y111" i="1"/>
  <c r="Z111" i="1"/>
  <c r="AA111" i="1"/>
  <c r="AB111" i="1"/>
  <c r="AC111" i="1"/>
  <c r="AD111" i="1"/>
  <c r="AA34" i="14"/>
  <c r="AA30" i="14"/>
  <c r="AA32" i="14"/>
  <c r="AA31" i="1"/>
  <c r="CT47" i="10"/>
  <c r="CS42" i="10"/>
  <c r="CS16" i="10"/>
  <c r="AF17" i="12"/>
  <c r="AJ16" i="10"/>
  <c r="CN17" i="12"/>
  <c r="CS17" i="10"/>
  <c r="AF18" i="12"/>
  <c r="AJ17" i="10"/>
  <c r="CN18" i="12"/>
  <c r="AD13" i="1"/>
  <c r="AC12" i="1"/>
  <c r="AK20" i="10"/>
  <c r="AG21" i="12"/>
  <c r="CO21" i="12" s="1"/>
  <c r="CT20" i="10"/>
  <c r="AA45" i="14"/>
  <c r="AA44" i="14"/>
  <c r="AA48" i="14"/>
  <c r="AB41" i="1"/>
  <c r="AB50" i="14" s="1"/>
  <c r="AB33" i="1"/>
  <c r="AB20" i="1"/>
  <c r="AB16" i="1"/>
  <c r="AB36" i="1"/>
  <c r="AB31" i="1"/>
  <c r="AB22" i="1"/>
  <c r="AB23" i="1"/>
  <c r="AB28" i="1"/>
  <c r="AB40" i="1"/>
  <c r="AB30" i="1"/>
  <c r="AB19" i="1"/>
  <c r="AB32" i="1"/>
  <c r="AB26" i="1"/>
  <c r="AB17" i="1"/>
  <c r="AB39" i="1"/>
  <c r="AB27" i="1"/>
  <c r="AB44" i="1"/>
  <c r="AB53" i="14" s="1"/>
  <c r="AB37" i="1"/>
  <c r="AB14" i="1"/>
  <c r="AB43" i="1"/>
  <c r="AB52" i="14" s="1"/>
  <c r="AB7" i="1"/>
  <c r="AB35" i="1"/>
  <c r="AB42" i="1"/>
  <c r="AB51" i="14" s="1"/>
  <c r="AB38" i="1"/>
  <c r="AB25" i="1"/>
  <c r="AB8" i="1"/>
  <c r="AB9" i="1"/>
  <c r="AI52" i="12"/>
  <c r="CQ52" i="12" s="1"/>
  <c r="AM51" i="10"/>
  <c r="AK26" i="10"/>
  <c r="AG27" i="12"/>
  <c r="CO27" i="12"/>
  <c r="CT26" i="10"/>
  <c r="CU57" i="10"/>
  <c r="AF14" i="12"/>
  <c r="AJ13" i="10"/>
  <c r="CN14" i="12"/>
  <c r="CS13" i="10"/>
  <c r="CS56" i="10"/>
  <c r="CT50" i="10"/>
  <c r="AG51" i="12"/>
  <c r="CO51" i="12" s="1"/>
  <c r="AK50" i="10"/>
  <c r="AG93" i="14"/>
  <c r="AF92" i="14"/>
  <c r="AJ15" i="10"/>
  <c r="AF16" i="12"/>
  <c r="CN16" i="12"/>
  <c r="CS15" i="10"/>
  <c r="AK22" i="10"/>
  <c r="AG23" i="12"/>
  <c r="CO23" i="12"/>
  <c r="CT22" i="10"/>
  <c r="AK52" i="10"/>
  <c r="CT52" i="10" s="1"/>
  <c r="AG53" i="12"/>
  <c r="CO53" i="12"/>
  <c r="CS52" i="10"/>
  <c r="CT45" i="10"/>
  <c r="AA24" i="14"/>
  <c r="AA23" i="14"/>
  <c r="AG30" i="12"/>
  <c r="CT29" i="10"/>
  <c r="CO30" i="12"/>
  <c r="AK29" i="10"/>
  <c r="AF19" i="12"/>
  <c r="CN19" i="12"/>
  <c r="CS18" i="10"/>
  <c r="AJ18" i="10"/>
  <c r="AK37" i="10"/>
  <c r="AG38" i="12"/>
  <c r="CO38" i="12"/>
  <c r="CT37" i="10"/>
  <c r="EC39" i="12"/>
  <c r="AK31" i="10"/>
  <c r="AG32" i="12"/>
  <c r="CO32" i="12" s="1"/>
  <c r="CT31" i="10"/>
  <c r="AG55" i="12"/>
  <c r="CO55" i="12" s="1"/>
  <c r="AK54" i="10"/>
  <c r="CT54" i="10"/>
  <c r="AL59" i="10"/>
  <c r="AH60" i="12"/>
  <c r="CP60" i="12" s="1"/>
  <c r="CU59" i="10"/>
  <c r="AL22" i="10" l="1"/>
  <c r="AH23" i="12"/>
  <c r="CP23" i="12"/>
  <c r="CU22" i="10"/>
  <c r="AB44" i="14"/>
  <c r="AB36" i="14"/>
  <c r="AB28" i="14"/>
  <c r="AB40" i="14"/>
  <c r="AJ44" i="12"/>
  <c r="CR44" i="12" s="1"/>
  <c r="CW43" i="10"/>
  <c r="AN43" i="10"/>
  <c r="CT19" i="10"/>
  <c r="AG20" i="12"/>
  <c r="AK19" i="10"/>
  <c r="CO20" i="12"/>
  <c r="AF21" i="14"/>
  <c r="AG22" i="14"/>
  <c r="CU40" i="10"/>
  <c r="AH41" i="12"/>
  <c r="CP41" i="12" s="1"/>
  <c r="AL40" i="10"/>
  <c r="AN53" i="10"/>
  <c r="CW53" i="10"/>
  <c r="AJ54" i="12"/>
  <c r="CR54" i="12" s="1"/>
  <c r="CU36" i="10"/>
  <c r="AH37" i="12"/>
  <c r="CP37" i="12" s="1"/>
  <c r="AL36" i="10"/>
  <c r="CU30" i="10"/>
  <c r="AH31" i="12"/>
  <c r="AL30" i="10"/>
  <c r="CP31" i="12"/>
  <c r="AG13" i="12"/>
  <c r="CO13" i="12" s="1"/>
  <c r="CT12" i="10"/>
  <c r="AK12" i="10"/>
  <c r="AB48" i="14"/>
  <c r="AB39" i="14"/>
  <c r="AB45" i="14"/>
  <c r="CU25" i="10"/>
  <c r="AH26" i="12"/>
  <c r="AL25" i="10"/>
  <c r="CP26" i="12"/>
  <c r="CV41" i="10"/>
  <c r="AM41" i="10"/>
  <c r="AI42" i="12"/>
  <c r="CQ42" i="12"/>
  <c r="CU23" i="10"/>
  <c r="AH24" i="12"/>
  <c r="CP24" i="12" s="1"/>
  <c r="AL23" i="10"/>
  <c r="CU38" i="10"/>
  <c r="AH39" i="12"/>
  <c r="AL38" i="10"/>
  <c r="CP39" i="12"/>
  <c r="B38" i="13"/>
  <c r="EA42" i="12"/>
  <c r="EB41" i="12"/>
  <c r="E38" i="13" s="1"/>
  <c r="AB26" i="14"/>
  <c r="AB49" i="14"/>
  <c r="AB25" i="14"/>
  <c r="AH21" i="12"/>
  <c r="CU20" i="10"/>
  <c r="CP21" i="12"/>
  <c r="AL20" i="10"/>
  <c r="CT16" i="10"/>
  <c r="AG17" i="12"/>
  <c r="CO17" i="12" s="1"/>
  <c r="AK16" i="10"/>
  <c r="AM55" i="10"/>
  <c r="CV55" i="10"/>
  <c r="AI56" i="12"/>
  <c r="CQ56" i="12" s="1"/>
  <c r="CV53" i="10"/>
  <c r="C44" i="1"/>
  <c r="C53" i="14" s="1"/>
  <c r="B44" i="1"/>
  <c r="B53" i="14" s="1"/>
  <c r="A45" i="1"/>
  <c r="D44" i="1"/>
  <c r="D53" i="14" s="1"/>
  <c r="E44" i="1"/>
  <c r="E53" i="14" s="1"/>
  <c r="F44" i="1"/>
  <c r="F53" i="14" s="1"/>
  <c r="F41" i="15" s="1"/>
  <c r="G44" i="1"/>
  <c r="G53" i="14" s="1"/>
  <c r="H44" i="1"/>
  <c r="H53" i="14" s="1"/>
  <c r="E41" i="15" s="1"/>
  <c r="I44" i="1"/>
  <c r="I53" i="14" s="1"/>
  <c r="J44" i="1"/>
  <c r="J53" i="14" s="1"/>
  <c r="D41" i="15" s="1"/>
  <c r="K44" i="1"/>
  <c r="K53" i="14" s="1"/>
  <c r="L44" i="1"/>
  <c r="L53" i="14" s="1"/>
  <c r="C41" i="15" s="1"/>
  <c r="M44" i="1"/>
  <c r="M53" i="14" s="1"/>
  <c r="N44" i="1"/>
  <c r="N53" i="14" s="1"/>
  <c r="O44" i="1"/>
  <c r="O53" i="14" s="1"/>
  <c r="P44" i="1"/>
  <c r="P53" i="14" s="1"/>
  <c r="Q44" i="1"/>
  <c r="Q53" i="14" s="1"/>
  <c r="R44" i="1"/>
  <c r="R53" i="14" s="1"/>
  <c r="S44" i="1"/>
  <c r="S53" i="14" s="1"/>
  <c r="T44" i="1"/>
  <c r="T53" i="14" s="1"/>
  <c r="U44" i="1"/>
  <c r="U53" i="14" s="1"/>
  <c r="V44" i="1"/>
  <c r="V53" i="14" s="1"/>
  <c r="W44" i="1"/>
  <c r="W53" i="14" s="1"/>
  <c r="X44" i="1"/>
  <c r="X53" i="14" s="1"/>
  <c r="Y44" i="1"/>
  <c r="Y53" i="14" s="1"/>
  <c r="Z44" i="1"/>
  <c r="Z53" i="14" s="1"/>
  <c r="AA44" i="1"/>
  <c r="AA53" i="14" s="1"/>
  <c r="AG12" i="12"/>
  <c r="CT11" i="10"/>
  <c r="CO12" i="12"/>
  <c r="AK11" i="10"/>
  <c r="AL37" i="10"/>
  <c r="AH38" i="12"/>
  <c r="CP38" i="12" s="1"/>
  <c r="CU37" i="10"/>
  <c r="CT18" i="10"/>
  <c r="AK18" i="10"/>
  <c r="AG19" i="12"/>
  <c r="CO19" i="12" s="1"/>
  <c r="AB34" i="14"/>
  <c r="AB35" i="14"/>
  <c r="AC44" i="1"/>
  <c r="AC53" i="14" s="1"/>
  <c r="AC43" i="1"/>
  <c r="AC52" i="14" s="1"/>
  <c r="AC7" i="1"/>
  <c r="AC45" i="1"/>
  <c r="AC54" i="14" s="1"/>
  <c r="AC42" i="1"/>
  <c r="AC51" i="14" s="1"/>
  <c r="AC8" i="1"/>
  <c r="AC9" i="1"/>
  <c r="AI50" i="12"/>
  <c r="CQ50" i="12" s="1"/>
  <c r="AM49" i="10"/>
  <c r="CV49" i="10" s="1"/>
  <c r="AI161" i="14"/>
  <c r="AJ162" i="14"/>
  <c r="CU35" i="10"/>
  <c r="AL35" i="10"/>
  <c r="AH36" i="12"/>
  <c r="CP36" i="12" s="1"/>
  <c r="AN57" i="10"/>
  <c r="CW57" i="10" s="1"/>
  <c r="AJ58" i="12"/>
  <c r="CR58" i="12"/>
  <c r="EC40" i="12"/>
  <c r="L42" i="15"/>
  <c r="J42" i="15"/>
  <c r="H43" i="15"/>
  <c r="Q42" i="15"/>
  <c r="P42" i="15"/>
  <c r="O42" i="15"/>
  <c r="R42" i="15"/>
  <c r="K42" i="15"/>
  <c r="I42" i="15"/>
  <c r="AB23" i="14"/>
  <c r="AB37" i="14"/>
  <c r="AB29" i="14"/>
  <c r="AE13" i="1"/>
  <c r="AD12" i="1"/>
  <c r="AC36" i="1" s="1"/>
  <c r="AH34" i="12"/>
  <c r="CP34" i="12" s="1"/>
  <c r="CU33" i="10"/>
  <c r="AL33" i="10"/>
  <c r="AH57" i="12"/>
  <c r="CP57" i="12" s="1"/>
  <c r="AL56" i="10"/>
  <c r="CU56" i="10" s="1"/>
  <c r="AG80" i="1"/>
  <c r="AH81" i="1"/>
  <c r="CU27" i="10"/>
  <c r="AL27" i="10"/>
  <c r="AH28" i="12"/>
  <c r="CP28" i="12" s="1"/>
  <c r="AH49" i="12"/>
  <c r="CP49" i="12"/>
  <c r="AL48" i="10"/>
  <c r="CU28" i="10"/>
  <c r="AH29" i="12"/>
  <c r="CP29" i="12" s="1"/>
  <c r="AL28" i="10"/>
  <c r="G37" i="13"/>
  <c r="H37" i="13" s="1"/>
  <c r="AB47" i="14"/>
  <c r="AB46" i="14"/>
  <c r="AB41" i="14"/>
  <c r="AB32" i="14"/>
  <c r="AB42" i="14"/>
  <c r="CU44" i="10"/>
  <c r="AL44" i="10"/>
  <c r="AH45" i="12"/>
  <c r="CP45" i="12"/>
  <c r="CU34" i="10"/>
  <c r="AH35" i="12"/>
  <c r="CP35" i="12" s="1"/>
  <c r="AL34" i="10"/>
  <c r="AD78" i="1"/>
  <c r="CU21" i="10"/>
  <c r="AL21" i="10"/>
  <c r="AH22" i="12"/>
  <c r="CP22" i="12" s="1"/>
  <c r="AM45" i="10"/>
  <c r="AI46" i="12"/>
  <c r="CQ46" i="12"/>
  <c r="AL52" i="10"/>
  <c r="AH53" i="12"/>
  <c r="CP53" i="12" s="1"/>
  <c r="AH27" i="12"/>
  <c r="CP27" i="12" s="1"/>
  <c r="AL26" i="10"/>
  <c r="CU26" i="10"/>
  <c r="AN51" i="10"/>
  <c r="AJ52" i="12"/>
  <c r="CR52" i="12" s="1"/>
  <c r="AB31" i="14"/>
  <c r="AB34" i="1"/>
  <c r="CT17" i="10"/>
  <c r="AG18" i="12"/>
  <c r="CO18" i="12"/>
  <c r="AK17" i="10"/>
  <c r="CT56" i="10"/>
  <c r="CT44" i="10"/>
  <c r="AH25" i="12"/>
  <c r="CU24" i="10"/>
  <c r="CP25" i="12"/>
  <c r="AL24" i="10"/>
  <c r="AH47" i="12"/>
  <c r="CP47" i="12" s="1"/>
  <c r="AL46" i="10"/>
  <c r="CU32" i="10"/>
  <c r="AH33" i="12"/>
  <c r="CP33" i="12"/>
  <c r="AL32" i="10"/>
  <c r="AG16" i="12"/>
  <c r="CO16" i="12" s="1"/>
  <c r="CT15" i="10"/>
  <c r="AK15" i="10"/>
  <c r="AM59" i="10"/>
  <c r="CV59" i="10" s="1"/>
  <c r="AI60" i="12"/>
  <c r="CQ60" i="12" s="1"/>
  <c r="AL31" i="10"/>
  <c r="AH32" i="12"/>
  <c r="CP32" i="12" s="1"/>
  <c r="CU31" i="10"/>
  <c r="D36" i="13"/>
  <c r="ED39" i="12"/>
  <c r="AH93" i="14"/>
  <c r="AG92" i="14"/>
  <c r="AG14" i="12"/>
  <c r="CO14" i="12" s="1"/>
  <c r="CT13" i="10"/>
  <c r="AK13" i="10"/>
  <c r="AH55" i="12"/>
  <c r="CP55" i="12"/>
  <c r="AL54" i="10"/>
  <c r="AH30" i="12"/>
  <c r="CP30" i="12" s="1"/>
  <c r="CU29" i="10"/>
  <c r="AL29" i="10"/>
  <c r="AL50" i="10"/>
  <c r="CU50" i="10"/>
  <c r="AH51" i="12"/>
  <c r="CP51" i="12" s="1"/>
  <c r="CV51" i="10"/>
  <c r="AB15" i="1"/>
  <c r="AB18" i="1"/>
  <c r="AB29" i="1"/>
  <c r="AB21" i="1"/>
  <c r="AB24" i="1"/>
  <c r="AA40" i="14"/>
  <c r="C112" i="1"/>
  <c r="D112" i="1"/>
  <c r="B112" i="1"/>
  <c r="E112" i="1"/>
  <c r="A113" i="1"/>
  <c r="G112" i="1"/>
  <c r="F112" i="1"/>
  <c r="H112" i="1"/>
  <c r="I112" i="1"/>
  <c r="J112" i="1"/>
  <c r="K112" i="1"/>
  <c r="L112" i="1"/>
  <c r="M112" i="1"/>
  <c r="N112" i="1"/>
  <c r="O112" i="1"/>
  <c r="P112" i="1"/>
  <c r="Q112" i="1"/>
  <c r="R112" i="1"/>
  <c r="S112" i="1"/>
  <c r="T112" i="1"/>
  <c r="U112" i="1"/>
  <c r="V112" i="1"/>
  <c r="W112" i="1"/>
  <c r="X112" i="1"/>
  <c r="Y112" i="1"/>
  <c r="Z112" i="1"/>
  <c r="AA112" i="1"/>
  <c r="AB112" i="1"/>
  <c r="AC112" i="1"/>
  <c r="AD112" i="1"/>
  <c r="CV39" i="10"/>
  <c r="AI40" i="12"/>
  <c r="AM39" i="10"/>
  <c r="CQ40" i="12"/>
  <c r="AM47" i="10"/>
  <c r="CV47" i="10"/>
  <c r="AI48" i="12"/>
  <c r="CQ48" i="12" s="1"/>
  <c r="AE230" i="14"/>
  <c r="AF231" i="14"/>
  <c r="CT48" i="10"/>
  <c r="AK59" i="12"/>
  <c r="CS59" i="12" s="1"/>
  <c r="AO58" i="10"/>
  <c r="CX58" i="10"/>
  <c r="AG15" i="12"/>
  <c r="CT14" i="10"/>
  <c r="CO15" i="12"/>
  <c r="AK14" i="10"/>
  <c r="AH43" i="12"/>
  <c r="CP43" i="12" s="1"/>
  <c r="CU42" i="10"/>
  <c r="AL42" i="10"/>
  <c r="AC45" i="14" l="1"/>
  <c r="AB24" i="14"/>
  <c r="AI47" i="12"/>
  <c r="AM46" i="10"/>
  <c r="CQ47" i="12"/>
  <c r="CV46" i="10"/>
  <c r="CU17" i="10"/>
  <c r="AL17" i="10"/>
  <c r="AH18" i="12"/>
  <c r="CP18" i="12" s="1"/>
  <c r="AI49" i="12"/>
  <c r="CQ49" i="12" s="1"/>
  <c r="AM48" i="10"/>
  <c r="AH80" i="1"/>
  <c r="AI81" i="1"/>
  <c r="AJ161" i="14"/>
  <c r="AK162" i="14"/>
  <c r="AC15" i="1"/>
  <c r="AC33" i="1"/>
  <c r="AC22" i="1"/>
  <c r="AC25" i="1"/>
  <c r="AK44" i="12"/>
  <c r="CS44" i="12"/>
  <c r="CX43" i="10"/>
  <c r="AO43" i="10"/>
  <c r="CV31" i="10"/>
  <c r="AI32" i="12"/>
  <c r="AM31" i="10"/>
  <c r="CQ32" i="12"/>
  <c r="AI22" i="12"/>
  <c r="CQ22" i="12"/>
  <c r="CV21" i="10"/>
  <c r="AM21" i="10"/>
  <c r="AE78" i="1"/>
  <c r="AC16" i="1"/>
  <c r="AC17" i="1"/>
  <c r="CV37" i="10"/>
  <c r="AI38" i="12"/>
  <c r="AM37" i="10"/>
  <c r="CQ38" i="12"/>
  <c r="AI39" i="12"/>
  <c r="CQ39" i="12"/>
  <c r="CV38" i="10"/>
  <c r="AM38" i="10"/>
  <c r="AG231" i="14"/>
  <c r="AF230" i="14"/>
  <c r="CQ55" i="12"/>
  <c r="AM54" i="10"/>
  <c r="AI55" i="12"/>
  <c r="CV32" i="10"/>
  <c r="AM32" i="10"/>
  <c r="AI33" i="12"/>
  <c r="CQ33" i="12" s="1"/>
  <c r="CV24" i="10"/>
  <c r="AM24" i="10"/>
  <c r="AI25" i="12"/>
  <c r="CQ25" i="12"/>
  <c r="AK52" i="12"/>
  <c r="CS52" i="12"/>
  <c r="AO51" i="10"/>
  <c r="CX51" i="10"/>
  <c r="AI53" i="12"/>
  <c r="CQ53" i="12" s="1"/>
  <c r="AM52" i="10"/>
  <c r="CV52" i="10"/>
  <c r="AI35" i="12"/>
  <c r="CQ35" i="12"/>
  <c r="CV34" i="10"/>
  <c r="AM34" i="10"/>
  <c r="AD44" i="1"/>
  <c r="AD53" i="14" s="1"/>
  <c r="AD43" i="1"/>
  <c r="AD52" i="14" s="1"/>
  <c r="AD7" i="1"/>
  <c r="AD45" i="1"/>
  <c r="AD54" i="14" s="1"/>
  <c r="AD8" i="1"/>
  <c r="AD9" i="1"/>
  <c r="AC41" i="1"/>
  <c r="AC37" i="1"/>
  <c r="AC35" i="1"/>
  <c r="CP12" i="12"/>
  <c r="AH12" i="12"/>
  <c r="CU11" i="10"/>
  <c r="AL11" i="10"/>
  <c r="CV20" i="10"/>
  <c r="AM20" i="10"/>
  <c r="AI21" i="12"/>
  <c r="CQ21" i="12" s="1"/>
  <c r="AJ42" i="12"/>
  <c r="CW41" i="10"/>
  <c r="CR42" i="12"/>
  <c r="AN41" i="10"/>
  <c r="AH22" i="14"/>
  <c r="AG21" i="14"/>
  <c r="CU48" i="10"/>
  <c r="AM56" i="10"/>
  <c r="CV56" i="10" s="1"/>
  <c r="AI57" i="12"/>
  <c r="CQ57" i="12" s="1"/>
  <c r="AF13" i="1"/>
  <c r="AE12" i="1"/>
  <c r="AD22" i="1" s="1"/>
  <c r="AO57" i="10"/>
  <c r="AK58" i="12"/>
  <c r="CS58" i="12" s="1"/>
  <c r="AN49" i="10"/>
  <c r="CW49" i="10"/>
  <c r="AJ50" i="12"/>
  <c r="CR50" i="12"/>
  <c r="AC21" i="1"/>
  <c r="AC34" i="1"/>
  <c r="AC29" i="1"/>
  <c r="AI31" i="12"/>
  <c r="CQ31" i="12" s="1"/>
  <c r="CV30" i="10"/>
  <c r="AM30" i="10"/>
  <c r="AB33" i="14"/>
  <c r="AM50" i="10"/>
  <c r="AI51" i="12"/>
  <c r="CQ51" i="12"/>
  <c r="AB43" i="14"/>
  <c r="H44" i="15"/>
  <c r="K43" i="15"/>
  <c r="R43" i="15"/>
  <c r="L43" i="15"/>
  <c r="Q43" i="15"/>
  <c r="P43" i="15"/>
  <c r="O43" i="15"/>
  <c r="I43" i="15"/>
  <c r="J43" i="15"/>
  <c r="AC14" i="1"/>
  <c r="AC27" i="1"/>
  <c r="AC18" i="1"/>
  <c r="AC40" i="1"/>
  <c r="AH19" i="12"/>
  <c r="CP19" i="12" s="1"/>
  <c r="CU18" i="10"/>
  <c r="AL18" i="10"/>
  <c r="CV23" i="10"/>
  <c r="AM23" i="10"/>
  <c r="AI24" i="12"/>
  <c r="CQ24" i="12" s="1"/>
  <c r="AH92" i="14"/>
  <c r="AI93" i="14"/>
  <c r="B113" i="1"/>
  <c r="D113" i="1"/>
  <c r="A114" i="1"/>
  <c r="AG114" i="1" s="1"/>
  <c r="C113" i="1"/>
  <c r="E113" i="1"/>
  <c r="G113" i="1"/>
  <c r="F113" i="1"/>
  <c r="H113" i="1"/>
  <c r="I113" i="1"/>
  <c r="J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Y113" i="1"/>
  <c r="Z113" i="1"/>
  <c r="AA113" i="1"/>
  <c r="AB113" i="1"/>
  <c r="AC113" i="1"/>
  <c r="AD113" i="1"/>
  <c r="AE113" i="1"/>
  <c r="AB30" i="14"/>
  <c r="CU54" i="10"/>
  <c r="AN59" i="10"/>
  <c r="AJ60" i="12"/>
  <c r="CR60" i="12" s="1"/>
  <c r="CW59" i="10"/>
  <c r="AI27" i="12"/>
  <c r="CQ27" i="12" s="1"/>
  <c r="CV26" i="10"/>
  <c r="AM26" i="10"/>
  <c r="CW45" i="10"/>
  <c r="AN45" i="10"/>
  <c r="AJ46" i="12"/>
  <c r="CR46" i="12" s="1"/>
  <c r="CQ29" i="12"/>
  <c r="CV28" i="10"/>
  <c r="AM28" i="10"/>
  <c r="AI29" i="12"/>
  <c r="AC23" i="1"/>
  <c r="AC38" i="1"/>
  <c r="AC28" i="1"/>
  <c r="AC31" i="1"/>
  <c r="AN55" i="10"/>
  <c r="AJ56" i="12"/>
  <c r="CR56" i="12" s="1"/>
  <c r="B39" i="13"/>
  <c r="G39" i="13" s="1"/>
  <c r="H39" i="13" s="1"/>
  <c r="EB42" i="12"/>
  <c r="E39" i="13" s="1"/>
  <c r="EA43" i="12"/>
  <c r="AI26" i="12"/>
  <c r="CQ26" i="12" s="1"/>
  <c r="CV25" i="10"/>
  <c r="AM25" i="10"/>
  <c r="AO53" i="10"/>
  <c r="AK54" i="12"/>
  <c r="CS54" i="12" s="1"/>
  <c r="CX53" i="10"/>
  <c r="CU19" i="10"/>
  <c r="AL19" i="10"/>
  <c r="AH20" i="12"/>
  <c r="CP20" i="12" s="1"/>
  <c r="CU14" i="10"/>
  <c r="AL14" i="10"/>
  <c r="AH15" i="12"/>
  <c r="CP15" i="12" s="1"/>
  <c r="AJ40" i="12"/>
  <c r="CR40" i="12" s="1"/>
  <c r="CW39" i="10"/>
  <c r="AN39" i="10"/>
  <c r="AI43" i="12"/>
  <c r="CQ43" i="12"/>
  <c r="CV42" i="10"/>
  <c r="AM42" i="10"/>
  <c r="AB38" i="14"/>
  <c r="CV29" i="10"/>
  <c r="AM29" i="10"/>
  <c r="AI30" i="12"/>
  <c r="CQ30" i="12" s="1"/>
  <c r="AH14" i="12"/>
  <c r="AL13" i="10"/>
  <c r="CP14" i="12"/>
  <c r="CU13" i="10"/>
  <c r="AH16" i="12"/>
  <c r="CP16" i="12"/>
  <c r="AL15" i="10"/>
  <c r="CU15" i="10"/>
  <c r="CV45" i="10"/>
  <c r="AI28" i="12"/>
  <c r="CQ28" i="12"/>
  <c r="CV27" i="10"/>
  <c r="AM27" i="10"/>
  <c r="CV33" i="10"/>
  <c r="AM33" i="10"/>
  <c r="AI34" i="12"/>
  <c r="CQ34" i="12" s="1"/>
  <c r="AI36" i="12"/>
  <c r="CQ36" i="12" s="1"/>
  <c r="CV35" i="10"/>
  <c r="AM35" i="10"/>
  <c r="AC30" i="1"/>
  <c r="AC39" i="1"/>
  <c r="AC32" i="1"/>
  <c r="B45" i="1"/>
  <c r="B54" i="14" s="1"/>
  <c r="C45" i="1"/>
  <c r="C54" i="14" s="1"/>
  <c r="A46" i="1"/>
  <c r="D45" i="1"/>
  <c r="D54" i="14" s="1"/>
  <c r="E45" i="1"/>
  <c r="E54" i="14" s="1"/>
  <c r="F45" i="1"/>
  <c r="F54" i="14" s="1"/>
  <c r="F42" i="15" s="1"/>
  <c r="G45" i="1"/>
  <c r="G54" i="14" s="1"/>
  <c r="H45" i="1"/>
  <c r="H54" i="14" s="1"/>
  <c r="E42" i="15" s="1"/>
  <c r="I45" i="1"/>
  <c r="I54" i="14" s="1"/>
  <c r="J45" i="1"/>
  <c r="J54" i="14" s="1"/>
  <c r="D42" i="15" s="1"/>
  <c r="K45" i="1"/>
  <c r="K54" i="14" s="1"/>
  <c r="L45" i="1"/>
  <c r="L54" i="14" s="1"/>
  <c r="C42" i="15" s="1"/>
  <c r="M45" i="1"/>
  <c r="M54" i="14" s="1"/>
  <c r="N45" i="1"/>
  <c r="N54" i="14" s="1"/>
  <c r="O45" i="1"/>
  <c r="O54" i="14" s="1"/>
  <c r="P45" i="1"/>
  <c r="P54" i="14" s="1"/>
  <c r="Q45" i="1"/>
  <c r="Q54" i="14" s="1"/>
  <c r="R45" i="1"/>
  <c r="R54" i="14" s="1"/>
  <c r="S45" i="1"/>
  <c r="S54" i="14" s="1"/>
  <c r="T45" i="1"/>
  <c r="T54" i="14" s="1"/>
  <c r="U45" i="1"/>
  <c r="U54" i="14" s="1"/>
  <c r="V45" i="1"/>
  <c r="V54" i="14" s="1"/>
  <c r="W45" i="1"/>
  <c r="W54" i="14" s="1"/>
  <c r="X45" i="1"/>
  <c r="X54" i="14" s="1"/>
  <c r="Y45" i="1"/>
  <c r="Y54" i="14" s="1"/>
  <c r="Z45" i="1"/>
  <c r="Z54" i="14" s="1"/>
  <c r="AA45" i="1"/>
  <c r="AA54" i="14" s="1"/>
  <c r="AB45" i="1"/>
  <c r="AB54" i="14" s="1"/>
  <c r="G38" i="13"/>
  <c r="H38" i="13" s="1"/>
  <c r="AH13" i="12"/>
  <c r="CP13" i="12" s="1"/>
  <c r="AL12" i="10"/>
  <c r="CU12" i="10"/>
  <c r="CQ37" i="12"/>
  <c r="CV36" i="10"/>
  <c r="AM36" i="10"/>
  <c r="AI37" i="12"/>
  <c r="AL59" i="12"/>
  <c r="AP58" i="10"/>
  <c r="CY58" i="10"/>
  <c r="CT59" i="12"/>
  <c r="AJ48" i="12"/>
  <c r="CR48" i="12"/>
  <c r="AN47" i="10"/>
  <c r="AB27" i="14"/>
  <c r="CU46" i="10"/>
  <c r="CW51" i="10"/>
  <c r="CU52" i="10"/>
  <c r="AF113" i="1"/>
  <c r="AI45" i="12"/>
  <c r="CQ45" i="12" s="1"/>
  <c r="AM44" i="10"/>
  <c r="ED40" i="12"/>
  <c r="D37" i="13"/>
  <c r="AC26" i="1"/>
  <c r="AC20" i="1"/>
  <c r="AC19" i="1"/>
  <c r="AC24" i="1"/>
  <c r="AH17" i="12"/>
  <c r="CP17" i="12"/>
  <c r="CU16" i="10"/>
  <c r="AL16" i="10"/>
  <c r="EC41" i="12"/>
  <c r="CQ41" i="12"/>
  <c r="CV40" i="10"/>
  <c r="AM40" i="10"/>
  <c r="AI41" i="12"/>
  <c r="CV22" i="10"/>
  <c r="AI23" i="12"/>
  <c r="CQ23" i="12" s="1"/>
  <c r="AM22" i="10"/>
  <c r="AD31" i="14" l="1"/>
  <c r="CW35" i="10"/>
  <c r="AN35" i="10"/>
  <c r="AJ36" i="12"/>
  <c r="CR36" i="12"/>
  <c r="AI20" i="12"/>
  <c r="CQ20" i="12" s="1"/>
  <c r="CV19" i="10"/>
  <c r="AM19" i="10"/>
  <c r="AI92" i="14"/>
  <c r="AJ93" i="14"/>
  <c r="AJ51" i="12"/>
  <c r="CR51" i="12"/>
  <c r="AN50" i="10"/>
  <c r="AC43" i="14"/>
  <c r="AC46" i="14"/>
  <c r="AD20" i="1"/>
  <c r="AD37" i="1"/>
  <c r="AD38" i="1"/>
  <c r="AD32" i="1"/>
  <c r="AJ25" i="12"/>
  <c r="CW24" i="10"/>
  <c r="CR25" i="12"/>
  <c r="AN24" i="10"/>
  <c r="AJ55" i="12"/>
  <c r="CR55" i="12" s="1"/>
  <c r="AN54" i="10"/>
  <c r="CW54" i="10"/>
  <c r="AC34" i="14"/>
  <c r="CW48" i="10"/>
  <c r="AJ49" i="12"/>
  <c r="CR49" i="12" s="1"/>
  <c r="AN48" i="10"/>
  <c r="A47" i="1"/>
  <c r="C46" i="1"/>
  <c r="C55" i="14" s="1"/>
  <c r="B46" i="1"/>
  <c r="B55" i="14" s="1"/>
  <c r="D46" i="1"/>
  <c r="D55" i="14" s="1"/>
  <c r="E46" i="1"/>
  <c r="E55" i="14" s="1"/>
  <c r="F46" i="1"/>
  <c r="F55" i="14" s="1"/>
  <c r="F43" i="15" s="1"/>
  <c r="G46" i="1"/>
  <c r="G55" i="14" s="1"/>
  <c r="H46" i="1"/>
  <c r="H55" i="14" s="1"/>
  <c r="E43" i="15" s="1"/>
  <c r="I46" i="1"/>
  <c r="I55" i="14" s="1"/>
  <c r="J46" i="1"/>
  <c r="J55" i="14" s="1"/>
  <c r="D43" i="15" s="1"/>
  <c r="K46" i="1"/>
  <c r="K55" i="14" s="1"/>
  <c r="L46" i="1"/>
  <c r="L55" i="14" s="1"/>
  <c r="C43" i="15" s="1"/>
  <c r="M46" i="1"/>
  <c r="M55" i="14" s="1"/>
  <c r="N46" i="1"/>
  <c r="N55" i="14" s="1"/>
  <c r="O46" i="1"/>
  <c r="O55" i="14" s="1"/>
  <c r="P46" i="1"/>
  <c r="P55" i="14" s="1"/>
  <c r="Q46" i="1"/>
  <c r="Q55" i="14" s="1"/>
  <c r="R46" i="1"/>
  <c r="R55" i="14" s="1"/>
  <c r="S46" i="1"/>
  <c r="S55" i="14" s="1"/>
  <c r="T46" i="1"/>
  <c r="T55" i="14" s="1"/>
  <c r="U46" i="1"/>
  <c r="U55" i="14" s="1"/>
  <c r="V46" i="1"/>
  <c r="V55" i="14" s="1"/>
  <c r="W46" i="1"/>
  <c r="W55" i="14" s="1"/>
  <c r="X46" i="1"/>
  <c r="X55" i="14" s="1"/>
  <c r="Y46" i="1"/>
  <c r="Y55" i="14" s="1"/>
  <c r="Z46" i="1"/>
  <c r="Z55" i="14" s="1"/>
  <c r="AA46" i="1"/>
  <c r="AA55" i="14" s="1"/>
  <c r="AB46" i="1"/>
  <c r="AB55" i="14" s="1"/>
  <c r="AC46" i="1"/>
  <c r="AC55" i="14" s="1"/>
  <c r="AK56" i="12"/>
  <c r="CS56" i="12" s="1"/>
  <c r="AO55" i="10"/>
  <c r="AC30" i="14"/>
  <c r="AL58" i="12"/>
  <c r="CT58" i="12" s="1"/>
  <c r="CY57" i="10"/>
  <c r="AP57" i="10"/>
  <c r="AJ21" i="12"/>
  <c r="CW20" i="10"/>
  <c r="CR21" i="12"/>
  <c r="AN20" i="10"/>
  <c r="AC50" i="14"/>
  <c r="AD40" i="1"/>
  <c r="AD16" i="1"/>
  <c r="AD28" i="1"/>
  <c r="AD35" i="1"/>
  <c r="AJ38" i="12"/>
  <c r="CR38" i="12" s="1"/>
  <c r="CW37" i="10"/>
  <c r="AN37" i="10"/>
  <c r="AJ32" i="12"/>
  <c r="CR32" i="12" s="1"/>
  <c r="CW31" i="10"/>
  <c r="AN31" i="10"/>
  <c r="AC31" i="14"/>
  <c r="D38" i="13"/>
  <c r="ED41" i="12"/>
  <c r="AI14" i="12"/>
  <c r="CQ14" i="12" s="1"/>
  <c r="AM13" i="10"/>
  <c r="CV13" i="10"/>
  <c r="CR43" i="12"/>
  <c r="AN42" i="10"/>
  <c r="AJ43" i="12"/>
  <c r="CW42" i="10"/>
  <c r="B40" i="13"/>
  <c r="EB43" i="12"/>
  <c r="E40" i="13" s="1"/>
  <c r="EA44" i="12"/>
  <c r="AC40" i="14"/>
  <c r="AC49" i="14"/>
  <c r="K44" i="15"/>
  <c r="H45" i="15"/>
  <c r="Q44" i="15"/>
  <c r="P44" i="15"/>
  <c r="L44" i="15"/>
  <c r="O44" i="15"/>
  <c r="R44" i="15"/>
  <c r="I44" i="15"/>
  <c r="J44" i="15"/>
  <c r="AE7" i="1"/>
  <c r="AE46" i="1"/>
  <c r="AE55" i="14" s="1"/>
  <c r="AE45" i="1"/>
  <c r="AE54" i="14" s="1"/>
  <c r="AE47" i="1"/>
  <c r="AE56" i="14" s="1"/>
  <c r="AE32" i="1"/>
  <c r="AE44" i="1"/>
  <c r="AE53" i="14" s="1"/>
  <c r="AE29" i="1"/>
  <c r="AE42" i="1"/>
  <c r="AE9" i="1"/>
  <c r="AE8" i="1"/>
  <c r="AH21" i="14"/>
  <c r="AI22" i="14"/>
  <c r="AD42" i="1"/>
  <c r="CR35" i="12"/>
  <c r="AN34" i="10"/>
  <c r="AJ35" i="12"/>
  <c r="CW34" i="10"/>
  <c r="AC42" i="14"/>
  <c r="CV48" i="10"/>
  <c r="AN46" i="10"/>
  <c r="AJ47" i="12"/>
  <c r="CR47" i="12" s="1"/>
  <c r="CW46" i="10"/>
  <c r="AC35" i="14"/>
  <c r="AJ23" i="12"/>
  <c r="CR23" i="12"/>
  <c r="CW22" i="10"/>
  <c r="AN22" i="10"/>
  <c r="AM16" i="10"/>
  <c r="CV16" i="10"/>
  <c r="AI17" i="12"/>
  <c r="CQ17" i="12" s="1"/>
  <c r="AI15" i="12"/>
  <c r="CV14" i="10"/>
  <c r="CQ15" i="12"/>
  <c r="AM14" i="10"/>
  <c r="AC37" i="14"/>
  <c r="CS46" i="12"/>
  <c r="AO45" i="10"/>
  <c r="AK46" i="12"/>
  <c r="AJ24" i="12"/>
  <c r="CW23" i="10"/>
  <c r="CR24" i="12"/>
  <c r="AN23" i="10"/>
  <c r="AC27" i="14"/>
  <c r="AN30" i="10"/>
  <c r="CW30" i="10"/>
  <c r="AJ31" i="12"/>
  <c r="CR31" i="12" s="1"/>
  <c r="AF12" i="1"/>
  <c r="AE40" i="1" s="1"/>
  <c r="AG13" i="1"/>
  <c r="CX41" i="10"/>
  <c r="AO41" i="10"/>
  <c r="AK42" i="12"/>
  <c r="CS42" i="12"/>
  <c r="AM11" i="10"/>
  <c r="CV11" i="10"/>
  <c r="AI12" i="12"/>
  <c r="CQ12" i="12" s="1"/>
  <c r="AD27" i="1"/>
  <c r="AD29" i="1"/>
  <c r="AD19" i="1"/>
  <c r="AL52" i="12"/>
  <c r="CT52" i="12" s="1"/>
  <c r="CY51" i="10"/>
  <c r="AP51" i="10"/>
  <c r="AJ33" i="12"/>
  <c r="CW32" i="10"/>
  <c r="CR33" i="12"/>
  <c r="AN32" i="10"/>
  <c r="AG230" i="14"/>
  <c r="AH231" i="14"/>
  <c r="AC24" i="14"/>
  <c r="AO47" i="10"/>
  <c r="AK48" i="12"/>
  <c r="CS48" i="12"/>
  <c r="AC47" i="14"/>
  <c r="AC36" i="14"/>
  <c r="AD36" i="1"/>
  <c r="AD14" i="1"/>
  <c r="AD15" i="1"/>
  <c r="AD18" i="1"/>
  <c r="AD41" i="1"/>
  <c r="AN38" i="10"/>
  <c r="AJ39" i="12"/>
  <c r="CR39" i="12" s="1"/>
  <c r="CW38" i="10"/>
  <c r="AC26" i="14"/>
  <c r="AN21" i="10"/>
  <c r="AJ22" i="12"/>
  <c r="CR22" i="12" s="1"/>
  <c r="CW21" i="10"/>
  <c r="CY43" i="10"/>
  <c r="AP43" i="10"/>
  <c r="AL44" i="12"/>
  <c r="CT44" i="12"/>
  <c r="AK161" i="14"/>
  <c r="AL162" i="14"/>
  <c r="AJ37" i="12"/>
  <c r="CW36" i="10"/>
  <c r="CR37" i="12"/>
  <c r="AN36" i="10"/>
  <c r="CR34" i="12"/>
  <c r="AN33" i="10"/>
  <c r="AJ34" i="12"/>
  <c r="CW33" i="10"/>
  <c r="AM59" i="12"/>
  <c r="CU59" i="12"/>
  <c r="AQ58" i="10"/>
  <c r="CZ58" i="10"/>
  <c r="AC48" i="14"/>
  <c r="AM15" i="10"/>
  <c r="AI16" i="12"/>
  <c r="CQ16" i="12" s="1"/>
  <c r="CV15" i="10"/>
  <c r="AN29" i="10"/>
  <c r="AJ30" i="12"/>
  <c r="CR30" i="12" s="1"/>
  <c r="CW29" i="10"/>
  <c r="AL54" i="12"/>
  <c r="CT54" i="12"/>
  <c r="AP53" i="10"/>
  <c r="CY53" i="10"/>
  <c r="EC42" i="12"/>
  <c r="AC32" i="14"/>
  <c r="CS60" i="12"/>
  <c r="AK60" i="12"/>
  <c r="AO59" i="10"/>
  <c r="CX59" i="10" s="1"/>
  <c r="B114" i="1"/>
  <c r="D114" i="1"/>
  <c r="A115" i="1"/>
  <c r="E114" i="1"/>
  <c r="G114" i="1"/>
  <c r="C114" i="1"/>
  <c r="F114" i="1"/>
  <c r="H114" i="1"/>
  <c r="I114" i="1"/>
  <c r="J114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Y114" i="1"/>
  <c r="Z114" i="1"/>
  <c r="AA114" i="1"/>
  <c r="AB114" i="1"/>
  <c r="AC114" i="1"/>
  <c r="AD114" i="1"/>
  <c r="AE114" i="1"/>
  <c r="AF114" i="1"/>
  <c r="AC23" i="14"/>
  <c r="CV50" i="10"/>
  <c r="AK50" i="12"/>
  <c r="CS50" i="12"/>
  <c r="AO49" i="10"/>
  <c r="AD39" i="1"/>
  <c r="AD26" i="1"/>
  <c r="AD31" i="1"/>
  <c r="AD21" i="1"/>
  <c r="AC25" i="14"/>
  <c r="AI18" i="12"/>
  <c r="CV17" i="10"/>
  <c r="CQ18" i="12"/>
  <c r="AM17" i="10"/>
  <c r="AC29" i="14"/>
  <c r="AC39" i="14"/>
  <c r="CX39" i="10"/>
  <c r="AO39" i="10"/>
  <c r="AK40" i="12"/>
  <c r="CS40" i="12"/>
  <c r="AN25" i="10"/>
  <c r="AJ26" i="12"/>
  <c r="CR26" i="12" s="1"/>
  <c r="CW25" i="10"/>
  <c r="CW55" i="10"/>
  <c r="AJ27" i="12"/>
  <c r="CW26" i="10"/>
  <c r="CR27" i="12"/>
  <c r="AN26" i="10"/>
  <c r="CX57" i="10"/>
  <c r="AJ57" i="12"/>
  <c r="CR57" i="12"/>
  <c r="AN56" i="10"/>
  <c r="CW56" i="10"/>
  <c r="AD17" i="1"/>
  <c r="AD34" i="1"/>
  <c r="AD33" i="1"/>
  <c r="AD24" i="1"/>
  <c r="AI80" i="1"/>
  <c r="AJ81" i="1"/>
  <c r="AC28" i="14"/>
  <c r="AI13" i="12"/>
  <c r="CQ13" i="12" s="1"/>
  <c r="CV12" i="10"/>
  <c r="AM12" i="10"/>
  <c r="AC41" i="14"/>
  <c r="AJ45" i="12"/>
  <c r="CR45" i="12"/>
  <c r="CW44" i="10"/>
  <c r="AN44" i="10"/>
  <c r="AJ41" i="12"/>
  <c r="CW40" i="10"/>
  <c r="CR41" i="12"/>
  <c r="AN40" i="10"/>
  <c r="AC33" i="14"/>
  <c r="CV44" i="10"/>
  <c r="CW47" i="10"/>
  <c r="CW27" i="10"/>
  <c r="AN27" i="10"/>
  <c r="AJ28" i="12"/>
  <c r="CR28" i="12"/>
  <c r="AJ29" i="12"/>
  <c r="CW28" i="10"/>
  <c r="CR29" i="12"/>
  <c r="AN28" i="10"/>
  <c r="CV18" i="10"/>
  <c r="AM18" i="10"/>
  <c r="AI19" i="12"/>
  <c r="CQ19" i="12"/>
  <c r="AC38" i="14"/>
  <c r="AC44" i="14"/>
  <c r="AD30" i="1"/>
  <c r="AD46" i="1"/>
  <c r="AD55" i="14" s="1"/>
  <c r="AD25" i="1"/>
  <c r="AD23" i="1"/>
  <c r="AJ53" i="12"/>
  <c r="CR53" i="12" s="1"/>
  <c r="AN52" i="10"/>
  <c r="CW52" i="10" s="1"/>
  <c r="CV54" i="10"/>
  <c r="AH115" i="1"/>
  <c r="AF78" i="1"/>
  <c r="AE49" i="14" l="1"/>
  <c r="AD32" i="14"/>
  <c r="AK41" i="12"/>
  <c r="CS41" i="12"/>
  <c r="CX40" i="10"/>
  <c r="AO40" i="10"/>
  <c r="AJ80" i="1"/>
  <c r="AK81" i="1"/>
  <c r="CX33" i="10"/>
  <c r="AK34" i="12"/>
  <c r="AO33" i="10"/>
  <c r="CS34" i="12"/>
  <c r="AD24" i="14"/>
  <c r="AD38" i="14"/>
  <c r="CY41" i="10"/>
  <c r="AP41" i="10"/>
  <c r="AL42" i="12"/>
  <c r="CT42" i="12"/>
  <c r="AL46" i="12"/>
  <c r="CT46" i="12" s="1"/>
  <c r="AP45" i="10"/>
  <c r="AE37" i="1"/>
  <c r="AE24" i="1"/>
  <c r="AE31" i="1"/>
  <c r="AE25" i="1"/>
  <c r="AD41" i="14"/>
  <c r="AO50" i="10"/>
  <c r="CX50" i="10"/>
  <c r="AK51" i="12"/>
  <c r="CS51" i="12"/>
  <c r="AD43" i="14"/>
  <c r="AD34" i="14"/>
  <c r="AG78" i="1"/>
  <c r="AD23" i="14"/>
  <c r="AD36" i="14"/>
  <c r="AE17" i="1"/>
  <c r="AE27" i="1"/>
  <c r="AE33" i="1"/>
  <c r="EC43" i="12"/>
  <c r="CX31" i="10"/>
  <c r="AO31" i="10"/>
  <c r="AK32" i="12"/>
  <c r="CS32" i="12"/>
  <c r="AD44" i="14"/>
  <c r="C47" i="1"/>
  <c r="C56" i="14" s="1"/>
  <c r="B47" i="1"/>
  <c r="B56" i="14" s="1"/>
  <c r="A48" i="1"/>
  <c r="D47" i="1"/>
  <c r="D56" i="14" s="1"/>
  <c r="E47" i="1"/>
  <c r="E56" i="14" s="1"/>
  <c r="F47" i="1"/>
  <c r="F56" i="14" s="1"/>
  <c r="F44" i="15" s="1"/>
  <c r="G47" i="1"/>
  <c r="G56" i="14" s="1"/>
  <c r="H47" i="1"/>
  <c r="H56" i="14" s="1"/>
  <c r="E44" i="15" s="1"/>
  <c r="I47" i="1"/>
  <c r="I56" i="14" s="1"/>
  <c r="J47" i="1"/>
  <c r="J56" i="14" s="1"/>
  <c r="D44" i="15" s="1"/>
  <c r="K47" i="1"/>
  <c r="K56" i="14" s="1"/>
  <c r="L47" i="1"/>
  <c r="L56" i="14" s="1"/>
  <c r="C44" i="15" s="1"/>
  <c r="M47" i="1"/>
  <c r="M56" i="14" s="1"/>
  <c r="N47" i="1"/>
  <c r="N56" i="14" s="1"/>
  <c r="O47" i="1"/>
  <c r="O56" i="14" s="1"/>
  <c r="P47" i="1"/>
  <c r="P56" i="14" s="1"/>
  <c r="Q47" i="1"/>
  <c r="Q56" i="14" s="1"/>
  <c r="R47" i="1"/>
  <c r="R56" i="14" s="1"/>
  <c r="S47" i="1"/>
  <c r="S56" i="14" s="1"/>
  <c r="T47" i="1"/>
  <c r="T56" i="14" s="1"/>
  <c r="U47" i="1"/>
  <c r="U56" i="14" s="1"/>
  <c r="V47" i="1"/>
  <c r="V56" i="14" s="1"/>
  <c r="W47" i="1"/>
  <c r="W56" i="14" s="1"/>
  <c r="X47" i="1"/>
  <c r="X56" i="14" s="1"/>
  <c r="Y47" i="1"/>
  <c r="Y56" i="14" s="1"/>
  <c r="Z47" i="1"/>
  <c r="Z56" i="14" s="1"/>
  <c r="AA47" i="1"/>
  <c r="AA56" i="14" s="1"/>
  <c r="AB47" i="1"/>
  <c r="AB56" i="14" s="1"/>
  <c r="AC47" i="1"/>
  <c r="AC56" i="14" s="1"/>
  <c r="AD47" i="1"/>
  <c r="AD56" i="14" s="1"/>
  <c r="AK55" i="12"/>
  <c r="CS55" i="12" s="1"/>
  <c r="AO54" i="10"/>
  <c r="AD47" i="14"/>
  <c r="CX44" i="10"/>
  <c r="AO44" i="10"/>
  <c r="AK45" i="12"/>
  <c r="CS45" i="12" s="1"/>
  <c r="AJ19" i="12"/>
  <c r="CR19" i="12"/>
  <c r="CW18" i="10"/>
  <c r="AN18" i="10"/>
  <c r="AK28" i="12"/>
  <c r="CS28" i="12"/>
  <c r="CX27" i="10"/>
  <c r="AO27" i="10"/>
  <c r="AJ13" i="12"/>
  <c r="CR13" i="12"/>
  <c r="AN12" i="10"/>
  <c r="CW12" i="10"/>
  <c r="AD33" i="14"/>
  <c r="CX25" i="10"/>
  <c r="AK26" i="12"/>
  <c r="CS26" i="12" s="1"/>
  <c r="AO25" i="10"/>
  <c r="AD30" i="14"/>
  <c r="B115" i="1"/>
  <c r="A116" i="1"/>
  <c r="AI116" i="1" s="1"/>
  <c r="C115" i="1"/>
  <c r="E115" i="1"/>
  <c r="D115" i="1"/>
  <c r="G115" i="1"/>
  <c r="F115" i="1"/>
  <c r="H115" i="1"/>
  <c r="I115" i="1"/>
  <c r="J115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Y115" i="1"/>
  <c r="Z115" i="1"/>
  <c r="AA115" i="1"/>
  <c r="AB115" i="1"/>
  <c r="AC115" i="1"/>
  <c r="AD115" i="1"/>
  <c r="AE115" i="1"/>
  <c r="AF115" i="1"/>
  <c r="AG115" i="1"/>
  <c r="CX29" i="10"/>
  <c r="AK30" i="12"/>
  <c r="AO29" i="10"/>
  <c r="CS30" i="12"/>
  <c r="CX36" i="10"/>
  <c r="AO36" i="10"/>
  <c r="AK37" i="12"/>
  <c r="CS37" i="12" s="1"/>
  <c r="AQ43" i="10"/>
  <c r="AM44" i="12"/>
  <c r="CU44" i="12"/>
  <c r="CZ43" i="10"/>
  <c r="AD45" i="14"/>
  <c r="AL48" i="12"/>
  <c r="CT48" i="12" s="1"/>
  <c r="AP47" i="10"/>
  <c r="CY47" i="10"/>
  <c r="AH13" i="1"/>
  <c r="AG12" i="1"/>
  <c r="AK24" i="12"/>
  <c r="CS24" i="12" s="1"/>
  <c r="CX23" i="10"/>
  <c r="AO23" i="10"/>
  <c r="CW16" i="10"/>
  <c r="AJ17" i="12"/>
  <c r="AN16" i="10"/>
  <c r="CR17" i="12"/>
  <c r="AE18" i="1"/>
  <c r="AE30" i="1"/>
  <c r="AE16" i="1"/>
  <c r="EB44" i="12"/>
  <c r="E41" i="13" s="1"/>
  <c r="EC44" i="12"/>
  <c r="B41" i="13"/>
  <c r="G41" i="13" s="1"/>
  <c r="H41" i="13" s="1"/>
  <c r="EA45" i="12"/>
  <c r="AD37" i="14"/>
  <c r="CT56" i="12"/>
  <c r="CY55" i="10"/>
  <c r="AL56" i="12"/>
  <c r="AP55" i="10"/>
  <c r="AK49" i="12"/>
  <c r="CS49" i="12"/>
  <c r="AO48" i="10"/>
  <c r="CX48" i="10"/>
  <c r="AD46" i="14"/>
  <c r="CW50" i="10"/>
  <c r="AD39" i="14"/>
  <c r="AD42" i="14"/>
  <c r="AK27" i="12"/>
  <c r="CS27" i="12" s="1"/>
  <c r="CX26" i="10"/>
  <c r="AO26" i="10"/>
  <c r="AD40" i="14"/>
  <c r="D39" i="13"/>
  <c r="ED42" i="12"/>
  <c r="CV59" i="12"/>
  <c r="AR58" i="10"/>
  <c r="AN59" i="12"/>
  <c r="CU52" i="12"/>
  <c r="AQ51" i="10"/>
  <c r="AM52" i="12"/>
  <c r="AF45" i="1"/>
  <c r="AF54" i="14" s="1"/>
  <c r="AF28" i="1"/>
  <c r="AF38" i="1"/>
  <c r="AF46" i="1"/>
  <c r="AF55" i="14" s="1"/>
  <c r="AF31" i="1"/>
  <c r="AF19" i="1"/>
  <c r="AF43" i="1"/>
  <c r="AF33" i="1"/>
  <c r="AF30" i="1"/>
  <c r="AF41" i="1"/>
  <c r="AF34" i="1"/>
  <c r="AF37" i="1"/>
  <c r="AF48" i="1"/>
  <c r="AF57" i="14" s="1"/>
  <c r="AF7" i="1"/>
  <c r="AF26" i="1"/>
  <c r="AF47" i="1"/>
  <c r="AF56" i="14" s="1"/>
  <c r="AF32" i="1"/>
  <c r="AF25" i="1"/>
  <c r="AF14" i="1"/>
  <c r="AF18" i="1"/>
  <c r="AF8" i="1"/>
  <c r="AF9" i="1"/>
  <c r="CX34" i="10"/>
  <c r="AK35" i="12"/>
  <c r="CS35" i="12" s="1"/>
  <c r="AO34" i="10"/>
  <c r="AE28" i="1"/>
  <c r="AE23" i="1"/>
  <c r="AF24" i="1" s="1"/>
  <c r="AE35" i="1"/>
  <c r="AE36" i="1"/>
  <c r="AE15" i="1"/>
  <c r="K45" i="15"/>
  <c r="H46" i="15"/>
  <c r="Q45" i="15"/>
  <c r="P45" i="15"/>
  <c r="J45" i="15"/>
  <c r="O45" i="15"/>
  <c r="R45" i="15"/>
  <c r="L45" i="15"/>
  <c r="I45" i="15"/>
  <c r="AJ14" i="12"/>
  <c r="CR14" i="12" s="1"/>
  <c r="CW13" i="10"/>
  <c r="AN13" i="10"/>
  <c r="AD25" i="14"/>
  <c r="AM58" i="12"/>
  <c r="CU58" i="12" s="1"/>
  <c r="AQ57" i="10"/>
  <c r="CX55" i="10"/>
  <c r="AD29" i="14"/>
  <c r="CX28" i="10"/>
  <c r="AO28" i="10"/>
  <c r="AK29" i="12"/>
  <c r="CS29" i="12"/>
  <c r="CX38" i="10"/>
  <c r="AK39" i="12"/>
  <c r="AO38" i="10"/>
  <c r="CS39" i="12"/>
  <c r="CW11" i="10"/>
  <c r="AJ12" i="12"/>
  <c r="AN11" i="10"/>
  <c r="CR12" i="12"/>
  <c r="CW14" i="10"/>
  <c r="AN14" i="10"/>
  <c r="AJ15" i="12"/>
  <c r="CR15" i="12"/>
  <c r="CX22" i="10"/>
  <c r="AO22" i="10"/>
  <c r="AK23" i="12"/>
  <c r="CS23" i="12"/>
  <c r="AE51" i="14"/>
  <c r="AE38" i="14"/>
  <c r="AE41" i="14"/>
  <c r="G40" i="13"/>
  <c r="H40" i="13" s="1"/>
  <c r="AD49" i="14"/>
  <c r="AK25" i="12"/>
  <c r="CS25" i="12" s="1"/>
  <c r="CX24" i="10"/>
  <c r="AO24" i="10"/>
  <c r="AK93" i="14"/>
  <c r="AJ92" i="14"/>
  <c r="AK36" i="12"/>
  <c r="CS36" i="12" s="1"/>
  <c r="AO35" i="10"/>
  <c r="CX35" i="10"/>
  <c r="CW17" i="10"/>
  <c r="AN17" i="10"/>
  <c r="AJ18" i="12"/>
  <c r="CR18" i="12"/>
  <c r="AD26" i="14"/>
  <c r="AD48" i="14"/>
  <c r="AM54" i="12"/>
  <c r="CU54" i="12" s="1"/>
  <c r="AQ53" i="10"/>
  <c r="CZ53" i="10"/>
  <c r="AH230" i="14"/>
  <c r="AI231" i="14"/>
  <c r="AK47" i="12"/>
  <c r="CS47" i="12" s="1"/>
  <c r="CX46" i="10"/>
  <c r="AO46" i="10"/>
  <c r="AD51" i="14"/>
  <c r="AE41" i="1"/>
  <c r="AF42" i="1" s="1"/>
  <c r="AE26" i="1"/>
  <c r="AE34" i="1"/>
  <c r="CX37" i="10"/>
  <c r="AO37" i="10"/>
  <c r="AK38" i="12"/>
  <c r="CS38" i="12"/>
  <c r="AO52" i="10"/>
  <c r="CX52" i="10"/>
  <c r="AK53" i="12"/>
  <c r="CS53" i="12"/>
  <c r="AD35" i="14"/>
  <c r="CY39" i="10"/>
  <c r="AP39" i="10"/>
  <c r="AL40" i="12"/>
  <c r="CT40" i="12"/>
  <c r="AL50" i="12"/>
  <c r="CT50" i="12"/>
  <c r="AP49" i="10"/>
  <c r="CY49" i="10"/>
  <c r="AL60" i="12"/>
  <c r="CT60" i="12"/>
  <c r="AP59" i="10"/>
  <c r="CW15" i="10"/>
  <c r="AJ16" i="12"/>
  <c r="AN15" i="10"/>
  <c r="CR16" i="12"/>
  <c r="AL161" i="14"/>
  <c r="AM162" i="14"/>
  <c r="AO21" i="10"/>
  <c r="AK22" i="12"/>
  <c r="CS22" i="12" s="1"/>
  <c r="CX21" i="10"/>
  <c r="AD50" i="14"/>
  <c r="CX30" i="10"/>
  <c r="AK31" i="12"/>
  <c r="AO30" i="10"/>
  <c r="CS31" i="12"/>
  <c r="AJ22" i="14"/>
  <c r="AI21" i="14"/>
  <c r="AE38" i="1"/>
  <c r="AE22" i="1"/>
  <c r="AF23" i="1" s="1"/>
  <c r="AE14" i="1"/>
  <c r="AF15" i="1" s="1"/>
  <c r="AE39" i="1"/>
  <c r="AF40" i="1" s="1"/>
  <c r="CW19" i="10"/>
  <c r="AN19" i="10"/>
  <c r="AJ20" i="12"/>
  <c r="CR20" i="12"/>
  <c r="AK57" i="12"/>
  <c r="CS57" i="12"/>
  <c r="AO56" i="10"/>
  <c r="CX56" i="10"/>
  <c r="CX49" i="10"/>
  <c r="AD27" i="14"/>
  <c r="CX47" i="10"/>
  <c r="AK33" i="12"/>
  <c r="CS33" i="12"/>
  <c r="CX32" i="10"/>
  <c r="AO32" i="10"/>
  <c r="AD28" i="14"/>
  <c r="CX45" i="10"/>
  <c r="AE43" i="1"/>
  <c r="AE21" i="1"/>
  <c r="AE20" i="1"/>
  <c r="AE19" i="1"/>
  <c r="AF20" i="1" s="1"/>
  <c r="CX42" i="10"/>
  <c r="AK43" i="12"/>
  <c r="AO42" i="10"/>
  <c r="CS43" i="12"/>
  <c r="AK21" i="12"/>
  <c r="CS21" i="12"/>
  <c r="CX20" i="10"/>
  <c r="AO20" i="10"/>
  <c r="AF29" i="14" l="1"/>
  <c r="AF33" i="14"/>
  <c r="AF49" i="14"/>
  <c r="AF24" i="14"/>
  <c r="AF32" i="14"/>
  <c r="AF51" i="14"/>
  <c r="CY37" i="10"/>
  <c r="AP37" i="10"/>
  <c r="AL38" i="12"/>
  <c r="CT38" i="12"/>
  <c r="O46" i="15"/>
  <c r="L46" i="15"/>
  <c r="I46" i="15"/>
  <c r="J46" i="15"/>
  <c r="H47" i="15"/>
  <c r="R46" i="15"/>
  <c r="Q46" i="15"/>
  <c r="P46" i="15"/>
  <c r="K46" i="15"/>
  <c r="AL35" i="12"/>
  <c r="CT35" i="12"/>
  <c r="CY34" i="10"/>
  <c r="AP34" i="10"/>
  <c r="AF23" i="14"/>
  <c r="AF34" i="14"/>
  <c r="AF39" i="14"/>
  <c r="AF40" i="14"/>
  <c r="AF37" i="14"/>
  <c r="AO59" i="12"/>
  <c r="CW59" i="12"/>
  <c r="AS58" i="10"/>
  <c r="DB58" i="10"/>
  <c r="AE25" i="14"/>
  <c r="CX18" i="10"/>
  <c r="AO18" i="10"/>
  <c r="AK19" i="12"/>
  <c r="CS19" i="12" s="1"/>
  <c r="CY31" i="10"/>
  <c r="AP31" i="10"/>
  <c r="AL32" i="12"/>
  <c r="CT32" i="12" s="1"/>
  <c r="CZ45" i="10"/>
  <c r="AQ45" i="10"/>
  <c r="AM46" i="12"/>
  <c r="CU46" i="12"/>
  <c r="CY40" i="10"/>
  <c r="AP40" i="10"/>
  <c r="AL41" i="12"/>
  <c r="CT41" i="12" s="1"/>
  <c r="AE30" i="14"/>
  <c r="AE47" i="14"/>
  <c r="AK16" i="12"/>
  <c r="CS16" i="12"/>
  <c r="CX15" i="10"/>
  <c r="AO15" i="10"/>
  <c r="AQ49" i="10"/>
  <c r="CZ49" i="10"/>
  <c r="AM50" i="12"/>
  <c r="CU50" i="12" s="1"/>
  <c r="AL39" i="12"/>
  <c r="CT39" i="12"/>
  <c r="CY38" i="10"/>
  <c r="AP38" i="10"/>
  <c r="AK14" i="12"/>
  <c r="CX13" i="10"/>
  <c r="CS14" i="12"/>
  <c r="AO13" i="10"/>
  <c r="AF42" i="14"/>
  <c r="DA58" i="10"/>
  <c r="AE39" i="14"/>
  <c r="CY36" i="10"/>
  <c r="AP36" i="10"/>
  <c r="AL37" i="12"/>
  <c r="CT37" i="12" s="1"/>
  <c r="AK13" i="12"/>
  <c r="CS13" i="12" s="1"/>
  <c r="CX12" i="10"/>
  <c r="AO12" i="10"/>
  <c r="C48" i="1"/>
  <c r="C57" i="14" s="1"/>
  <c r="B48" i="1"/>
  <c r="B57" i="14" s="1"/>
  <c r="A49" i="1"/>
  <c r="D48" i="1"/>
  <c r="D57" i="14" s="1"/>
  <c r="E48" i="1"/>
  <c r="E57" i="14" s="1"/>
  <c r="F48" i="1"/>
  <c r="F57" i="14" s="1"/>
  <c r="F45" i="15" s="1"/>
  <c r="G48" i="1"/>
  <c r="G57" i="14" s="1"/>
  <c r="H48" i="1"/>
  <c r="H57" i="14" s="1"/>
  <c r="E45" i="15" s="1"/>
  <c r="I48" i="1"/>
  <c r="I57" i="14" s="1"/>
  <c r="J48" i="1"/>
  <c r="J57" i="14" s="1"/>
  <c r="D45" i="15" s="1"/>
  <c r="K48" i="1"/>
  <c r="K57" i="14" s="1"/>
  <c r="L48" i="1"/>
  <c r="L57" i="14" s="1"/>
  <c r="C45" i="15" s="1"/>
  <c r="M48" i="1"/>
  <c r="M57" i="14" s="1"/>
  <c r="N48" i="1"/>
  <c r="N57" i="14" s="1"/>
  <c r="O48" i="1"/>
  <c r="O57" i="14" s="1"/>
  <c r="P48" i="1"/>
  <c r="P57" i="14" s="1"/>
  <c r="Q48" i="1"/>
  <c r="Q57" i="14" s="1"/>
  <c r="R48" i="1"/>
  <c r="R57" i="14" s="1"/>
  <c r="S48" i="1"/>
  <c r="S57" i="14" s="1"/>
  <c r="T48" i="1"/>
  <c r="T57" i="14" s="1"/>
  <c r="U48" i="1"/>
  <c r="U57" i="14" s="1"/>
  <c r="V48" i="1"/>
  <c r="V57" i="14" s="1"/>
  <c r="W48" i="1"/>
  <c r="W57" i="14" s="1"/>
  <c r="X48" i="1"/>
  <c r="X57" i="14" s="1"/>
  <c r="Y48" i="1"/>
  <c r="Y57" i="14" s="1"/>
  <c r="Z48" i="1"/>
  <c r="Z57" i="14" s="1"/>
  <c r="AA48" i="1"/>
  <c r="AA57" i="14" s="1"/>
  <c r="AB48" i="1"/>
  <c r="AB57" i="14" s="1"/>
  <c r="AC48" i="1"/>
  <c r="AC57" i="14" s="1"/>
  <c r="AD48" i="1"/>
  <c r="AD57" i="14" s="1"/>
  <c r="AE48" i="1"/>
  <c r="AE57" i="14" s="1"/>
  <c r="AE43" i="14"/>
  <c r="AL36" i="12"/>
  <c r="CT36" i="12" s="1"/>
  <c r="CY35" i="10"/>
  <c r="AP35" i="10"/>
  <c r="CX14" i="10"/>
  <c r="AO14" i="10"/>
  <c r="AK15" i="12"/>
  <c r="CS15" i="12"/>
  <c r="AE24" i="14"/>
  <c r="AF41" i="14"/>
  <c r="AF16" i="1"/>
  <c r="AF52" i="14"/>
  <c r="AE27" i="14"/>
  <c r="CY54" i="10"/>
  <c r="AP54" i="10"/>
  <c r="AL55" i="12"/>
  <c r="CT55" i="12" s="1"/>
  <c r="ED43" i="12"/>
  <c r="D40" i="13"/>
  <c r="AE34" i="14"/>
  <c r="AE29" i="14"/>
  <c r="AE52" i="14"/>
  <c r="AJ21" i="14"/>
  <c r="AK22" i="14"/>
  <c r="AE35" i="14"/>
  <c r="AI230" i="14"/>
  <c r="AJ231" i="14"/>
  <c r="AE45" i="14"/>
  <c r="AF27" i="1"/>
  <c r="AL49" i="12"/>
  <c r="CT49" i="12" s="1"/>
  <c r="AP48" i="10"/>
  <c r="CY48" i="10"/>
  <c r="AG48" i="1"/>
  <c r="AG57" i="14" s="1"/>
  <c r="AG47" i="1"/>
  <c r="AG56" i="14" s="1"/>
  <c r="AG49" i="1"/>
  <c r="AG58" i="14" s="1"/>
  <c r="AG46" i="1"/>
  <c r="AG55" i="14" s="1"/>
  <c r="AG7" i="1"/>
  <c r="AG8" i="1"/>
  <c r="AG9" i="1"/>
  <c r="AL26" i="12"/>
  <c r="CT26" i="12"/>
  <c r="CY25" i="10"/>
  <c r="AP25" i="10"/>
  <c r="AE42" i="14"/>
  <c r="AE40" i="14"/>
  <c r="AL34" i="12"/>
  <c r="CT34" i="12"/>
  <c r="CY33" i="10"/>
  <c r="AP33" i="10"/>
  <c r="AE50" i="14"/>
  <c r="AR57" i="10"/>
  <c r="DA57" i="10"/>
  <c r="AN58" i="12"/>
  <c r="CV58" i="12"/>
  <c r="AE44" i="14"/>
  <c r="AF35" i="14"/>
  <c r="AF46" i="14"/>
  <c r="CV52" i="12"/>
  <c r="DA51" i="10"/>
  <c r="AR51" i="10"/>
  <c r="AN52" i="12"/>
  <c r="B42" i="13"/>
  <c r="EB45" i="12"/>
  <c r="E42" i="13" s="1"/>
  <c r="EA46" i="12"/>
  <c r="EC45" i="12"/>
  <c r="AK17" i="12"/>
  <c r="CS17" i="12"/>
  <c r="CX16" i="10"/>
  <c r="AO16" i="10"/>
  <c r="AH12" i="1"/>
  <c r="AG44" i="1" s="1"/>
  <c r="AI13" i="1"/>
  <c r="AL30" i="12"/>
  <c r="CT30" i="12"/>
  <c r="CY29" i="10"/>
  <c r="AP29" i="10"/>
  <c r="CT28" i="12"/>
  <c r="AL28" i="12"/>
  <c r="CY27" i="10"/>
  <c r="AP27" i="10"/>
  <c r="AE36" i="14"/>
  <c r="AE33" i="14"/>
  <c r="AM42" i="12"/>
  <c r="CU42" i="12" s="1"/>
  <c r="CZ41" i="10"/>
  <c r="AQ41" i="10"/>
  <c r="AE31" i="14"/>
  <c r="AQ59" i="10"/>
  <c r="AM60" i="12"/>
  <c r="CU60" i="12" s="1"/>
  <c r="AL22" i="12"/>
  <c r="CT22" i="12"/>
  <c r="AP21" i="10"/>
  <c r="CY21" i="10"/>
  <c r="CY59" i="10"/>
  <c r="AL53" i="12"/>
  <c r="CT53" i="12" s="1"/>
  <c r="AP52" i="10"/>
  <c r="CY52" i="10"/>
  <c r="AK12" i="12"/>
  <c r="CS12" i="12" s="1"/>
  <c r="CX11" i="10"/>
  <c r="AO11" i="10"/>
  <c r="AE32" i="14"/>
  <c r="AF39" i="1"/>
  <c r="AF22" i="1"/>
  <c r="AF28" i="14"/>
  <c r="CZ51" i="10"/>
  <c r="CY44" i="10"/>
  <c r="AP44" i="10"/>
  <c r="AL45" i="12"/>
  <c r="CT45" i="12" s="1"/>
  <c r="CX54" i="10"/>
  <c r="AE26" i="14"/>
  <c r="AE46" i="14"/>
  <c r="AL43" i="12"/>
  <c r="CT43" i="12" s="1"/>
  <c r="CY42" i="10"/>
  <c r="AP42" i="10"/>
  <c r="CX19" i="10"/>
  <c r="AO19" i="10"/>
  <c r="AK20" i="12"/>
  <c r="CS20" i="12" s="1"/>
  <c r="AE48" i="14"/>
  <c r="AM161" i="14"/>
  <c r="AN162" i="14"/>
  <c r="AM40" i="12"/>
  <c r="CU40" i="12"/>
  <c r="CZ39" i="10"/>
  <c r="AQ39" i="10"/>
  <c r="AR53" i="10"/>
  <c r="AN54" i="12"/>
  <c r="CV54" i="12" s="1"/>
  <c r="AK92" i="14"/>
  <c r="AL93" i="14"/>
  <c r="AL23" i="12"/>
  <c r="CT23" i="12" s="1"/>
  <c r="CY22" i="10"/>
  <c r="AP22" i="10"/>
  <c r="CY28" i="10"/>
  <c r="AP28" i="10"/>
  <c r="AL29" i="12"/>
  <c r="CT29" i="12"/>
  <c r="CZ57" i="10"/>
  <c r="AE37" i="14"/>
  <c r="AF36" i="1"/>
  <c r="AF43" i="14"/>
  <c r="AF44" i="1"/>
  <c r="AF21" i="1"/>
  <c r="AQ55" i="10"/>
  <c r="CZ55" i="10" s="1"/>
  <c r="AM56" i="12"/>
  <c r="CU56" i="12" s="1"/>
  <c r="D41" i="13"/>
  <c r="ED44" i="12"/>
  <c r="AN44" i="12"/>
  <c r="DA43" i="10"/>
  <c r="CV44" i="12"/>
  <c r="AR43" i="10"/>
  <c r="C116" i="1"/>
  <c r="D116" i="1"/>
  <c r="E116" i="1"/>
  <c r="G116" i="1"/>
  <c r="A117" i="1"/>
  <c r="B116" i="1"/>
  <c r="F116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T116" i="1"/>
  <c r="U116" i="1"/>
  <c r="V116" i="1"/>
  <c r="W116" i="1"/>
  <c r="X116" i="1"/>
  <c r="Y116" i="1"/>
  <c r="Z116" i="1"/>
  <c r="AA116" i="1"/>
  <c r="AB116" i="1"/>
  <c r="AC116" i="1"/>
  <c r="AD116" i="1"/>
  <c r="AE116" i="1"/>
  <c r="AF116" i="1"/>
  <c r="AG116" i="1"/>
  <c r="AH116" i="1"/>
  <c r="CY45" i="10"/>
  <c r="AK80" i="1"/>
  <c r="AL81" i="1"/>
  <c r="AL31" i="12"/>
  <c r="CT31" i="12"/>
  <c r="CY30" i="10"/>
  <c r="AP30" i="10"/>
  <c r="CY32" i="10"/>
  <c r="AP32" i="10"/>
  <c r="AL33" i="12"/>
  <c r="CT33" i="12"/>
  <c r="CY20" i="10"/>
  <c r="AP20" i="10"/>
  <c r="AL21" i="12"/>
  <c r="CT21" i="12"/>
  <c r="AE28" i="14"/>
  <c r="AP56" i="10"/>
  <c r="CY56" i="10"/>
  <c r="AL57" i="12"/>
  <c r="CT57" i="12"/>
  <c r="AE23" i="14"/>
  <c r="CT47" i="12"/>
  <c r="AL47" i="12"/>
  <c r="AP46" i="10"/>
  <c r="CX17" i="10"/>
  <c r="AO17" i="10"/>
  <c r="AK18" i="12"/>
  <c r="CS18" i="12"/>
  <c r="CY24" i="10"/>
  <c r="AP24" i="10"/>
  <c r="AL25" i="12"/>
  <c r="CT25" i="12" s="1"/>
  <c r="AF27" i="14"/>
  <c r="AF17" i="1"/>
  <c r="AF35" i="1"/>
  <c r="AF50" i="14"/>
  <c r="AF29" i="1"/>
  <c r="AF47" i="14"/>
  <c r="CT27" i="12"/>
  <c r="AL27" i="12"/>
  <c r="AP26" i="10"/>
  <c r="CY26" i="10"/>
  <c r="CY23" i="10"/>
  <c r="AP23" i="10"/>
  <c r="AL24" i="12"/>
  <c r="CT24" i="12"/>
  <c r="AM48" i="12"/>
  <c r="CU48" i="12" s="1"/>
  <c r="AQ47" i="10"/>
  <c r="CZ47" i="10" s="1"/>
  <c r="AL51" i="12"/>
  <c r="AP50" i="10"/>
  <c r="CT51" i="12"/>
  <c r="CY50" i="10"/>
  <c r="AH78" i="1"/>
  <c r="AJ117" i="1"/>
  <c r="AG53" i="14" l="1"/>
  <c r="AF45" i="14"/>
  <c r="AM23" i="12"/>
  <c r="CU23" i="12" s="1"/>
  <c r="CZ22" i="10"/>
  <c r="AQ22" i="10"/>
  <c r="AS51" i="10"/>
  <c r="AO52" i="12"/>
  <c r="CW52" i="12" s="1"/>
  <c r="DB51" i="10"/>
  <c r="AG33" i="1"/>
  <c r="AG15" i="1"/>
  <c r="AG24" i="1"/>
  <c r="AG22" i="1"/>
  <c r="AG39" i="1"/>
  <c r="AG35" i="1"/>
  <c r="AF25" i="14"/>
  <c r="AR47" i="10"/>
  <c r="AN48" i="12"/>
  <c r="CV48" i="12"/>
  <c r="DA47" i="10"/>
  <c r="AF44" i="14"/>
  <c r="AQ30" i="10"/>
  <c r="AM31" i="12"/>
  <c r="CU31" i="12" s="1"/>
  <c r="CZ30" i="10"/>
  <c r="AO54" i="12"/>
  <c r="CW54" i="12"/>
  <c r="AS53" i="10"/>
  <c r="DB53" i="10"/>
  <c r="CZ44" i="10"/>
  <c r="AQ44" i="10"/>
  <c r="AM45" i="12"/>
  <c r="CU45" i="12"/>
  <c r="AN60" i="12"/>
  <c r="CV60" i="12" s="1"/>
  <c r="AR59" i="10"/>
  <c r="DA59" i="10" s="1"/>
  <c r="AQ29" i="10"/>
  <c r="AM30" i="12"/>
  <c r="CU30" i="12" s="1"/>
  <c r="CZ29" i="10"/>
  <c r="AG40" i="1"/>
  <c r="AG29" i="1"/>
  <c r="AH30" i="1" s="1"/>
  <c r="AG21" i="1"/>
  <c r="AG20" i="1"/>
  <c r="AG36" i="1"/>
  <c r="CZ35" i="10"/>
  <c r="AQ35" i="10"/>
  <c r="AM36" i="12"/>
  <c r="CU36" i="12"/>
  <c r="AM41" i="12"/>
  <c r="CU41" i="12" s="1"/>
  <c r="CZ40" i="10"/>
  <c r="AQ40" i="10"/>
  <c r="AM32" i="12"/>
  <c r="CU32" i="12" s="1"/>
  <c r="CZ31" i="10"/>
  <c r="AQ31" i="10"/>
  <c r="CZ26" i="10"/>
  <c r="AQ26" i="10"/>
  <c r="AM27" i="12"/>
  <c r="CU27" i="12" s="1"/>
  <c r="AF26" i="14"/>
  <c r="CW44" i="12"/>
  <c r="DB43" i="10"/>
  <c r="AS43" i="10"/>
  <c r="AO44" i="12"/>
  <c r="DA39" i="10"/>
  <c r="AN40" i="12"/>
  <c r="CV40" i="12" s="1"/>
  <c r="AR39" i="10"/>
  <c r="AP11" i="10"/>
  <c r="AL12" i="12"/>
  <c r="CT12" i="12"/>
  <c r="CY11" i="10"/>
  <c r="AG16" i="1"/>
  <c r="AG27" i="1"/>
  <c r="AG28" i="1"/>
  <c r="AG34" i="1"/>
  <c r="AG41" i="1"/>
  <c r="AK231" i="14"/>
  <c r="AJ230" i="14"/>
  <c r="AQ54" i="10"/>
  <c r="CZ54" i="10"/>
  <c r="AM55" i="12"/>
  <c r="CU55" i="12"/>
  <c r="AP59" i="12"/>
  <c r="CX59" i="12"/>
  <c r="AT58" i="10"/>
  <c r="DC58" i="10"/>
  <c r="AM38" i="12"/>
  <c r="CU38" i="12"/>
  <c r="CZ37" i="10"/>
  <c r="AQ37" i="10"/>
  <c r="AL18" i="12"/>
  <c r="CT18" i="12"/>
  <c r="CY17" i="10"/>
  <c r="AP17" i="10"/>
  <c r="AM21" i="12"/>
  <c r="CU21" i="12"/>
  <c r="CZ20" i="10"/>
  <c r="AQ20" i="10"/>
  <c r="AR55" i="10"/>
  <c r="AN56" i="12"/>
  <c r="CV56" i="12" s="1"/>
  <c r="DA55" i="10"/>
  <c r="ED45" i="12"/>
  <c r="D42" i="13"/>
  <c r="AG38" i="1"/>
  <c r="AG30" i="1"/>
  <c r="AG19" i="1"/>
  <c r="AG26" i="1"/>
  <c r="C49" i="1"/>
  <c r="C58" i="14" s="1"/>
  <c r="B49" i="1"/>
  <c r="B58" i="14" s="1"/>
  <c r="A50" i="1"/>
  <c r="D49" i="1"/>
  <c r="D58" i="14" s="1"/>
  <c r="E49" i="1"/>
  <c r="E58" i="14" s="1"/>
  <c r="F49" i="1"/>
  <c r="F58" i="14" s="1"/>
  <c r="F46" i="15" s="1"/>
  <c r="G49" i="1"/>
  <c r="G58" i="14" s="1"/>
  <c r="H49" i="1"/>
  <c r="H58" i="14" s="1"/>
  <c r="E46" i="15" s="1"/>
  <c r="I49" i="1"/>
  <c r="I58" i="14" s="1"/>
  <c r="J49" i="1"/>
  <c r="J58" i="14" s="1"/>
  <c r="D46" i="15" s="1"/>
  <c r="K49" i="1"/>
  <c r="K58" i="14" s="1"/>
  <c r="L49" i="1"/>
  <c r="L58" i="14" s="1"/>
  <c r="C46" i="15" s="1"/>
  <c r="M49" i="1"/>
  <c r="M58" i="14" s="1"/>
  <c r="N49" i="1"/>
  <c r="N58" i="14" s="1"/>
  <c r="O49" i="1"/>
  <c r="O58" i="14" s="1"/>
  <c r="P49" i="1"/>
  <c r="P58" i="14" s="1"/>
  <c r="Q49" i="1"/>
  <c r="Q58" i="14" s="1"/>
  <c r="R49" i="1"/>
  <c r="R58" i="14" s="1"/>
  <c r="S49" i="1"/>
  <c r="S58" i="14" s="1"/>
  <c r="T49" i="1"/>
  <c r="T58" i="14" s="1"/>
  <c r="U49" i="1"/>
  <c r="U58" i="14" s="1"/>
  <c r="V49" i="1"/>
  <c r="V58" i="14" s="1"/>
  <c r="W49" i="1"/>
  <c r="W58" i="14" s="1"/>
  <c r="X49" i="1"/>
  <c r="X58" i="14" s="1"/>
  <c r="Y49" i="1"/>
  <c r="Y58" i="14" s="1"/>
  <c r="Z49" i="1"/>
  <c r="Z58" i="14" s="1"/>
  <c r="AA49" i="1"/>
  <c r="AA58" i="14" s="1"/>
  <c r="AB49" i="1"/>
  <c r="AB58" i="14" s="1"/>
  <c r="AC49" i="1"/>
  <c r="AC58" i="14" s="1"/>
  <c r="AD49" i="1"/>
  <c r="AD58" i="14" s="1"/>
  <c r="AE49" i="1"/>
  <c r="AE58" i="14" s="1"/>
  <c r="AF49" i="1"/>
  <c r="AF58" i="14" s="1"/>
  <c r="AP13" i="10"/>
  <c r="AL14" i="12"/>
  <c r="CT14" i="12" s="1"/>
  <c r="CY13" i="10"/>
  <c r="Q47" i="15"/>
  <c r="P47" i="15"/>
  <c r="L47" i="15"/>
  <c r="J47" i="15"/>
  <c r="I47" i="15"/>
  <c r="H48" i="15"/>
  <c r="R47" i="15"/>
  <c r="O47" i="15"/>
  <c r="K47" i="15"/>
  <c r="AF30" i="14"/>
  <c r="AM93" i="14"/>
  <c r="AL92" i="14"/>
  <c r="CY19" i="10"/>
  <c r="AL20" i="12"/>
  <c r="CT20" i="12" s="1"/>
  <c r="AP19" i="10"/>
  <c r="AQ21" i="10"/>
  <c r="AM22" i="12"/>
  <c r="CU22" i="12"/>
  <c r="CZ21" i="10"/>
  <c r="EB46" i="12"/>
  <c r="E43" i="13" s="1"/>
  <c r="EA47" i="12"/>
  <c r="B43" i="13"/>
  <c r="AO58" i="12"/>
  <c r="CW58" i="12" s="1"/>
  <c r="AS57" i="10"/>
  <c r="AG14" i="1"/>
  <c r="AG32" i="1"/>
  <c r="AG31" i="1"/>
  <c r="AQ48" i="10"/>
  <c r="CZ48" i="10"/>
  <c r="AM49" i="12"/>
  <c r="CU49" i="12"/>
  <c r="AM37" i="12"/>
  <c r="CU37" i="12"/>
  <c r="CZ36" i="10"/>
  <c r="AQ36" i="10"/>
  <c r="CY18" i="10"/>
  <c r="AP18" i="10"/>
  <c r="AL19" i="12"/>
  <c r="CT19" i="12"/>
  <c r="AM47" i="12"/>
  <c r="CU47" i="12"/>
  <c r="AQ46" i="10"/>
  <c r="AM81" i="1"/>
  <c r="AL80" i="1"/>
  <c r="C117" i="1"/>
  <c r="B117" i="1"/>
  <c r="E117" i="1"/>
  <c r="D117" i="1"/>
  <c r="A118" i="1"/>
  <c r="G117" i="1"/>
  <c r="F117" i="1"/>
  <c r="H117" i="1"/>
  <c r="I117" i="1"/>
  <c r="J117" i="1"/>
  <c r="K117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Y117" i="1"/>
  <c r="Z117" i="1"/>
  <c r="AA117" i="1"/>
  <c r="AB117" i="1"/>
  <c r="AC117" i="1"/>
  <c r="AD117" i="1"/>
  <c r="AE117" i="1"/>
  <c r="AF117" i="1"/>
  <c r="AG117" i="1"/>
  <c r="AH117" i="1"/>
  <c r="AI117" i="1"/>
  <c r="AF53" i="14"/>
  <c r="DA41" i="10"/>
  <c r="AR41" i="10"/>
  <c r="AN42" i="12"/>
  <c r="CV42" i="12" s="1"/>
  <c r="CZ27" i="10"/>
  <c r="AQ27" i="10"/>
  <c r="AM28" i="12"/>
  <c r="CU28" i="12" s="1"/>
  <c r="AJ13" i="1"/>
  <c r="AI12" i="1"/>
  <c r="AG37" i="1"/>
  <c r="AR49" i="10"/>
  <c r="DA49" i="10" s="1"/>
  <c r="AN50" i="12"/>
  <c r="CV50" i="12" s="1"/>
  <c r="DA45" i="10"/>
  <c r="AN46" i="12"/>
  <c r="CV46" i="12" s="1"/>
  <c r="AR45" i="10"/>
  <c r="AM51" i="12"/>
  <c r="CU51" i="12"/>
  <c r="AQ50" i="10"/>
  <c r="CZ50" i="10"/>
  <c r="AM24" i="12"/>
  <c r="CU24" i="12"/>
  <c r="CZ23" i="10"/>
  <c r="AQ23" i="10"/>
  <c r="AF38" i="14"/>
  <c r="AM57" i="12"/>
  <c r="CU57" i="12" s="1"/>
  <c r="AQ56" i="10"/>
  <c r="AI78" i="1"/>
  <c r="AM29" i="12"/>
  <c r="CU29" i="12"/>
  <c r="CZ28" i="10"/>
  <c r="AQ28" i="10"/>
  <c r="DA53" i="10"/>
  <c r="AN161" i="14"/>
  <c r="AO162" i="14"/>
  <c r="AQ42" i="10"/>
  <c r="AM43" i="12"/>
  <c r="CU43" i="12"/>
  <c r="CZ42" i="10"/>
  <c r="AF31" i="14"/>
  <c r="AH47" i="1"/>
  <c r="AH56" i="14" s="1"/>
  <c r="AH45" i="1"/>
  <c r="AH35" i="1"/>
  <c r="AH14" i="1"/>
  <c r="AH49" i="1"/>
  <c r="AH58" i="14" s="1"/>
  <c r="AH36" i="1"/>
  <c r="AH17" i="1"/>
  <c r="AH50" i="1"/>
  <c r="AH59" i="14" s="1"/>
  <c r="AH21" i="1"/>
  <c r="AH43" i="1"/>
  <c r="AH28" i="1"/>
  <c r="AH31" i="1"/>
  <c r="AH20" i="1"/>
  <c r="AH48" i="1"/>
  <c r="AH57" i="14" s="1"/>
  <c r="AH34" i="1"/>
  <c r="AH29" i="1"/>
  <c r="AH39" i="1"/>
  <c r="AH16" i="1"/>
  <c r="AH15" i="1"/>
  <c r="AH7" i="1"/>
  <c r="AH25" i="1"/>
  <c r="AH32" i="1"/>
  <c r="AH27" i="1"/>
  <c r="AH40" i="1"/>
  <c r="AH33" i="1"/>
  <c r="AH46" i="1"/>
  <c r="AH37" i="1"/>
  <c r="AH42" i="1"/>
  <c r="AH41" i="1"/>
  <c r="AH22" i="1"/>
  <c r="AH8" i="1"/>
  <c r="AH9" i="1"/>
  <c r="G42" i="13"/>
  <c r="H42" i="13" s="1"/>
  <c r="AG25" i="1"/>
  <c r="AH26" i="1" s="1"/>
  <c r="AG23" i="1"/>
  <c r="AH24" i="1" s="1"/>
  <c r="AG18" i="1"/>
  <c r="AL22" i="14"/>
  <c r="AK21" i="14"/>
  <c r="AL13" i="12"/>
  <c r="CT13" i="12" s="1"/>
  <c r="CY12" i="10"/>
  <c r="AP12" i="10"/>
  <c r="AM25" i="12"/>
  <c r="CU25" i="12" s="1"/>
  <c r="CZ24" i="10"/>
  <c r="AQ24" i="10"/>
  <c r="CY46" i="10"/>
  <c r="AM33" i="12"/>
  <c r="CU33" i="12"/>
  <c r="CZ32" i="10"/>
  <c r="AQ32" i="10"/>
  <c r="AF48" i="14"/>
  <c r="AM53" i="12"/>
  <c r="CU53" i="12"/>
  <c r="AQ52" i="10"/>
  <c r="CZ59" i="10"/>
  <c r="AP16" i="10"/>
  <c r="AL17" i="12"/>
  <c r="CT17" i="12"/>
  <c r="CY16" i="10"/>
  <c r="AQ33" i="10"/>
  <c r="AM34" i="12"/>
  <c r="CU34" i="12"/>
  <c r="CZ33" i="10"/>
  <c r="AQ25" i="10"/>
  <c r="AM26" i="12"/>
  <c r="CU26" i="12"/>
  <c r="CZ25" i="10"/>
  <c r="AG17" i="1"/>
  <c r="AG42" i="1"/>
  <c r="AG43" i="1"/>
  <c r="AG45" i="1"/>
  <c r="AF36" i="14"/>
  <c r="AL15" i="12"/>
  <c r="CT15" i="12" s="1"/>
  <c r="CY14" i="10"/>
  <c r="AP14" i="10"/>
  <c r="AQ38" i="10"/>
  <c r="AM39" i="12"/>
  <c r="CU39" i="12"/>
  <c r="CZ38" i="10"/>
  <c r="AP15" i="10"/>
  <c r="AL16" i="12"/>
  <c r="CT16" i="12"/>
  <c r="CY15" i="10"/>
  <c r="AQ34" i="10"/>
  <c r="AM35" i="12"/>
  <c r="CU35" i="12"/>
  <c r="CZ34" i="10"/>
  <c r="AH39" i="14" l="1"/>
  <c r="AH33" i="14"/>
  <c r="AH35" i="14"/>
  <c r="DA28" i="10"/>
  <c r="AR28" i="10"/>
  <c r="AN29" i="12"/>
  <c r="CV29" i="12"/>
  <c r="DC43" i="10"/>
  <c r="AT43" i="10"/>
  <c r="AP44" i="12"/>
  <c r="CX44" i="12" s="1"/>
  <c r="CV23" i="12"/>
  <c r="DA22" i="10"/>
  <c r="AN23" i="12"/>
  <c r="AR22" i="10"/>
  <c r="DA24" i="10"/>
  <c r="AR24" i="10"/>
  <c r="AN25" i="12"/>
  <c r="CV25" i="12"/>
  <c r="AH34" i="14"/>
  <c r="AH43" i="14"/>
  <c r="AH30" i="14"/>
  <c r="AH23" i="14"/>
  <c r="AI48" i="1"/>
  <c r="AI57" i="14" s="1"/>
  <c r="AI7" i="1"/>
  <c r="AI50" i="1"/>
  <c r="AI59" i="14" s="1"/>
  <c r="AI49" i="1"/>
  <c r="AI58" i="14" s="1"/>
  <c r="AI9" i="1"/>
  <c r="AI8" i="1"/>
  <c r="DB41" i="10"/>
  <c r="AS41" i="10"/>
  <c r="AO42" i="12"/>
  <c r="CW42" i="12"/>
  <c r="AN81" i="1"/>
  <c r="AM80" i="1"/>
  <c r="AN49" i="12"/>
  <c r="CV49" i="12"/>
  <c r="AR48" i="10"/>
  <c r="DA48" i="10" s="1"/>
  <c r="G43" i="13"/>
  <c r="H43" i="13" s="1"/>
  <c r="AM14" i="12"/>
  <c r="CU14" i="12" s="1"/>
  <c r="CZ13" i="10"/>
  <c r="AQ13" i="10"/>
  <c r="AQ59" i="12"/>
  <c r="CY59" i="12"/>
  <c r="DD58" i="10"/>
  <c r="AU58" i="10"/>
  <c r="AK230" i="14"/>
  <c r="AL231" i="14"/>
  <c r="CV32" i="12"/>
  <c r="DA31" i="10"/>
  <c r="AN32" i="12"/>
  <c r="AR31" i="10"/>
  <c r="AG49" i="14"/>
  <c r="AG33" i="14"/>
  <c r="AG26" i="14"/>
  <c r="AL21" i="14"/>
  <c r="AM22" i="14"/>
  <c r="AH18" i="1"/>
  <c r="AH44" i="14"/>
  <c r="AN57" i="12"/>
  <c r="CV57" i="12" s="1"/>
  <c r="AR56" i="10"/>
  <c r="AK13" i="1"/>
  <c r="AJ12" i="1"/>
  <c r="DA46" i="10"/>
  <c r="AN47" i="12"/>
  <c r="AR46" i="10"/>
  <c r="CV47" i="12"/>
  <c r="DA36" i="10"/>
  <c r="AR36" i="10"/>
  <c r="AN37" i="12"/>
  <c r="CV37" i="12" s="1"/>
  <c r="AG40" i="14"/>
  <c r="B44" i="13"/>
  <c r="EA48" i="12"/>
  <c r="EB47" i="12"/>
  <c r="E44" i="13" s="1"/>
  <c r="EC47" i="12"/>
  <c r="CZ19" i="10"/>
  <c r="AM20" i="12"/>
  <c r="CU20" i="12" s="1"/>
  <c r="AQ19" i="10"/>
  <c r="AG35" i="14"/>
  <c r="AG50" i="14"/>
  <c r="AM12" i="12"/>
  <c r="CU12" i="12" s="1"/>
  <c r="CZ11" i="10"/>
  <c r="AQ11" i="10"/>
  <c r="AG24" i="14"/>
  <c r="AH55" i="14"/>
  <c r="AG27" i="14"/>
  <c r="AH31" i="14"/>
  <c r="AH42" i="14"/>
  <c r="AH54" i="14"/>
  <c r="B118" i="1"/>
  <c r="D118" i="1"/>
  <c r="C118" i="1"/>
  <c r="E118" i="1"/>
  <c r="A119" i="1"/>
  <c r="G118" i="1"/>
  <c r="F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T118" i="1"/>
  <c r="U118" i="1"/>
  <c r="V118" i="1"/>
  <c r="W118" i="1"/>
  <c r="X118" i="1"/>
  <c r="Y118" i="1"/>
  <c r="Z118" i="1"/>
  <c r="AA118" i="1"/>
  <c r="AB118" i="1"/>
  <c r="AC118" i="1"/>
  <c r="AD118" i="1"/>
  <c r="AE118" i="1"/>
  <c r="AF118" i="1"/>
  <c r="AG118" i="1"/>
  <c r="AH118" i="1"/>
  <c r="AI118" i="1"/>
  <c r="AJ118" i="1"/>
  <c r="CZ46" i="10"/>
  <c r="AG41" i="14"/>
  <c r="EC46" i="12"/>
  <c r="AG28" i="14"/>
  <c r="AS55" i="10"/>
  <c r="AO56" i="12"/>
  <c r="CW56" i="12"/>
  <c r="AG43" i="14"/>
  <c r="AO40" i="12"/>
  <c r="CW40" i="12"/>
  <c r="DB39" i="10"/>
  <c r="AS39" i="10"/>
  <c r="DA35" i="10"/>
  <c r="AN36" i="12"/>
  <c r="CV36" i="12" s="1"/>
  <c r="AR35" i="10"/>
  <c r="AO48" i="12"/>
  <c r="CW48" i="12"/>
  <c r="DB47" i="10"/>
  <c r="AS47" i="10"/>
  <c r="AG42" i="14"/>
  <c r="AG46" i="14"/>
  <c r="CZ18" i="10"/>
  <c r="AM19" i="12"/>
  <c r="CU19" i="12" s="1"/>
  <c r="AQ18" i="10"/>
  <c r="AN22" i="12"/>
  <c r="CV22" i="12"/>
  <c r="DA21" i="10"/>
  <c r="AR21" i="10"/>
  <c r="J48" i="15"/>
  <c r="K48" i="15"/>
  <c r="I48" i="15"/>
  <c r="H49" i="15"/>
  <c r="R48" i="15"/>
  <c r="Q48" i="15"/>
  <c r="L48" i="15"/>
  <c r="P48" i="15"/>
  <c r="O48" i="15"/>
  <c r="AG32" i="14"/>
  <c r="AH38" i="1"/>
  <c r="AH49" i="14"/>
  <c r="AH24" i="14"/>
  <c r="AH29" i="14"/>
  <c r="AH26" i="14"/>
  <c r="AN43" i="12"/>
  <c r="CV43" i="12" s="1"/>
  <c r="DA42" i="10"/>
  <c r="AR42" i="10"/>
  <c r="AG23" i="14"/>
  <c r="AG39" i="14"/>
  <c r="DA20" i="10"/>
  <c r="AR20" i="10"/>
  <c r="AN21" i="12"/>
  <c r="CV21" i="12"/>
  <c r="DA37" i="10"/>
  <c r="AN38" i="12"/>
  <c r="CV38" i="12" s="1"/>
  <c r="AR37" i="10"/>
  <c r="AG37" i="14"/>
  <c r="AR44" i="10"/>
  <c r="AN45" i="12"/>
  <c r="CV45" i="12"/>
  <c r="DA44" i="10"/>
  <c r="AH52" i="14"/>
  <c r="CW46" i="12"/>
  <c r="AO46" i="12"/>
  <c r="DB45" i="10"/>
  <c r="AS45" i="10"/>
  <c r="AG38" i="14"/>
  <c r="AM16" i="12"/>
  <c r="CU16" i="12"/>
  <c r="CZ15" i="10"/>
  <c r="AQ15" i="10"/>
  <c r="AN26" i="12"/>
  <c r="CV26" i="12"/>
  <c r="DA25" i="10"/>
  <c r="AR25" i="10"/>
  <c r="AG54" i="14"/>
  <c r="CU13" i="12"/>
  <c r="CZ12" i="10"/>
  <c r="AM13" i="12"/>
  <c r="AQ12" i="10"/>
  <c r="AG34" i="14"/>
  <c r="AH50" i="14"/>
  <c r="AH36" i="14"/>
  <c r="AH25" i="14"/>
  <c r="AH40" i="14"/>
  <c r="AH45" i="14"/>
  <c r="AH19" i="1"/>
  <c r="AO161" i="14"/>
  <c r="AP162" i="14"/>
  <c r="CZ56" i="10"/>
  <c r="AN51" i="12"/>
  <c r="CV51" i="12" s="1"/>
  <c r="AR50" i="10"/>
  <c r="DA27" i="10"/>
  <c r="AN28" i="12"/>
  <c r="CV28" i="12" s="1"/>
  <c r="AR27" i="10"/>
  <c r="DC57" i="10"/>
  <c r="AP58" i="12"/>
  <c r="CX58" i="12" s="1"/>
  <c r="AT57" i="10"/>
  <c r="AG47" i="14"/>
  <c r="AG36" i="14"/>
  <c r="DA40" i="10"/>
  <c r="AR40" i="10"/>
  <c r="AN41" i="12"/>
  <c r="CV41" i="12"/>
  <c r="AG45" i="14"/>
  <c r="AN30" i="12"/>
  <c r="CV30" i="12"/>
  <c r="DA29" i="10"/>
  <c r="AR29" i="10"/>
  <c r="AN31" i="12"/>
  <c r="CV31" i="12"/>
  <c r="DA30" i="10"/>
  <c r="AR30" i="10"/>
  <c r="AH41" i="14"/>
  <c r="DA23" i="10"/>
  <c r="AR23" i="10"/>
  <c r="AN24" i="12"/>
  <c r="CV24" i="12"/>
  <c r="AJ78" i="1"/>
  <c r="AL119" i="1"/>
  <c r="AG31" i="14"/>
  <c r="DA32" i="10"/>
  <c r="AR32" i="10"/>
  <c r="AN33" i="12"/>
  <c r="CV33" i="12"/>
  <c r="AG52" i="14"/>
  <c r="AN53" i="12"/>
  <c r="CV53" i="12"/>
  <c r="AR52" i="10"/>
  <c r="DA52" i="10" s="1"/>
  <c r="AH37" i="14"/>
  <c r="AO50" i="12"/>
  <c r="AS49" i="10"/>
  <c r="DB49" i="10" s="1"/>
  <c r="CW50" i="12"/>
  <c r="AM92" i="14"/>
  <c r="AN93" i="14"/>
  <c r="AG25" i="14"/>
  <c r="AG29" i="14"/>
  <c r="AO60" i="12"/>
  <c r="CW60" i="12"/>
  <c r="DB59" i="10"/>
  <c r="AS59" i="10"/>
  <c r="AG44" i="14"/>
  <c r="AP52" i="12"/>
  <c r="CX52" i="12"/>
  <c r="AT51" i="10"/>
  <c r="DC51" i="10"/>
  <c r="AN34" i="12"/>
  <c r="CV34" i="12" s="1"/>
  <c r="DA33" i="10"/>
  <c r="AR33" i="10"/>
  <c r="CZ17" i="10"/>
  <c r="AQ17" i="10"/>
  <c r="AM18" i="12"/>
  <c r="CU18" i="12"/>
  <c r="AM17" i="12"/>
  <c r="CU17" i="12" s="1"/>
  <c r="CZ16" i="10"/>
  <c r="AQ16" i="10"/>
  <c r="AN35" i="12"/>
  <c r="CV35" i="12"/>
  <c r="DA34" i="10"/>
  <c r="AR34" i="10"/>
  <c r="AN39" i="12"/>
  <c r="CV39" i="12" s="1"/>
  <c r="DA38" i="10"/>
  <c r="AR38" i="10"/>
  <c r="AH51" i="14"/>
  <c r="AH48" i="14"/>
  <c r="AH44" i="1"/>
  <c r="CZ14" i="10"/>
  <c r="AQ14" i="10"/>
  <c r="AM15" i="12"/>
  <c r="CU15" i="12" s="1"/>
  <c r="AG51" i="14"/>
  <c r="CZ52" i="10"/>
  <c r="AH46" i="14"/>
  <c r="AH38" i="14"/>
  <c r="AH23" i="1"/>
  <c r="AK118" i="1"/>
  <c r="DB57" i="10"/>
  <c r="C50" i="1"/>
  <c r="C59" i="14" s="1"/>
  <c r="B50" i="1"/>
  <c r="B59" i="14" s="1"/>
  <c r="A51" i="1"/>
  <c r="D50" i="1"/>
  <c r="D59" i="14" s="1"/>
  <c r="E50" i="1"/>
  <c r="E59" i="14" s="1"/>
  <c r="F50" i="1"/>
  <c r="F59" i="14" s="1"/>
  <c r="F47" i="15" s="1"/>
  <c r="G50" i="1"/>
  <c r="G59" i="14" s="1"/>
  <c r="H50" i="1"/>
  <c r="H59" i="14" s="1"/>
  <c r="E47" i="15" s="1"/>
  <c r="I50" i="1"/>
  <c r="I59" i="14" s="1"/>
  <c r="J50" i="1"/>
  <c r="J59" i="14" s="1"/>
  <c r="D47" i="15" s="1"/>
  <c r="K50" i="1"/>
  <c r="K59" i="14" s="1"/>
  <c r="L50" i="1"/>
  <c r="L59" i="14" s="1"/>
  <c r="C47" i="15" s="1"/>
  <c r="M50" i="1"/>
  <c r="M59" i="14" s="1"/>
  <c r="N50" i="1"/>
  <c r="N59" i="14" s="1"/>
  <c r="O50" i="1"/>
  <c r="O59" i="14" s="1"/>
  <c r="P50" i="1"/>
  <c r="P59" i="14" s="1"/>
  <c r="Q50" i="1"/>
  <c r="Q59" i="14" s="1"/>
  <c r="R50" i="1"/>
  <c r="R59" i="14" s="1"/>
  <c r="S50" i="1"/>
  <c r="S59" i="14" s="1"/>
  <c r="T50" i="1"/>
  <c r="T59" i="14" s="1"/>
  <c r="U50" i="1"/>
  <c r="U59" i="14" s="1"/>
  <c r="V50" i="1"/>
  <c r="V59" i="14" s="1"/>
  <c r="W50" i="1"/>
  <c r="W59" i="14" s="1"/>
  <c r="X50" i="1"/>
  <c r="X59" i="14" s="1"/>
  <c r="Y50" i="1"/>
  <c r="Y59" i="14" s="1"/>
  <c r="Z50" i="1"/>
  <c r="Z59" i="14" s="1"/>
  <c r="AA50" i="1"/>
  <c r="AA59" i="14" s="1"/>
  <c r="AB50" i="1"/>
  <c r="AB59" i="14" s="1"/>
  <c r="AC50" i="1"/>
  <c r="AC59" i="14" s="1"/>
  <c r="AD50" i="1"/>
  <c r="AD59" i="14" s="1"/>
  <c r="AE50" i="1"/>
  <c r="AE59" i="14" s="1"/>
  <c r="AF50" i="1"/>
  <c r="AF59" i="14" s="1"/>
  <c r="AG50" i="1"/>
  <c r="AG59" i="14" s="1"/>
  <c r="AN55" i="12"/>
  <c r="CV55" i="12" s="1"/>
  <c r="AR54" i="10"/>
  <c r="DA54" i="10"/>
  <c r="DA26" i="10"/>
  <c r="AR26" i="10"/>
  <c r="AN27" i="12"/>
  <c r="CV27" i="12"/>
  <c r="AG30" i="14"/>
  <c r="AT53" i="10"/>
  <c r="AP54" i="12"/>
  <c r="CX54" i="12" s="1"/>
  <c r="AG48" i="14"/>
  <c r="DA17" i="10" l="1"/>
  <c r="AR17" i="10"/>
  <c r="AN18" i="12"/>
  <c r="CV18" i="12"/>
  <c r="C51" i="1"/>
  <c r="C60" i="14" s="1"/>
  <c r="B51" i="1"/>
  <c r="B60" i="14" s="1"/>
  <c r="A52" i="1"/>
  <c r="D51" i="1"/>
  <c r="D60" i="14" s="1"/>
  <c r="E51" i="1"/>
  <c r="E60" i="14" s="1"/>
  <c r="F51" i="1"/>
  <c r="F60" i="14" s="1"/>
  <c r="F48" i="15" s="1"/>
  <c r="G51" i="1"/>
  <c r="G60" i="14" s="1"/>
  <c r="H51" i="1"/>
  <c r="H60" i="14" s="1"/>
  <c r="E48" i="15" s="1"/>
  <c r="I51" i="1"/>
  <c r="I60" i="14" s="1"/>
  <c r="J51" i="1"/>
  <c r="J60" i="14" s="1"/>
  <c r="D48" i="15" s="1"/>
  <c r="K51" i="1"/>
  <c r="K60" i="14" s="1"/>
  <c r="L51" i="1"/>
  <c r="L60" i="14" s="1"/>
  <c r="C48" i="15" s="1"/>
  <c r="M51" i="1"/>
  <c r="M60" i="14" s="1"/>
  <c r="N51" i="1"/>
  <c r="N60" i="14" s="1"/>
  <c r="O51" i="1"/>
  <c r="O60" i="14" s="1"/>
  <c r="P51" i="1"/>
  <c r="P60" i="14" s="1"/>
  <c r="Q51" i="1"/>
  <c r="Q60" i="14" s="1"/>
  <c r="R51" i="1"/>
  <c r="R60" i="14" s="1"/>
  <c r="S51" i="1"/>
  <c r="S60" i="14" s="1"/>
  <c r="T51" i="1"/>
  <c r="T60" i="14" s="1"/>
  <c r="U51" i="1"/>
  <c r="U60" i="14" s="1"/>
  <c r="V51" i="1"/>
  <c r="V60" i="14" s="1"/>
  <c r="W51" i="1"/>
  <c r="W60" i="14" s="1"/>
  <c r="X51" i="1"/>
  <c r="X60" i="14" s="1"/>
  <c r="Y51" i="1"/>
  <c r="Y60" i="14" s="1"/>
  <c r="Z51" i="1"/>
  <c r="Z60" i="14" s="1"/>
  <c r="AA51" i="1"/>
  <c r="AA60" i="14" s="1"/>
  <c r="AB51" i="1"/>
  <c r="AB60" i="14" s="1"/>
  <c r="AC51" i="1"/>
  <c r="AC60" i="14" s="1"/>
  <c r="AD51" i="1"/>
  <c r="AD60" i="14" s="1"/>
  <c r="AE51" i="1"/>
  <c r="AE60" i="14" s="1"/>
  <c r="AF51" i="1"/>
  <c r="AF60" i="14" s="1"/>
  <c r="AG51" i="1"/>
  <c r="AG60" i="14" s="1"/>
  <c r="AH51" i="1"/>
  <c r="AH60" i="14" s="1"/>
  <c r="AT59" i="10"/>
  <c r="AP60" i="12"/>
  <c r="CX60" i="12"/>
  <c r="AO93" i="14"/>
  <c r="AN92" i="14"/>
  <c r="DB32" i="10"/>
  <c r="AS32" i="10"/>
  <c r="AO33" i="12"/>
  <c r="CW33" i="12"/>
  <c r="AO31" i="12"/>
  <c r="CW31" i="12"/>
  <c r="DB30" i="10"/>
  <c r="AS30" i="10"/>
  <c r="AN16" i="12"/>
  <c r="CV16" i="12"/>
  <c r="DA15" i="10"/>
  <c r="AR15" i="10"/>
  <c r="DB20" i="10"/>
  <c r="AS20" i="10"/>
  <c r="AO21" i="12"/>
  <c r="CW21" i="12"/>
  <c r="AJ49" i="1"/>
  <c r="AJ58" i="14" s="1"/>
  <c r="AJ52" i="1"/>
  <c r="AJ61" i="14" s="1"/>
  <c r="AJ51" i="1"/>
  <c r="AJ60" i="14" s="1"/>
  <c r="AJ50" i="1"/>
  <c r="AJ59" i="14" s="1"/>
  <c r="AJ7" i="1"/>
  <c r="AJ8" i="1"/>
  <c r="AJ9" i="1"/>
  <c r="AH27" i="14"/>
  <c r="AP42" i="12"/>
  <c r="CX42" i="12" s="1"/>
  <c r="DC41" i="10"/>
  <c r="AT41" i="10"/>
  <c r="AI20" i="1"/>
  <c r="AI32" i="1"/>
  <c r="AI36" i="1"/>
  <c r="AI46" i="1"/>
  <c r="AJ47" i="1" s="1"/>
  <c r="AI26" i="1"/>
  <c r="DB28" i="10"/>
  <c r="AS28" i="10"/>
  <c r="AO29" i="12"/>
  <c r="CW29" i="12" s="1"/>
  <c r="AH28" i="14"/>
  <c r="AL13" i="1"/>
  <c r="AK12" i="1"/>
  <c r="AJ28" i="1" s="1"/>
  <c r="AN22" i="14"/>
  <c r="AM21" i="14"/>
  <c r="AO32" i="12"/>
  <c r="CW32" i="12" s="1"/>
  <c r="AS31" i="10"/>
  <c r="DB31" i="10"/>
  <c r="AO49" i="12"/>
  <c r="CW49" i="12" s="1"/>
  <c r="AS48" i="10"/>
  <c r="AI16" i="1"/>
  <c r="AI31" i="1"/>
  <c r="DB52" i="10"/>
  <c r="AO53" i="12"/>
  <c r="CW53" i="12"/>
  <c r="AS52" i="10"/>
  <c r="AO35" i="12"/>
  <c r="CW35" i="12" s="1"/>
  <c r="DB34" i="10"/>
  <c r="AS34" i="10"/>
  <c r="AQ58" i="12"/>
  <c r="CY58" i="12" s="1"/>
  <c r="DD57" i="10"/>
  <c r="AU57" i="10"/>
  <c r="CW51" i="12"/>
  <c r="AS50" i="10"/>
  <c r="AO51" i="12"/>
  <c r="DB50" i="10"/>
  <c r="AO38" i="12"/>
  <c r="CW38" i="12" s="1"/>
  <c r="AS37" i="10"/>
  <c r="DB37" i="10"/>
  <c r="AH47" i="14"/>
  <c r="AO22" i="12"/>
  <c r="CW22" i="12" s="1"/>
  <c r="AS21" i="10"/>
  <c r="DB21" i="10"/>
  <c r="D43" i="13"/>
  <c r="ED46" i="12"/>
  <c r="ED47" i="12"/>
  <c r="D44" i="13"/>
  <c r="DB36" i="10"/>
  <c r="AS36" i="10"/>
  <c r="AO37" i="12"/>
  <c r="CW37" i="12" s="1"/>
  <c r="AS56" i="10"/>
  <c r="AO57" i="12"/>
  <c r="CW57" i="12"/>
  <c r="AI18" i="1"/>
  <c r="AI51" i="1"/>
  <c r="AI60" i="14" s="1"/>
  <c r="AQ52" i="12"/>
  <c r="CY52" i="12" s="1"/>
  <c r="DD51" i="10"/>
  <c r="AU51" i="10"/>
  <c r="DB35" i="10"/>
  <c r="AS35" i="10"/>
  <c r="AO36" i="12"/>
  <c r="CW36" i="12" s="1"/>
  <c r="DA13" i="10"/>
  <c r="AR13" i="10"/>
  <c r="AN14" i="12"/>
  <c r="CV14" i="12" s="1"/>
  <c r="AI21" i="1"/>
  <c r="AI17" i="1"/>
  <c r="AI37" i="1"/>
  <c r="AI14" i="1"/>
  <c r="AQ44" i="12"/>
  <c r="AU43" i="10"/>
  <c r="CY44" i="12"/>
  <c r="DD43" i="10"/>
  <c r="EA49" i="12"/>
  <c r="B45" i="13"/>
  <c r="EB48" i="12"/>
  <c r="E45" i="13" s="1"/>
  <c r="AK78" i="1"/>
  <c r="AM120" i="1"/>
  <c r="AI34" i="1"/>
  <c r="AI24" i="1"/>
  <c r="AI42" i="1"/>
  <c r="AI38" i="1"/>
  <c r="AI35" i="1"/>
  <c r="AI19" i="1"/>
  <c r="DB24" i="10"/>
  <c r="AS24" i="10"/>
  <c r="AO25" i="12"/>
  <c r="CW25" i="12"/>
  <c r="AH53" i="14"/>
  <c r="AO27" i="12"/>
  <c r="CW27" i="12" s="1"/>
  <c r="DB26" i="10"/>
  <c r="AS26" i="10"/>
  <c r="DB23" i="10"/>
  <c r="AS23" i="10"/>
  <c r="AO24" i="12"/>
  <c r="CW24" i="12" s="1"/>
  <c r="DB40" i="10"/>
  <c r="AS40" i="10"/>
  <c r="AO41" i="12"/>
  <c r="CW41" i="12" s="1"/>
  <c r="AH32" i="14"/>
  <c r="DA50" i="10"/>
  <c r="C119" i="1"/>
  <c r="D119" i="1"/>
  <c r="B119" i="1"/>
  <c r="E119" i="1"/>
  <c r="A120" i="1"/>
  <c r="G119" i="1"/>
  <c r="F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T119" i="1"/>
  <c r="U119" i="1"/>
  <c r="V119" i="1"/>
  <c r="W119" i="1"/>
  <c r="X119" i="1"/>
  <c r="Y119" i="1"/>
  <c r="Z119" i="1"/>
  <c r="AA119" i="1"/>
  <c r="AB119" i="1"/>
  <c r="AC119" i="1"/>
  <c r="AD119" i="1"/>
  <c r="AE119" i="1"/>
  <c r="AF119" i="1"/>
  <c r="AG119" i="1"/>
  <c r="AH119" i="1"/>
  <c r="AI119" i="1"/>
  <c r="AJ119" i="1"/>
  <c r="AK119" i="1"/>
  <c r="G44" i="13"/>
  <c r="H44" i="13" s="1"/>
  <c r="DB46" i="10"/>
  <c r="AS46" i="10"/>
  <c r="AO47" i="12"/>
  <c r="CW47" i="12" s="1"/>
  <c r="DA56" i="10"/>
  <c r="AL230" i="14"/>
  <c r="AM231" i="14"/>
  <c r="AN80" i="1"/>
  <c r="AO81" i="1"/>
  <c r="AI47" i="1"/>
  <c r="AJ48" i="1" s="1"/>
  <c r="AI22" i="1"/>
  <c r="AI27" i="1"/>
  <c r="AI28" i="1"/>
  <c r="AI15" i="1"/>
  <c r="AI39" i="1"/>
  <c r="AT49" i="10"/>
  <c r="AP50" i="12"/>
  <c r="CX50" i="12" s="1"/>
  <c r="AO30" i="12"/>
  <c r="CW30" i="12" s="1"/>
  <c r="DB29" i="10"/>
  <c r="AS29" i="10"/>
  <c r="AO26" i="12"/>
  <c r="CW26" i="12"/>
  <c r="DB25" i="10"/>
  <c r="AS25" i="10"/>
  <c r="CY54" i="12"/>
  <c r="AU53" i="10"/>
  <c r="AQ54" i="12"/>
  <c r="AO39" i="12"/>
  <c r="CW39" i="12"/>
  <c r="DB38" i="10"/>
  <c r="AS38" i="10"/>
  <c r="AN17" i="12"/>
  <c r="CV17" i="12" s="1"/>
  <c r="DA16" i="10"/>
  <c r="AR16" i="10"/>
  <c r="AO34" i="12"/>
  <c r="CW34" i="12"/>
  <c r="DB33" i="10"/>
  <c r="AS33" i="10"/>
  <c r="AN13" i="12"/>
  <c r="CV13" i="12" s="1"/>
  <c r="DA12" i="10"/>
  <c r="AR12" i="10"/>
  <c r="AP46" i="12"/>
  <c r="CX46" i="12"/>
  <c r="DC45" i="10"/>
  <c r="AT45" i="10"/>
  <c r="AO43" i="12"/>
  <c r="CW43" i="12" s="1"/>
  <c r="DB42" i="10"/>
  <c r="AS42" i="10"/>
  <c r="Q49" i="15"/>
  <c r="J49" i="15"/>
  <c r="I49" i="15"/>
  <c r="H50" i="15"/>
  <c r="K49" i="15"/>
  <c r="R49" i="15"/>
  <c r="L49" i="15"/>
  <c r="P49" i="15"/>
  <c r="O49" i="15"/>
  <c r="AP48" i="12"/>
  <c r="CX48" i="12" s="1"/>
  <c r="DC47" i="10"/>
  <c r="AT47" i="10"/>
  <c r="AP40" i="12"/>
  <c r="CX40" i="12"/>
  <c r="DC39" i="10"/>
  <c r="AT39" i="10"/>
  <c r="AP56" i="12"/>
  <c r="CX56" i="12" s="1"/>
  <c r="AT55" i="10"/>
  <c r="DC55" i="10"/>
  <c r="AN12" i="12"/>
  <c r="CV12" i="12"/>
  <c r="DA11" i="10"/>
  <c r="AR11" i="10"/>
  <c r="AI25" i="1"/>
  <c r="AI41" i="1"/>
  <c r="AI40" i="1"/>
  <c r="AJ41" i="1" s="1"/>
  <c r="AI30" i="1"/>
  <c r="AO23" i="12"/>
  <c r="CW23" i="12"/>
  <c r="DB22" i="10"/>
  <c r="AS22" i="10"/>
  <c r="DC53" i="10"/>
  <c r="AS54" i="10"/>
  <c r="AO55" i="12"/>
  <c r="CW55" i="12"/>
  <c r="DA14" i="10"/>
  <c r="AR14" i="10"/>
  <c r="AN15" i="12"/>
  <c r="CV15" i="12" s="1"/>
  <c r="DB27" i="10"/>
  <c r="AS27" i="10"/>
  <c r="AO28" i="12"/>
  <c r="CW28" i="12"/>
  <c r="AP161" i="14"/>
  <c r="AQ162" i="14"/>
  <c r="AO45" i="12"/>
  <c r="CW45" i="12" s="1"/>
  <c r="DB44" i="10"/>
  <c r="AS44" i="10"/>
  <c r="DA18" i="10"/>
  <c r="AR18" i="10"/>
  <c r="AN19" i="12"/>
  <c r="CV19" i="12" s="1"/>
  <c r="DB55" i="10"/>
  <c r="DA19" i="10"/>
  <c r="AR19" i="10"/>
  <c r="AN20" i="12"/>
  <c r="CV20" i="12"/>
  <c r="AR59" i="12"/>
  <c r="CZ59" i="12"/>
  <c r="AV58" i="10"/>
  <c r="DE58" i="10"/>
  <c r="AI43" i="1"/>
  <c r="AI29" i="1"/>
  <c r="AI45" i="1"/>
  <c r="AI33" i="1"/>
  <c r="AI23" i="1"/>
  <c r="AI44" i="1"/>
  <c r="AJ57" i="14" l="1"/>
  <c r="AJ50" i="14"/>
  <c r="AJ56" i="14"/>
  <c r="AJ37" i="14"/>
  <c r="DC22" i="10"/>
  <c r="AT22" i="10"/>
  <c r="AP23" i="12"/>
  <c r="CX23" i="12"/>
  <c r="AI38" i="14"/>
  <c r="DB19" i="10"/>
  <c r="AO20" i="12"/>
  <c r="CW20" i="12" s="1"/>
  <c r="AS19" i="10"/>
  <c r="AP55" i="12"/>
  <c r="CX55" i="12"/>
  <c r="AT54" i="10"/>
  <c r="DC54" i="10" s="1"/>
  <c r="AI50" i="14"/>
  <c r="AV53" i="10"/>
  <c r="AR54" i="12"/>
  <c r="CZ54" i="12" s="1"/>
  <c r="DE53" i="10"/>
  <c r="AI24" i="14"/>
  <c r="EA50" i="12"/>
  <c r="EC49" i="12"/>
  <c r="B46" i="13"/>
  <c r="EB49" i="12"/>
  <c r="E46" i="13" s="1"/>
  <c r="AI30" i="14"/>
  <c r="AP49" i="12"/>
  <c r="CX49" i="12" s="1"/>
  <c r="AT48" i="10"/>
  <c r="AO22" i="14"/>
  <c r="AN21" i="14"/>
  <c r="AJ46" i="1"/>
  <c r="AJ43" i="1"/>
  <c r="AJ15" i="1"/>
  <c r="CW16" i="12"/>
  <c r="DB15" i="10"/>
  <c r="AS15" i="10"/>
  <c r="AO16" i="12"/>
  <c r="AQ60" i="12"/>
  <c r="CY60" i="12"/>
  <c r="AU59" i="10"/>
  <c r="AI52" i="14"/>
  <c r="AI34" i="14"/>
  <c r="DD53" i="10"/>
  <c r="AI37" i="14"/>
  <c r="AP41" i="12"/>
  <c r="DC40" i="10"/>
  <c r="AT40" i="10"/>
  <c r="CX41" i="12"/>
  <c r="AI28" i="14"/>
  <c r="AR52" i="12"/>
  <c r="AV51" i="10"/>
  <c r="CZ52" i="12"/>
  <c r="CZ58" i="12"/>
  <c r="DE57" i="10"/>
  <c r="AV57" i="10"/>
  <c r="AR58" i="12"/>
  <c r="AT52" i="10"/>
  <c r="DC52" i="10"/>
  <c r="AP53" i="12"/>
  <c r="CX53" i="12" s="1"/>
  <c r="AK51" i="1"/>
  <c r="AK60" i="14" s="1"/>
  <c r="AK7" i="1"/>
  <c r="AK50" i="1"/>
  <c r="AK59" i="14" s="1"/>
  <c r="AK52" i="1"/>
  <c r="AK61" i="14" s="1"/>
  <c r="AK8" i="1"/>
  <c r="AK9" i="1"/>
  <c r="AI35" i="14"/>
  <c r="AJ30" i="1"/>
  <c r="AJ37" i="1"/>
  <c r="AJ25" i="1"/>
  <c r="AJ40" i="1"/>
  <c r="AJ26" i="1"/>
  <c r="DC59" i="10"/>
  <c r="C52" i="1"/>
  <c r="C61" i="14" s="1"/>
  <c r="A53" i="1"/>
  <c r="B52" i="1"/>
  <c r="B61" i="14" s="1"/>
  <c r="D52" i="1"/>
  <c r="D61" i="14" s="1"/>
  <c r="E52" i="1"/>
  <c r="E61" i="14" s="1"/>
  <c r="F52" i="1"/>
  <c r="F61" i="14" s="1"/>
  <c r="F49" i="15" s="1"/>
  <c r="G52" i="1"/>
  <c r="G61" i="14" s="1"/>
  <c r="H52" i="1"/>
  <c r="H61" i="14" s="1"/>
  <c r="E49" i="15" s="1"/>
  <c r="I52" i="1"/>
  <c r="I61" i="14" s="1"/>
  <c r="J52" i="1"/>
  <c r="J61" i="14" s="1"/>
  <c r="D49" i="15" s="1"/>
  <c r="K52" i="1"/>
  <c r="K61" i="14" s="1"/>
  <c r="L52" i="1"/>
  <c r="L61" i="14" s="1"/>
  <c r="C49" i="15" s="1"/>
  <c r="M52" i="1"/>
  <c r="M61" i="14" s="1"/>
  <c r="N52" i="1"/>
  <c r="N61" i="14" s="1"/>
  <c r="O52" i="1"/>
  <c r="O61" i="14" s="1"/>
  <c r="P52" i="1"/>
  <c r="P61" i="14" s="1"/>
  <c r="Q52" i="1"/>
  <c r="Q61" i="14" s="1"/>
  <c r="R52" i="1"/>
  <c r="R61" i="14" s="1"/>
  <c r="S52" i="1"/>
  <c r="S61" i="14" s="1"/>
  <c r="T52" i="1"/>
  <c r="T61" i="14" s="1"/>
  <c r="U52" i="1"/>
  <c r="U61" i="14" s="1"/>
  <c r="V52" i="1"/>
  <c r="V61" i="14" s="1"/>
  <c r="W52" i="1"/>
  <c r="W61" i="14" s="1"/>
  <c r="X52" i="1"/>
  <c r="X61" i="14" s="1"/>
  <c r="Y52" i="1"/>
  <c r="Y61" i="14" s="1"/>
  <c r="Z52" i="1"/>
  <c r="Z61" i="14" s="1"/>
  <c r="AA52" i="1"/>
  <c r="AA61" i="14" s="1"/>
  <c r="AB52" i="1"/>
  <c r="AB61" i="14" s="1"/>
  <c r="AC52" i="1"/>
  <c r="AC61" i="14" s="1"/>
  <c r="AD52" i="1"/>
  <c r="AD61" i="14" s="1"/>
  <c r="AE52" i="1"/>
  <c r="AE61" i="14" s="1"/>
  <c r="AF52" i="1"/>
  <c r="AF61" i="14" s="1"/>
  <c r="AG52" i="1"/>
  <c r="AG61" i="14" s="1"/>
  <c r="AH52" i="1"/>
  <c r="AH61" i="14" s="1"/>
  <c r="AI52" i="1"/>
  <c r="AI61" i="14" s="1"/>
  <c r="AI44" i="14"/>
  <c r="AT56" i="10"/>
  <c r="DC56" i="10" s="1"/>
  <c r="AP57" i="12"/>
  <c r="CX57" i="12" s="1"/>
  <c r="DC37" i="10"/>
  <c r="AP38" i="12"/>
  <c r="AT37" i="10"/>
  <c r="CX38" i="12"/>
  <c r="AL12" i="1"/>
  <c r="AK14" i="1" s="1"/>
  <c r="AM13" i="1"/>
  <c r="AI55" i="14"/>
  <c r="AJ31" i="1"/>
  <c r="AP33" i="12"/>
  <c r="AT32" i="10"/>
  <c r="CX33" i="12"/>
  <c r="DC32" i="10"/>
  <c r="AI36" i="14"/>
  <c r="AW58" i="10"/>
  <c r="AS59" i="12"/>
  <c r="DA59" i="12" s="1"/>
  <c r="AR162" i="14"/>
  <c r="AQ161" i="14"/>
  <c r="AO15" i="12"/>
  <c r="CW15" i="12"/>
  <c r="DB14" i="10"/>
  <c r="AS14" i="10"/>
  <c r="I50" i="15"/>
  <c r="K50" i="15"/>
  <c r="R50" i="15"/>
  <c r="Q50" i="15"/>
  <c r="P50" i="15"/>
  <c r="H51" i="15"/>
  <c r="O50" i="15"/>
  <c r="L50" i="15"/>
  <c r="J50" i="15"/>
  <c r="AQ46" i="12"/>
  <c r="AU45" i="10"/>
  <c r="CY46" i="12"/>
  <c r="DD45" i="10"/>
  <c r="CX34" i="12"/>
  <c r="DC33" i="10"/>
  <c r="AP34" i="12"/>
  <c r="AT33" i="10"/>
  <c r="DC38" i="10"/>
  <c r="AP39" i="12"/>
  <c r="CX39" i="12" s="1"/>
  <c r="AT38" i="10"/>
  <c r="DC25" i="10"/>
  <c r="AT25" i="10"/>
  <c r="AP26" i="12"/>
  <c r="CX26" i="12" s="1"/>
  <c r="AI31" i="14"/>
  <c r="AT46" i="10"/>
  <c r="AP47" i="12"/>
  <c r="DC46" i="10"/>
  <c r="CX47" i="12"/>
  <c r="AI47" i="14"/>
  <c r="AR44" i="12"/>
  <c r="CZ44" i="12" s="1"/>
  <c r="DE43" i="10"/>
  <c r="AV43" i="10"/>
  <c r="AO14" i="12"/>
  <c r="CW14" i="12" s="1"/>
  <c r="DB13" i="10"/>
  <c r="AS13" i="10"/>
  <c r="AI45" i="14"/>
  <c r="AJ33" i="1"/>
  <c r="AJ16" i="1"/>
  <c r="AJ17" i="1"/>
  <c r="AJ38" i="1"/>
  <c r="AI56" i="14"/>
  <c r="AI51" i="14"/>
  <c r="AP22" i="12"/>
  <c r="CX22" i="12" s="1"/>
  <c r="DC21" i="10"/>
  <c r="AT21" i="10"/>
  <c r="AP32" i="12"/>
  <c r="CX32" i="12"/>
  <c r="DC31" i="10"/>
  <c r="AT31" i="10"/>
  <c r="AI41" i="14"/>
  <c r="AJ42" i="1"/>
  <c r="AJ18" i="1"/>
  <c r="AJ24" i="1"/>
  <c r="AJ36" i="1"/>
  <c r="CX31" i="12"/>
  <c r="DC30" i="10"/>
  <c r="AT30" i="10"/>
  <c r="AP31" i="12"/>
  <c r="AI53" i="14"/>
  <c r="AO19" i="12"/>
  <c r="CW19" i="12"/>
  <c r="DB18" i="10"/>
  <c r="AS18" i="10"/>
  <c r="DB54" i="10"/>
  <c r="AQ50" i="12"/>
  <c r="CY50" i="12" s="1"/>
  <c r="AU49" i="10"/>
  <c r="AO80" i="1"/>
  <c r="AP81" i="1"/>
  <c r="AP24" i="12"/>
  <c r="DC23" i="10"/>
  <c r="AT23" i="10"/>
  <c r="CX24" i="12"/>
  <c r="AI33" i="14"/>
  <c r="AI23" i="14"/>
  <c r="AP37" i="12"/>
  <c r="DC36" i="10"/>
  <c r="AT36" i="10"/>
  <c r="CX37" i="12"/>
  <c r="DC34" i="10"/>
  <c r="AP35" i="12"/>
  <c r="CX35" i="12" s="1"/>
  <c r="AT34" i="10"/>
  <c r="AI40" i="14"/>
  <c r="AI29" i="14"/>
  <c r="AJ44" i="1"/>
  <c r="AJ19" i="1"/>
  <c r="AJ23" i="1"/>
  <c r="AJ22" i="1"/>
  <c r="AJ34" i="1"/>
  <c r="AO92" i="14"/>
  <c r="AP93" i="14"/>
  <c r="CW12" i="12"/>
  <c r="DB11" i="10"/>
  <c r="AO12" i="12"/>
  <c r="AS11" i="10"/>
  <c r="AI32" i="14"/>
  <c r="AI42" i="14"/>
  <c r="AI39" i="14"/>
  <c r="AQ48" i="12"/>
  <c r="CY48" i="12"/>
  <c r="DD47" i="10"/>
  <c r="AU47" i="10"/>
  <c r="DC49" i="10"/>
  <c r="AL78" i="1"/>
  <c r="AI43" i="14"/>
  <c r="EC48" i="12"/>
  <c r="AI46" i="14"/>
  <c r="AI27" i="14"/>
  <c r="AI25" i="14"/>
  <c r="AJ14" i="1"/>
  <c r="AJ32" i="1"/>
  <c r="AJ39" i="1"/>
  <c r="AJ35" i="1"/>
  <c r="AP21" i="12"/>
  <c r="CX21" i="12" s="1"/>
  <c r="AT20" i="10"/>
  <c r="DC20" i="10"/>
  <c r="AO18" i="12"/>
  <c r="CW18" i="12" s="1"/>
  <c r="DB17" i="10"/>
  <c r="AS17" i="10"/>
  <c r="AQ40" i="12"/>
  <c r="CY40" i="12"/>
  <c r="DD39" i="10"/>
  <c r="AU39" i="10"/>
  <c r="AI54" i="14"/>
  <c r="CX45" i="12"/>
  <c r="DC44" i="10"/>
  <c r="AT44" i="10"/>
  <c r="AP45" i="12"/>
  <c r="AP28" i="12"/>
  <c r="CX28" i="12"/>
  <c r="DC27" i="10"/>
  <c r="AT27" i="10"/>
  <c r="AI49" i="14"/>
  <c r="AU55" i="10"/>
  <c r="DD55" i="10" s="1"/>
  <c r="AQ56" i="12"/>
  <c r="CY56" i="12" s="1"/>
  <c r="CX43" i="12"/>
  <c r="DC42" i="10"/>
  <c r="AT42" i="10"/>
  <c r="AP43" i="12"/>
  <c r="AO13" i="12"/>
  <c r="CW13" i="12"/>
  <c r="DB12" i="10"/>
  <c r="AS12" i="10"/>
  <c r="DB16" i="10"/>
  <c r="AO17" i="12"/>
  <c r="CW17" i="12" s="1"/>
  <c r="AS16" i="10"/>
  <c r="DC29" i="10"/>
  <c r="AT29" i="10"/>
  <c r="AP30" i="12"/>
  <c r="CX30" i="12" s="1"/>
  <c r="AI48" i="14"/>
  <c r="AN231" i="14"/>
  <c r="AM230" i="14"/>
  <c r="D120" i="1"/>
  <c r="E120" i="1"/>
  <c r="A121" i="1"/>
  <c r="AN121" i="1" s="1"/>
  <c r="B120" i="1"/>
  <c r="C120" i="1"/>
  <c r="G120" i="1"/>
  <c r="F120" i="1"/>
  <c r="H120" i="1"/>
  <c r="I120" i="1"/>
  <c r="J120" i="1"/>
  <c r="K120" i="1"/>
  <c r="L120" i="1"/>
  <c r="M120" i="1"/>
  <c r="N120" i="1"/>
  <c r="O120" i="1"/>
  <c r="P120" i="1"/>
  <c r="Q120" i="1"/>
  <c r="R120" i="1"/>
  <c r="S120" i="1"/>
  <c r="T120" i="1"/>
  <c r="U120" i="1"/>
  <c r="V120" i="1"/>
  <c r="W120" i="1"/>
  <c r="X120" i="1"/>
  <c r="Y120" i="1"/>
  <c r="Z120" i="1"/>
  <c r="AA120" i="1"/>
  <c r="AB120" i="1"/>
  <c r="AC120" i="1"/>
  <c r="AD120" i="1"/>
  <c r="AE120" i="1"/>
  <c r="AF120" i="1"/>
  <c r="AG120" i="1"/>
  <c r="AH120" i="1"/>
  <c r="AI120" i="1"/>
  <c r="AJ120" i="1"/>
  <c r="AK120" i="1"/>
  <c r="AL120" i="1"/>
  <c r="CX27" i="12"/>
  <c r="AT26" i="10"/>
  <c r="AP27" i="12"/>
  <c r="DC26" i="10"/>
  <c r="AP25" i="12"/>
  <c r="CX25" i="12" s="1"/>
  <c r="DC24" i="10"/>
  <c r="AT24" i="10"/>
  <c r="G45" i="13"/>
  <c r="H45" i="13" s="1"/>
  <c r="AI26" i="14"/>
  <c r="AP36" i="12"/>
  <c r="CX36" i="12" s="1"/>
  <c r="DC35" i="10"/>
  <c r="AT35" i="10"/>
  <c r="DB56" i="10"/>
  <c r="AP51" i="12"/>
  <c r="AT50" i="10"/>
  <c r="DC50" i="10" s="1"/>
  <c r="CX51" i="12"/>
  <c r="DB48" i="10"/>
  <c r="AP29" i="12"/>
  <c r="CX29" i="12"/>
  <c r="DC28" i="10"/>
  <c r="AT28" i="10"/>
  <c r="CY42" i="12"/>
  <c r="AQ42" i="12"/>
  <c r="DD41" i="10"/>
  <c r="AU41" i="10"/>
  <c r="AJ27" i="1"/>
  <c r="AJ21" i="1"/>
  <c r="AJ45" i="1"/>
  <c r="AJ29" i="1"/>
  <c r="AJ20" i="1"/>
  <c r="AK23" i="14" l="1"/>
  <c r="AJ30" i="14"/>
  <c r="AQ36" i="12"/>
  <c r="AU35" i="10"/>
  <c r="CY36" i="12"/>
  <c r="DD35" i="10"/>
  <c r="DD24" i="10"/>
  <c r="AQ25" i="12"/>
  <c r="CY25" i="12" s="1"/>
  <c r="AU24" i="10"/>
  <c r="AJ23" i="14"/>
  <c r="AQ31" i="12"/>
  <c r="CY31" i="12"/>
  <c r="DD30" i="10"/>
  <c r="AU30" i="10"/>
  <c r="AJ42" i="14"/>
  <c r="AQ47" i="12"/>
  <c r="CY47" i="12"/>
  <c r="DD46" i="10"/>
  <c r="AU46" i="10"/>
  <c r="DC14" i="10"/>
  <c r="AT14" i="10"/>
  <c r="AP15" i="12"/>
  <c r="CX15" i="12" s="1"/>
  <c r="AT59" i="12"/>
  <c r="DB59" i="12" s="1"/>
  <c r="AX58" i="10"/>
  <c r="DG58" i="10"/>
  <c r="AJ40" i="14"/>
  <c r="B53" i="1"/>
  <c r="B62" i="14" s="1"/>
  <c r="C53" i="1"/>
  <c r="C62" i="14" s="1"/>
  <c r="A54" i="1"/>
  <c r="D53" i="1"/>
  <c r="D62" i="14" s="1"/>
  <c r="E53" i="1"/>
  <c r="E62" i="14" s="1"/>
  <c r="F53" i="1"/>
  <c r="F62" i="14" s="1"/>
  <c r="F50" i="15" s="1"/>
  <c r="G53" i="1"/>
  <c r="G62" i="14" s="1"/>
  <c r="H53" i="1"/>
  <c r="H62" i="14" s="1"/>
  <c r="E50" i="15" s="1"/>
  <c r="I53" i="1"/>
  <c r="I62" i="14" s="1"/>
  <c r="J53" i="1"/>
  <c r="J62" i="14" s="1"/>
  <c r="D50" i="15" s="1"/>
  <c r="K53" i="1"/>
  <c r="K62" i="14" s="1"/>
  <c r="L53" i="1"/>
  <c r="L62" i="14" s="1"/>
  <c r="C50" i="15" s="1"/>
  <c r="M53" i="1"/>
  <c r="M62" i="14" s="1"/>
  <c r="N53" i="1"/>
  <c r="N62" i="14" s="1"/>
  <c r="O53" i="1"/>
  <c r="O62" i="14" s="1"/>
  <c r="P53" i="1"/>
  <c r="P62" i="14" s="1"/>
  <c r="Q53" i="1"/>
  <c r="Q62" i="14" s="1"/>
  <c r="R53" i="1"/>
  <c r="R62" i="14" s="1"/>
  <c r="S53" i="1"/>
  <c r="S62" i="14" s="1"/>
  <c r="T53" i="1"/>
  <c r="T62" i="14" s="1"/>
  <c r="U53" i="1"/>
  <c r="U62" i="14" s="1"/>
  <c r="V53" i="1"/>
  <c r="V62" i="14" s="1"/>
  <c r="W53" i="1"/>
  <c r="W62" i="14" s="1"/>
  <c r="X53" i="1"/>
  <c r="X62" i="14" s="1"/>
  <c r="Y53" i="1"/>
  <c r="Y62" i="14" s="1"/>
  <c r="Z53" i="1"/>
  <c r="Z62" i="14" s="1"/>
  <c r="AA53" i="1"/>
  <c r="AA62" i="14" s="1"/>
  <c r="AB53" i="1"/>
  <c r="AB62" i="14" s="1"/>
  <c r="AC53" i="1"/>
  <c r="AC62" i="14" s="1"/>
  <c r="AD53" i="1"/>
  <c r="AD62" i="14" s="1"/>
  <c r="AE53" i="1"/>
  <c r="AE62" i="14" s="1"/>
  <c r="AF53" i="1"/>
  <c r="AF62" i="14" s="1"/>
  <c r="AG53" i="1"/>
  <c r="AG62" i="14" s="1"/>
  <c r="AH53" i="1"/>
  <c r="AH62" i="14" s="1"/>
  <c r="AI53" i="1"/>
  <c r="AI62" i="14" s="1"/>
  <c r="AJ53" i="1"/>
  <c r="AJ62" i="14" s="1"/>
  <c r="AK46" i="1"/>
  <c r="AK26" i="1"/>
  <c r="AK44" i="1"/>
  <c r="AK17" i="1"/>
  <c r="AK34" i="1"/>
  <c r="AK48" i="1"/>
  <c r="AP16" i="12"/>
  <c r="CX16" i="12" s="1"/>
  <c r="DC15" i="10"/>
  <c r="AT15" i="10"/>
  <c r="AU48" i="10"/>
  <c r="DD48" i="10"/>
  <c r="AQ49" i="12"/>
  <c r="CY49" i="12" s="1"/>
  <c r="ED49" i="12"/>
  <c r="D46" i="13"/>
  <c r="AT12" i="10"/>
  <c r="AP13" i="12"/>
  <c r="CX13" i="12" s="1"/>
  <c r="DC12" i="10"/>
  <c r="AV39" i="10"/>
  <c r="AR40" i="12"/>
  <c r="CZ40" i="12" s="1"/>
  <c r="DE39" i="10"/>
  <c r="AV47" i="10"/>
  <c r="AR48" i="12"/>
  <c r="CZ48" i="12" s="1"/>
  <c r="DE47" i="10"/>
  <c r="AJ43" i="14"/>
  <c r="AP19" i="12"/>
  <c r="CX19" i="12" s="1"/>
  <c r="AT18" i="10"/>
  <c r="DC18" i="10"/>
  <c r="AU31" i="10"/>
  <c r="AQ32" i="12"/>
  <c r="CY32" i="12" s="1"/>
  <c r="DD31" i="10"/>
  <c r="AR46" i="12"/>
  <c r="CZ46" i="12" s="1"/>
  <c r="DE45" i="10"/>
  <c r="AV45" i="10"/>
  <c r="AK38" i="1"/>
  <c r="AK32" i="1"/>
  <c r="AK37" i="1"/>
  <c r="AK18" i="1"/>
  <c r="AK47" i="1"/>
  <c r="DD40" i="10"/>
  <c r="AQ41" i="12"/>
  <c r="CY41" i="12" s="1"/>
  <c r="AU40" i="10"/>
  <c r="B47" i="13"/>
  <c r="EB50" i="12"/>
  <c r="E47" i="13" s="1"/>
  <c r="EA51" i="12"/>
  <c r="AJ36" i="14"/>
  <c r="AR42" i="12"/>
  <c r="CZ42" i="12" s="1"/>
  <c r="AV41" i="10"/>
  <c r="DE41" i="10"/>
  <c r="B121" i="1"/>
  <c r="A122" i="1"/>
  <c r="D121" i="1"/>
  <c r="E121" i="1"/>
  <c r="C121" i="1"/>
  <c r="G121" i="1"/>
  <c r="F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T121" i="1"/>
  <c r="U121" i="1"/>
  <c r="V121" i="1"/>
  <c r="W121" i="1"/>
  <c r="X121" i="1"/>
  <c r="Y121" i="1"/>
  <c r="Z121" i="1"/>
  <c r="AA121" i="1"/>
  <c r="AB121" i="1"/>
  <c r="AC121" i="1"/>
  <c r="AD121" i="1"/>
  <c r="AE121" i="1"/>
  <c r="AF121" i="1"/>
  <c r="AG121" i="1"/>
  <c r="AH121" i="1"/>
  <c r="AI121" i="1"/>
  <c r="AJ121" i="1"/>
  <c r="AK121" i="1"/>
  <c r="AL121" i="1"/>
  <c r="AM121" i="1"/>
  <c r="AQ30" i="12"/>
  <c r="CY30" i="12"/>
  <c r="DD29" i="10"/>
  <c r="AU29" i="10"/>
  <c r="AJ31" i="14"/>
  <c r="DD34" i="10"/>
  <c r="AU34" i="10"/>
  <c r="AQ35" i="12"/>
  <c r="CY35" i="12"/>
  <c r="AP80" i="1"/>
  <c r="AQ81" i="1"/>
  <c r="I51" i="15"/>
  <c r="O51" i="15"/>
  <c r="L51" i="15"/>
  <c r="K51" i="15"/>
  <c r="J51" i="15"/>
  <c r="H52" i="15"/>
  <c r="R51" i="15"/>
  <c r="Q51" i="15"/>
  <c r="P51" i="15"/>
  <c r="AK25" i="1"/>
  <c r="AK40" i="1"/>
  <c r="AK20" i="1"/>
  <c r="AK28" i="1"/>
  <c r="AR56" i="12"/>
  <c r="CZ56" i="12" s="1"/>
  <c r="AV55" i="10"/>
  <c r="CY21" i="12"/>
  <c r="DD20" i="10"/>
  <c r="AQ21" i="12"/>
  <c r="AU20" i="10"/>
  <c r="CX12" i="12"/>
  <c r="DC11" i="10"/>
  <c r="AT11" i="10"/>
  <c r="AP12" i="12"/>
  <c r="AJ32" i="14"/>
  <c r="AM78" i="1"/>
  <c r="AO122" i="1"/>
  <c r="AJ45" i="14"/>
  <c r="CX14" i="12"/>
  <c r="DC13" i="10"/>
  <c r="AT13" i="10"/>
  <c r="AP14" i="12"/>
  <c r="DD33" i="10"/>
  <c r="AU33" i="10"/>
  <c r="AQ34" i="12"/>
  <c r="CY34" i="12" s="1"/>
  <c r="AN13" i="1"/>
  <c r="AM12" i="1"/>
  <c r="AJ35" i="14"/>
  <c r="AK42" i="1"/>
  <c r="AK27" i="1"/>
  <c r="AK24" i="1"/>
  <c r="AL25" i="1" s="1"/>
  <c r="AS52" i="12"/>
  <c r="DA52" i="12" s="1"/>
  <c r="AW51" i="10"/>
  <c r="AV59" i="10"/>
  <c r="AR60" i="12"/>
  <c r="CZ60" i="12" s="1"/>
  <c r="DE59" i="10"/>
  <c r="AJ24" i="14"/>
  <c r="DC48" i="10"/>
  <c r="AQ55" i="12"/>
  <c r="CY55" i="12" s="1"/>
  <c r="DD54" i="10"/>
  <c r="AU54" i="10"/>
  <c r="DD44" i="10"/>
  <c r="AU44" i="10"/>
  <c r="AQ45" i="12"/>
  <c r="CY45" i="12" s="1"/>
  <c r="AJ28" i="14"/>
  <c r="AV49" i="10"/>
  <c r="AR50" i="12"/>
  <c r="CZ50" i="12"/>
  <c r="DE49" i="10"/>
  <c r="AJ33" i="14"/>
  <c r="AQ26" i="12"/>
  <c r="CY26" i="12" s="1"/>
  <c r="DD25" i="10"/>
  <c r="AU25" i="10"/>
  <c r="AL34" i="1"/>
  <c r="AL43" i="1"/>
  <c r="AL47" i="1"/>
  <c r="AL27" i="1"/>
  <c r="AL45" i="1"/>
  <c r="AL7" i="1"/>
  <c r="AL21" i="1"/>
  <c r="AL35" i="1"/>
  <c r="AL29" i="1"/>
  <c r="AL49" i="1"/>
  <c r="AL18" i="1"/>
  <c r="AL52" i="1"/>
  <c r="AL61" i="14" s="1"/>
  <c r="AL39" i="1"/>
  <c r="AL32" i="1"/>
  <c r="AL33" i="1"/>
  <c r="AL51" i="1"/>
  <c r="AL60" i="14" s="1"/>
  <c r="AL28" i="1"/>
  <c r="AL38" i="1"/>
  <c r="AL54" i="1"/>
  <c r="AL63" i="14" s="1"/>
  <c r="AL53" i="1"/>
  <c r="AL62" i="14" s="1"/>
  <c r="AL48" i="1"/>
  <c r="AL41" i="1"/>
  <c r="AL19" i="1"/>
  <c r="AL15" i="1"/>
  <c r="AL14" i="1"/>
  <c r="AL8" i="1"/>
  <c r="AL9" i="1"/>
  <c r="AQ57" i="12"/>
  <c r="CY57" i="12" s="1"/>
  <c r="AU56" i="10"/>
  <c r="DD56" i="10" s="1"/>
  <c r="AJ49" i="14"/>
  <c r="AK45" i="1"/>
  <c r="AL46" i="1" s="1"/>
  <c r="AK53" i="1"/>
  <c r="AK62" i="14" s="1"/>
  <c r="AK41" i="1"/>
  <c r="AL42" i="1" s="1"/>
  <c r="AK22" i="1"/>
  <c r="AK16" i="1"/>
  <c r="AQ53" i="12"/>
  <c r="CY53" i="12" s="1"/>
  <c r="AU52" i="10"/>
  <c r="DD52" i="10" s="1"/>
  <c r="AJ52" i="14"/>
  <c r="AJ29" i="14"/>
  <c r="AU50" i="10"/>
  <c r="DD50" i="10"/>
  <c r="AQ51" i="12"/>
  <c r="CY51" i="12"/>
  <c r="AQ27" i="12"/>
  <c r="DD26" i="10"/>
  <c r="CY27" i="12"/>
  <c r="AU26" i="10"/>
  <c r="DC16" i="10"/>
  <c r="AT16" i="10"/>
  <c r="AP17" i="12"/>
  <c r="CX17" i="12" s="1"/>
  <c r="AJ44" i="14"/>
  <c r="AJ53" i="14"/>
  <c r="DD49" i="10"/>
  <c r="AJ27" i="14"/>
  <c r="DD21" i="10"/>
  <c r="AU21" i="10"/>
  <c r="AQ22" i="12"/>
  <c r="CY22" i="12" s="1"/>
  <c r="AJ47" i="14"/>
  <c r="AS162" i="14"/>
  <c r="AR161" i="14"/>
  <c r="AJ34" i="14"/>
  <c r="AK36" i="1"/>
  <c r="AL37" i="1" s="1"/>
  <c r="AK30" i="1"/>
  <c r="AK33" i="1"/>
  <c r="AK19" i="1"/>
  <c r="DE51" i="10"/>
  <c r="AJ55" i="14"/>
  <c r="DD28" i="10"/>
  <c r="AU28" i="10"/>
  <c r="AQ29" i="12"/>
  <c r="CY29" i="12" s="1"/>
  <c r="AN230" i="14"/>
  <c r="AO231" i="14"/>
  <c r="AQ43" i="12"/>
  <c r="CY43" i="12"/>
  <c r="DD42" i="10"/>
  <c r="AU42" i="10"/>
  <c r="AP18" i="12"/>
  <c r="CX18" i="12" s="1"/>
  <c r="DC17" i="10"/>
  <c r="AT17" i="10"/>
  <c r="AJ48" i="14"/>
  <c r="AJ51" i="14"/>
  <c r="AJ26" i="14"/>
  <c r="CY33" i="12"/>
  <c r="DD32" i="10"/>
  <c r="AQ33" i="12"/>
  <c r="AU32" i="10"/>
  <c r="AQ38" i="12"/>
  <c r="CY38" i="12"/>
  <c r="DD37" i="10"/>
  <c r="AU37" i="10"/>
  <c r="AJ46" i="14"/>
  <c r="AK21" i="1"/>
  <c r="AL22" i="1" s="1"/>
  <c r="AK31" i="1"/>
  <c r="AK29" i="1"/>
  <c r="AK35" i="1"/>
  <c r="AL36" i="1" s="1"/>
  <c r="AK43" i="1"/>
  <c r="DD59" i="10"/>
  <c r="AW53" i="10"/>
  <c r="AS54" i="12"/>
  <c r="DA54" i="12" s="1"/>
  <c r="DC19" i="10"/>
  <c r="AT19" i="10"/>
  <c r="AP20" i="12"/>
  <c r="CX20" i="12" s="1"/>
  <c r="DD22" i="10"/>
  <c r="AU22" i="10"/>
  <c r="AQ23" i="12"/>
  <c r="CY23" i="12" s="1"/>
  <c r="AJ38" i="14"/>
  <c r="AJ54" i="14"/>
  <c r="AQ28" i="12"/>
  <c r="AU27" i="10"/>
  <c r="CY28" i="12"/>
  <c r="DD27" i="10"/>
  <c r="AJ41" i="14"/>
  <c r="D45" i="13"/>
  <c r="ED48" i="12"/>
  <c r="AP92" i="14"/>
  <c r="AQ93" i="14"/>
  <c r="CY37" i="12"/>
  <c r="AQ37" i="12"/>
  <c r="DD36" i="10"/>
  <c r="AU36" i="10"/>
  <c r="CY24" i="12"/>
  <c r="DD23" i="10"/>
  <c r="AQ24" i="12"/>
  <c r="AU23" i="10"/>
  <c r="AJ25" i="14"/>
  <c r="AS44" i="12"/>
  <c r="DA44" i="12"/>
  <c r="DF43" i="10"/>
  <c r="AW43" i="10"/>
  <c r="DD38" i="10"/>
  <c r="AU38" i="10"/>
  <c r="AQ39" i="12"/>
  <c r="CY39" i="12" s="1"/>
  <c r="DF58" i="10"/>
  <c r="AJ39" i="14"/>
  <c r="AK23" i="1"/>
  <c r="AL24" i="1" s="1"/>
  <c r="AK39" i="1"/>
  <c r="AK49" i="1"/>
  <c r="AK15" i="1"/>
  <c r="AW57" i="10"/>
  <c r="AS58" i="12"/>
  <c r="DF57" i="10"/>
  <c r="DA58" i="12"/>
  <c r="AP22" i="14"/>
  <c r="AO21" i="14"/>
  <c r="G46" i="13"/>
  <c r="H46" i="13" s="1"/>
  <c r="AL51" i="14" l="1"/>
  <c r="AL55" i="14"/>
  <c r="AL34" i="14"/>
  <c r="AL46" i="14"/>
  <c r="AL45" i="14"/>
  <c r="AL31" i="14"/>
  <c r="AL33" i="14"/>
  <c r="AR22" i="12"/>
  <c r="CZ22" i="12"/>
  <c r="DE21" i="10"/>
  <c r="AV21" i="10"/>
  <c r="AK24" i="14"/>
  <c r="AK58" i="14"/>
  <c r="AQ92" i="14"/>
  <c r="AR93" i="14"/>
  <c r="AV22" i="10"/>
  <c r="AR23" i="12"/>
  <c r="CZ23" i="12"/>
  <c r="DE22" i="10"/>
  <c r="AX53" i="10"/>
  <c r="DG53" i="10" s="1"/>
  <c r="AT54" i="12"/>
  <c r="DB54" i="12"/>
  <c r="AO230" i="14"/>
  <c r="AP231" i="14"/>
  <c r="AT162" i="14"/>
  <c r="AS161" i="14"/>
  <c r="AL37" i="14"/>
  <c r="AL27" i="14"/>
  <c r="AL30" i="14"/>
  <c r="AX51" i="10"/>
  <c r="AT52" i="12"/>
  <c r="DG51" i="10"/>
  <c r="DB52" i="12"/>
  <c r="AQ14" i="12"/>
  <c r="CY14" i="12"/>
  <c r="DD13" i="10"/>
  <c r="AU13" i="10"/>
  <c r="DF45" i="10"/>
  <c r="AW45" i="10"/>
  <c r="AS46" i="12"/>
  <c r="DA46" i="12" s="1"/>
  <c r="DD15" i="10"/>
  <c r="AU15" i="10"/>
  <c r="AQ16" i="12"/>
  <c r="CY16" i="12"/>
  <c r="AK35" i="14"/>
  <c r="AR47" i="12"/>
  <c r="CZ47" i="12" s="1"/>
  <c r="DE46" i="10"/>
  <c r="AV46" i="10"/>
  <c r="AR39" i="12"/>
  <c r="CZ39" i="12"/>
  <c r="DE38" i="10"/>
  <c r="AV38" i="10"/>
  <c r="AR24" i="12"/>
  <c r="CZ24" i="12" s="1"/>
  <c r="AV23" i="10"/>
  <c r="DE23" i="10"/>
  <c r="AR28" i="12"/>
  <c r="DE27" i="10"/>
  <c r="AV27" i="10"/>
  <c r="CZ28" i="12"/>
  <c r="AQ18" i="12"/>
  <c r="CY18" i="12" s="1"/>
  <c r="AU17" i="10"/>
  <c r="DD17" i="10"/>
  <c r="AK48" i="14"/>
  <c r="DF53" i="10"/>
  <c r="AK28" i="14"/>
  <c r="AV50" i="10"/>
  <c r="AR51" i="12"/>
  <c r="CZ51" i="12" s="1"/>
  <c r="DE50" i="10"/>
  <c r="AL36" i="14"/>
  <c r="AM7" i="1"/>
  <c r="AM54" i="1"/>
  <c r="AM63" i="14" s="1"/>
  <c r="AM53" i="1"/>
  <c r="AM62" i="14" s="1"/>
  <c r="AM52" i="1"/>
  <c r="AM61" i="14" s="1"/>
  <c r="AM39" i="1"/>
  <c r="AM9" i="1"/>
  <c r="AM8" i="1"/>
  <c r="AR21" i="12"/>
  <c r="CZ21" i="12"/>
  <c r="AV20" i="10"/>
  <c r="DE20" i="10"/>
  <c r="AK37" i="14"/>
  <c r="AS48" i="12"/>
  <c r="DA48" i="12"/>
  <c r="DF47" i="10"/>
  <c r="AW47" i="10"/>
  <c r="AQ13" i="12"/>
  <c r="CY13" i="12"/>
  <c r="DD12" i="10"/>
  <c r="AU12" i="10"/>
  <c r="AK55" i="14"/>
  <c r="AY58" i="10"/>
  <c r="DH58" i="10"/>
  <c r="AU59" i="12"/>
  <c r="DC59" i="12"/>
  <c r="AQ22" i="14"/>
  <c r="AP21" i="14"/>
  <c r="AT44" i="12"/>
  <c r="DB44" i="12"/>
  <c r="DG43" i="10"/>
  <c r="AX43" i="10"/>
  <c r="AV37" i="10"/>
  <c r="AR38" i="12"/>
  <c r="CZ38" i="12"/>
  <c r="DE37" i="10"/>
  <c r="AK42" i="14"/>
  <c r="DE26" i="10"/>
  <c r="AV26" i="10"/>
  <c r="AR27" i="12"/>
  <c r="CZ27" i="12"/>
  <c r="AK25" i="14"/>
  <c r="AV56" i="10"/>
  <c r="AR57" i="12"/>
  <c r="CZ57" i="12" s="1"/>
  <c r="AL24" i="14"/>
  <c r="AL50" i="1"/>
  <c r="AL58" i="14"/>
  <c r="AL56" i="14"/>
  <c r="AO13" i="1"/>
  <c r="AN12" i="1"/>
  <c r="AM22" i="1" s="1"/>
  <c r="AK29" i="14"/>
  <c r="AQ80" i="1"/>
  <c r="AR81" i="1"/>
  <c r="AR30" i="12"/>
  <c r="CZ30" i="12"/>
  <c r="DE29" i="10"/>
  <c r="AV29" i="10"/>
  <c r="AQ19" i="12"/>
  <c r="CY19" i="12"/>
  <c r="DD18" i="10"/>
  <c r="AU18" i="10"/>
  <c r="AR36" i="12"/>
  <c r="DE35" i="10"/>
  <c r="CZ36" i="12"/>
  <c r="AV35" i="10"/>
  <c r="AK32" i="14"/>
  <c r="DD19" i="10"/>
  <c r="AQ20" i="12"/>
  <c r="CY20" i="12"/>
  <c r="AU19" i="10"/>
  <c r="AK52" i="14"/>
  <c r="AR29" i="12"/>
  <c r="CZ29" i="12"/>
  <c r="AV28" i="10"/>
  <c r="DE28" i="10"/>
  <c r="AK39" i="14"/>
  <c r="AK31" i="14"/>
  <c r="AL23" i="14"/>
  <c r="AL20" i="1"/>
  <c r="AL31" i="1"/>
  <c r="AL42" i="14"/>
  <c r="AL44" i="1"/>
  <c r="AL52" i="14"/>
  <c r="AR45" i="12"/>
  <c r="CZ45" i="12" s="1"/>
  <c r="DE44" i="10"/>
  <c r="AV44" i="10"/>
  <c r="DF51" i="10"/>
  <c r="AK49" i="14"/>
  <c r="AN78" i="1"/>
  <c r="A123" i="1"/>
  <c r="AP123" i="1" s="1"/>
  <c r="C122" i="1"/>
  <c r="B122" i="1"/>
  <c r="D122" i="1"/>
  <c r="E122" i="1"/>
  <c r="G122" i="1"/>
  <c r="F122" i="1"/>
  <c r="H122" i="1"/>
  <c r="I122" i="1"/>
  <c r="J122" i="1"/>
  <c r="K122" i="1"/>
  <c r="L122" i="1"/>
  <c r="M122" i="1"/>
  <c r="N122" i="1"/>
  <c r="O122" i="1"/>
  <c r="P122" i="1"/>
  <c r="Q122" i="1"/>
  <c r="R122" i="1"/>
  <c r="S122" i="1"/>
  <c r="T122" i="1"/>
  <c r="U122" i="1"/>
  <c r="V122" i="1"/>
  <c r="W122" i="1"/>
  <c r="X122" i="1"/>
  <c r="Y122" i="1"/>
  <c r="Z122" i="1"/>
  <c r="AA122" i="1"/>
  <c r="AB122" i="1"/>
  <c r="AC122" i="1"/>
  <c r="AD122" i="1"/>
  <c r="AE122" i="1"/>
  <c r="AF122" i="1"/>
  <c r="AG122" i="1"/>
  <c r="AH122" i="1"/>
  <c r="AI122" i="1"/>
  <c r="AJ122" i="1"/>
  <c r="AK122" i="1"/>
  <c r="AL122" i="1"/>
  <c r="AM122" i="1"/>
  <c r="AN122" i="1"/>
  <c r="EC51" i="12"/>
  <c r="EA52" i="12"/>
  <c r="B48" i="13"/>
  <c r="G48" i="13" s="1"/>
  <c r="H48" i="13" s="1"/>
  <c r="EB51" i="12"/>
  <c r="E48" i="13" s="1"/>
  <c r="AK56" i="14"/>
  <c r="C54" i="1"/>
  <c r="C63" i="14" s="1"/>
  <c r="B54" i="1"/>
  <c r="B63" i="14" s="1"/>
  <c r="A55" i="1"/>
  <c r="AM55" i="1" s="1"/>
  <c r="AM64" i="14" s="1"/>
  <c r="D54" i="1"/>
  <c r="D63" i="14" s="1"/>
  <c r="E54" i="1"/>
  <c r="E63" i="14" s="1"/>
  <c r="F54" i="1"/>
  <c r="F63" i="14" s="1"/>
  <c r="F51" i="15" s="1"/>
  <c r="G54" i="1"/>
  <c r="G63" i="14" s="1"/>
  <c r="H54" i="1"/>
  <c r="H63" i="14" s="1"/>
  <c r="E51" i="15" s="1"/>
  <c r="I54" i="1"/>
  <c r="I63" i="14" s="1"/>
  <c r="J54" i="1"/>
  <c r="J63" i="14" s="1"/>
  <c r="D51" i="15" s="1"/>
  <c r="K54" i="1"/>
  <c r="K63" i="14" s="1"/>
  <c r="L54" i="1"/>
  <c r="L63" i="14" s="1"/>
  <c r="C51" i="15" s="1"/>
  <c r="M54" i="1"/>
  <c r="M63" i="14" s="1"/>
  <c r="N54" i="1"/>
  <c r="N63" i="14" s="1"/>
  <c r="O54" i="1"/>
  <c r="O63" i="14" s="1"/>
  <c r="P54" i="1"/>
  <c r="P63" i="14" s="1"/>
  <c r="Q54" i="1"/>
  <c r="Q63" i="14" s="1"/>
  <c r="R54" i="1"/>
  <c r="R63" i="14" s="1"/>
  <c r="S54" i="1"/>
  <c r="S63" i="14" s="1"/>
  <c r="T54" i="1"/>
  <c r="T63" i="14" s="1"/>
  <c r="U54" i="1"/>
  <c r="U63" i="14" s="1"/>
  <c r="V54" i="1"/>
  <c r="V63" i="14" s="1"/>
  <c r="W54" i="1"/>
  <c r="W63" i="14" s="1"/>
  <c r="X54" i="1"/>
  <c r="X63" i="14" s="1"/>
  <c r="Y54" i="1"/>
  <c r="Y63" i="14" s="1"/>
  <c r="Z54" i="1"/>
  <c r="Z63" i="14" s="1"/>
  <c r="AA54" i="1"/>
  <c r="AA63" i="14" s="1"/>
  <c r="AB54" i="1"/>
  <c r="AB63" i="14" s="1"/>
  <c r="AC54" i="1"/>
  <c r="AC63" i="14" s="1"/>
  <c r="AD54" i="1"/>
  <c r="AD63" i="14" s="1"/>
  <c r="AE54" i="1"/>
  <c r="AE63" i="14" s="1"/>
  <c r="AF54" i="1"/>
  <c r="AF63" i="14" s="1"/>
  <c r="AG54" i="1"/>
  <c r="AG63" i="14" s="1"/>
  <c r="AH54" i="1"/>
  <c r="AH63" i="14" s="1"/>
  <c r="AI54" i="1"/>
  <c r="AI63" i="14" s="1"/>
  <c r="AJ54" i="1"/>
  <c r="AJ63" i="14" s="1"/>
  <c r="AK54" i="1"/>
  <c r="AK63" i="14" s="1"/>
  <c r="AR37" i="12"/>
  <c r="CZ37" i="12" s="1"/>
  <c r="AV36" i="10"/>
  <c r="DE36" i="10"/>
  <c r="AL28" i="14"/>
  <c r="AL41" i="14"/>
  <c r="AL43" i="14"/>
  <c r="AK33" i="14"/>
  <c r="AK34" i="14"/>
  <c r="J52" i="15"/>
  <c r="Q52" i="15"/>
  <c r="P52" i="15"/>
  <c r="O52" i="15"/>
  <c r="H53" i="15"/>
  <c r="R52" i="15"/>
  <c r="L52" i="15"/>
  <c r="K52" i="15"/>
  <c r="I52" i="15"/>
  <c r="AK27" i="14"/>
  <c r="AS40" i="12"/>
  <c r="DA40" i="12" s="1"/>
  <c r="DF39" i="10"/>
  <c r="AW39" i="10"/>
  <c r="AK57" i="14"/>
  <c r="AR25" i="12"/>
  <c r="CZ25" i="12" s="1"/>
  <c r="AV24" i="10"/>
  <c r="DE24" i="10"/>
  <c r="AK44" i="14"/>
  <c r="AR43" i="12"/>
  <c r="CZ43" i="12" s="1"/>
  <c r="DE42" i="10"/>
  <c r="AV42" i="10"/>
  <c r="AK50" i="14"/>
  <c r="AL38" i="14"/>
  <c r="AK38" i="14"/>
  <c r="AL50" i="14"/>
  <c r="AL17" i="1"/>
  <c r="AL26" i="1"/>
  <c r="AR26" i="12"/>
  <c r="CZ26" i="12"/>
  <c r="DE25" i="10"/>
  <c r="AV25" i="10"/>
  <c r="AR55" i="12"/>
  <c r="AV54" i="10"/>
  <c r="DE54" i="10" s="1"/>
  <c r="CZ55" i="12"/>
  <c r="AK36" i="14"/>
  <c r="DE33" i="10"/>
  <c r="AR34" i="12"/>
  <c r="AV33" i="10"/>
  <c r="CZ34" i="12"/>
  <c r="AS56" i="12"/>
  <c r="DA56" i="12" s="1"/>
  <c r="AW55" i="10"/>
  <c r="EC50" i="12"/>
  <c r="AK46" i="14"/>
  <c r="AK43" i="14"/>
  <c r="AQ15" i="12"/>
  <c r="CY15" i="12"/>
  <c r="AU14" i="10"/>
  <c r="DD14" i="10"/>
  <c r="AK45" i="14"/>
  <c r="AL54" i="14"/>
  <c r="DG57" i="10"/>
  <c r="AT58" i="12"/>
  <c r="DB58" i="12"/>
  <c r="AX57" i="10"/>
  <c r="AK40" i="14"/>
  <c r="AR33" i="12"/>
  <c r="CZ33" i="12"/>
  <c r="AV32" i="10"/>
  <c r="DE32" i="10"/>
  <c r="AR53" i="12"/>
  <c r="CZ53" i="12" s="1"/>
  <c r="AV52" i="10"/>
  <c r="DE52" i="10"/>
  <c r="AK54" i="14"/>
  <c r="AL57" i="14"/>
  <c r="AL47" i="14"/>
  <c r="AL48" i="14"/>
  <c r="AL44" i="14"/>
  <c r="AL30" i="1"/>
  <c r="AS50" i="12"/>
  <c r="DA50" i="12"/>
  <c r="DF49" i="10"/>
  <c r="AW49" i="10"/>
  <c r="AK51" i="14"/>
  <c r="AQ12" i="12"/>
  <c r="CY12" i="12" s="1"/>
  <c r="DD11" i="10"/>
  <c r="AU11" i="10"/>
  <c r="DE34" i="10"/>
  <c r="AR35" i="12"/>
  <c r="AV34" i="10"/>
  <c r="CZ35" i="12"/>
  <c r="AS42" i="12"/>
  <c r="DA42" i="12" s="1"/>
  <c r="DF41" i="10"/>
  <c r="AW41" i="10"/>
  <c r="G47" i="13"/>
  <c r="H47" i="13" s="1"/>
  <c r="AK41" i="14"/>
  <c r="AK26" i="14"/>
  <c r="DE30" i="10"/>
  <c r="AV30" i="10"/>
  <c r="AR31" i="12"/>
  <c r="CZ31" i="12" s="1"/>
  <c r="AK30" i="14"/>
  <c r="AQ17" i="12"/>
  <c r="CY17" i="12"/>
  <c r="DD16" i="10"/>
  <c r="AU16" i="10"/>
  <c r="AL40" i="1"/>
  <c r="AL23" i="1"/>
  <c r="AL16" i="1"/>
  <c r="AS60" i="12"/>
  <c r="DA60" i="12" s="1"/>
  <c r="AW59" i="10"/>
  <c r="DF59" i="10" s="1"/>
  <c r="DE55" i="10"/>
  <c r="AR41" i="12"/>
  <c r="CZ41" i="12" s="1"/>
  <c r="AV40" i="10"/>
  <c r="DE40" i="10"/>
  <c r="AK47" i="14"/>
  <c r="AV31" i="10"/>
  <c r="AR32" i="12"/>
  <c r="CZ32" i="12"/>
  <c r="DE31" i="10"/>
  <c r="AR49" i="12"/>
  <c r="DE48" i="10"/>
  <c r="AV48" i="10"/>
  <c r="CZ49" i="12"/>
  <c r="AK53" i="14"/>
  <c r="AM31" i="14" l="1"/>
  <c r="DG41" i="10"/>
  <c r="AX41" i="10"/>
  <c r="AT42" i="12"/>
  <c r="DB42" i="12"/>
  <c r="AT40" i="12"/>
  <c r="DB40" i="12"/>
  <c r="DG39" i="10"/>
  <c r="AX39" i="10"/>
  <c r="AL59" i="14"/>
  <c r="AR22" i="14"/>
  <c r="AQ21" i="14"/>
  <c r="AM48" i="14"/>
  <c r="AM24" i="1"/>
  <c r="AM18" i="1"/>
  <c r="AM41" i="1"/>
  <c r="AS47" i="12"/>
  <c r="DA47" i="12"/>
  <c r="DF46" i="10"/>
  <c r="AW46" i="10"/>
  <c r="AR16" i="12"/>
  <c r="CZ16" i="12" s="1"/>
  <c r="DE15" i="10"/>
  <c r="AV15" i="10"/>
  <c r="AS93" i="14"/>
  <c r="AR92" i="14"/>
  <c r="AL49" i="14"/>
  <c r="AX55" i="10"/>
  <c r="AT56" i="12"/>
  <c r="DB56" i="12" s="1"/>
  <c r="AR17" i="12"/>
  <c r="CZ17" i="12"/>
  <c r="DE16" i="10"/>
  <c r="AV16" i="10"/>
  <c r="AS31" i="12"/>
  <c r="DA31" i="12" s="1"/>
  <c r="DF30" i="10"/>
  <c r="AW30" i="10"/>
  <c r="AM28" i="1"/>
  <c r="AM23" i="1"/>
  <c r="AM20" i="1"/>
  <c r="AR18" i="12"/>
  <c r="CZ18" i="12"/>
  <c r="DE17" i="10"/>
  <c r="AV17" i="10"/>
  <c r="AS24" i="12"/>
  <c r="DA24" i="12"/>
  <c r="DF23" i="10"/>
  <c r="AW23" i="10"/>
  <c r="AR12" i="12"/>
  <c r="CZ12" i="12"/>
  <c r="DE11" i="10"/>
  <c r="AV11" i="10"/>
  <c r="AR15" i="12"/>
  <c r="CZ15" i="12"/>
  <c r="DE14" i="10"/>
  <c r="AV14" i="10"/>
  <c r="AS32" i="12"/>
  <c r="DA32" i="12"/>
  <c r="DF31" i="10"/>
  <c r="AW31" i="10"/>
  <c r="AL39" i="14"/>
  <c r="AS33" i="12"/>
  <c r="DA33" i="12" s="1"/>
  <c r="DF32" i="10"/>
  <c r="AW32" i="10"/>
  <c r="DF55" i="10"/>
  <c r="AL35" i="14"/>
  <c r="B49" i="13"/>
  <c r="EB52" i="12"/>
  <c r="E49" i="13" s="1"/>
  <c r="EA53" i="12"/>
  <c r="AS36" i="12"/>
  <c r="DA36" i="12" s="1"/>
  <c r="DF35" i="10"/>
  <c r="AW35" i="10"/>
  <c r="AS30" i="12"/>
  <c r="DA30" i="12"/>
  <c r="DF29" i="10"/>
  <c r="AW29" i="10"/>
  <c r="AN55" i="1"/>
  <c r="AN64" i="14" s="1"/>
  <c r="AN53" i="1"/>
  <c r="AN62" i="14" s="1"/>
  <c r="AN54" i="1"/>
  <c r="AN63" i="14" s="1"/>
  <c r="AN7" i="1"/>
  <c r="AN8" i="1"/>
  <c r="AN9" i="1"/>
  <c r="AS38" i="12"/>
  <c r="DA38" i="12" s="1"/>
  <c r="DF37" i="10"/>
  <c r="AW37" i="10"/>
  <c r="AS21" i="12"/>
  <c r="DA21" i="12"/>
  <c r="DF20" i="10"/>
  <c r="AW20" i="10"/>
  <c r="AM17" i="1"/>
  <c r="AM30" i="1"/>
  <c r="AM50" i="1"/>
  <c r="AM27" i="1"/>
  <c r="AM43" i="1"/>
  <c r="DF50" i="10"/>
  <c r="AW50" i="10"/>
  <c r="AS51" i="12"/>
  <c r="DA51" i="12"/>
  <c r="E123" i="1"/>
  <c r="A124" i="1"/>
  <c r="G123" i="1"/>
  <c r="B123" i="1"/>
  <c r="C123" i="1"/>
  <c r="D123" i="1"/>
  <c r="F123" i="1"/>
  <c r="H123" i="1"/>
  <c r="I123" i="1"/>
  <c r="J123" i="1"/>
  <c r="K123" i="1"/>
  <c r="L123" i="1"/>
  <c r="M123" i="1"/>
  <c r="N123" i="1"/>
  <c r="O123" i="1"/>
  <c r="P123" i="1"/>
  <c r="Q123" i="1"/>
  <c r="R123" i="1"/>
  <c r="S123" i="1"/>
  <c r="T123" i="1"/>
  <c r="U123" i="1"/>
  <c r="V123" i="1"/>
  <c r="W123" i="1"/>
  <c r="X123" i="1"/>
  <c r="Y123" i="1"/>
  <c r="Z123" i="1"/>
  <c r="AA123" i="1"/>
  <c r="AB123" i="1"/>
  <c r="AC123" i="1"/>
  <c r="AD123" i="1"/>
  <c r="AE123" i="1"/>
  <c r="AF123" i="1"/>
  <c r="AG123" i="1"/>
  <c r="AH123" i="1"/>
  <c r="AI123" i="1"/>
  <c r="AJ123" i="1"/>
  <c r="AK123" i="1"/>
  <c r="AL123" i="1"/>
  <c r="AM123" i="1"/>
  <c r="AN123" i="1"/>
  <c r="AO123" i="1"/>
  <c r="AL53" i="14"/>
  <c r="AP13" i="1"/>
  <c r="AO12" i="1"/>
  <c r="AN41" i="1" s="1"/>
  <c r="AS27" i="12"/>
  <c r="DA27" i="12" s="1"/>
  <c r="DF26" i="10"/>
  <c r="AW26" i="10"/>
  <c r="AU44" i="12"/>
  <c r="DC44" i="12"/>
  <c r="DH43" i="10"/>
  <c r="AY43" i="10"/>
  <c r="AT48" i="12"/>
  <c r="DB48" i="12"/>
  <c r="DG47" i="10"/>
  <c r="AX47" i="10"/>
  <c r="AM47" i="1"/>
  <c r="AM46" i="1"/>
  <c r="AM32" i="1"/>
  <c r="AM14" i="1"/>
  <c r="AM45" i="1"/>
  <c r="DH53" i="10"/>
  <c r="AU54" i="12"/>
  <c r="DC54" i="12" s="1"/>
  <c r="AY53" i="10"/>
  <c r="DG59" i="10"/>
  <c r="AT60" i="12"/>
  <c r="DB60" i="12"/>
  <c r="AX59" i="10"/>
  <c r="ED51" i="12"/>
  <c r="D48" i="13"/>
  <c r="AW48" i="10"/>
  <c r="AS49" i="12"/>
  <c r="DA49" i="12"/>
  <c r="DF48" i="10"/>
  <c r="DA55" i="12"/>
  <c r="AW54" i="10"/>
  <c r="DF54" i="10"/>
  <c r="AS55" i="12"/>
  <c r="AS43" i="12"/>
  <c r="DA43" i="12"/>
  <c r="DF42" i="10"/>
  <c r="AW42" i="10"/>
  <c r="CZ20" i="12"/>
  <c r="DE19" i="10"/>
  <c r="AV19" i="10"/>
  <c r="AR20" i="12"/>
  <c r="AW56" i="10"/>
  <c r="AS57" i="12"/>
  <c r="DA57" i="12"/>
  <c r="DF56" i="10"/>
  <c r="AZ58" i="10"/>
  <c r="DI58" i="10" s="1"/>
  <c r="AV59" i="12"/>
  <c r="DD59" i="12"/>
  <c r="AM51" i="1"/>
  <c r="AM40" i="1"/>
  <c r="AM26" i="1"/>
  <c r="AM38" i="1"/>
  <c r="AM34" i="1"/>
  <c r="AS39" i="12"/>
  <c r="DA39" i="12"/>
  <c r="DF38" i="10"/>
  <c r="AW38" i="10"/>
  <c r="AT46" i="12"/>
  <c r="DG45" i="10"/>
  <c r="DB46" i="12"/>
  <c r="AX45" i="10"/>
  <c r="AS35" i="12"/>
  <c r="DA35" i="12"/>
  <c r="DF34" i="10"/>
  <c r="AW34" i="10"/>
  <c r="AW44" i="10"/>
  <c r="AS45" i="12"/>
  <c r="DA45" i="12"/>
  <c r="DF44" i="10"/>
  <c r="DE56" i="10"/>
  <c r="AM44" i="1"/>
  <c r="AM35" i="1"/>
  <c r="AM19" i="1"/>
  <c r="AM33" i="1"/>
  <c r="AM48" i="1"/>
  <c r="AS28" i="12"/>
  <c r="DA28" i="12"/>
  <c r="DF27" i="10"/>
  <c r="AW27" i="10"/>
  <c r="AU52" i="12"/>
  <c r="DC52" i="12" s="1"/>
  <c r="DH51" i="10"/>
  <c r="AY51" i="10"/>
  <c r="AT161" i="14"/>
  <c r="AU162" i="14"/>
  <c r="AL26" i="14"/>
  <c r="AS34" i="12"/>
  <c r="DA34" i="12" s="1"/>
  <c r="DF33" i="10"/>
  <c r="AW33" i="10"/>
  <c r="AS41" i="12"/>
  <c r="DA41" i="12"/>
  <c r="DF40" i="10"/>
  <c r="AW40" i="10"/>
  <c r="AL25" i="14"/>
  <c r="AT50" i="12"/>
  <c r="DG49" i="10"/>
  <c r="DB50" i="12"/>
  <c r="AX49" i="10"/>
  <c r="AW52" i="10"/>
  <c r="AS53" i="12"/>
  <c r="DA53" i="12" s="1"/>
  <c r="DF52" i="10"/>
  <c r="AS26" i="12"/>
  <c r="DA26" i="12"/>
  <c r="DF25" i="10"/>
  <c r="AW25" i="10"/>
  <c r="J53" i="15"/>
  <c r="R53" i="15"/>
  <c r="Q53" i="15"/>
  <c r="P53" i="15"/>
  <c r="O53" i="15"/>
  <c r="K53" i="15"/>
  <c r="I53" i="15"/>
  <c r="H54" i="15"/>
  <c r="L53" i="15"/>
  <c r="AS37" i="12"/>
  <c r="DA37" i="12"/>
  <c r="DF36" i="10"/>
  <c r="AW36" i="10"/>
  <c r="AL40" i="14"/>
  <c r="AR19" i="12"/>
  <c r="CZ19" i="12"/>
  <c r="DE18" i="10"/>
  <c r="AV18" i="10"/>
  <c r="AR80" i="1"/>
  <c r="AS81" i="1"/>
  <c r="AM25" i="1"/>
  <c r="AM31" i="1"/>
  <c r="AM42" i="1"/>
  <c r="AM16" i="1"/>
  <c r="AM21" i="1"/>
  <c r="AR14" i="12"/>
  <c r="CZ14" i="12"/>
  <c r="DE13" i="10"/>
  <c r="AV13" i="10"/>
  <c r="AP230" i="14"/>
  <c r="AQ231" i="14"/>
  <c r="AW21" i="10"/>
  <c r="AS22" i="12"/>
  <c r="DA22" i="12" s="1"/>
  <c r="DF21" i="10"/>
  <c r="AS25" i="12"/>
  <c r="DA25" i="12"/>
  <c r="DF24" i="10"/>
  <c r="AW24" i="10"/>
  <c r="B55" i="1"/>
  <c r="B64" i="14" s="1"/>
  <c r="A56" i="1"/>
  <c r="C55" i="1"/>
  <c r="C64" i="14" s="1"/>
  <c r="D55" i="1"/>
  <c r="D64" i="14" s="1"/>
  <c r="E55" i="1"/>
  <c r="E64" i="14" s="1"/>
  <c r="F55" i="1"/>
  <c r="F64" i="14" s="1"/>
  <c r="F52" i="15" s="1"/>
  <c r="G55" i="1"/>
  <c r="G64" i="14" s="1"/>
  <c r="H55" i="1"/>
  <c r="H64" i="14" s="1"/>
  <c r="E52" i="15" s="1"/>
  <c r="I55" i="1"/>
  <c r="I64" i="14" s="1"/>
  <c r="J55" i="1"/>
  <c r="J64" i="14" s="1"/>
  <c r="D52" i="15" s="1"/>
  <c r="K55" i="1"/>
  <c r="K64" i="14" s="1"/>
  <c r="L55" i="1"/>
  <c r="L64" i="14" s="1"/>
  <c r="C52" i="15" s="1"/>
  <c r="M55" i="1"/>
  <c r="M64" i="14" s="1"/>
  <c r="N55" i="1"/>
  <c r="N64" i="14" s="1"/>
  <c r="O55" i="1"/>
  <c r="O64" i="14" s="1"/>
  <c r="P55" i="1"/>
  <c r="P64" i="14" s="1"/>
  <c r="Q55" i="1"/>
  <c r="Q64" i="14" s="1"/>
  <c r="R55" i="1"/>
  <c r="R64" i="14" s="1"/>
  <c r="S55" i="1"/>
  <c r="S64" i="14" s="1"/>
  <c r="T55" i="1"/>
  <c r="T64" i="14" s="1"/>
  <c r="U55" i="1"/>
  <c r="U64" i="14" s="1"/>
  <c r="V55" i="1"/>
  <c r="V64" i="14" s="1"/>
  <c r="W55" i="1"/>
  <c r="W64" i="14" s="1"/>
  <c r="X55" i="1"/>
  <c r="X64" i="14" s="1"/>
  <c r="Y55" i="1"/>
  <c r="Y64" i="14" s="1"/>
  <c r="Z55" i="1"/>
  <c r="Z64" i="14" s="1"/>
  <c r="AA55" i="1"/>
  <c r="AA64" i="14" s="1"/>
  <c r="AB55" i="1"/>
  <c r="AB64" i="14" s="1"/>
  <c r="AC55" i="1"/>
  <c r="AC64" i="14" s="1"/>
  <c r="AD55" i="1"/>
  <c r="AD64" i="14" s="1"/>
  <c r="AE55" i="1"/>
  <c r="AE64" i="14" s="1"/>
  <c r="AF55" i="1"/>
  <c r="AF64" i="14" s="1"/>
  <c r="AG55" i="1"/>
  <c r="AG64" i="14" s="1"/>
  <c r="AH55" i="1"/>
  <c r="AH64" i="14" s="1"/>
  <c r="AI55" i="1"/>
  <c r="AI64" i="14" s="1"/>
  <c r="AJ55" i="1"/>
  <c r="AJ64" i="14" s="1"/>
  <c r="AK55" i="1"/>
  <c r="AK64" i="14" s="1"/>
  <c r="AL55" i="1"/>
  <c r="AL64" i="14" s="1"/>
  <c r="AL32" i="14"/>
  <c r="AY57" i="10"/>
  <c r="DH57" i="10"/>
  <c r="AU58" i="12"/>
  <c r="DC58" i="12"/>
  <c r="D47" i="13"/>
  <c r="ED50" i="12"/>
  <c r="AL29" i="14"/>
  <c r="AS29" i="12"/>
  <c r="DA29" i="12"/>
  <c r="DF28" i="10"/>
  <c r="AW28" i="10"/>
  <c r="AO78" i="1"/>
  <c r="AQ124" i="1"/>
  <c r="DE12" i="10"/>
  <c r="AR13" i="12"/>
  <c r="CZ13" i="12" s="1"/>
  <c r="AV12" i="10"/>
  <c r="AM29" i="1"/>
  <c r="AM37" i="1"/>
  <c r="AM15" i="1"/>
  <c r="AM49" i="1"/>
  <c r="AM36" i="1"/>
  <c r="AS23" i="12"/>
  <c r="DA23" i="12" s="1"/>
  <c r="DF22" i="10"/>
  <c r="AW22" i="10"/>
  <c r="AN50" i="14" l="1"/>
  <c r="AM40" i="14"/>
  <c r="AM44" i="14"/>
  <c r="AM26" i="14"/>
  <c r="AN18" i="1"/>
  <c r="AN43" i="1"/>
  <c r="AN16" i="1"/>
  <c r="AN33" i="1"/>
  <c r="AN45" i="1"/>
  <c r="DG32" i="10"/>
  <c r="AX32" i="10"/>
  <c r="AT33" i="12"/>
  <c r="DB33" i="12" s="1"/>
  <c r="AU56" i="12"/>
  <c r="DC56" i="12" s="1"/>
  <c r="AY55" i="10"/>
  <c r="DH55" i="10" s="1"/>
  <c r="DF12" i="10"/>
  <c r="AS13" i="12"/>
  <c r="DA13" i="12" s="1"/>
  <c r="AW12" i="10"/>
  <c r="DF13" i="10"/>
  <c r="AW13" i="10"/>
  <c r="AS14" i="12"/>
  <c r="DA14" i="12" s="1"/>
  <c r="AM34" i="14"/>
  <c r="DG40" i="10"/>
  <c r="AX40" i="10"/>
  <c r="AT41" i="12"/>
  <c r="DB41" i="12" s="1"/>
  <c r="AT28" i="12"/>
  <c r="DB28" i="12" s="1"/>
  <c r="DG27" i="10"/>
  <c r="AX27" i="10"/>
  <c r="AM53" i="14"/>
  <c r="AS20" i="12"/>
  <c r="AW19" i="10"/>
  <c r="DA20" i="12"/>
  <c r="DF19" i="10"/>
  <c r="DG20" i="10"/>
  <c r="AX20" i="10"/>
  <c r="AT21" i="12"/>
  <c r="DB21" i="12" s="1"/>
  <c r="AN27" i="1"/>
  <c r="AN42" i="1"/>
  <c r="AN52" i="1"/>
  <c r="AN29" i="1"/>
  <c r="AT30" i="12"/>
  <c r="DB30" i="12"/>
  <c r="DG29" i="10"/>
  <c r="AX29" i="10"/>
  <c r="B50" i="13"/>
  <c r="EB53" i="12"/>
  <c r="E50" i="13" s="1"/>
  <c r="EA54" i="12"/>
  <c r="EC53" i="12"/>
  <c r="AS17" i="12"/>
  <c r="DA17" i="12"/>
  <c r="DF16" i="10"/>
  <c r="AW16" i="10"/>
  <c r="DG46" i="10"/>
  <c r="AX46" i="10"/>
  <c r="AT47" i="12"/>
  <c r="DB47" i="12" s="1"/>
  <c r="AT23" i="12"/>
  <c r="DB23" i="12"/>
  <c r="DG22" i="10"/>
  <c r="AX22" i="10"/>
  <c r="AT81" i="1"/>
  <c r="AS80" i="1"/>
  <c r="DG36" i="10"/>
  <c r="AX36" i="10"/>
  <c r="AT37" i="12"/>
  <c r="DB37" i="12"/>
  <c r="AT53" i="12"/>
  <c r="DB53" i="12" s="1"/>
  <c r="DG52" i="10"/>
  <c r="AX52" i="10"/>
  <c r="DG54" i="10"/>
  <c r="AT55" i="12"/>
  <c r="AX54" i="10"/>
  <c r="DB55" i="12"/>
  <c r="DC60" i="12"/>
  <c r="AY59" i="10"/>
  <c r="AU60" i="12"/>
  <c r="DH59" i="10"/>
  <c r="AM54" i="14"/>
  <c r="AT51" i="12"/>
  <c r="DB51" i="12"/>
  <c r="DG50" i="10"/>
  <c r="AX50" i="10"/>
  <c r="AN14" i="1"/>
  <c r="AN48" i="1"/>
  <c r="AN17" i="1"/>
  <c r="AN22" i="1"/>
  <c r="EC52" i="12"/>
  <c r="DF14" i="10"/>
  <c r="AW14" i="10"/>
  <c r="AS15" i="12"/>
  <c r="DA15" i="12"/>
  <c r="DG23" i="10"/>
  <c r="AX23" i="10"/>
  <c r="AT24" i="12"/>
  <c r="DB24" i="12" s="1"/>
  <c r="AM29" i="14"/>
  <c r="DG28" i="10"/>
  <c r="AX28" i="10"/>
  <c r="AT29" i="12"/>
  <c r="DB29" i="12"/>
  <c r="AP78" i="1"/>
  <c r="I54" i="15"/>
  <c r="H55" i="15"/>
  <c r="L54" i="15"/>
  <c r="R54" i="15"/>
  <c r="K54" i="15"/>
  <c r="Q54" i="15"/>
  <c r="P54" i="15"/>
  <c r="O54" i="15"/>
  <c r="J54" i="15"/>
  <c r="AT26" i="12"/>
  <c r="DB26" i="12" s="1"/>
  <c r="DG25" i="10"/>
  <c r="AX25" i="10"/>
  <c r="AU50" i="12"/>
  <c r="DC50" i="12" s="1"/>
  <c r="DH49" i="10"/>
  <c r="AY49" i="10"/>
  <c r="AU161" i="14"/>
  <c r="AV162" i="14"/>
  <c r="AU46" i="12"/>
  <c r="DH45" i="10"/>
  <c r="DC46" i="12"/>
  <c r="AY45" i="10"/>
  <c r="AM43" i="14"/>
  <c r="AW59" i="12"/>
  <c r="DE59" i="12" s="1"/>
  <c r="BA58" i="10"/>
  <c r="DJ58" i="10" s="1"/>
  <c r="AM23" i="14"/>
  <c r="DI43" i="10"/>
  <c r="AV44" i="12"/>
  <c r="DD44" i="12" s="1"/>
  <c r="AZ43" i="10"/>
  <c r="AO56" i="1"/>
  <c r="AO65" i="14" s="1"/>
  <c r="AO55" i="1"/>
  <c r="AO64" i="14" s="1"/>
  <c r="AO57" i="1"/>
  <c r="AO66" i="14" s="1"/>
  <c r="AO7" i="1"/>
  <c r="AO54" i="1"/>
  <c r="AO63" i="14" s="1"/>
  <c r="AO8" i="1"/>
  <c r="AO9" i="1"/>
  <c r="AN40" i="1"/>
  <c r="AN36" i="1"/>
  <c r="AN24" i="1"/>
  <c r="AN25" i="1"/>
  <c r="AN34" i="1"/>
  <c r="AN15" i="1"/>
  <c r="AM32" i="14"/>
  <c r="AS22" i="14"/>
  <c r="AR21" i="14"/>
  <c r="AM38" i="14"/>
  <c r="AM45" i="14"/>
  <c r="AS19" i="12"/>
  <c r="DA19" i="12" s="1"/>
  <c r="DF18" i="10"/>
  <c r="AW18" i="10"/>
  <c r="AM47" i="14"/>
  <c r="AT43" i="12"/>
  <c r="DB43" i="12"/>
  <c r="DG42" i="10"/>
  <c r="AX42" i="10"/>
  <c r="AM41" i="14"/>
  <c r="AP12" i="1"/>
  <c r="AO36" i="1" s="1"/>
  <c r="AQ13" i="1"/>
  <c r="AM52" i="14"/>
  <c r="AN28" i="1"/>
  <c r="AN51" i="1"/>
  <c r="AN30" i="1"/>
  <c r="AN21" i="1"/>
  <c r="AN20" i="1"/>
  <c r="G49" i="13"/>
  <c r="H49" i="13" s="1"/>
  <c r="AM37" i="14"/>
  <c r="AS92" i="14"/>
  <c r="AT93" i="14"/>
  <c r="DH41" i="10"/>
  <c r="AY41" i="10"/>
  <c r="AU42" i="12"/>
  <c r="DC42" i="12" s="1"/>
  <c r="AM58" i="14"/>
  <c r="C56" i="1"/>
  <c r="C65" i="14" s="1"/>
  <c r="A57" i="1"/>
  <c r="B56" i="1"/>
  <c r="B65" i="14" s="1"/>
  <c r="D56" i="1"/>
  <c r="D65" i="14" s="1"/>
  <c r="E56" i="1"/>
  <c r="E65" i="14" s="1"/>
  <c r="F56" i="1"/>
  <c r="F65" i="14" s="1"/>
  <c r="F53" i="15" s="1"/>
  <c r="G56" i="1"/>
  <c r="G65" i="14" s="1"/>
  <c r="H56" i="1"/>
  <c r="H65" i="14" s="1"/>
  <c r="E53" i="15" s="1"/>
  <c r="I56" i="1"/>
  <c r="I65" i="14" s="1"/>
  <c r="J56" i="1"/>
  <c r="J65" i="14" s="1"/>
  <c r="D53" i="15" s="1"/>
  <c r="K56" i="1"/>
  <c r="K65" i="14" s="1"/>
  <c r="L56" i="1"/>
  <c r="L65" i="14" s="1"/>
  <c r="C53" i="15" s="1"/>
  <c r="M56" i="1"/>
  <c r="M65" i="14" s="1"/>
  <c r="N56" i="1"/>
  <c r="N65" i="14" s="1"/>
  <c r="O56" i="1"/>
  <c r="O65" i="14" s="1"/>
  <c r="P56" i="1"/>
  <c r="P65" i="14" s="1"/>
  <c r="Q56" i="1"/>
  <c r="Q65" i="14" s="1"/>
  <c r="R56" i="1"/>
  <c r="R65" i="14" s="1"/>
  <c r="S56" i="1"/>
  <c r="S65" i="14" s="1"/>
  <c r="T56" i="1"/>
  <c r="T65" i="14" s="1"/>
  <c r="U56" i="1"/>
  <c r="U65" i="14" s="1"/>
  <c r="V56" i="1"/>
  <c r="V65" i="14" s="1"/>
  <c r="W56" i="1"/>
  <c r="W65" i="14" s="1"/>
  <c r="X56" i="1"/>
  <c r="X65" i="14" s="1"/>
  <c r="Y56" i="1"/>
  <c r="Y65" i="14" s="1"/>
  <c r="Z56" i="1"/>
  <c r="Z65" i="14" s="1"/>
  <c r="AA56" i="1"/>
  <c r="AA65" i="14" s="1"/>
  <c r="AB56" i="1"/>
  <c r="AB65" i="14" s="1"/>
  <c r="AC56" i="1"/>
  <c r="AC65" i="14" s="1"/>
  <c r="AD56" i="1"/>
  <c r="AD65" i="14" s="1"/>
  <c r="AE56" i="1"/>
  <c r="AE65" i="14" s="1"/>
  <c r="AF56" i="1"/>
  <c r="AF65" i="14" s="1"/>
  <c r="AG56" i="1"/>
  <c r="AG65" i="14" s="1"/>
  <c r="AH56" i="1"/>
  <c r="AH65" i="14" s="1"/>
  <c r="AI56" i="1"/>
  <c r="AI65" i="14" s="1"/>
  <c r="AJ56" i="1"/>
  <c r="AJ65" i="14" s="1"/>
  <c r="AK56" i="1"/>
  <c r="AK65" i="14" s="1"/>
  <c r="AL56" i="1"/>
  <c r="AL65" i="14" s="1"/>
  <c r="AM56" i="1"/>
  <c r="AM65" i="14" s="1"/>
  <c r="AT22" i="12"/>
  <c r="DB22" i="12" s="1"/>
  <c r="DG21" i="10"/>
  <c r="AX21" i="10"/>
  <c r="AM30" i="14"/>
  <c r="AT34" i="12"/>
  <c r="DB34" i="12" s="1"/>
  <c r="DG33" i="10"/>
  <c r="AX33" i="10"/>
  <c r="DI51" i="10"/>
  <c r="AV52" i="12"/>
  <c r="DD52" i="12"/>
  <c r="AZ51" i="10"/>
  <c r="AM57" i="14"/>
  <c r="AM35" i="14"/>
  <c r="AM55" i="14"/>
  <c r="AM36" i="14"/>
  <c r="AT38" i="12"/>
  <c r="DB38" i="12" s="1"/>
  <c r="DG37" i="10"/>
  <c r="AX37" i="10"/>
  <c r="AN39" i="1"/>
  <c r="AN44" i="1"/>
  <c r="AN49" i="1"/>
  <c r="AN56" i="1"/>
  <c r="AN65" i="14" s="1"/>
  <c r="AT36" i="12"/>
  <c r="DB36" i="12" s="1"/>
  <c r="DG35" i="10"/>
  <c r="AX35" i="10"/>
  <c r="AT31" i="12"/>
  <c r="DB31" i="12"/>
  <c r="DG30" i="10"/>
  <c r="AX30" i="10"/>
  <c r="AS16" i="12"/>
  <c r="DA16" i="12" s="1"/>
  <c r="DF15" i="10"/>
  <c r="AW15" i="10"/>
  <c r="AM50" i="14"/>
  <c r="AM24" i="14"/>
  <c r="DI57" i="10"/>
  <c r="AZ57" i="10"/>
  <c r="AV58" i="12"/>
  <c r="DD58" i="12" s="1"/>
  <c r="AM25" i="14"/>
  <c r="AM42" i="14"/>
  <c r="AT45" i="12"/>
  <c r="DB45" i="12" s="1"/>
  <c r="DG44" i="10"/>
  <c r="AX44" i="10"/>
  <c r="AM49" i="14"/>
  <c r="AV54" i="12"/>
  <c r="DD54" i="12" s="1"/>
  <c r="AZ53" i="10"/>
  <c r="DI53" i="10" s="1"/>
  <c r="AM56" i="14"/>
  <c r="B124" i="1"/>
  <c r="C124" i="1"/>
  <c r="A125" i="1"/>
  <c r="D124" i="1"/>
  <c r="E124" i="1"/>
  <c r="G124" i="1"/>
  <c r="F124" i="1"/>
  <c r="H124" i="1"/>
  <c r="I124" i="1"/>
  <c r="J124" i="1"/>
  <c r="K124" i="1"/>
  <c r="L124" i="1"/>
  <c r="M124" i="1"/>
  <c r="N124" i="1"/>
  <c r="O124" i="1"/>
  <c r="P124" i="1"/>
  <c r="Q124" i="1"/>
  <c r="R124" i="1"/>
  <c r="S124" i="1"/>
  <c r="T124" i="1"/>
  <c r="U124" i="1"/>
  <c r="V124" i="1"/>
  <c r="W124" i="1"/>
  <c r="X124" i="1"/>
  <c r="Y124" i="1"/>
  <c r="Z124" i="1"/>
  <c r="AA124" i="1"/>
  <c r="AB124" i="1"/>
  <c r="AC124" i="1"/>
  <c r="AD124" i="1"/>
  <c r="AE124" i="1"/>
  <c r="AF124" i="1"/>
  <c r="AG124" i="1"/>
  <c r="AH124" i="1"/>
  <c r="AI124" i="1"/>
  <c r="AJ124" i="1"/>
  <c r="AK124" i="1"/>
  <c r="AL124" i="1"/>
  <c r="AM124" i="1"/>
  <c r="AN124" i="1"/>
  <c r="AO124" i="1"/>
  <c r="AP124" i="1"/>
  <c r="AM59" i="14"/>
  <c r="AN31" i="1"/>
  <c r="AN32" i="1"/>
  <c r="AN37" i="1"/>
  <c r="AN47" i="1"/>
  <c r="AN46" i="1"/>
  <c r="AN19" i="1"/>
  <c r="AN38" i="1"/>
  <c r="AT32" i="12"/>
  <c r="DB32" i="12" s="1"/>
  <c r="DG31" i="10"/>
  <c r="AX31" i="10"/>
  <c r="AS12" i="12"/>
  <c r="DA12" i="12" s="1"/>
  <c r="DF11" i="10"/>
  <c r="AW11" i="10"/>
  <c r="DF17" i="10"/>
  <c r="AW17" i="10"/>
  <c r="AS18" i="12"/>
  <c r="DA18" i="12"/>
  <c r="AM27" i="14"/>
  <c r="DH39" i="10"/>
  <c r="AY39" i="10"/>
  <c r="AU40" i="12"/>
  <c r="DC40" i="12" s="1"/>
  <c r="AM46" i="14"/>
  <c r="DG24" i="10"/>
  <c r="AX24" i="10"/>
  <c r="AT25" i="12"/>
  <c r="DB25" i="12"/>
  <c r="AR231" i="14"/>
  <c r="AQ230" i="14"/>
  <c r="AM51" i="14"/>
  <c r="AM28" i="14"/>
  <c r="AT35" i="12"/>
  <c r="DB35" i="12"/>
  <c r="DG34" i="10"/>
  <c r="AX34" i="10"/>
  <c r="AT39" i="12"/>
  <c r="DB39" i="12"/>
  <c r="DG38" i="10"/>
  <c r="AX38" i="10"/>
  <c r="AM60" i="14"/>
  <c r="AX56" i="10"/>
  <c r="AT57" i="12"/>
  <c r="DB57" i="12"/>
  <c r="AT49" i="12"/>
  <c r="DB49" i="12" s="1"/>
  <c r="DG48" i="10"/>
  <c r="AX48" i="10"/>
  <c r="DC48" i="12"/>
  <c r="DH47" i="10"/>
  <c r="AY47" i="10"/>
  <c r="AU48" i="12"/>
  <c r="DG26" i="10"/>
  <c r="AT27" i="12"/>
  <c r="AX26" i="10"/>
  <c r="DB27" i="12"/>
  <c r="AM39" i="14"/>
  <c r="AN35" i="1"/>
  <c r="AN26" i="1"/>
  <c r="AN50" i="1"/>
  <c r="AN23" i="1"/>
  <c r="DG55" i="10"/>
  <c r="AM33" i="14"/>
  <c r="AO45" i="14" l="1"/>
  <c r="AN59" i="14"/>
  <c r="AN56" i="14"/>
  <c r="AU45" i="12"/>
  <c r="DC45" i="12" s="1"/>
  <c r="DH44" i="10"/>
  <c r="AY44" i="10"/>
  <c r="DG15" i="10"/>
  <c r="AX15" i="10"/>
  <c r="AT16" i="12"/>
  <c r="DB16" i="12" s="1"/>
  <c r="AU36" i="12"/>
  <c r="DC36" i="12"/>
  <c r="DH35" i="10"/>
  <c r="AY35" i="10"/>
  <c r="DH37" i="10"/>
  <c r="AY37" i="10"/>
  <c r="AU38" i="12"/>
  <c r="DC38" i="12" s="1"/>
  <c r="DC34" i="12"/>
  <c r="DH33" i="10"/>
  <c r="AY33" i="10"/>
  <c r="AU34" i="12"/>
  <c r="AN37" i="14"/>
  <c r="AO29" i="1"/>
  <c r="AO26" i="1"/>
  <c r="AO44" i="1"/>
  <c r="AO25" i="1"/>
  <c r="DJ43" i="10"/>
  <c r="AW44" i="12"/>
  <c r="DE44" i="12" s="1"/>
  <c r="BA43" i="10"/>
  <c r="DG14" i="10"/>
  <c r="AX14" i="10"/>
  <c r="AT15" i="12"/>
  <c r="DB15" i="12"/>
  <c r="AU57" i="12"/>
  <c r="DC57" i="12"/>
  <c r="AY56" i="10"/>
  <c r="DH56" i="10"/>
  <c r="DH30" i="10"/>
  <c r="AY30" i="10"/>
  <c r="AU31" i="12"/>
  <c r="DC31" i="12" s="1"/>
  <c r="AN35" i="14"/>
  <c r="AN46" i="14"/>
  <c r="AN24" i="14"/>
  <c r="AO42" i="1"/>
  <c r="AO34" i="1"/>
  <c r="AV50" i="12"/>
  <c r="AZ49" i="10"/>
  <c r="DD50" i="12"/>
  <c r="DI49" i="10"/>
  <c r="DH20" i="10"/>
  <c r="AY20" i="10"/>
  <c r="AU21" i="12"/>
  <c r="DC21" i="12"/>
  <c r="AU28" i="12"/>
  <c r="DC28" i="12"/>
  <c r="DH27" i="10"/>
  <c r="AY27" i="10"/>
  <c r="DH32" i="10"/>
  <c r="AY32" i="10"/>
  <c r="AU33" i="12"/>
  <c r="DC33" i="12"/>
  <c r="AP56" i="1"/>
  <c r="AP65" i="14" s="1"/>
  <c r="AP57" i="1"/>
  <c r="AP66" i="14" s="1"/>
  <c r="AP16" i="1"/>
  <c r="AP54" i="1"/>
  <c r="AP30" i="1"/>
  <c r="AP44" i="1"/>
  <c r="AP7" i="1"/>
  <c r="AP55" i="1"/>
  <c r="AP64" i="14" s="1"/>
  <c r="AP27" i="1"/>
  <c r="AP43" i="1"/>
  <c r="AP8" i="1"/>
  <c r="AP9" i="1"/>
  <c r="DH31" i="10"/>
  <c r="AY31" i="10"/>
  <c r="AU32" i="12"/>
  <c r="DC32" i="12" s="1"/>
  <c r="AN44" i="14"/>
  <c r="AV48" i="12"/>
  <c r="DD48" i="12" s="1"/>
  <c r="AZ47" i="10"/>
  <c r="DI47" i="10"/>
  <c r="AN41" i="14"/>
  <c r="AW58" i="12"/>
  <c r="BA57" i="10"/>
  <c r="DJ57" i="10" s="1"/>
  <c r="DE58" i="12"/>
  <c r="AN43" i="14"/>
  <c r="AO23" i="1"/>
  <c r="AO16" i="1"/>
  <c r="AP17" i="1" s="1"/>
  <c r="AO39" i="1"/>
  <c r="AP40" i="1" s="1"/>
  <c r="AO38" i="1"/>
  <c r="AO27" i="1"/>
  <c r="ED52" i="12"/>
  <c r="D49" i="13"/>
  <c r="AU55" i="12"/>
  <c r="DC55" i="12" s="1"/>
  <c r="AY54" i="10"/>
  <c r="AR230" i="14"/>
  <c r="AS231" i="14"/>
  <c r="DE54" i="12"/>
  <c r="DJ53" i="10"/>
  <c r="BA53" i="10"/>
  <c r="AW54" i="12"/>
  <c r="AN29" i="14"/>
  <c r="DG56" i="10"/>
  <c r="DC35" i="12"/>
  <c r="DH34" i="10"/>
  <c r="AY34" i="10"/>
  <c r="AU35" i="12"/>
  <c r="DG17" i="10"/>
  <c r="AX17" i="10"/>
  <c r="AT18" i="12"/>
  <c r="DB18" i="12"/>
  <c r="AN40" i="14"/>
  <c r="AQ12" i="1"/>
  <c r="AP20" i="1" s="1"/>
  <c r="AR13" i="1"/>
  <c r="AN34" i="14"/>
  <c r="AO41" i="1"/>
  <c r="AO19" i="1"/>
  <c r="AO22" i="1"/>
  <c r="AO51" i="1"/>
  <c r="AP52" i="1" s="1"/>
  <c r="AO20" i="1"/>
  <c r="AO28" i="1"/>
  <c r="DI45" i="10"/>
  <c r="AV46" i="12"/>
  <c r="AZ45" i="10"/>
  <c r="DD46" i="12"/>
  <c r="AN31" i="14"/>
  <c r="DH36" i="10"/>
  <c r="AY36" i="10"/>
  <c r="AU37" i="12"/>
  <c r="DC37" i="12" s="1"/>
  <c r="D50" i="13"/>
  <c r="ED53" i="12"/>
  <c r="AN38" i="14"/>
  <c r="AN54" i="14"/>
  <c r="AO14" i="1"/>
  <c r="AP15" i="1" s="1"/>
  <c r="AO30" i="1"/>
  <c r="AO47" i="1"/>
  <c r="AO45" i="1"/>
  <c r="AO37" i="1"/>
  <c r="AO35" i="1"/>
  <c r="AO24" i="1"/>
  <c r="AP25" i="1" s="1"/>
  <c r="K55" i="15"/>
  <c r="H56" i="15"/>
  <c r="I55" i="15"/>
  <c r="R55" i="15"/>
  <c r="O55" i="15"/>
  <c r="L55" i="15"/>
  <c r="J55" i="15"/>
  <c r="Q55" i="15"/>
  <c r="P55" i="15"/>
  <c r="DH23" i="10"/>
  <c r="AY23" i="10"/>
  <c r="AU24" i="12"/>
  <c r="DC24" i="12"/>
  <c r="AN26" i="14"/>
  <c r="B51" i="13"/>
  <c r="G51" i="13" s="1"/>
  <c r="H51" i="13" s="1"/>
  <c r="EA55" i="12"/>
  <c r="EB54" i="12"/>
  <c r="E51" i="13" s="1"/>
  <c r="AN61" i="14"/>
  <c r="AZ55" i="10"/>
  <c r="AV56" i="12"/>
  <c r="DD56" i="12"/>
  <c r="DI55" i="10"/>
  <c r="AN42" i="14"/>
  <c r="AN47" i="14"/>
  <c r="D125" i="1"/>
  <c r="E125" i="1"/>
  <c r="G125" i="1"/>
  <c r="A126" i="1"/>
  <c r="C125" i="1"/>
  <c r="B125" i="1"/>
  <c r="F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T125" i="1"/>
  <c r="U125" i="1"/>
  <c r="V125" i="1"/>
  <c r="W125" i="1"/>
  <c r="X125" i="1"/>
  <c r="Y125" i="1"/>
  <c r="Z125" i="1"/>
  <c r="AA125" i="1"/>
  <c r="AB125" i="1"/>
  <c r="AC125" i="1"/>
  <c r="AD125" i="1"/>
  <c r="AE125" i="1"/>
  <c r="AF125" i="1"/>
  <c r="AG125" i="1"/>
  <c r="AH125" i="1"/>
  <c r="AI125" i="1"/>
  <c r="AJ125" i="1"/>
  <c r="AK125" i="1"/>
  <c r="AL125" i="1"/>
  <c r="AM125" i="1"/>
  <c r="AN125" i="1"/>
  <c r="AO125" i="1"/>
  <c r="AP125" i="1"/>
  <c r="AQ125" i="1"/>
  <c r="AN58" i="14"/>
  <c r="AV42" i="12"/>
  <c r="DD42" i="12" s="1"/>
  <c r="DI41" i="10"/>
  <c r="AZ41" i="10"/>
  <c r="AN30" i="14"/>
  <c r="AT19" i="12"/>
  <c r="DB19" i="12" s="1"/>
  <c r="DG18" i="10"/>
  <c r="AX18" i="10"/>
  <c r="AN45" i="14"/>
  <c r="AO18" i="1"/>
  <c r="AO48" i="1"/>
  <c r="AO43" i="1"/>
  <c r="AO49" i="1"/>
  <c r="AO40" i="1"/>
  <c r="DH25" i="10"/>
  <c r="AY25" i="10"/>
  <c r="AU26" i="12"/>
  <c r="DC26" i="12" s="1"/>
  <c r="AN57" i="14"/>
  <c r="AY52" i="10"/>
  <c r="AU53" i="12"/>
  <c r="DC53" i="12" s="1"/>
  <c r="AQ78" i="1"/>
  <c r="AS126" i="1"/>
  <c r="AU47" i="12"/>
  <c r="DH46" i="10"/>
  <c r="DC47" i="12"/>
  <c r="AY46" i="10"/>
  <c r="AN51" i="14"/>
  <c r="AT20" i="12"/>
  <c r="DB20" i="12"/>
  <c r="DG19" i="10"/>
  <c r="AX19" i="10"/>
  <c r="AT14" i="12"/>
  <c r="DB14" i="12" s="1"/>
  <c r="DG13" i="10"/>
  <c r="AX13" i="10"/>
  <c r="AN25" i="14"/>
  <c r="AV40" i="12"/>
  <c r="DI39" i="10"/>
  <c r="DD40" i="12"/>
  <c r="AZ39" i="10"/>
  <c r="AN33" i="14"/>
  <c r="DB12" i="12"/>
  <c r="DG11" i="10"/>
  <c r="AX11" i="10"/>
  <c r="AT12" i="12"/>
  <c r="AN28" i="14"/>
  <c r="AN53" i="14"/>
  <c r="AU22" i="12"/>
  <c r="DC22" i="12" s="1"/>
  <c r="DH21" i="10"/>
  <c r="AY21" i="10"/>
  <c r="AN39" i="14"/>
  <c r="AT22" i="14"/>
  <c r="AS21" i="14"/>
  <c r="AN49" i="14"/>
  <c r="AO21" i="1"/>
  <c r="AO50" i="1"/>
  <c r="AP51" i="1" s="1"/>
  <c r="AO52" i="1"/>
  <c r="AP53" i="1" s="1"/>
  <c r="AO32" i="1"/>
  <c r="AP33" i="1" s="1"/>
  <c r="BB58" i="10"/>
  <c r="DK58" i="10"/>
  <c r="AX59" i="12"/>
  <c r="DF59" i="12"/>
  <c r="DH28" i="10"/>
  <c r="AY28" i="10"/>
  <c r="AU29" i="12"/>
  <c r="DC29" i="12" s="1"/>
  <c r="AN23" i="14"/>
  <c r="AT80" i="1"/>
  <c r="AU81" i="1"/>
  <c r="G50" i="13"/>
  <c r="H50" i="13" s="1"/>
  <c r="AN36" i="14"/>
  <c r="AN52" i="14"/>
  <c r="DJ51" i="10"/>
  <c r="AW52" i="12"/>
  <c r="DE52" i="12" s="1"/>
  <c r="BA51" i="10"/>
  <c r="AU49" i="12"/>
  <c r="DH48" i="10"/>
  <c r="DC49" i="12"/>
  <c r="AY48" i="10"/>
  <c r="DC27" i="12"/>
  <c r="DH26" i="10"/>
  <c r="AY26" i="10"/>
  <c r="AU27" i="12"/>
  <c r="AN32" i="14"/>
  <c r="DH38" i="10"/>
  <c r="AY38" i="10"/>
  <c r="AU39" i="12"/>
  <c r="DC39" i="12" s="1"/>
  <c r="DH24" i="10"/>
  <c r="AY24" i="10"/>
  <c r="AU25" i="12"/>
  <c r="DC25" i="12"/>
  <c r="AN55" i="14"/>
  <c r="AN48" i="14"/>
  <c r="C57" i="1"/>
  <c r="C66" i="14" s="1"/>
  <c r="B57" i="1"/>
  <c r="B66" i="14" s="1"/>
  <c r="A58" i="1"/>
  <c r="D57" i="1"/>
  <c r="D66" i="14" s="1"/>
  <c r="E57" i="1"/>
  <c r="E66" i="14" s="1"/>
  <c r="F57" i="1"/>
  <c r="F66" i="14" s="1"/>
  <c r="F54" i="15" s="1"/>
  <c r="G57" i="1"/>
  <c r="G66" i="14" s="1"/>
  <c r="H57" i="1"/>
  <c r="H66" i="14" s="1"/>
  <c r="E54" i="15" s="1"/>
  <c r="I57" i="1"/>
  <c r="I66" i="14" s="1"/>
  <c r="J57" i="1"/>
  <c r="J66" i="14" s="1"/>
  <c r="D54" i="15" s="1"/>
  <c r="K57" i="1"/>
  <c r="K66" i="14" s="1"/>
  <c r="L57" i="1"/>
  <c r="L66" i="14" s="1"/>
  <c r="C54" i="15" s="1"/>
  <c r="M57" i="1"/>
  <c r="M66" i="14" s="1"/>
  <c r="N57" i="1"/>
  <c r="N66" i="14" s="1"/>
  <c r="O57" i="1"/>
  <c r="O66" i="14" s="1"/>
  <c r="P57" i="1"/>
  <c r="P66" i="14" s="1"/>
  <c r="Q57" i="1"/>
  <c r="Q66" i="14" s="1"/>
  <c r="R57" i="1"/>
  <c r="R66" i="14" s="1"/>
  <c r="S57" i="1"/>
  <c r="S66" i="14" s="1"/>
  <c r="T57" i="1"/>
  <c r="T66" i="14" s="1"/>
  <c r="U57" i="1"/>
  <c r="U66" i="14" s="1"/>
  <c r="V57" i="1"/>
  <c r="V66" i="14" s="1"/>
  <c r="W57" i="1"/>
  <c r="W66" i="14" s="1"/>
  <c r="X57" i="1"/>
  <c r="X66" i="14" s="1"/>
  <c r="Y57" i="1"/>
  <c r="Y66" i="14" s="1"/>
  <c r="Z57" i="1"/>
  <c r="Z66" i="14" s="1"/>
  <c r="AA57" i="1"/>
  <c r="AA66" i="14" s="1"/>
  <c r="AB57" i="1"/>
  <c r="AB66" i="14" s="1"/>
  <c r="AC57" i="1"/>
  <c r="AC66" i="14" s="1"/>
  <c r="AD57" i="1"/>
  <c r="AD66" i="14" s="1"/>
  <c r="AE57" i="1"/>
  <c r="AE66" i="14" s="1"/>
  <c r="AF57" i="1"/>
  <c r="AF66" i="14" s="1"/>
  <c r="AG57" i="1"/>
  <c r="AG66" i="14" s="1"/>
  <c r="AH57" i="1"/>
  <c r="AH66" i="14" s="1"/>
  <c r="AI57" i="1"/>
  <c r="AI66" i="14" s="1"/>
  <c r="AJ57" i="1"/>
  <c r="AJ66" i="14" s="1"/>
  <c r="AK57" i="1"/>
  <c r="AK66" i="14" s="1"/>
  <c r="AL57" i="1"/>
  <c r="AL66" i="14" s="1"/>
  <c r="AM57" i="1"/>
  <c r="AM66" i="14" s="1"/>
  <c r="AN57" i="1"/>
  <c r="AN66" i="14" s="1"/>
  <c r="AU93" i="14"/>
  <c r="AT92" i="14"/>
  <c r="AN60" i="14"/>
  <c r="DH42" i="10"/>
  <c r="AY42" i="10"/>
  <c r="AU43" i="12"/>
  <c r="DC43" i="12" s="1"/>
  <c r="AO31" i="1"/>
  <c r="AO17" i="1"/>
  <c r="AP18" i="1" s="1"/>
  <c r="AO46" i="1"/>
  <c r="AP47" i="1" s="1"/>
  <c r="AO15" i="1"/>
  <c r="AO53" i="1"/>
  <c r="AO33" i="1"/>
  <c r="AP34" i="1" s="1"/>
  <c r="AW162" i="14"/>
  <c r="AV161" i="14"/>
  <c r="AR125" i="1"/>
  <c r="AU51" i="12"/>
  <c r="DH50" i="10"/>
  <c r="DC51" i="12"/>
  <c r="AY50" i="10"/>
  <c r="AV60" i="12"/>
  <c r="DD60" i="12"/>
  <c r="AZ59" i="10"/>
  <c r="DI59" i="10"/>
  <c r="DH22" i="10"/>
  <c r="AY22" i="10"/>
  <c r="AU23" i="12"/>
  <c r="DC23" i="12" s="1"/>
  <c r="DG16" i="10"/>
  <c r="AX16" i="10"/>
  <c r="AT17" i="12"/>
  <c r="DB17" i="12" s="1"/>
  <c r="DH29" i="10"/>
  <c r="AY29" i="10"/>
  <c r="AU30" i="12"/>
  <c r="DC30" i="12" s="1"/>
  <c r="DH40" i="10"/>
  <c r="AY40" i="10"/>
  <c r="AU41" i="12"/>
  <c r="DC41" i="12"/>
  <c r="AT13" i="12"/>
  <c r="DG12" i="10"/>
  <c r="DB13" i="12"/>
  <c r="AX12" i="10"/>
  <c r="AN27" i="14"/>
  <c r="AP29" i="14" l="1"/>
  <c r="AP49" i="14"/>
  <c r="AP42" i="14"/>
  <c r="AP26" i="14"/>
  <c r="AP61" i="14"/>
  <c r="AP43" i="14"/>
  <c r="AP60" i="14"/>
  <c r="AP24" i="14"/>
  <c r="AP34" i="14"/>
  <c r="AP27" i="14"/>
  <c r="AP62" i="14"/>
  <c r="AP56" i="14"/>
  <c r="AO40" i="14"/>
  <c r="DJ47" i="10"/>
  <c r="AW48" i="12"/>
  <c r="BA47" i="10"/>
  <c r="DE48" i="12"/>
  <c r="AP25" i="14"/>
  <c r="AR78" i="1"/>
  <c r="AV53" i="12"/>
  <c r="DD53" i="12"/>
  <c r="AZ52" i="10"/>
  <c r="DI52" i="10"/>
  <c r="AO58" i="14"/>
  <c r="EA56" i="12"/>
  <c r="B52" i="13"/>
  <c r="G52" i="13" s="1"/>
  <c r="H52" i="13" s="1"/>
  <c r="EB55" i="12"/>
  <c r="E52" i="13" s="1"/>
  <c r="EC55" i="12"/>
  <c r="AO46" i="14"/>
  <c r="AO31" i="14"/>
  <c r="AS230" i="14"/>
  <c r="AT231" i="14"/>
  <c r="AO36" i="14"/>
  <c r="AO51" i="14"/>
  <c r="AV31" i="12"/>
  <c r="DD31" i="12" s="1"/>
  <c r="DI30" i="10"/>
  <c r="AZ30" i="10"/>
  <c r="AO53" i="14"/>
  <c r="AO44" i="14"/>
  <c r="AV41" i="12"/>
  <c r="DI40" i="10"/>
  <c r="DD41" i="12"/>
  <c r="AZ40" i="10"/>
  <c r="AW161" i="14"/>
  <c r="AX162" i="14"/>
  <c r="AV43" i="12"/>
  <c r="DI42" i="10"/>
  <c r="DD43" i="12"/>
  <c r="AZ42" i="10"/>
  <c r="DH13" i="10"/>
  <c r="AY13" i="10"/>
  <c r="AU14" i="12"/>
  <c r="DC14" i="12"/>
  <c r="AO52" i="14"/>
  <c r="G126" i="1"/>
  <c r="C126" i="1"/>
  <c r="A127" i="1"/>
  <c r="B126" i="1"/>
  <c r="D126" i="1"/>
  <c r="E126" i="1"/>
  <c r="F126" i="1"/>
  <c r="H126" i="1"/>
  <c r="I126" i="1"/>
  <c r="J126" i="1"/>
  <c r="K126" i="1"/>
  <c r="L126" i="1"/>
  <c r="M126" i="1"/>
  <c r="N126" i="1"/>
  <c r="O126" i="1"/>
  <c r="P126" i="1"/>
  <c r="Q126" i="1"/>
  <c r="R126" i="1"/>
  <c r="S126" i="1"/>
  <c r="T126" i="1"/>
  <c r="U126" i="1"/>
  <c r="V126" i="1"/>
  <c r="W126" i="1"/>
  <c r="X126" i="1"/>
  <c r="Y126" i="1"/>
  <c r="Z126" i="1"/>
  <c r="AA126" i="1"/>
  <c r="AB126" i="1"/>
  <c r="AC126" i="1"/>
  <c r="AD126" i="1"/>
  <c r="AE126" i="1"/>
  <c r="AF126" i="1"/>
  <c r="AG126" i="1"/>
  <c r="AH126" i="1"/>
  <c r="AI126" i="1"/>
  <c r="AJ126" i="1"/>
  <c r="AK126" i="1"/>
  <c r="AL126" i="1"/>
  <c r="AM126" i="1"/>
  <c r="AN126" i="1"/>
  <c r="AO126" i="1"/>
  <c r="AP126" i="1"/>
  <c r="AQ126" i="1"/>
  <c r="AR126" i="1"/>
  <c r="AO54" i="14"/>
  <c r="AO28" i="14"/>
  <c r="AO47" i="14"/>
  <c r="DK57" i="10"/>
  <c r="BB57" i="10"/>
  <c r="AX58" i="12"/>
  <c r="DF58" i="12" s="1"/>
  <c r="AP28" i="1"/>
  <c r="AP38" i="1"/>
  <c r="AV33" i="12"/>
  <c r="DI32" i="10"/>
  <c r="DD33" i="12"/>
  <c r="AZ32" i="10"/>
  <c r="AV21" i="12"/>
  <c r="DD21" i="12" s="1"/>
  <c r="DI20" i="10"/>
  <c r="AZ20" i="10"/>
  <c r="AU15" i="12"/>
  <c r="DH14" i="10"/>
  <c r="DC15" i="12"/>
  <c r="AY14" i="10"/>
  <c r="AO35" i="14"/>
  <c r="AV24" i="12"/>
  <c r="DI23" i="10"/>
  <c r="DD24" i="12"/>
  <c r="AZ23" i="10"/>
  <c r="AO43" i="14"/>
  <c r="DD39" i="12"/>
  <c r="DI38" i="10"/>
  <c r="AZ38" i="10"/>
  <c r="AV39" i="12"/>
  <c r="AV49" i="12"/>
  <c r="DD49" i="12" s="1"/>
  <c r="AZ48" i="10"/>
  <c r="DI48" i="10"/>
  <c r="DL58" i="10"/>
  <c r="AY59" i="12"/>
  <c r="DG59" i="12" s="1"/>
  <c r="BC58" i="10"/>
  <c r="AU22" i="14"/>
  <c r="AT21" i="14"/>
  <c r="AO57" i="14"/>
  <c r="EC54" i="12"/>
  <c r="AO56" i="14"/>
  <c r="DJ45" i="10"/>
  <c r="AW46" i="12"/>
  <c r="DE46" i="12" s="1"/>
  <c r="BA45" i="10"/>
  <c r="AO50" i="14"/>
  <c r="AO48" i="14"/>
  <c r="AP23" i="1"/>
  <c r="AP50" i="1"/>
  <c r="AP42" i="1"/>
  <c r="AO38" i="14"/>
  <c r="AV38" i="12"/>
  <c r="DD38" i="12" s="1"/>
  <c r="DI37" i="10"/>
  <c r="AZ37" i="10"/>
  <c r="AU16" i="12"/>
  <c r="DC16" i="12" s="1"/>
  <c r="DH15" i="10"/>
  <c r="AY15" i="10"/>
  <c r="AP39" i="14"/>
  <c r="AY12" i="10"/>
  <c r="AU13" i="12"/>
  <c r="DC13" i="12"/>
  <c r="DH12" i="10"/>
  <c r="DI50" i="10"/>
  <c r="AZ50" i="10"/>
  <c r="AV51" i="12"/>
  <c r="DD51" i="12" s="1"/>
  <c r="AO62" i="14"/>
  <c r="AO41" i="14"/>
  <c r="BA39" i="10"/>
  <c r="AW40" i="12"/>
  <c r="DE40" i="12" s="1"/>
  <c r="DJ39" i="10"/>
  <c r="DI46" i="10"/>
  <c r="AZ46" i="10"/>
  <c r="AV47" i="12"/>
  <c r="DD47" i="12" s="1"/>
  <c r="AO27" i="14"/>
  <c r="AO39" i="14"/>
  <c r="AU18" i="12"/>
  <c r="DH17" i="10"/>
  <c r="DC18" i="12"/>
  <c r="AY17" i="10"/>
  <c r="AZ54" i="10"/>
  <c r="AV55" i="12"/>
  <c r="DI54" i="10"/>
  <c r="DD55" i="12"/>
  <c r="AO25" i="14"/>
  <c r="AP31" i="1"/>
  <c r="AP36" i="1"/>
  <c r="AP29" i="1"/>
  <c r="AP19" i="1"/>
  <c r="AP21" i="1"/>
  <c r="DI27" i="10"/>
  <c r="AZ27" i="10"/>
  <c r="AV28" i="12"/>
  <c r="DD28" i="12"/>
  <c r="AX44" i="12"/>
  <c r="DF44" i="12" s="1"/>
  <c r="DK43" i="10"/>
  <c r="BB43" i="10"/>
  <c r="AO60" i="14"/>
  <c r="AP53" i="14"/>
  <c r="AV30" i="12"/>
  <c r="DI29" i="10"/>
  <c r="DD30" i="12"/>
  <c r="AZ29" i="10"/>
  <c r="AO61" i="14"/>
  <c r="AV26" i="12"/>
  <c r="DD26" i="12" s="1"/>
  <c r="DI25" i="10"/>
  <c r="AZ25" i="10"/>
  <c r="BA41" i="10"/>
  <c r="DE42" i="12"/>
  <c r="DJ41" i="10"/>
  <c r="AW42" i="12"/>
  <c r="AW56" i="12"/>
  <c r="DE56" i="12"/>
  <c r="DJ55" i="10"/>
  <c r="BA55" i="10"/>
  <c r="J56" i="15"/>
  <c r="H57" i="15"/>
  <c r="K56" i="15"/>
  <c r="R56" i="15"/>
  <c r="L56" i="15"/>
  <c r="Q56" i="15"/>
  <c r="P56" i="15"/>
  <c r="I56" i="15"/>
  <c r="O56" i="15"/>
  <c r="AO23" i="14"/>
  <c r="AO32" i="14"/>
  <c r="AV32" i="12"/>
  <c r="DD32" i="12" s="1"/>
  <c r="DI31" i="10"/>
  <c r="AZ31" i="10"/>
  <c r="AP52" i="14"/>
  <c r="AP48" i="1"/>
  <c r="AP46" i="1"/>
  <c r="AP32" i="1"/>
  <c r="AP49" i="1"/>
  <c r="AQ50" i="1" s="1"/>
  <c r="AV57" i="12"/>
  <c r="DD57" i="12"/>
  <c r="DI56" i="10"/>
  <c r="AZ56" i="10"/>
  <c r="AV81" i="1"/>
  <c r="AU80" i="1"/>
  <c r="AO49" i="14"/>
  <c r="AP63" i="14"/>
  <c r="AW60" i="12"/>
  <c r="DE60" i="12" s="1"/>
  <c r="BA59" i="10"/>
  <c r="AO42" i="14"/>
  <c r="AO24" i="14"/>
  <c r="AO55" i="14"/>
  <c r="C58" i="1"/>
  <c r="C67" i="14" s="1"/>
  <c r="B58" i="1"/>
  <c r="B67" i="14" s="1"/>
  <c r="A59" i="1"/>
  <c r="D58" i="1"/>
  <c r="D67" i="14" s="1"/>
  <c r="E58" i="1"/>
  <c r="E67" i="14" s="1"/>
  <c r="F58" i="1"/>
  <c r="F67" i="14" s="1"/>
  <c r="F55" i="15" s="1"/>
  <c r="G58" i="1"/>
  <c r="G67" i="14" s="1"/>
  <c r="H58" i="1"/>
  <c r="H67" i="14" s="1"/>
  <c r="E55" i="15" s="1"/>
  <c r="I58" i="1"/>
  <c r="I67" i="14" s="1"/>
  <c r="J58" i="1"/>
  <c r="J67" i="14" s="1"/>
  <c r="D55" i="15" s="1"/>
  <c r="K58" i="1"/>
  <c r="K67" i="14" s="1"/>
  <c r="L58" i="1"/>
  <c r="L67" i="14" s="1"/>
  <c r="C55" i="15" s="1"/>
  <c r="M58" i="1"/>
  <c r="M67" i="14" s="1"/>
  <c r="N58" i="1"/>
  <c r="N67" i="14" s="1"/>
  <c r="O58" i="1"/>
  <c r="O67" i="14" s="1"/>
  <c r="P58" i="1"/>
  <c r="P67" i="14" s="1"/>
  <c r="Q58" i="1"/>
  <c r="Q67" i="14" s="1"/>
  <c r="R58" i="1"/>
  <c r="R67" i="14" s="1"/>
  <c r="S58" i="1"/>
  <c r="S67" i="14" s="1"/>
  <c r="T58" i="1"/>
  <c r="T67" i="14" s="1"/>
  <c r="U58" i="1"/>
  <c r="U67" i="14" s="1"/>
  <c r="V58" i="1"/>
  <c r="V67" i="14" s="1"/>
  <c r="W58" i="1"/>
  <c r="W67" i="14" s="1"/>
  <c r="X58" i="1"/>
  <c r="X67" i="14" s="1"/>
  <c r="Y58" i="1"/>
  <c r="Y67" i="14" s="1"/>
  <c r="Z58" i="1"/>
  <c r="Z67" i="14" s="1"/>
  <c r="AA58" i="1"/>
  <c r="AA67" i="14" s="1"/>
  <c r="AB58" i="1"/>
  <c r="AB67" i="14" s="1"/>
  <c r="AC58" i="1"/>
  <c r="AC67" i="14" s="1"/>
  <c r="AD58" i="1"/>
  <c r="AD67" i="14" s="1"/>
  <c r="AE58" i="1"/>
  <c r="AE67" i="14" s="1"/>
  <c r="AF58" i="1"/>
  <c r="AF67" i="14" s="1"/>
  <c r="AG58" i="1"/>
  <c r="AG67" i="14" s="1"/>
  <c r="AH58" i="1"/>
  <c r="AH67" i="14" s="1"/>
  <c r="AI58" i="1"/>
  <c r="AI67" i="14" s="1"/>
  <c r="AJ58" i="1"/>
  <c r="AJ67" i="14" s="1"/>
  <c r="AK58" i="1"/>
  <c r="AK67" i="14" s="1"/>
  <c r="AL58" i="1"/>
  <c r="AL67" i="14" s="1"/>
  <c r="AM58" i="1"/>
  <c r="AM67" i="14" s="1"/>
  <c r="AN58" i="1"/>
  <c r="AN67" i="14" s="1"/>
  <c r="AO58" i="1"/>
  <c r="AO67" i="14" s="1"/>
  <c r="AV29" i="12"/>
  <c r="DI28" i="10"/>
  <c r="DD29" i="12"/>
  <c r="AZ28" i="10"/>
  <c r="AO59" i="14"/>
  <c r="AV22" i="12"/>
  <c r="DI21" i="10"/>
  <c r="DD22" i="12"/>
  <c r="AZ21" i="10"/>
  <c r="AU20" i="12"/>
  <c r="DC20" i="12" s="1"/>
  <c r="DH19" i="10"/>
  <c r="AY19" i="10"/>
  <c r="DH52" i="10"/>
  <c r="AV37" i="12"/>
  <c r="DD37" i="12" s="1"/>
  <c r="DI36" i="10"/>
  <c r="AZ36" i="10"/>
  <c r="AO37" i="14"/>
  <c r="AR12" i="1"/>
  <c r="AS13" i="1"/>
  <c r="BB53" i="10"/>
  <c r="AX54" i="12"/>
  <c r="DF54" i="12" s="1"/>
  <c r="DK53" i="10"/>
  <c r="DH54" i="10"/>
  <c r="AP45" i="1"/>
  <c r="AP39" i="1"/>
  <c r="AP22" i="1"/>
  <c r="AQ23" i="1" s="1"/>
  <c r="AP24" i="1"/>
  <c r="DJ49" i="10"/>
  <c r="AW50" i="12"/>
  <c r="DE50" i="12" s="1"/>
  <c r="BA49" i="10"/>
  <c r="DD36" i="12"/>
  <c r="DI35" i="10"/>
  <c r="AZ35" i="10"/>
  <c r="AV36" i="12"/>
  <c r="AV45" i="12"/>
  <c r="AZ44" i="10"/>
  <c r="DD45" i="12"/>
  <c r="DI44" i="10"/>
  <c r="AU92" i="14"/>
  <c r="AV93" i="14"/>
  <c r="AV27" i="12"/>
  <c r="DI26" i="10"/>
  <c r="DD27" i="12"/>
  <c r="AZ26" i="10"/>
  <c r="AP36" i="14"/>
  <c r="AO34" i="14"/>
  <c r="DC17" i="12"/>
  <c r="DH16" i="10"/>
  <c r="AY16" i="10"/>
  <c r="AU17" i="12"/>
  <c r="AV23" i="12"/>
  <c r="DD23" i="12" s="1"/>
  <c r="DI22" i="10"/>
  <c r="AZ22" i="10"/>
  <c r="AO26" i="14"/>
  <c r="AV25" i="12"/>
  <c r="DI24" i="10"/>
  <c r="DD25" i="12"/>
  <c r="AZ24" i="10"/>
  <c r="AX52" i="12"/>
  <c r="DF52" i="12" s="1"/>
  <c r="DK51" i="10"/>
  <c r="BB51" i="10"/>
  <c r="AO30" i="14"/>
  <c r="DC12" i="12"/>
  <c r="DH11" i="10"/>
  <c r="AY11" i="10"/>
  <c r="AU12" i="12"/>
  <c r="AU19" i="12"/>
  <c r="DC19" i="12" s="1"/>
  <c r="DH18" i="10"/>
  <c r="AY18" i="10"/>
  <c r="AO33" i="14"/>
  <c r="AO29" i="14"/>
  <c r="AQ43" i="1"/>
  <c r="AQ53" i="1"/>
  <c r="AQ35" i="1"/>
  <c r="AQ26" i="1"/>
  <c r="AQ29" i="1"/>
  <c r="AQ25" i="1"/>
  <c r="AQ16" i="1"/>
  <c r="AQ15" i="1"/>
  <c r="AQ40" i="1"/>
  <c r="AQ30" i="1"/>
  <c r="AQ21" i="1"/>
  <c r="AQ49" i="1"/>
  <c r="AQ59" i="1"/>
  <c r="AQ68" i="14" s="1"/>
  <c r="AQ34" i="1"/>
  <c r="AQ38" i="1"/>
  <c r="AQ41" i="1"/>
  <c r="AQ33" i="1"/>
  <c r="AQ17" i="1"/>
  <c r="AQ58" i="1"/>
  <c r="AQ67" i="14" s="1"/>
  <c r="AQ51" i="1"/>
  <c r="AQ52" i="1"/>
  <c r="AQ20" i="1"/>
  <c r="AQ57" i="1"/>
  <c r="AQ66" i="14" s="1"/>
  <c r="AQ7" i="1"/>
  <c r="AQ27" i="1"/>
  <c r="AQ46" i="1"/>
  <c r="AQ32" i="1"/>
  <c r="AQ47" i="1"/>
  <c r="AQ18" i="1"/>
  <c r="AQ56" i="1"/>
  <c r="AQ65" i="14" s="1"/>
  <c r="AQ24" i="1"/>
  <c r="AQ37" i="1"/>
  <c r="AQ45" i="1"/>
  <c r="AQ39" i="1"/>
  <c r="AQ55" i="1"/>
  <c r="AQ31" i="1"/>
  <c r="AQ28" i="1"/>
  <c r="AQ48" i="1"/>
  <c r="AQ19" i="1"/>
  <c r="AQ9" i="1"/>
  <c r="AQ8" i="1"/>
  <c r="DI34" i="10"/>
  <c r="AZ34" i="10"/>
  <c r="AV35" i="12"/>
  <c r="DD35" i="12" s="1"/>
  <c r="AP41" i="1"/>
  <c r="AQ42" i="1" s="1"/>
  <c r="AP26" i="1"/>
  <c r="AP14" i="1"/>
  <c r="AP35" i="1"/>
  <c r="AQ36" i="1" s="1"/>
  <c r="AP37" i="1"/>
  <c r="AP58" i="1"/>
  <c r="AP67" i="14" s="1"/>
  <c r="DI33" i="10"/>
  <c r="AZ33" i="10"/>
  <c r="AV34" i="12"/>
  <c r="DD34" i="12" s="1"/>
  <c r="AQ51" i="14" l="1"/>
  <c r="AQ59" i="14"/>
  <c r="AQ45" i="14"/>
  <c r="AQ32" i="14"/>
  <c r="AQ55" i="14"/>
  <c r="ED55" i="12"/>
  <c r="D52" i="13"/>
  <c r="AW34" i="12"/>
  <c r="DE34" i="12" s="1"/>
  <c r="DJ33" i="10"/>
  <c r="BA33" i="10"/>
  <c r="AQ54" i="14"/>
  <c r="AQ36" i="14"/>
  <c r="AQ43" i="14"/>
  <c r="AQ25" i="14"/>
  <c r="AV19" i="12"/>
  <c r="DD19" i="12"/>
  <c r="DI18" i="10"/>
  <c r="AZ18" i="10"/>
  <c r="DJ26" i="10"/>
  <c r="DE27" i="12"/>
  <c r="AW27" i="12"/>
  <c r="BA26" i="10"/>
  <c r="DJ44" i="10"/>
  <c r="AW45" i="12"/>
  <c r="BA44" i="10"/>
  <c r="DE45" i="12"/>
  <c r="DJ21" i="10"/>
  <c r="AW22" i="12"/>
  <c r="DE22" i="12" s="1"/>
  <c r="BA21" i="10"/>
  <c r="A60" i="1"/>
  <c r="C59" i="1"/>
  <c r="C68" i="14" s="1"/>
  <c r="B59" i="1"/>
  <c r="B68" i="14" s="1"/>
  <c r="D59" i="1"/>
  <c r="D68" i="14" s="1"/>
  <c r="E59" i="1"/>
  <c r="E68" i="14" s="1"/>
  <c r="F59" i="1"/>
  <c r="F68" i="14" s="1"/>
  <c r="F56" i="15" s="1"/>
  <c r="G59" i="1"/>
  <c r="G68" i="14" s="1"/>
  <c r="H59" i="1"/>
  <c r="H68" i="14" s="1"/>
  <c r="E56" i="15" s="1"/>
  <c r="I59" i="1"/>
  <c r="I68" i="14" s="1"/>
  <c r="J59" i="1"/>
  <c r="J68" i="14" s="1"/>
  <c r="D56" i="15" s="1"/>
  <c r="K59" i="1"/>
  <c r="K68" i="14" s="1"/>
  <c r="L59" i="1"/>
  <c r="L68" i="14" s="1"/>
  <c r="C56" i="15" s="1"/>
  <c r="M59" i="1"/>
  <c r="M68" i="14" s="1"/>
  <c r="N59" i="1"/>
  <c r="N68" i="14" s="1"/>
  <c r="O59" i="1"/>
  <c r="O68" i="14" s="1"/>
  <c r="P59" i="1"/>
  <c r="P68" i="14" s="1"/>
  <c r="Q59" i="1"/>
  <c r="Q68" i="14" s="1"/>
  <c r="R59" i="1"/>
  <c r="R68" i="14" s="1"/>
  <c r="S59" i="1"/>
  <c r="S68" i="14" s="1"/>
  <c r="T59" i="1"/>
  <c r="T68" i="14" s="1"/>
  <c r="U59" i="1"/>
  <c r="U68" i="14" s="1"/>
  <c r="V59" i="1"/>
  <c r="V68" i="14" s="1"/>
  <c r="W59" i="1"/>
  <c r="W68" i="14" s="1"/>
  <c r="X59" i="1"/>
  <c r="X68" i="14" s="1"/>
  <c r="Y59" i="1"/>
  <c r="Y68" i="14" s="1"/>
  <c r="Z59" i="1"/>
  <c r="Z68" i="14" s="1"/>
  <c r="AA59" i="1"/>
  <c r="AA68" i="14" s="1"/>
  <c r="AB59" i="1"/>
  <c r="AB68" i="14" s="1"/>
  <c r="AC59" i="1"/>
  <c r="AC68" i="14" s="1"/>
  <c r="AD59" i="1"/>
  <c r="AD68" i="14" s="1"/>
  <c r="AE59" i="1"/>
  <c r="AE68" i="14" s="1"/>
  <c r="AF59" i="1"/>
  <c r="AF68" i="14" s="1"/>
  <c r="AG59" i="1"/>
  <c r="AG68" i="14" s="1"/>
  <c r="AH59" i="1"/>
  <c r="AH68" i="14" s="1"/>
  <c r="AI59" i="1"/>
  <c r="AI68" i="14" s="1"/>
  <c r="AJ59" i="1"/>
  <c r="AJ68" i="14" s="1"/>
  <c r="AK59" i="1"/>
  <c r="AK68" i="14" s="1"/>
  <c r="AL59" i="1"/>
  <c r="AL68" i="14" s="1"/>
  <c r="AM59" i="1"/>
  <c r="AM68" i="14" s="1"/>
  <c r="AN59" i="1"/>
  <c r="AN68" i="14" s="1"/>
  <c r="AO59" i="1"/>
  <c r="AO68" i="14" s="1"/>
  <c r="AP59" i="1"/>
  <c r="AP68" i="14" s="1"/>
  <c r="AP41" i="14"/>
  <c r="K57" i="15"/>
  <c r="I57" i="15"/>
  <c r="H58" i="15"/>
  <c r="J57" i="15"/>
  <c r="R57" i="15"/>
  <c r="Q57" i="15"/>
  <c r="P57" i="15"/>
  <c r="O57" i="15"/>
  <c r="L57" i="15"/>
  <c r="AW30" i="12"/>
  <c r="DE30" i="12"/>
  <c r="DJ29" i="10"/>
  <c r="BA29" i="10"/>
  <c r="BC43" i="10"/>
  <c r="AY44" i="12"/>
  <c r="DG44" i="12" s="1"/>
  <c r="DL43" i="10"/>
  <c r="AP30" i="14"/>
  <c r="DJ50" i="10"/>
  <c r="AW51" i="12"/>
  <c r="DE51" i="12" s="1"/>
  <c r="BA50" i="10"/>
  <c r="ED54" i="12"/>
  <c r="D51" i="13"/>
  <c r="AY58" i="12"/>
  <c r="DG58" i="12"/>
  <c r="BC57" i="10"/>
  <c r="DL57" i="10"/>
  <c r="AQ34" i="14"/>
  <c r="AV17" i="12"/>
  <c r="DD17" i="12" s="1"/>
  <c r="DI16" i="10"/>
  <c r="AZ16" i="10"/>
  <c r="BB59" i="10"/>
  <c r="DK59" i="10"/>
  <c r="AX60" i="12"/>
  <c r="DF60" i="12" s="1"/>
  <c r="AU128" i="1"/>
  <c r="AS78" i="1"/>
  <c r="AP55" i="14"/>
  <c r="DF42" i="12"/>
  <c r="DK41" i="10"/>
  <c r="BB41" i="10"/>
  <c r="AX42" i="12"/>
  <c r="AP28" i="14"/>
  <c r="AV16" i="12"/>
  <c r="DD16" i="12" s="1"/>
  <c r="DI15" i="10"/>
  <c r="AZ15" i="10"/>
  <c r="AZ14" i="10"/>
  <c r="DI14" i="10"/>
  <c r="AV15" i="12"/>
  <c r="DD15" i="12" s="1"/>
  <c r="BA32" i="10"/>
  <c r="DJ32" i="10"/>
  <c r="AW33" i="12"/>
  <c r="DE33" i="12" s="1"/>
  <c r="DI13" i="10"/>
  <c r="AZ13" i="10"/>
  <c r="AV14" i="12"/>
  <c r="DD14" i="12"/>
  <c r="BA40" i="10"/>
  <c r="DJ40" i="10"/>
  <c r="AW41" i="12"/>
  <c r="DE41" i="12" s="1"/>
  <c r="AW31" i="12"/>
  <c r="DE31" i="12"/>
  <c r="DJ30" i="10"/>
  <c r="BA30" i="10"/>
  <c r="AT230" i="14"/>
  <c r="AU231" i="14"/>
  <c r="AP50" i="14"/>
  <c r="AQ47" i="14"/>
  <c r="DK49" i="10"/>
  <c r="BB49" i="10"/>
  <c r="AX50" i="12"/>
  <c r="DF50" i="12" s="1"/>
  <c r="AQ28" i="14"/>
  <c r="AQ33" i="14"/>
  <c r="AQ26" i="14"/>
  <c r="AQ58" i="14"/>
  <c r="AQ38" i="14"/>
  <c r="BC51" i="10"/>
  <c r="AY52" i="12"/>
  <c r="DG52" i="12" s="1"/>
  <c r="DL51" i="10"/>
  <c r="AP33" i="14"/>
  <c r="AY54" i="12"/>
  <c r="DG54" i="12" s="1"/>
  <c r="DL53" i="10"/>
  <c r="BC53" i="10"/>
  <c r="DJ59" i="10"/>
  <c r="AW81" i="1"/>
  <c r="AV80" i="1"/>
  <c r="AP57" i="14"/>
  <c r="AX56" i="12"/>
  <c r="BB55" i="10"/>
  <c r="DF56" i="12"/>
  <c r="DK55" i="10"/>
  <c r="AW26" i="12"/>
  <c r="DE26" i="12"/>
  <c r="DJ25" i="10"/>
  <c r="BA25" i="10"/>
  <c r="AP38" i="14"/>
  <c r="BA54" i="10"/>
  <c r="DJ54" i="10" s="1"/>
  <c r="AW55" i="12"/>
  <c r="DE55" i="12"/>
  <c r="DK39" i="10"/>
  <c r="AX40" i="12"/>
  <c r="DF40" i="12" s="1"/>
  <c r="BB39" i="10"/>
  <c r="AX46" i="12"/>
  <c r="DF46" i="12" s="1"/>
  <c r="DK45" i="10"/>
  <c r="BB45" i="10"/>
  <c r="E127" i="1"/>
  <c r="G127" i="1"/>
  <c r="A128" i="1"/>
  <c r="C127" i="1"/>
  <c r="D127" i="1"/>
  <c r="B127" i="1"/>
  <c r="F127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AN127" i="1"/>
  <c r="AO127" i="1"/>
  <c r="AP127" i="1"/>
  <c r="AQ127" i="1"/>
  <c r="AR127" i="1"/>
  <c r="AS127" i="1"/>
  <c r="B53" i="13"/>
  <c r="G53" i="13" s="1"/>
  <c r="H53" i="13" s="1"/>
  <c r="EB56" i="12"/>
  <c r="E53" i="13" s="1"/>
  <c r="EA57" i="12"/>
  <c r="DK47" i="10"/>
  <c r="BB47" i="10"/>
  <c r="AX48" i="12"/>
  <c r="DF48" i="12"/>
  <c r="AQ48" i="14"/>
  <c r="AQ57" i="14"/>
  <c r="AQ30" i="14"/>
  <c r="AQ35" i="14"/>
  <c r="AQ52" i="14"/>
  <c r="AW36" i="12"/>
  <c r="DE36" i="12" s="1"/>
  <c r="DJ35" i="10"/>
  <c r="BA35" i="10"/>
  <c r="AP31" i="14"/>
  <c r="AT13" i="1"/>
  <c r="AS12" i="1"/>
  <c r="DE57" i="12"/>
  <c r="AW57" i="12"/>
  <c r="BA56" i="10"/>
  <c r="AP45" i="14"/>
  <c r="AZ17" i="10"/>
  <c r="DD18" i="12"/>
  <c r="DI17" i="10"/>
  <c r="AV18" i="12"/>
  <c r="AP51" i="14"/>
  <c r="DJ48" i="10"/>
  <c r="AW49" i="12"/>
  <c r="BA48" i="10"/>
  <c r="DE49" i="12"/>
  <c r="BA23" i="10"/>
  <c r="DJ23" i="10"/>
  <c r="AW24" i="12"/>
  <c r="DE24" i="12" s="1"/>
  <c r="AW43" i="12"/>
  <c r="DE43" i="12"/>
  <c r="DJ42" i="10"/>
  <c r="BA42" i="10"/>
  <c r="AQ62" i="14"/>
  <c r="BA36" i="10"/>
  <c r="DJ36" i="10"/>
  <c r="AW37" i="12"/>
  <c r="DE37" i="12" s="1"/>
  <c r="AP58" i="14"/>
  <c r="AY162" i="14"/>
  <c r="AX161" i="14"/>
  <c r="AP44" i="14"/>
  <c r="AQ37" i="14"/>
  <c r="AQ27" i="14"/>
  <c r="AQ29" i="14"/>
  <c r="AQ42" i="14"/>
  <c r="AQ39" i="14"/>
  <c r="BA22" i="10"/>
  <c r="DJ22" i="10"/>
  <c r="AW23" i="12"/>
  <c r="DE23" i="12"/>
  <c r="AV92" i="14"/>
  <c r="AW93" i="14"/>
  <c r="AP48" i="14"/>
  <c r="AR60" i="1"/>
  <c r="AR69" i="14" s="1"/>
  <c r="AR31" i="1"/>
  <c r="AR56" i="1"/>
  <c r="AR38" i="1"/>
  <c r="AR36" i="1"/>
  <c r="AR58" i="1"/>
  <c r="AR67" i="14" s="1"/>
  <c r="AR7" i="1"/>
  <c r="AR28" i="1"/>
  <c r="AR52" i="1"/>
  <c r="AR59" i="1"/>
  <c r="AR68" i="14" s="1"/>
  <c r="AR39" i="1"/>
  <c r="AR19" i="1"/>
  <c r="AR57" i="1"/>
  <c r="AR66" i="14" s="1"/>
  <c r="AR37" i="1"/>
  <c r="AR51" i="1"/>
  <c r="AR32" i="1"/>
  <c r="AR26" i="1"/>
  <c r="AR42" i="1"/>
  <c r="AR16" i="1"/>
  <c r="AR47" i="1"/>
  <c r="AR44" i="1"/>
  <c r="AR48" i="1"/>
  <c r="AR30" i="1"/>
  <c r="AR46" i="1"/>
  <c r="AR21" i="1"/>
  <c r="AR40" i="1"/>
  <c r="AR43" i="1"/>
  <c r="AR29" i="1"/>
  <c r="AR17" i="1"/>
  <c r="AR27" i="1"/>
  <c r="AR50" i="1"/>
  <c r="AR54" i="1"/>
  <c r="AR35" i="1"/>
  <c r="AR49" i="1"/>
  <c r="AR8" i="1"/>
  <c r="AR9" i="1"/>
  <c r="AV20" i="12"/>
  <c r="AZ19" i="10"/>
  <c r="DD20" i="12"/>
  <c r="DI19" i="10"/>
  <c r="AP40" i="14"/>
  <c r="AP59" i="14"/>
  <c r="AV22" i="14"/>
  <c r="AU21" i="14"/>
  <c r="AQ24" i="14"/>
  <c r="AW35" i="12"/>
  <c r="DE35" i="12" s="1"/>
  <c r="DJ34" i="10"/>
  <c r="BA34" i="10"/>
  <c r="AQ40" i="14"/>
  <c r="AQ61" i="14"/>
  <c r="AQ49" i="14"/>
  <c r="AV12" i="12"/>
  <c r="DD12" i="12"/>
  <c r="DI11" i="10"/>
  <c r="AZ11" i="10"/>
  <c r="AP54" i="14"/>
  <c r="BA31" i="10"/>
  <c r="DJ31" i="10"/>
  <c r="AW32" i="12"/>
  <c r="DE32" i="12" s="1"/>
  <c r="DJ46" i="10"/>
  <c r="AW47" i="12"/>
  <c r="DE47" i="12" s="1"/>
  <c r="BA46" i="10"/>
  <c r="BA37" i="10"/>
  <c r="DJ37" i="10"/>
  <c r="AW38" i="12"/>
  <c r="DE38" i="12" s="1"/>
  <c r="AP32" i="14"/>
  <c r="BA20" i="10"/>
  <c r="DJ20" i="10"/>
  <c r="AW21" i="12"/>
  <c r="DE21" i="12" s="1"/>
  <c r="AP47" i="14"/>
  <c r="AQ60" i="14"/>
  <c r="AQ46" i="14"/>
  <c r="AP46" i="14"/>
  <c r="AP23" i="14"/>
  <c r="AQ56" i="14"/>
  <c r="AQ50" i="14"/>
  <c r="AQ44" i="14"/>
  <c r="AP35" i="14"/>
  <c r="AQ64" i="14"/>
  <c r="AQ41" i="14"/>
  <c r="AQ54" i="1"/>
  <c r="AR55" i="1" s="1"/>
  <c r="AQ22" i="1"/>
  <c r="AQ44" i="1"/>
  <c r="AR45" i="1" s="1"/>
  <c r="AQ14" i="1"/>
  <c r="AR14" i="1" s="1"/>
  <c r="BA24" i="10"/>
  <c r="AW25" i="12"/>
  <c r="DE25" i="12" s="1"/>
  <c r="DJ24" i="10"/>
  <c r="BA28" i="10"/>
  <c r="DJ28" i="10"/>
  <c r="AW29" i="12"/>
  <c r="DE29" i="12" s="1"/>
  <c r="AW28" i="12"/>
  <c r="DE28" i="12"/>
  <c r="DJ27" i="10"/>
  <c r="BA27" i="10"/>
  <c r="AV13" i="12"/>
  <c r="DD13" i="12" s="1"/>
  <c r="DI12" i="10"/>
  <c r="AZ12" i="10"/>
  <c r="BD58" i="10"/>
  <c r="DM58" i="10" s="1"/>
  <c r="AZ59" i="12"/>
  <c r="DH59" i="12"/>
  <c r="AW39" i="12"/>
  <c r="DE39" i="12" s="1"/>
  <c r="DJ38" i="10"/>
  <c r="BA38" i="10"/>
  <c r="AP37" i="14"/>
  <c r="AW53" i="12"/>
  <c r="DE53" i="12"/>
  <c r="DJ52" i="10"/>
  <c r="BA52" i="10"/>
  <c r="AT127" i="1"/>
  <c r="AR54" i="14" l="1"/>
  <c r="AR64" i="14"/>
  <c r="AR23" i="14"/>
  <c r="AX29" i="12"/>
  <c r="DF29" i="12"/>
  <c r="DK28" i="10"/>
  <c r="BB28" i="10"/>
  <c r="DK25" i="10"/>
  <c r="BB25" i="10"/>
  <c r="AX26" i="12"/>
  <c r="DF26" i="12"/>
  <c r="AX47" i="12"/>
  <c r="DF47" i="12"/>
  <c r="DK46" i="10"/>
  <c r="BB46" i="10"/>
  <c r="AR26" i="14"/>
  <c r="AR39" i="14"/>
  <c r="AR35" i="14"/>
  <c r="AR47" i="14"/>
  <c r="EC56" i="12"/>
  <c r="AV231" i="14"/>
  <c r="AU230" i="14"/>
  <c r="AX51" i="12"/>
  <c r="DF51" i="12" s="1"/>
  <c r="DK50" i="10"/>
  <c r="BB50" i="10"/>
  <c r="DM43" i="10"/>
  <c r="AZ44" i="12"/>
  <c r="BD43" i="10"/>
  <c r="DH44" i="12"/>
  <c r="L58" i="15"/>
  <c r="H59" i="15"/>
  <c r="R58" i="15"/>
  <c r="Q58" i="15"/>
  <c r="P58" i="15"/>
  <c r="O58" i="15"/>
  <c r="I58" i="15"/>
  <c r="J58" i="15"/>
  <c r="K58" i="15"/>
  <c r="AR36" i="14"/>
  <c r="DK21" i="10"/>
  <c r="BB21" i="10"/>
  <c r="AX22" i="12"/>
  <c r="DF22" i="12"/>
  <c r="AX21" i="12"/>
  <c r="DF21" i="12"/>
  <c r="DK20" i="10"/>
  <c r="BB20" i="10"/>
  <c r="AR57" i="14"/>
  <c r="AR61" i="14"/>
  <c r="AR65" i="14"/>
  <c r="AY161" i="14"/>
  <c r="AZ162" i="14"/>
  <c r="AX24" i="12"/>
  <c r="DF24" i="12"/>
  <c r="DK23" i="10"/>
  <c r="BB23" i="10"/>
  <c r="EA58" i="12"/>
  <c r="B54" i="13"/>
  <c r="EB57" i="12"/>
  <c r="E54" i="13" s="1"/>
  <c r="DG46" i="12"/>
  <c r="BC45" i="10"/>
  <c r="AY46" i="12"/>
  <c r="DL45" i="10"/>
  <c r="AT78" i="1"/>
  <c r="AY50" i="12"/>
  <c r="DG50" i="12" s="1"/>
  <c r="DL49" i="10"/>
  <c r="BC49" i="10"/>
  <c r="AX41" i="12"/>
  <c r="DF41" i="12" s="1"/>
  <c r="DK40" i="10"/>
  <c r="BB40" i="10"/>
  <c r="AX33" i="12"/>
  <c r="DF33" i="12"/>
  <c r="DK32" i="10"/>
  <c r="BB32" i="10"/>
  <c r="DK31" i="10"/>
  <c r="BB31" i="10"/>
  <c r="AX32" i="12"/>
  <c r="DF32" i="12" s="1"/>
  <c r="AR46" i="14"/>
  <c r="AX57" i="12"/>
  <c r="DF57" i="12"/>
  <c r="DK56" i="10"/>
  <c r="BB56" i="10"/>
  <c r="DJ11" i="10"/>
  <c r="BA11" i="10"/>
  <c r="AW12" i="12"/>
  <c r="DE12" i="12"/>
  <c r="AW20" i="12"/>
  <c r="DE20" i="12"/>
  <c r="BA19" i="10"/>
  <c r="DJ19" i="10"/>
  <c r="AR38" i="14"/>
  <c r="AR41" i="14"/>
  <c r="AR28" i="14"/>
  <c r="AR37" i="14"/>
  <c r="AR40" i="14"/>
  <c r="DK42" i="10"/>
  <c r="BB42" i="10"/>
  <c r="AX43" i="12"/>
  <c r="DF43" i="12"/>
  <c r="AS7" i="1"/>
  <c r="AS51" i="1"/>
  <c r="AS58" i="1"/>
  <c r="AS67" i="14" s="1"/>
  <c r="AS28" i="1"/>
  <c r="AS30" i="1"/>
  <c r="AS42" i="1"/>
  <c r="AS60" i="1"/>
  <c r="AS69" i="14" s="1"/>
  <c r="AS32" i="1"/>
  <c r="AS59" i="1"/>
  <c r="AS68" i="14" s="1"/>
  <c r="AS26" i="1"/>
  <c r="AS8" i="1"/>
  <c r="AS9" i="1"/>
  <c r="AW80" i="1"/>
  <c r="AX81" i="1"/>
  <c r="AX31" i="12"/>
  <c r="DF31" i="12" s="1"/>
  <c r="DK30" i="10"/>
  <c r="BB30" i="10"/>
  <c r="AX30" i="12"/>
  <c r="DK29" i="10"/>
  <c r="DF30" i="12"/>
  <c r="BB29" i="10"/>
  <c r="DK33" i="10"/>
  <c r="BB33" i="10"/>
  <c r="AX34" i="12"/>
  <c r="DF34" i="12"/>
  <c r="DK27" i="10"/>
  <c r="BB27" i="10"/>
  <c r="AX28" i="12"/>
  <c r="DF28" i="12" s="1"/>
  <c r="AR58" i="14"/>
  <c r="AR53" i="14"/>
  <c r="DK24" i="10"/>
  <c r="AX25" i="12"/>
  <c r="BB24" i="10"/>
  <c r="DF25" i="12"/>
  <c r="AW22" i="14"/>
  <c r="AV21" i="14"/>
  <c r="AR44" i="14"/>
  <c r="AR52" i="14"/>
  <c r="AR56" i="14"/>
  <c r="AR15" i="1"/>
  <c r="AR34" i="1"/>
  <c r="AR22" i="1"/>
  <c r="AX23" i="12"/>
  <c r="DF23" i="12" s="1"/>
  <c r="DK22" i="10"/>
  <c r="BB22" i="10"/>
  <c r="DK48" i="10"/>
  <c r="BB48" i="10"/>
  <c r="AX49" i="12"/>
  <c r="DF49" i="12" s="1"/>
  <c r="AW18" i="12"/>
  <c r="DE18" i="12" s="1"/>
  <c r="DJ17" i="10"/>
  <c r="BA17" i="10"/>
  <c r="AT12" i="1"/>
  <c r="AS52" i="1" s="1"/>
  <c r="AU13" i="1"/>
  <c r="DL59" i="10"/>
  <c r="AY60" i="12"/>
  <c r="DG60" i="12"/>
  <c r="BC59" i="10"/>
  <c r="AZ58" i="12"/>
  <c r="BD57" i="10"/>
  <c r="DH58" i="12"/>
  <c r="DJ18" i="10"/>
  <c r="BA18" i="10"/>
  <c r="AW19" i="12"/>
  <c r="DE19" i="12" s="1"/>
  <c r="AQ63" i="14"/>
  <c r="AR45" i="14"/>
  <c r="AX37" i="12"/>
  <c r="DF37" i="12" s="1"/>
  <c r="DK36" i="10"/>
  <c r="BB36" i="10"/>
  <c r="DK34" i="10"/>
  <c r="BB34" i="10"/>
  <c r="AX35" i="12"/>
  <c r="DF35" i="12"/>
  <c r="AR25" i="14"/>
  <c r="AR60" i="14"/>
  <c r="AR48" i="14"/>
  <c r="AX55" i="12"/>
  <c r="BB54" i="10"/>
  <c r="DK54" i="10" s="1"/>
  <c r="DF55" i="12"/>
  <c r="BD53" i="10"/>
  <c r="AZ54" i="12"/>
  <c r="DH54" i="12"/>
  <c r="DM53" i="10"/>
  <c r="DM51" i="10"/>
  <c r="AZ52" i="12"/>
  <c r="DH52" i="12" s="1"/>
  <c r="BD51" i="10"/>
  <c r="DJ13" i="10"/>
  <c r="BA13" i="10"/>
  <c r="AW14" i="12"/>
  <c r="DE14" i="12"/>
  <c r="AW17" i="12"/>
  <c r="DJ16" i="10"/>
  <c r="DE17" i="12"/>
  <c r="BA16" i="10"/>
  <c r="DF45" i="12"/>
  <c r="DK44" i="10"/>
  <c r="BB44" i="10"/>
  <c r="AX45" i="12"/>
  <c r="AR51" i="14"/>
  <c r="AX39" i="12"/>
  <c r="DK38" i="10"/>
  <c r="DF39" i="12"/>
  <c r="BB38" i="10"/>
  <c r="AW13" i="12"/>
  <c r="DE13" i="12"/>
  <c r="DJ12" i="10"/>
  <c r="BA12" i="10"/>
  <c r="AR49" i="14"/>
  <c r="AQ53" i="14"/>
  <c r="AR59" i="14"/>
  <c r="AR30" i="14"/>
  <c r="AR18" i="1"/>
  <c r="AR41" i="1"/>
  <c r="AR33" i="1"/>
  <c r="BC55" i="10"/>
  <c r="AY56" i="12"/>
  <c r="DG56" i="12"/>
  <c r="DL55" i="10"/>
  <c r="AW15" i="12"/>
  <c r="DE15" i="12"/>
  <c r="DJ14" i="10"/>
  <c r="BA14" i="10"/>
  <c r="DL41" i="10"/>
  <c r="BC41" i="10"/>
  <c r="AY42" i="12"/>
  <c r="DG42" i="12" s="1"/>
  <c r="AX38" i="12"/>
  <c r="DF38" i="12"/>
  <c r="DK37" i="10"/>
  <c r="BB37" i="10"/>
  <c r="AR55" i="14"/>
  <c r="AX27" i="12"/>
  <c r="DF27" i="12" s="1"/>
  <c r="BB26" i="10"/>
  <c r="DK26" i="10"/>
  <c r="BA59" i="12"/>
  <c r="DI59" i="12"/>
  <c r="BE58" i="10"/>
  <c r="DN58" i="10"/>
  <c r="AQ23" i="14"/>
  <c r="AR63" i="14"/>
  <c r="AX53" i="12"/>
  <c r="DF53" i="12"/>
  <c r="DK52" i="10"/>
  <c r="BB52" i="10"/>
  <c r="AQ31" i="14"/>
  <c r="AR53" i="1"/>
  <c r="AR25" i="1"/>
  <c r="AR23" i="1"/>
  <c r="AR24" i="1"/>
  <c r="AR20" i="1"/>
  <c r="AX93" i="14"/>
  <c r="AW92" i="14"/>
  <c r="DJ56" i="10"/>
  <c r="DK35" i="10"/>
  <c r="BB35" i="10"/>
  <c r="AX36" i="12"/>
  <c r="DF36" i="12"/>
  <c r="AY48" i="12"/>
  <c r="DL47" i="10"/>
  <c r="DG48" i="12"/>
  <c r="BC47" i="10"/>
  <c r="G128" i="1"/>
  <c r="A129" i="1"/>
  <c r="B128" i="1"/>
  <c r="E128" i="1"/>
  <c r="C128" i="1"/>
  <c r="D128" i="1"/>
  <c r="F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AN128" i="1"/>
  <c r="AO128" i="1"/>
  <c r="AP128" i="1"/>
  <c r="AQ128" i="1"/>
  <c r="AR128" i="1"/>
  <c r="AS128" i="1"/>
  <c r="AT128" i="1"/>
  <c r="DL39" i="10"/>
  <c r="BC39" i="10"/>
  <c r="AY40" i="12"/>
  <c r="DG40" i="12"/>
  <c r="AW16" i="12"/>
  <c r="DE16" i="12" s="1"/>
  <c r="DJ15" i="10"/>
  <c r="BA15" i="10"/>
  <c r="C60" i="1"/>
  <c r="C69" i="14" s="1"/>
  <c r="B60" i="1"/>
  <c r="B69" i="14" s="1"/>
  <c r="A61" i="1"/>
  <c r="D60" i="1"/>
  <c r="D69" i="14" s="1"/>
  <c r="E60" i="1"/>
  <c r="E69" i="14" s="1"/>
  <c r="F60" i="1"/>
  <c r="F69" i="14" s="1"/>
  <c r="F57" i="15" s="1"/>
  <c r="G60" i="1"/>
  <c r="G69" i="14" s="1"/>
  <c r="H60" i="1"/>
  <c r="H69" i="14" s="1"/>
  <c r="E57" i="15" s="1"/>
  <c r="I60" i="1"/>
  <c r="I69" i="14" s="1"/>
  <c r="J60" i="1"/>
  <c r="J69" i="14" s="1"/>
  <c r="D57" i="15" s="1"/>
  <c r="K60" i="1"/>
  <c r="K69" i="14" s="1"/>
  <c r="L60" i="1"/>
  <c r="L69" i="14" s="1"/>
  <c r="C57" i="15" s="1"/>
  <c r="M60" i="1"/>
  <c r="M69" i="14" s="1"/>
  <c r="N60" i="1"/>
  <c r="N69" i="14" s="1"/>
  <c r="O60" i="1"/>
  <c r="O69" i="14" s="1"/>
  <c r="P60" i="1"/>
  <c r="P69" i="14" s="1"/>
  <c r="Q60" i="1"/>
  <c r="Q69" i="14" s="1"/>
  <c r="R60" i="1"/>
  <c r="R69" i="14" s="1"/>
  <c r="S60" i="1"/>
  <c r="S69" i="14" s="1"/>
  <c r="T60" i="1"/>
  <c r="T69" i="14" s="1"/>
  <c r="U60" i="1"/>
  <c r="U69" i="14" s="1"/>
  <c r="V60" i="1"/>
  <c r="V69" i="14" s="1"/>
  <c r="W60" i="1"/>
  <c r="W69" i="14" s="1"/>
  <c r="X60" i="1"/>
  <c r="X69" i="14" s="1"/>
  <c r="Y60" i="1"/>
  <c r="Y69" i="14" s="1"/>
  <c r="Z60" i="1"/>
  <c r="Z69" i="14" s="1"/>
  <c r="AA60" i="1"/>
  <c r="AA69" i="14" s="1"/>
  <c r="AB60" i="1"/>
  <c r="AB69" i="14" s="1"/>
  <c r="AC60" i="1"/>
  <c r="AC69" i="14" s="1"/>
  <c r="AD60" i="1"/>
  <c r="AD69" i="14" s="1"/>
  <c r="AE60" i="1"/>
  <c r="AE69" i="14" s="1"/>
  <c r="AF60" i="1"/>
  <c r="AF69" i="14" s="1"/>
  <c r="AG60" i="1"/>
  <c r="AG69" i="14" s="1"/>
  <c r="AH60" i="1"/>
  <c r="AH69" i="14" s="1"/>
  <c r="AI60" i="1"/>
  <c r="AI69" i="14" s="1"/>
  <c r="AJ60" i="1"/>
  <c r="AJ69" i="14" s="1"/>
  <c r="AK60" i="1"/>
  <c r="AK69" i="14" s="1"/>
  <c r="AL60" i="1"/>
  <c r="AL69" i="14" s="1"/>
  <c r="AM60" i="1"/>
  <c r="AM69" i="14" s="1"/>
  <c r="AN60" i="1"/>
  <c r="AN69" i="14" s="1"/>
  <c r="AO60" i="1"/>
  <c r="AO69" i="14" s="1"/>
  <c r="AP60" i="1"/>
  <c r="AP69" i="14" s="1"/>
  <c r="AQ60" i="1"/>
  <c r="AQ69" i="14" s="1"/>
  <c r="AS61" i="14" l="1"/>
  <c r="AR42" i="14"/>
  <c r="AY31" i="12"/>
  <c r="DG31" i="12" s="1"/>
  <c r="DL30" i="10"/>
  <c r="BC30" i="10"/>
  <c r="AS51" i="14"/>
  <c r="AY43" i="12"/>
  <c r="DG43" i="12"/>
  <c r="DL42" i="10"/>
  <c r="BC42" i="10"/>
  <c r="AR32" i="14"/>
  <c r="AR50" i="14"/>
  <c r="AX17" i="12"/>
  <c r="DF17" i="12"/>
  <c r="DK16" i="10"/>
  <c r="BB16" i="10"/>
  <c r="AX19" i="12"/>
  <c r="DF19" i="12"/>
  <c r="DK18" i="10"/>
  <c r="BB18" i="10"/>
  <c r="AR31" i="14"/>
  <c r="AS22" i="1"/>
  <c r="AS53" i="1"/>
  <c r="AS48" i="1"/>
  <c r="AS27" i="1"/>
  <c r="AS41" i="1"/>
  <c r="AS33" i="1"/>
  <c r="J59" i="15"/>
  <c r="R59" i="15"/>
  <c r="I59" i="15"/>
  <c r="Q59" i="15"/>
  <c r="P59" i="15"/>
  <c r="O59" i="15"/>
  <c r="K59" i="15"/>
  <c r="L59" i="15"/>
  <c r="H60" i="15"/>
  <c r="DK14" i="10"/>
  <c r="BB14" i="10"/>
  <c r="AX15" i="12"/>
  <c r="DF15" i="12"/>
  <c r="AS37" i="14"/>
  <c r="G129" i="1"/>
  <c r="C129" i="1"/>
  <c r="B129" i="1"/>
  <c r="A130" i="1"/>
  <c r="D129" i="1"/>
  <c r="E129" i="1"/>
  <c r="F129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X129" i="1"/>
  <c r="Y129" i="1"/>
  <c r="Z129" i="1"/>
  <c r="AA129" i="1"/>
  <c r="AB129" i="1"/>
  <c r="AC129" i="1"/>
  <c r="AD129" i="1"/>
  <c r="AE129" i="1"/>
  <c r="AF129" i="1"/>
  <c r="AG129" i="1"/>
  <c r="AH129" i="1"/>
  <c r="AI129" i="1"/>
  <c r="AJ129" i="1"/>
  <c r="AK129" i="1"/>
  <c r="AL129" i="1"/>
  <c r="AM129" i="1"/>
  <c r="AN129" i="1"/>
  <c r="AO129" i="1"/>
  <c r="AP129" i="1"/>
  <c r="AQ129" i="1"/>
  <c r="AR129" i="1"/>
  <c r="AS129" i="1"/>
  <c r="AT129" i="1"/>
  <c r="AU129" i="1"/>
  <c r="AY36" i="12"/>
  <c r="DG36" i="12" s="1"/>
  <c r="DL35" i="10"/>
  <c r="BC35" i="10"/>
  <c r="AR34" i="14"/>
  <c r="AR27" i="14"/>
  <c r="BA52" i="12"/>
  <c r="DI52" i="12" s="1"/>
  <c r="DN51" i="10"/>
  <c r="BE51" i="10"/>
  <c r="AR43" i="14"/>
  <c r="AY34" i="12"/>
  <c r="DG34" i="12" s="1"/>
  <c r="DL33" i="10"/>
  <c r="BC33" i="10"/>
  <c r="AS56" i="1"/>
  <c r="AS24" i="1"/>
  <c r="AT25" i="1" s="1"/>
  <c r="AS38" i="1"/>
  <c r="AS36" i="1"/>
  <c r="AS44" i="1"/>
  <c r="AS29" i="1"/>
  <c r="AX12" i="12"/>
  <c r="DF12" i="12" s="1"/>
  <c r="DK11" i="10"/>
  <c r="BB11" i="10"/>
  <c r="DL40" i="10"/>
  <c r="BC40" i="10"/>
  <c r="AY41" i="12"/>
  <c r="DG41" i="12" s="1"/>
  <c r="DM45" i="10"/>
  <c r="AZ46" i="12"/>
  <c r="BD45" i="10"/>
  <c r="DH46" i="12"/>
  <c r="BC21" i="10"/>
  <c r="AY22" i="12"/>
  <c r="DG22" i="12"/>
  <c r="DL21" i="10"/>
  <c r="AS60" i="14"/>
  <c r="B61" i="1"/>
  <c r="B70" i="14" s="1"/>
  <c r="A62" i="1"/>
  <c r="AT62" i="1" s="1"/>
  <c r="AT71" i="14" s="1"/>
  <c r="C61" i="1"/>
  <c r="C70" i="14" s="1"/>
  <c r="D61" i="1"/>
  <c r="D70" i="14" s="1"/>
  <c r="E61" i="1"/>
  <c r="E70" i="14" s="1"/>
  <c r="F61" i="1"/>
  <c r="F70" i="14" s="1"/>
  <c r="F58" i="15" s="1"/>
  <c r="G61" i="1"/>
  <c r="G70" i="14" s="1"/>
  <c r="H61" i="1"/>
  <c r="H70" i="14" s="1"/>
  <c r="E58" i="15" s="1"/>
  <c r="I61" i="1"/>
  <c r="I70" i="14" s="1"/>
  <c r="J61" i="1"/>
  <c r="J70" i="14" s="1"/>
  <c r="D58" i="15" s="1"/>
  <c r="K61" i="1"/>
  <c r="K70" i="14" s="1"/>
  <c r="L61" i="1"/>
  <c r="L70" i="14" s="1"/>
  <c r="C58" i="15" s="1"/>
  <c r="M61" i="1"/>
  <c r="M70" i="14" s="1"/>
  <c r="N61" i="1"/>
  <c r="N70" i="14" s="1"/>
  <c r="O61" i="1"/>
  <c r="O70" i="14" s="1"/>
  <c r="P61" i="1"/>
  <c r="P70" i="14" s="1"/>
  <c r="Q61" i="1"/>
  <c r="Q70" i="14" s="1"/>
  <c r="R61" i="1"/>
  <c r="R70" i="14" s="1"/>
  <c r="S61" i="1"/>
  <c r="S70" i="14" s="1"/>
  <c r="T61" i="1"/>
  <c r="T70" i="14" s="1"/>
  <c r="U61" i="1"/>
  <c r="U70" i="14" s="1"/>
  <c r="V61" i="1"/>
  <c r="V70" i="14" s="1"/>
  <c r="W61" i="1"/>
  <c r="W70" i="14" s="1"/>
  <c r="X61" i="1"/>
  <c r="X70" i="14" s="1"/>
  <c r="Y61" i="1"/>
  <c r="Y70" i="14" s="1"/>
  <c r="Z61" i="1"/>
  <c r="Z70" i="14" s="1"/>
  <c r="AA61" i="1"/>
  <c r="AA70" i="14" s="1"/>
  <c r="AB61" i="1"/>
  <c r="AB70" i="14" s="1"/>
  <c r="AC61" i="1"/>
  <c r="AC70" i="14" s="1"/>
  <c r="AD61" i="1"/>
  <c r="AD70" i="14" s="1"/>
  <c r="AE61" i="1"/>
  <c r="AE70" i="14" s="1"/>
  <c r="AF61" i="1"/>
  <c r="AF70" i="14" s="1"/>
  <c r="AG61" i="1"/>
  <c r="AG70" i="14" s="1"/>
  <c r="AH61" i="1"/>
  <c r="AH70" i="14" s="1"/>
  <c r="AI61" i="1"/>
  <c r="AI70" i="14" s="1"/>
  <c r="AJ61" i="1"/>
  <c r="AJ70" i="14" s="1"/>
  <c r="AK61" i="1"/>
  <c r="AK70" i="14" s="1"/>
  <c r="AL61" i="1"/>
  <c r="AL70" i="14" s="1"/>
  <c r="AM61" i="1"/>
  <c r="AM70" i="14" s="1"/>
  <c r="AN61" i="1"/>
  <c r="AN70" i="14" s="1"/>
  <c r="AO61" i="1"/>
  <c r="AO70" i="14" s="1"/>
  <c r="AP61" i="1"/>
  <c r="AP70" i="14" s="1"/>
  <c r="AQ61" i="1"/>
  <c r="AQ70" i="14" s="1"/>
  <c r="AR61" i="1"/>
  <c r="AR70" i="14" s="1"/>
  <c r="AR62" i="14"/>
  <c r="AX13" i="12"/>
  <c r="DF13" i="12"/>
  <c r="DK12" i="10"/>
  <c r="BB12" i="10"/>
  <c r="DL54" i="10"/>
  <c r="AY55" i="12"/>
  <c r="DG55" i="12" s="1"/>
  <c r="BC54" i="10"/>
  <c r="AV13" i="1"/>
  <c r="AU12" i="1"/>
  <c r="AY49" i="12"/>
  <c r="DG49" i="12" s="1"/>
  <c r="DL48" i="10"/>
  <c r="BC48" i="10"/>
  <c r="AR24" i="14"/>
  <c r="AX22" i="14"/>
  <c r="AW21" i="14"/>
  <c r="AS21" i="1"/>
  <c r="AS43" i="1"/>
  <c r="AS50" i="1"/>
  <c r="AS35" i="1"/>
  <c r="DL31" i="10"/>
  <c r="BC31" i="10"/>
  <c r="AY32" i="12"/>
  <c r="DG32" i="12"/>
  <c r="BA54" i="12"/>
  <c r="DI54" i="12"/>
  <c r="BE53" i="10"/>
  <c r="DN53" i="10"/>
  <c r="DL23" i="10"/>
  <c r="BC23" i="10"/>
  <c r="AY24" i="12"/>
  <c r="DG24" i="12"/>
  <c r="BD39" i="10"/>
  <c r="AZ40" i="12"/>
  <c r="DH40" i="12" s="1"/>
  <c r="DM39" i="10"/>
  <c r="DM47" i="10"/>
  <c r="AZ48" i="12"/>
  <c r="BD47" i="10"/>
  <c r="DH48" i="12"/>
  <c r="AY27" i="12"/>
  <c r="DG27" i="12"/>
  <c r="DL26" i="10"/>
  <c r="BC26" i="10"/>
  <c r="BE57" i="10"/>
  <c r="BA58" i="12"/>
  <c r="DI58" i="12" s="1"/>
  <c r="DN57" i="10"/>
  <c r="AT23" i="1"/>
  <c r="AT37" i="1"/>
  <c r="AT54" i="1"/>
  <c r="AT61" i="1"/>
  <c r="AT70" i="14" s="1"/>
  <c r="AT42" i="1"/>
  <c r="AT36" i="1"/>
  <c r="AT60" i="1"/>
  <c r="AT69" i="14" s="1"/>
  <c r="AT49" i="1"/>
  <c r="AT27" i="1"/>
  <c r="AT33" i="1"/>
  <c r="AT59" i="1"/>
  <c r="AT68" i="14" s="1"/>
  <c r="AT45" i="1"/>
  <c r="AT52" i="1"/>
  <c r="AT7" i="1"/>
  <c r="AT29" i="1"/>
  <c r="AT30" i="1"/>
  <c r="AT39" i="1"/>
  <c r="AT35" i="1"/>
  <c r="AT43" i="1"/>
  <c r="AT51" i="1"/>
  <c r="AT57" i="1"/>
  <c r="AT17" i="1"/>
  <c r="AT8" i="1"/>
  <c r="AT9" i="1"/>
  <c r="AY30" i="12"/>
  <c r="DG30" i="12"/>
  <c r="DL29" i="10"/>
  <c r="BC29" i="10"/>
  <c r="AX80" i="1"/>
  <c r="AY81" i="1"/>
  <c r="AS16" i="1"/>
  <c r="AS14" i="1"/>
  <c r="AS46" i="1"/>
  <c r="AS37" i="1"/>
  <c r="BC56" i="10"/>
  <c r="AY57" i="12"/>
  <c r="DG57" i="12" s="1"/>
  <c r="DL56" i="10"/>
  <c r="EC57" i="12"/>
  <c r="BA162" i="14"/>
  <c r="AZ161" i="14"/>
  <c r="DL20" i="10"/>
  <c r="BC20" i="10"/>
  <c r="AY21" i="12"/>
  <c r="DG21" i="12" s="1"/>
  <c r="BA44" i="12"/>
  <c r="DI44" i="12" s="1"/>
  <c r="DN43" i="10"/>
  <c r="BE43" i="10"/>
  <c r="AV230" i="14"/>
  <c r="AW231" i="14"/>
  <c r="AY26" i="12"/>
  <c r="DG26" i="12" s="1"/>
  <c r="DL25" i="10"/>
  <c r="BC25" i="10"/>
  <c r="AS39" i="14"/>
  <c r="AY35" i="12"/>
  <c r="DG35" i="12" s="1"/>
  <c r="DL34" i="10"/>
  <c r="BC34" i="10"/>
  <c r="DK17" i="10"/>
  <c r="BB17" i="10"/>
  <c r="AX18" i="12"/>
  <c r="DF18" i="12" s="1"/>
  <c r="DL22" i="10"/>
  <c r="BC22" i="10"/>
  <c r="AY23" i="12"/>
  <c r="DG23" i="12" s="1"/>
  <c r="DL24" i="10"/>
  <c r="BC24" i="10"/>
  <c r="AY25" i="12"/>
  <c r="DG25" i="12" s="1"/>
  <c r="AW130" i="1"/>
  <c r="AU78" i="1"/>
  <c r="AS18" i="1"/>
  <c r="AT19" i="1" s="1"/>
  <c r="AS54" i="1"/>
  <c r="AS23" i="1"/>
  <c r="AS31" i="1"/>
  <c r="AT32" i="1" s="1"/>
  <c r="AS49" i="1"/>
  <c r="AT50" i="1" s="1"/>
  <c r="AS61" i="1"/>
  <c r="AS70" i="14" s="1"/>
  <c r="DK19" i="10"/>
  <c r="BB19" i="10"/>
  <c r="AX20" i="12"/>
  <c r="DF20" i="12" s="1"/>
  <c r="D53" i="13"/>
  <c r="ED56" i="12"/>
  <c r="DL37" i="10"/>
  <c r="BC37" i="10"/>
  <c r="AY38" i="12"/>
  <c r="DG38" i="12" s="1"/>
  <c r="AS41" i="14"/>
  <c r="AX16" i="12"/>
  <c r="DF16" i="12" s="1"/>
  <c r="DK15" i="10"/>
  <c r="BB15" i="10"/>
  <c r="AY93" i="14"/>
  <c r="AX92" i="14"/>
  <c r="AY53" i="12"/>
  <c r="DG53" i="12" s="1"/>
  <c r="DL52" i="10"/>
  <c r="BC52" i="10"/>
  <c r="BD41" i="10"/>
  <c r="AZ42" i="12"/>
  <c r="DH42" i="12"/>
  <c r="DM41" i="10"/>
  <c r="AY45" i="12"/>
  <c r="DL44" i="10"/>
  <c r="DG45" i="12"/>
  <c r="BC44" i="10"/>
  <c r="DM57" i="10"/>
  <c r="AY28" i="12"/>
  <c r="DG28" i="12"/>
  <c r="DL27" i="10"/>
  <c r="BC27" i="10"/>
  <c r="AS15" i="1"/>
  <c r="AS39" i="1"/>
  <c r="AT40" i="1" s="1"/>
  <c r="AS40" i="1"/>
  <c r="AT41" i="1" s="1"/>
  <c r="AS20" i="1"/>
  <c r="AT21" i="1" s="1"/>
  <c r="AS55" i="1"/>
  <c r="AS19" i="1"/>
  <c r="DL32" i="10"/>
  <c r="BC32" i="10"/>
  <c r="AY33" i="12"/>
  <c r="DG33" i="12"/>
  <c r="DM49" i="10"/>
  <c r="AZ50" i="12"/>
  <c r="DH50" i="12" s="1"/>
  <c r="BD49" i="10"/>
  <c r="AV129" i="1"/>
  <c r="G54" i="13"/>
  <c r="H54" i="13" s="1"/>
  <c r="DG47" i="12"/>
  <c r="BC46" i="10"/>
  <c r="AY47" i="12"/>
  <c r="DL46" i="10"/>
  <c r="DL28" i="10"/>
  <c r="BC28" i="10"/>
  <c r="AY29" i="12"/>
  <c r="DG29" i="12"/>
  <c r="AR33" i="14"/>
  <c r="AS35" i="14"/>
  <c r="AR29" i="14"/>
  <c r="BF58" i="10"/>
  <c r="DO58" i="10"/>
  <c r="BB59" i="12"/>
  <c r="DJ59" i="12"/>
  <c r="BD55" i="10"/>
  <c r="AZ56" i="12"/>
  <c r="DH56" i="12"/>
  <c r="DM55" i="10"/>
  <c r="AY39" i="12"/>
  <c r="DG39" i="12"/>
  <c r="DL38" i="10"/>
  <c r="BC38" i="10"/>
  <c r="AX14" i="12"/>
  <c r="DK13" i="10"/>
  <c r="DF14" i="12"/>
  <c r="BB13" i="10"/>
  <c r="DL36" i="10"/>
  <c r="BC36" i="10"/>
  <c r="AY37" i="12"/>
  <c r="DG37" i="12"/>
  <c r="AZ60" i="12"/>
  <c r="DH60" i="12"/>
  <c r="BD59" i="10"/>
  <c r="DM59" i="10" s="1"/>
  <c r="AS47" i="1"/>
  <c r="AS34" i="1"/>
  <c r="AS25" i="1"/>
  <c r="AS45" i="1"/>
  <c r="AS17" i="1"/>
  <c r="AT18" i="1" s="1"/>
  <c r="AS57" i="1"/>
  <c r="AT58" i="1" s="1"/>
  <c r="B55" i="13"/>
  <c r="G55" i="13" s="1"/>
  <c r="H55" i="13" s="1"/>
  <c r="EA59" i="12"/>
  <c r="EB58" i="12"/>
  <c r="E55" i="13" s="1"/>
  <c r="EC58" i="12"/>
  <c r="DG51" i="12"/>
  <c r="BC50" i="10"/>
  <c r="AY51" i="12"/>
  <c r="DL50" i="10"/>
  <c r="AT27" i="14" l="1"/>
  <c r="AT28" i="14"/>
  <c r="AT34" i="14"/>
  <c r="AT30" i="14"/>
  <c r="AT50" i="14"/>
  <c r="AT49" i="14"/>
  <c r="AT59" i="14"/>
  <c r="AT67" i="14"/>
  <c r="AT41" i="14"/>
  <c r="AS32" i="14"/>
  <c r="AT44" i="14"/>
  <c r="AZ31" i="12"/>
  <c r="DH31" i="12"/>
  <c r="DM30" i="10"/>
  <c r="BD30" i="10"/>
  <c r="AS34" i="14"/>
  <c r="AS24" i="14"/>
  <c r="AS63" i="14"/>
  <c r="BB44" i="12"/>
  <c r="DJ44" i="12"/>
  <c r="DO43" i="10"/>
  <c r="BF43" i="10"/>
  <c r="AS55" i="14"/>
  <c r="AT36" i="14"/>
  <c r="BA40" i="12"/>
  <c r="DI40" i="12"/>
  <c r="DN39" i="10"/>
  <c r="BE39" i="10"/>
  <c r="AS30" i="14"/>
  <c r="BA46" i="12"/>
  <c r="DI46" i="12"/>
  <c r="DN45" i="10"/>
  <c r="BE45" i="10"/>
  <c r="AS65" i="14"/>
  <c r="AS57" i="14"/>
  <c r="DM50" i="10"/>
  <c r="AZ51" i="12"/>
  <c r="DH51" i="12" s="1"/>
  <c r="BD50" i="10"/>
  <c r="AS48" i="14"/>
  <c r="AS46" i="14"/>
  <c r="AT32" i="14"/>
  <c r="DL12" i="10"/>
  <c r="BC12" i="10"/>
  <c r="AY13" i="12"/>
  <c r="DG13" i="12" s="1"/>
  <c r="AS33" i="14"/>
  <c r="AS36" i="14"/>
  <c r="AS43" i="14"/>
  <c r="BD32" i="10"/>
  <c r="AZ33" i="12"/>
  <c r="DH33" i="12" s="1"/>
  <c r="DM32" i="10"/>
  <c r="AZ28" i="12"/>
  <c r="DH28" i="12"/>
  <c r="DM27" i="10"/>
  <c r="BD27" i="10"/>
  <c r="AS27" i="14"/>
  <c r="BA161" i="14"/>
  <c r="BB162" i="14"/>
  <c r="AS23" i="14"/>
  <c r="AT66" i="14"/>
  <c r="AT48" i="14"/>
  <c r="AT47" i="1"/>
  <c r="AT58" i="14"/>
  <c r="AT26" i="1"/>
  <c r="AU27" i="1" s="1"/>
  <c r="AU7" i="1"/>
  <c r="AU60" i="1"/>
  <c r="AU69" i="14" s="1"/>
  <c r="AU62" i="1"/>
  <c r="AU71" i="14" s="1"/>
  <c r="AU37" i="1"/>
  <c r="AU61" i="1"/>
  <c r="AU70" i="14" s="1"/>
  <c r="AU30" i="1"/>
  <c r="AU31" i="1"/>
  <c r="AU19" i="1"/>
  <c r="AU24" i="1"/>
  <c r="AU38" i="1"/>
  <c r="AU9" i="1"/>
  <c r="AU8" i="1"/>
  <c r="AZ34" i="12"/>
  <c r="DH34" i="12"/>
  <c r="DM33" i="10"/>
  <c r="BD33" i="10"/>
  <c r="AS62" i="14"/>
  <c r="AY17" i="12"/>
  <c r="DG17" i="12"/>
  <c r="DL16" i="10"/>
  <c r="BC16" i="10"/>
  <c r="AZ43" i="12"/>
  <c r="DH43" i="12"/>
  <c r="DM42" i="10"/>
  <c r="BD42" i="10"/>
  <c r="AT42" i="14"/>
  <c r="AS52" i="14"/>
  <c r="C62" i="1"/>
  <c r="C71" i="14" s="1"/>
  <c r="B62" i="1"/>
  <c r="B71" i="14" s="1"/>
  <c r="A63" i="1"/>
  <c r="D62" i="1"/>
  <c r="D71" i="14" s="1"/>
  <c r="E62" i="1"/>
  <c r="E71" i="14" s="1"/>
  <c r="F62" i="1"/>
  <c r="F71" i="14" s="1"/>
  <c r="F59" i="15" s="1"/>
  <c r="G62" i="1"/>
  <c r="G71" i="14" s="1"/>
  <c r="H62" i="1"/>
  <c r="H71" i="14" s="1"/>
  <c r="E59" i="15" s="1"/>
  <c r="I62" i="1"/>
  <c r="I71" i="14" s="1"/>
  <c r="J62" i="1"/>
  <c r="J71" i="14" s="1"/>
  <c r="D59" i="15" s="1"/>
  <c r="K62" i="1"/>
  <c r="K71" i="14" s="1"/>
  <c r="L62" i="1"/>
  <c r="L71" i="14" s="1"/>
  <c r="C59" i="15" s="1"/>
  <c r="M62" i="1"/>
  <c r="M71" i="14" s="1"/>
  <c r="N62" i="1"/>
  <c r="N71" i="14" s="1"/>
  <c r="O62" i="1"/>
  <c r="O71" i="14" s="1"/>
  <c r="P62" i="1"/>
  <c r="P71" i="14" s="1"/>
  <c r="Q62" i="1"/>
  <c r="Q71" i="14" s="1"/>
  <c r="R62" i="1"/>
  <c r="R71" i="14" s="1"/>
  <c r="S62" i="1"/>
  <c r="S71" i="14" s="1"/>
  <c r="T62" i="1"/>
  <c r="T71" i="14" s="1"/>
  <c r="U62" i="1"/>
  <c r="U71" i="14" s="1"/>
  <c r="V62" i="1"/>
  <c r="V71" i="14" s="1"/>
  <c r="W62" i="1"/>
  <c r="W71" i="14" s="1"/>
  <c r="X62" i="1"/>
  <c r="X71" i="14" s="1"/>
  <c r="Y62" i="1"/>
  <c r="Y71" i="14" s="1"/>
  <c r="Z62" i="1"/>
  <c r="Z71" i="14" s="1"/>
  <c r="AA62" i="1"/>
  <c r="AA71" i="14" s="1"/>
  <c r="AB62" i="1"/>
  <c r="AB71" i="14" s="1"/>
  <c r="AC62" i="1"/>
  <c r="AC71" i="14" s="1"/>
  <c r="AD62" i="1"/>
  <c r="AD71" i="14" s="1"/>
  <c r="AE62" i="1"/>
  <c r="AE71" i="14" s="1"/>
  <c r="AF62" i="1"/>
  <c r="AF71" i="14" s="1"/>
  <c r="AG62" i="1"/>
  <c r="AG71" i="14" s="1"/>
  <c r="AH62" i="1"/>
  <c r="AH71" i="14" s="1"/>
  <c r="AI62" i="1"/>
  <c r="AI71" i="14" s="1"/>
  <c r="AJ62" i="1"/>
  <c r="AJ71" i="14" s="1"/>
  <c r="AK62" i="1"/>
  <c r="AK71" i="14" s="1"/>
  <c r="AL62" i="1"/>
  <c r="AL71" i="14" s="1"/>
  <c r="AM62" i="1"/>
  <c r="AM71" i="14" s="1"/>
  <c r="AN62" i="1"/>
  <c r="AN71" i="14" s="1"/>
  <c r="AO62" i="1"/>
  <c r="AO71" i="14" s="1"/>
  <c r="AP62" i="1"/>
  <c r="AP71" i="14" s="1"/>
  <c r="AQ62" i="1"/>
  <c r="AQ71" i="14" s="1"/>
  <c r="AR62" i="1"/>
  <c r="AR71" i="14" s="1"/>
  <c r="AS62" i="1"/>
  <c r="AS71" i="14" s="1"/>
  <c r="BB52" i="12"/>
  <c r="DJ52" i="12" s="1"/>
  <c r="DO51" i="10"/>
  <c r="BF51" i="10"/>
  <c r="AS56" i="14"/>
  <c r="BG58" i="10"/>
  <c r="BC59" i="12"/>
  <c r="DK59" i="12"/>
  <c r="AY20" i="12"/>
  <c r="DG20" i="12" s="1"/>
  <c r="DL19" i="10"/>
  <c r="BC19" i="10"/>
  <c r="BD24" i="10"/>
  <c r="AZ25" i="12"/>
  <c r="DH25" i="12"/>
  <c r="DM24" i="10"/>
  <c r="BC17" i="10"/>
  <c r="AY18" i="12"/>
  <c r="DG18" i="12"/>
  <c r="DL17" i="10"/>
  <c r="AZ26" i="12"/>
  <c r="DH26" i="12" s="1"/>
  <c r="DM25" i="10"/>
  <c r="BD25" i="10"/>
  <c r="D54" i="13"/>
  <c r="ED57" i="12"/>
  <c r="AS25" i="14"/>
  <c r="AT48" i="1"/>
  <c r="AT39" i="14"/>
  <c r="AT24" i="1"/>
  <c r="AT28" i="1"/>
  <c r="DN47" i="10"/>
  <c r="BE47" i="10"/>
  <c r="BA48" i="12"/>
  <c r="DI48" i="12"/>
  <c r="AY22" i="14"/>
  <c r="AX21" i="14"/>
  <c r="AV12" i="1"/>
  <c r="AU50" i="1" s="1"/>
  <c r="AW13" i="1"/>
  <c r="AS31" i="14"/>
  <c r="AT26" i="14"/>
  <c r="AT51" i="14"/>
  <c r="D55" i="13"/>
  <c r="ED58" i="12"/>
  <c r="BD36" i="10"/>
  <c r="AZ37" i="12"/>
  <c r="DH37" i="12" s="1"/>
  <c r="DM36" i="10"/>
  <c r="EC59" i="12"/>
  <c r="B56" i="13"/>
  <c r="G56" i="13" s="1"/>
  <c r="H56" i="13" s="1"/>
  <c r="EB59" i="12"/>
  <c r="E56" i="13" s="1"/>
  <c r="EA60" i="12"/>
  <c r="DL13" i="10"/>
  <c r="AY14" i="12"/>
  <c r="BC13" i="10"/>
  <c r="DG14" i="12"/>
  <c r="BD28" i="10"/>
  <c r="AZ29" i="12"/>
  <c r="DH29" i="12" s="1"/>
  <c r="DM28" i="10"/>
  <c r="AS28" i="14"/>
  <c r="AZ93" i="14"/>
  <c r="AY92" i="14"/>
  <c r="AZ81" i="1"/>
  <c r="AY80" i="1"/>
  <c r="AT15" i="1"/>
  <c r="AT60" i="14"/>
  <c r="AT38" i="14"/>
  <c r="AT54" i="14"/>
  <c r="AT63" i="14"/>
  <c r="BD23" i="10"/>
  <c r="AZ24" i="12"/>
  <c r="DH24" i="12"/>
  <c r="DM23" i="10"/>
  <c r="BD31" i="10"/>
  <c r="AZ32" i="12"/>
  <c r="DH32" i="12"/>
  <c r="DM31" i="10"/>
  <c r="AZ55" i="12"/>
  <c r="DH55" i="12" s="1"/>
  <c r="DM54" i="10"/>
  <c r="BD54" i="10"/>
  <c r="AS38" i="14"/>
  <c r="AS54" i="14"/>
  <c r="AZ39" i="12"/>
  <c r="DH39" i="12" s="1"/>
  <c r="DM38" i="10"/>
  <c r="BD38" i="10"/>
  <c r="DM46" i="10"/>
  <c r="AZ47" i="12"/>
  <c r="DH47" i="12" s="1"/>
  <c r="BD46" i="10"/>
  <c r="DN49" i="10"/>
  <c r="BE49" i="10"/>
  <c r="BA50" i="12"/>
  <c r="DI50" i="12" s="1"/>
  <c r="AS64" i="14"/>
  <c r="AY16" i="12"/>
  <c r="DG16" i="12" s="1"/>
  <c r="DL15" i="10"/>
  <c r="BC15" i="10"/>
  <c r="BD37" i="10"/>
  <c r="AZ38" i="12"/>
  <c r="DH38" i="12"/>
  <c r="DM37" i="10"/>
  <c r="AZ35" i="12"/>
  <c r="DH35" i="12" s="1"/>
  <c r="DM34" i="10"/>
  <c r="BD34" i="10"/>
  <c r="AV78" i="1"/>
  <c r="AT46" i="1"/>
  <c r="AT44" i="1"/>
  <c r="AT38" i="1"/>
  <c r="BB58" i="12"/>
  <c r="DJ58" i="12"/>
  <c r="BF57" i="10"/>
  <c r="AS53" i="14"/>
  <c r="J60" i="15"/>
  <c r="R60" i="15"/>
  <c r="Q60" i="15"/>
  <c r="K60" i="15"/>
  <c r="H61" i="15"/>
  <c r="L60" i="15"/>
  <c r="P60" i="15"/>
  <c r="I60" i="15"/>
  <c r="O60" i="15"/>
  <c r="AT61" i="14"/>
  <c r="AY12" i="12"/>
  <c r="DG12" i="12" s="1"/>
  <c r="DL11" i="10"/>
  <c r="BC11" i="10"/>
  <c r="AZ36" i="12"/>
  <c r="DH36" i="12" s="1"/>
  <c r="DM35" i="10"/>
  <c r="BD35" i="10"/>
  <c r="BE59" i="10"/>
  <c r="DN59" i="10"/>
  <c r="BA60" i="12"/>
  <c r="DI60" i="12" s="1"/>
  <c r="AZ30" i="12"/>
  <c r="DH30" i="12" s="1"/>
  <c r="DM29" i="10"/>
  <c r="BD29" i="10"/>
  <c r="AT16" i="1"/>
  <c r="AT55" i="1"/>
  <c r="AT52" i="14"/>
  <c r="AT20" i="1"/>
  <c r="AT45" i="14"/>
  <c r="AT46" i="14"/>
  <c r="DM26" i="10"/>
  <c r="BD26" i="10"/>
  <c r="AZ27" i="12"/>
  <c r="DH27" i="12"/>
  <c r="AS44" i="14"/>
  <c r="DM48" i="10"/>
  <c r="AZ49" i="12"/>
  <c r="DH49" i="12" s="1"/>
  <c r="BD48" i="10"/>
  <c r="BD40" i="10"/>
  <c r="AZ41" i="12"/>
  <c r="DH41" i="12" s="1"/>
  <c r="DM40" i="10"/>
  <c r="AS45" i="14"/>
  <c r="AS42" i="14"/>
  <c r="AY19" i="12"/>
  <c r="DG19" i="12"/>
  <c r="DL18" i="10"/>
  <c r="BC18" i="10"/>
  <c r="AS66" i="14"/>
  <c r="AS29" i="14"/>
  <c r="BA42" i="12"/>
  <c r="DI42" i="12"/>
  <c r="DN41" i="10"/>
  <c r="BE41" i="10"/>
  <c r="AS58" i="14"/>
  <c r="AS26" i="14"/>
  <c r="BA56" i="12"/>
  <c r="DI56" i="12"/>
  <c r="BE55" i="10"/>
  <c r="DN55" i="10"/>
  <c r="AS49" i="14"/>
  <c r="DM44" i="10"/>
  <c r="AZ45" i="12"/>
  <c r="BD44" i="10"/>
  <c r="DH45" i="12"/>
  <c r="AZ53" i="12"/>
  <c r="DH53" i="12"/>
  <c r="DM52" i="10"/>
  <c r="BD52" i="10"/>
  <c r="AS40" i="14"/>
  <c r="BD22" i="10"/>
  <c r="AZ23" i="12"/>
  <c r="DH23" i="12" s="1"/>
  <c r="DM22" i="10"/>
  <c r="AX231" i="14"/>
  <c r="AW230" i="14"/>
  <c r="BD20" i="10"/>
  <c r="AZ21" i="12"/>
  <c r="DH21" i="12" s="1"/>
  <c r="DM20" i="10"/>
  <c r="BD56" i="10"/>
  <c r="DM56" i="10"/>
  <c r="AZ57" i="12"/>
  <c r="DH57" i="12"/>
  <c r="AT31" i="1"/>
  <c r="AT56" i="1"/>
  <c r="AT14" i="1"/>
  <c r="AT22" i="1"/>
  <c r="AT34" i="1"/>
  <c r="AT53" i="1"/>
  <c r="DO53" i="10"/>
  <c r="BF53" i="10"/>
  <c r="BB54" i="12"/>
  <c r="DJ54" i="12"/>
  <c r="AS59" i="14"/>
  <c r="AZ22" i="12"/>
  <c r="DH22" i="12" s="1"/>
  <c r="DM21" i="10"/>
  <c r="BD21" i="10"/>
  <c r="AS47" i="14"/>
  <c r="G130" i="1"/>
  <c r="C130" i="1"/>
  <c r="B130" i="1"/>
  <c r="D130" i="1"/>
  <c r="E130" i="1"/>
  <c r="A131" i="1"/>
  <c r="F130" i="1"/>
  <c r="H130" i="1"/>
  <c r="I130" i="1"/>
  <c r="J130" i="1"/>
  <c r="K130" i="1"/>
  <c r="L130" i="1"/>
  <c r="M130" i="1"/>
  <c r="N130" i="1"/>
  <c r="O130" i="1"/>
  <c r="P130" i="1"/>
  <c r="Q130" i="1"/>
  <c r="R130" i="1"/>
  <c r="S130" i="1"/>
  <c r="T130" i="1"/>
  <c r="U130" i="1"/>
  <c r="V130" i="1"/>
  <c r="W130" i="1"/>
  <c r="X130" i="1"/>
  <c r="Y130" i="1"/>
  <c r="Z130" i="1"/>
  <c r="AA130" i="1"/>
  <c r="AB130" i="1"/>
  <c r="AC130" i="1"/>
  <c r="AD130" i="1"/>
  <c r="AE130" i="1"/>
  <c r="AF130" i="1"/>
  <c r="AG130" i="1"/>
  <c r="AH130" i="1"/>
  <c r="AI130" i="1"/>
  <c r="AJ130" i="1"/>
  <c r="AK130" i="1"/>
  <c r="AL130" i="1"/>
  <c r="AM130" i="1"/>
  <c r="AN130" i="1"/>
  <c r="AO130" i="1"/>
  <c r="AP130" i="1"/>
  <c r="AQ130" i="1"/>
  <c r="AR130" i="1"/>
  <c r="AS130" i="1"/>
  <c r="AT130" i="1"/>
  <c r="AU130" i="1"/>
  <c r="AV130" i="1"/>
  <c r="BC14" i="10"/>
  <c r="AY15" i="12"/>
  <c r="DG15" i="12" s="1"/>
  <c r="DL14" i="10"/>
  <c r="AS50" i="14"/>
  <c r="AU36" i="14" l="1"/>
  <c r="AU59" i="14"/>
  <c r="DM18" i="10"/>
  <c r="BD18" i="10"/>
  <c r="AZ19" i="12"/>
  <c r="DH19" i="12"/>
  <c r="BC58" i="12"/>
  <c r="DK58" i="12"/>
  <c r="BG57" i="10"/>
  <c r="DP57" i="10"/>
  <c r="AT43" i="14"/>
  <c r="BA57" i="12"/>
  <c r="DI57" i="12"/>
  <c r="DN56" i="10"/>
  <c r="BE56" i="10"/>
  <c r="DO55" i="10"/>
  <c r="BF55" i="10"/>
  <c r="BB56" i="12"/>
  <c r="DJ56" i="12" s="1"/>
  <c r="H62" i="15"/>
  <c r="R61" i="15"/>
  <c r="Q61" i="15"/>
  <c r="P61" i="15"/>
  <c r="I61" i="15"/>
  <c r="O61" i="15"/>
  <c r="L61" i="15"/>
  <c r="K61" i="15"/>
  <c r="J61" i="15"/>
  <c r="DO57" i="10"/>
  <c r="BA81" i="1"/>
  <c r="AZ80" i="1"/>
  <c r="BA29" i="12"/>
  <c r="DI29" i="12"/>
  <c r="DN28" i="10"/>
  <c r="BE28" i="10"/>
  <c r="D56" i="13"/>
  <c r="ED59" i="12"/>
  <c r="AZ22" i="14"/>
  <c r="AY21" i="14"/>
  <c r="AU57" i="1"/>
  <c r="AU15" i="1"/>
  <c r="AU20" i="1"/>
  <c r="AU26" i="1"/>
  <c r="AU51" i="1"/>
  <c r="AU39" i="14"/>
  <c r="BA32" i="12"/>
  <c r="DI32" i="12" s="1"/>
  <c r="DN31" i="10"/>
  <c r="BE31" i="10"/>
  <c r="AT57" i="14"/>
  <c r="BA25" i="12"/>
  <c r="DI25" i="12"/>
  <c r="DN24" i="10"/>
  <c r="BE24" i="10"/>
  <c r="BD59" i="12"/>
  <c r="DL59" i="12" s="1"/>
  <c r="BH58" i="10"/>
  <c r="DQ58" i="10"/>
  <c r="DN42" i="10"/>
  <c r="BE42" i="10"/>
  <c r="BA43" i="12"/>
  <c r="DI43" i="12" s="1"/>
  <c r="AU33" i="14"/>
  <c r="AU28" i="14"/>
  <c r="AU45" i="1"/>
  <c r="AU32" i="1"/>
  <c r="AU36" i="1"/>
  <c r="BC162" i="14"/>
  <c r="BB161" i="14"/>
  <c r="BB42" i="12"/>
  <c r="DJ42" i="12"/>
  <c r="DO41" i="10"/>
  <c r="BF41" i="10"/>
  <c r="BA47" i="12"/>
  <c r="DI47" i="12" s="1"/>
  <c r="DN46" i="10"/>
  <c r="BE46" i="10"/>
  <c r="AU46" i="14"/>
  <c r="AT23" i="14"/>
  <c r="BA23" i="12"/>
  <c r="DI23" i="12" s="1"/>
  <c r="DN22" i="10"/>
  <c r="BE22" i="10"/>
  <c r="DN44" i="10"/>
  <c r="BE44" i="10"/>
  <c r="BA45" i="12"/>
  <c r="DI45" i="12" s="1"/>
  <c r="BA41" i="12"/>
  <c r="DI41" i="12" s="1"/>
  <c r="DN40" i="10"/>
  <c r="BE40" i="10"/>
  <c r="DM11" i="10"/>
  <c r="BD11" i="10"/>
  <c r="AZ12" i="12"/>
  <c r="DH12" i="12" s="1"/>
  <c r="DN38" i="10"/>
  <c r="BE38" i="10"/>
  <c r="BA39" i="12"/>
  <c r="DI39" i="12"/>
  <c r="BE54" i="10"/>
  <c r="DN54" i="10"/>
  <c r="BA55" i="12"/>
  <c r="DI55" i="12" s="1"/>
  <c r="BA93" i="14"/>
  <c r="AZ92" i="14"/>
  <c r="DM13" i="10"/>
  <c r="BD13" i="10"/>
  <c r="AZ14" i="12"/>
  <c r="DH14" i="12"/>
  <c r="DH20" i="12"/>
  <c r="DM19" i="10"/>
  <c r="BD19" i="10"/>
  <c r="AZ20" i="12"/>
  <c r="A64" i="1"/>
  <c r="C63" i="1"/>
  <c r="C72" i="14" s="1"/>
  <c r="B63" i="1"/>
  <c r="B72" i="14" s="1"/>
  <c r="D63" i="1"/>
  <c r="D72" i="14" s="1"/>
  <c r="E63" i="1"/>
  <c r="E72" i="14" s="1"/>
  <c r="F63" i="1"/>
  <c r="F72" i="14" s="1"/>
  <c r="F60" i="15" s="1"/>
  <c r="G63" i="1"/>
  <c r="G72" i="14" s="1"/>
  <c r="H63" i="1"/>
  <c r="H72" i="14" s="1"/>
  <c r="E60" i="15" s="1"/>
  <c r="I63" i="1"/>
  <c r="I72" i="14" s="1"/>
  <c r="J63" i="1"/>
  <c r="J72" i="14" s="1"/>
  <c r="D60" i="15" s="1"/>
  <c r="K63" i="1"/>
  <c r="K72" i="14" s="1"/>
  <c r="L63" i="1"/>
  <c r="L72" i="14" s="1"/>
  <c r="C60" i="15" s="1"/>
  <c r="M63" i="1"/>
  <c r="M72" i="14" s="1"/>
  <c r="N63" i="1"/>
  <c r="N72" i="14" s="1"/>
  <c r="O63" i="1"/>
  <c r="O72" i="14" s="1"/>
  <c r="P63" i="1"/>
  <c r="P72" i="14" s="1"/>
  <c r="Q63" i="1"/>
  <c r="Q72" i="14" s="1"/>
  <c r="R63" i="1"/>
  <c r="R72" i="14" s="1"/>
  <c r="S63" i="1"/>
  <c r="S72" i="14" s="1"/>
  <c r="T63" i="1"/>
  <c r="T72" i="14" s="1"/>
  <c r="U63" i="1"/>
  <c r="U72" i="14" s="1"/>
  <c r="V63" i="1"/>
  <c r="V72" i="14" s="1"/>
  <c r="W63" i="1"/>
  <c r="W72" i="14" s="1"/>
  <c r="X63" i="1"/>
  <c r="X72" i="14" s="1"/>
  <c r="Y63" i="1"/>
  <c r="Y72" i="14" s="1"/>
  <c r="Z63" i="1"/>
  <c r="Z72" i="14" s="1"/>
  <c r="AA63" i="1"/>
  <c r="AA72" i="14" s="1"/>
  <c r="AB63" i="1"/>
  <c r="AB72" i="14" s="1"/>
  <c r="AC63" i="1"/>
  <c r="AC72" i="14" s="1"/>
  <c r="AD63" i="1"/>
  <c r="AD72" i="14" s="1"/>
  <c r="AE63" i="1"/>
  <c r="AE72" i="14" s="1"/>
  <c r="AF63" i="1"/>
  <c r="AF72" i="14" s="1"/>
  <c r="AG63" i="1"/>
  <c r="AG72" i="14" s="1"/>
  <c r="AH63" i="1"/>
  <c r="AH72" i="14" s="1"/>
  <c r="AI63" i="1"/>
  <c r="AI72" i="14" s="1"/>
  <c r="AJ63" i="1"/>
  <c r="AJ72" i="14" s="1"/>
  <c r="AK63" i="1"/>
  <c r="AK72" i="14" s="1"/>
  <c r="AL63" i="1"/>
  <c r="AL72" i="14" s="1"/>
  <c r="AM63" i="1"/>
  <c r="AM72" i="14" s="1"/>
  <c r="AN63" i="1"/>
  <c r="AN72" i="14" s="1"/>
  <c r="AO63" i="1"/>
  <c r="AO72" i="14" s="1"/>
  <c r="AP63" i="1"/>
  <c r="AP72" i="14" s="1"/>
  <c r="AQ63" i="1"/>
  <c r="AQ72" i="14" s="1"/>
  <c r="AR63" i="1"/>
  <c r="AR72" i="14" s="1"/>
  <c r="AS63" i="1"/>
  <c r="AS72" i="14" s="1"/>
  <c r="AT63" i="1"/>
  <c r="AT72" i="14" s="1"/>
  <c r="AU17" i="1"/>
  <c r="AU23" i="1"/>
  <c r="AU49" i="1"/>
  <c r="AU59" i="1"/>
  <c r="AV60" i="1" s="1"/>
  <c r="AU34" i="1"/>
  <c r="AU22" i="1"/>
  <c r="AT56" i="14"/>
  <c r="AT62" i="14"/>
  <c r="AT65" i="14"/>
  <c r="BA27" i="12"/>
  <c r="DI27" i="12"/>
  <c r="DN26" i="10"/>
  <c r="BE26" i="10"/>
  <c r="AT47" i="14"/>
  <c r="BA38" i="12"/>
  <c r="DI38" i="12"/>
  <c r="DN37" i="10"/>
  <c r="BE37" i="10"/>
  <c r="BB48" i="12"/>
  <c r="DJ48" i="12" s="1"/>
  <c r="DO47" i="10"/>
  <c r="BF47" i="10"/>
  <c r="DN33" i="10"/>
  <c r="BE33" i="10"/>
  <c r="BA34" i="12"/>
  <c r="DI34" i="12"/>
  <c r="AU41" i="1"/>
  <c r="AU48" i="1"/>
  <c r="AU18" i="1"/>
  <c r="AU42" i="1"/>
  <c r="AU58" i="1"/>
  <c r="AU21" i="1"/>
  <c r="AV22" i="1" s="1"/>
  <c r="AU44" i="1"/>
  <c r="BB40" i="12"/>
  <c r="DJ40" i="12"/>
  <c r="DO39" i="10"/>
  <c r="BF39" i="10"/>
  <c r="BC44" i="12"/>
  <c r="BG43" i="10"/>
  <c r="DK44" i="12"/>
  <c r="DP43" i="10"/>
  <c r="AW78" i="1"/>
  <c r="AU47" i="14"/>
  <c r="AU54" i="1"/>
  <c r="AZ15" i="12"/>
  <c r="DH15" i="12" s="1"/>
  <c r="DM14" i="10"/>
  <c r="BD14" i="10"/>
  <c r="AT40" i="14"/>
  <c r="BA21" i="12"/>
  <c r="DI21" i="12"/>
  <c r="DN20" i="10"/>
  <c r="BE20" i="10"/>
  <c r="DN48" i="10"/>
  <c r="BE48" i="10"/>
  <c r="BA49" i="12"/>
  <c r="DI49" i="12"/>
  <c r="AT64" i="14"/>
  <c r="BB60" i="12"/>
  <c r="DJ60" i="12" s="1"/>
  <c r="BF59" i="10"/>
  <c r="DO59" i="10"/>
  <c r="AT53" i="14"/>
  <c r="DN34" i="10"/>
  <c r="BE34" i="10"/>
  <c r="BA35" i="12"/>
  <c r="DI35" i="12" s="1"/>
  <c r="DM15" i="10"/>
  <c r="BD15" i="10"/>
  <c r="AZ16" i="12"/>
  <c r="DH16" i="12"/>
  <c r="BB50" i="12"/>
  <c r="DO49" i="10"/>
  <c r="DJ50" i="12"/>
  <c r="BF49" i="10"/>
  <c r="BA37" i="12"/>
  <c r="DI37" i="12"/>
  <c r="DN36" i="10"/>
  <c r="BE36" i="10"/>
  <c r="BC52" i="12"/>
  <c r="BG51" i="10"/>
  <c r="DK52" i="12"/>
  <c r="DP51" i="10"/>
  <c r="AU43" i="1"/>
  <c r="AU14" i="1"/>
  <c r="AU40" i="1"/>
  <c r="AU53" i="1"/>
  <c r="AU52" i="1"/>
  <c r="AU47" i="1"/>
  <c r="BA33" i="12"/>
  <c r="DI33" i="12" s="1"/>
  <c r="DN32" i="10"/>
  <c r="BE32" i="10"/>
  <c r="BD12" i="10"/>
  <c r="DM12" i="10"/>
  <c r="AZ13" i="12"/>
  <c r="DH13" i="12"/>
  <c r="AT35" i="14"/>
  <c r="AT31" i="14"/>
  <c r="A132" i="1"/>
  <c r="G131" i="1"/>
  <c r="B131" i="1"/>
  <c r="C131" i="1"/>
  <c r="D131" i="1"/>
  <c r="E131" i="1"/>
  <c r="F131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T131" i="1"/>
  <c r="U131" i="1"/>
  <c r="V131" i="1"/>
  <c r="W131" i="1"/>
  <c r="X131" i="1"/>
  <c r="Y131" i="1"/>
  <c r="Z131" i="1"/>
  <c r="AA131" i="1"/>
  <c r="AB131" i="1"/>
  <c r="AC131" i="1"/>
  <c r="AD131" i="1"/>
  <c r="AE131" i="1"/>
  <c r="AF131" i="1"/>
  <c r="AG131" i="1"/>
  <c r="AH131" i="1"/>
  <c r="AI131" i="1"/>
  <c r="AJ131" i="1"/>
  <c r="AK131" i="1"/>
  <c r="AL131" i="1"/>
  <c r="AM131" i="1"/>
  <c r="AN131" i="1"/>
  <c r="AO131" i="1"/>
  <c r="AP131" i="1"/>
  <c r="AQ131" i="1"/>
  <c r="AR131" i="1"/>
  <c r="AS131" i="1"/>
  <c r="AT131" i="1"/>
  <c r="AU131" i="1"/>
  <c r="AV131" i="1"/>
  <c r="AW131" i="1"/>
  <c r="BC54" i="12"/>
  <c r="DK54" i="12" s="1"/>
  <c r="DP53" i="10"/>
  <c r="BG53" i="10"/>
  <c r="BE52" i="10"/>
  <c r="DN52" i="10"/>
  <c r="BA53" i="12"/>
  <c r="DI53" i="12" s="1"/>
  <c r="AT25" i="14"/>
  <c r="AT55" i="14"/>
  <c r="AX131" i="1"/>
  <c r="BA24" i="12"/>
  <c r="DI24" i="12"/>
  <c r="DN23" i="10"/>
  <c r="BE23" i="10"/>
  <c r="EB60" i="12"/>
  <c r="E57" i="13" s="1"/>
  <c r="EA61" i="12"/>
  <c r="EC60" i="12"/>
  <c r="B57" i="13"/>
  <c r="AX13" i="1"/>
  <c r="AW12" i="1"/>
  <c r="AV51" i="1" s="1"/>
  <c r="AT37" i="14"/>
  <c r="AZ18" i="12"/>
  <c r="DH18" i="12" s="1"/>
  <c r="DM17" i="10"/>
  <c r="BD17" i="10"/>
  <c r="DM16" i="10"/>
  <c r="BD16" i="10"/>
  <c r="AZ17" i="12"/>
  <c r="DH17" i="12"/>
  <c r="AU39" i="1"/>
  <c r="AU46" i="1"/>
  <c r="AU29" i="1"/>
  <c r="AU55" i="1"/>
  <c r="DN27" i="10"/>
  <c r="BE27" i="10"/>
  <c r="BA28" i="12"/>
  <c r="DI28" i="12"/>
  <c r="BB46" i="12"/>
  <c r="DJ46" i="12" s="1"/>
  <c r="DO45" i="10"/>
  <c r="BF45" i="10"/>
  <c r="DN30" i="10"/>
  <c r="BE30" i="10"/>
  <c r="BA31" i="12"/>
  <c r="DI31" i="12"/>
  <c r="AU40" i="14"/>
  <c r="AT29" i="14"/>
  <c r="BA22" i="12"/>
  <c r="DI22" i="12" s="1"/>
  <c r="BE21" i="10"/>
  <c r="DN21" i="10"/>
  <c r="AX230" i="14"/>
  <c r="AY231" i="14"/>
  <c r="DN29" i="10"/>
  <c r="BE29" i="10"/>
  <c r="BA30" i="12"/>
  <c r="DI30" i="12"/>
  <c r="DN35" i="10"/>
  <c r="BE35" i="10"/>
  <c r="BA36" i="12"/>
  <c r="DI36" i="12" s="1"/>
  <c r="AT24" i="14"/>
  <c r="AV62" i="1"/>
  <c r="AV71" i="14" s="1"/>
  <c r="AV61" i="1"/>
  <c r="AV70" i="14" s="1"/>
  <c r="AV64" i="1"/>
  <c r="AV73" i="14" s="1"/>
  <c r="AV30" i="1"/>
  <c r="AV45" i="1"/>
  <c r="AV27" i="1"/>
  <c r="AV33" i="1"/>
  <c r="AV37" i="1"/>
  <c r="AV36" i="1"/>
  <c r="AV15" i="1"/>
  <c r="AV47" i="1"/>
  <c r="AV50" i="1"/>
  <c r="AV39" i="1"/>
  <c r="AV19" i="1"/>
  <c r="AV58" i="1"/>
  <c r="AV38" i="1"/>
  <c r="AV35" i="1"/>
  <c r="AV44" i="1"/>
  <c r="AV25" i="1"/>
  <c r="AV42" i="1"/>
  <c r="AV49" i="1"/>
  <c r="AV23" i="1"/>
  <c r="AV59" i="1"/>
  <c r="AV24" i="1"/>
  <c r="AV20" i="1"/>
  <c r="AV46" i="1"/>
  <c r="AV55" i="1"/>
  <c r="AV28" i="1"/>
  <c r="AV48" i="1"/>
  <c r="AV63" i="1"/>
  <c r="AV72" i="14" s="1"/>
  <c r="AV7" i="1"/>
  <c r="AV26" i="1"/>
  <c r="AV52" i="1"/>
  <c r="AV41" i="1"/>
  <c r="AV43" i="1"/>
  <c r="AV18" i="1"/>
  <c r="AV14" i="1"/>
  <c r="AV8" i="1"/>
  <c r="AV9" i="1"/>
  <c r="AT33" i="14"/>
  <c r="DN25" i="10"/>
  <c r="BE25" i="10"/>
  <c r="BA26" i="12"/>
  <c r="DI26" i="12" s="1"/>
  <c r="DP58" i="10"/>
  <c r="AU16" i="1"/>
  <c r="AU35" i="1"/>
  <c r="AU25" i="1"/>
  <c r="AU33" i="1"/>
  <c r="AU28" i="1"/>
  <c r="AU56" i="1"/>
  <c r="AV57" i="1" s="1"/>
  <c r="AU63" i="1"/>
  <c r="AU72" i="14" s="1"/>
  <c r="BA51" i="12"/>
  <c r="DI51" i="12" s="1"/>
  <c r="DN50" i="10"/>
  <c r="BE50" i="10"/>
  <c r="AV66" i="14" l="1"/>
  <c r="AV60" i="14"/>
  <c r="AV31" i="14"/>
  <c r="AV69" i="14"/>
  <c r="AV51" i="14"/>
  <c r="BB41" i="12"/>
  <c r="DJ41" i="12"/>
  <c r="DO40" i="10"/>
  <c r="BF40" i="10"/>
  <c r="BB23" i="12"/>
  <c r="DJ23" i="12"/>
  <c r="DO22" i="10"/>
  <c r="BF22" i="10"/>
  <c r="AU24" i="14"/>
  <c r="AU42" i="14"/>
  <c r="AV34" i="1"/>
  <c r="AV31" i="1"/>
  <c r="AV54" i="1"/>
  <c r="AV21" i="1"/>
  <c r="B132" i="1"/>
  <c r="C132" i="1"/>
  <c r="D132" i="1"/>
  <c r="E132" i="1"/>
  <c r="G132" i="1"/>
  <c r="A133" i="1"/>
  <c r="AZ133" i="1" s="1"/>
  <c r="F132" i="1"/>
  <c r="H132" i="1"/>
  <c r="I132" i="1"/>
  <c r="J132" i="1"/>
  <c r="K132" i="1"/>
  <c r="L132" i="1"/>
  <c r="M132" i="1"/>
  <c r="N132" i="1"/>
  <c r="O132" i="1"/>
  <c r="P132" i="1"/>
  <c r="Q132" i="1"/>
  <c r="R132" i="1"/>
  <c r="S132" i="1"/>
  <c r="T132" i="1"/>
  <c r="U132" i="1"/>
  <c r="V132" i="1"/>
  <c r="W132" i="1"/>
  <c r="X132" i="1"/>
  <c r="Y132" i="1"/>
  <c r="Z132" i="1"/>
  <c r="AA132" i="1"/>
  <c r="AB132" i="1"/>
  <c r="AC132" i="1"/>
  <c r="AD132" i="1"/>
  <c r="AE132" i="1"/>
  <c r="AF132" i="1"/>
  <c r="AG132" i="1"/>
  <c r="AH132" i="1"/>
  <c r="AI132" i="1"/>
  <c r="AJ132" i="1"/>
  <c r="AK132" i="1"/>
  <c r="AL132" i="1"/>
  <c r="AM132" i="1"/>
  <c r="AN132" i="1"/>
  <c r="AO132" i="1"/>
  <c r="AP132" i="1"/>
  <c r="AQ132" i="1"/>
  <c r="AR132" i="1"/>
  <c r="AS132" i="1"/>
  <c r="AT132" i="1"/>
  <c r="AU132" i="1"/>
  <c r="AV132" i="1"/>
  <c r="AW132" i="1"/>
  <c r="AX132" i="1"/>
  <c r="BA13" i="12"/>
  <c r="DI13" i="12"/>
  <c r="DN12" i="10"/>
  <c r="BE12" i="10"/>
  <c r="AU49" i="14"/>
  <c r="BD44" i="12"/>
  <c r="DL44" i="12" s="1"/>
  <c r="BH43" i="10"/>
  <c r="DQ43" i="10"/>
  <c r="AU67" i="14"/>
  <c r="AU58" i="14"/>
  <c r="C64" i="1"/>
  <c r="C73" i="14" s="1"/>
  <c r="B64" i="1"/>
  <c r="B73" i="14" s="1"/>
  <c r="A65" i="1"/>
  <c r="D64" i="1"/>
  <c r="D73" i="14" s="1"/>
  <c r="E64" i="1"/>
  <c r="E73" i="14" s="1"/>
  <c r="F64" i="1"/>
  <c r="F73" i="14" s="1"/>
  <c r="F61" i="15" s="1"/>
  <c r="G64" i="1"/>
  <c r="G73" i="14" s="1"/>
  <c r="H64" i="1"/>
  <c r="H73" i="14" s="1"/>
  <c r="E61" i="15" s="1"/>
  <c r="I64" i="1"/>
  <c r="I73" i="14" s="1"/>
  <c r="J64" i="1"/>
  <c r="J73" i="14" s="1"/>
  <c r="D61" i="15" s="1"/>
  <c r="K64" i="1"/>
  <c r="K73" i="14" s="1"/>
  <c r="L64" i="1"/>
  <c r="L73" i="14" s="1"/>
  <c r="C61" i="15" s="1"/>
  <c r="M64" i="1"/>
  <c r="M73" i="14" s="1"/>
  <c r="N64" i="1"/>
  <c r="N73" i="14" s="1"/>
  <c r="O64" i="1"/>
  <c r="O73" i="14" s="1"/>
  <c r="P64" i="1"/>
  <c r="P73" i="14" s="1"/>
  <c r="Q64" i="1"/>
  <c r="Q73" i="14" s="1"/>
  <c r="R64" i="1"/>
  <c r="R73" i="14" s="1"/>
  <c r="S64" i="1"/>
  <c r="S73" i="14" s="1"/>
  <c r="T64" i="1"/>
  <c r="T73" i="14" s="1"/>
  <c r="U64" i="1"/>
  <c r="U73" i="14" s="1"/>
  <c r="V64" i="1"/>
  <c r="V73" i="14" s="1"/>
  <c r="W64" i="1"/>
  <c r="W73" i="14" s="1"/>
  <c r="X64" i="1"/>
  <c r="X73" i="14" s="1"/>
  <c r="Y64" i="1"/>
  <c r="Y73" i="14" s="1"/>
  <c r="Z64" i="1"/>
  <c r="Z73" i="14" s="1"/>
  <c r="AA64" i="1"/>
  <c r="AA73" i="14" s="1"/>
  <c r="AB64" i="1"/>
  <c r="AB73" i="14" s="1"/>
  <c r="AC64" i="1"/>
  <c r="AC73" i="14" s="1"/>
  <c r="AD64" i="1"/>
  <c r="AD73" i="14" s="1"/>
  <c r="AE64" i="1"/>
  <c r="AE73" i="14" s="1"/>
  <c r="AF64" i="1"/>
  <c r="AF73" i="14" s="1"/>
  <c r="AG64" i="1"/>
  <c r="AG73" i="14" s="1"/>
  <c r="AH64" i="1"/>
  <c r="AH73" i="14" s="1"/>
  <c r="AI64" i="1"/>
  <c r="AI73" i="14" s="1"/>
  <c r="AJ64" i="1"/>
  <c r="AJ73" i="14" s="1"/>
  <c r="AK64" i="1"/>
  <c r="AK73" i="14" s="1"/>
  <c r="AL64" i="1"/>
  <c r="AL73" i="14" s="1"/>
  <c r="AM64" i="1"/>
  <c r="AM73" i="14" s="1"/>
  <c r="AN64" i="1"/>
  <c r="AN73" i="14" s="1"/>
  <c r="AO64" i="1"/>
  <c r="AO73" i="14" s="1"/>
  <c r="AP64" i="1"/>
  <c r="AP73" i="14" s="1"/>
  <c r="AQ64" i="1"/>
  <c r="AQ73" i="14" s="1"/>
  <c r="AR64" i="1"/>
  <c r="AR73" i="14" s="1"/>
  <c r="AS64" i="1"/>
  <c r="AS73" i="14" s="1"/>
  <c r="AT64" i="1"/>
  <c r="AT73" i="14" s="1"/>
  <c r="AU64" i="1"/>
  <c r="AU73" i="14" s="1"/>
  <c r="BC161" i="14"/>
  <c r="BD162" i="14"/>
  <c r="BB25" i="12"/>
  <c r="DJ25" i="12"/>
  <c r="DO24" i="10"/>
  <c r="BF24" i="10"/>
  <c r="AU66" i="14"/>
  <c r="I62" i="15"/>
  <c r="H63" i="15"/>
  <c r="R62" i="15"/>
  <c r="Q62" i="15"/>
  <c r="J62" i="15"/>
  <c r="P62" i="15"/>
  <c r="K62" i="15"/>
  <c r="L62" i="15"/>
  <c r="O62" i="15"/>
  <c r="AV35" i="14"/>
  <c r="AV29" i="14"/>
  <c r="AV34" i="14"/>
  <c r="AV67" i="14"/>
  <c r="AV46" i="14"/>
  <c r="DO21" i="10"/>
  <c r="BF21" i="10"/>
  <c r="BB22" i="12"/>
  <c r="DJ22" i="12" s="1"/>
  <c r="BB31" i="12"/>
  <c r="DJ31" i="12" s="1"/>
  <c r="DO30" i="10"/>
  <c r="BF30" i="10"/>
  <c r="BB28" i="12"/>
  <c r="DO27" i="10"/>
  <c r="DJ28" i="12"/>
  <c r="BF27" i="10"/>
  <c r="BA17" i="12"/>
  <c r="DI17" i="12" s="1"/>
  <c r="DN16" i="10"/>
  <c r="BE16" i="10"/>
  <c r="AW17" i="1"/>
  <c r="AW64" i="1"/>
  <c r="AW73" i="14" s="1"/>
  <c r="AW63" i="1"/>
  <c r="AW72" i="14" s="1"/>
  <c r="AW7" i="1"/>
  <c r="AW65" i="1"/>
  <c r="AW74" i="14" s="1"/>
  <c r="AW14" i="1"/>
  <c r="AW62" i="1"/>
  <c r="AW71" i="14" s="1"/>
  <c r="AW61" i="1"/>
  <c r="AW48" i="1"/>
  <c r="AW8" i="1"/>
  <c r="AW9" i="1"/>
  <c r="BB33" i="12"/>
  <c r="DJ33" i="12"/>
  <c r="DO32" i="10"/>
  <c r="BF32" i="10"/>
  <c r="AU23" i="14"/>
  <c r="BA16" i="12"/>
  <c r="DI16" i="12" s="1"/>
  <c r="DN15" i="10"/>
  <c r="BE15" i="10"/>
  <c r="BB49" i="12"/>
  <c r="DO48" i="10"/>
  <c r="DJ49" i="12"/>
  <c r="BF48" i="10"/>
  <c r="BA15" i="12"/>
  <c r="DI15" i="12"/>
  <c r="DN14" i="10"/>
  <c r="BE14" i="10"/>
  <c r="AU51" i="14"/>
  <c r="DP47" i="10"/>
  <c r="DK48" i="12"/>
  <c r="BC48" i="12"/>
  <c r="BG47" i="10"/>
  <c r="AU32" i="14"/>
  <c r="BB39" i="12"/>
  <c r="DO38" i="10"/>
  <c r="DJ39" i="12"/>
  <c r="BF38" i="10"/>
  <c r="AU45" i="14"/>
  <c r="AX78" i="1"/>
  <c r="BA19" i="12"/>
  <c r="DI19" i="12" s="1"/>
  <c r="DN18" i="10"/>
  <c r="BE18" i="10"/>
  <c r="AV55" i="14"/>
  <c r="BA14" i="12"/>
  <c r="DI14" i="12" s="1"/>
  <c r="DN13" i="10"/>
  <c r="BE13" i="10"/>
  <c r="BB51" i="12"/>
  <c r="DJ51" i="12"/>
  <c r="DO50" i="10"/>
  <c r="BF50" i="10"/>
  <c r="AU44" i="14"/>
  <c r="AV27" i="14"/>
  <c r="AV33" i="14"/>
  <c r="AV42" i="14"/>
  <c r="AY13" i="1"/>
  <c r="AX12" i="1"/>
  <c r="AW19" i="1" s="1"/>
  <c r="AU52" i="14"/>
  <c r="AY132" i="1"/>
  <c r="BC40" i="12"/>
  <c r="DK40" i="12" s="1"/>
  <c r="DP39" i="10"/>
  <c r="BG39" i="10"/>
  <c r="AU27" i="14"/>
  <c r="AU26" i="14"/>
  <c r="BA20" i="12"/>
  <c r="BE19" i="10"/>
  <c r="DI20" i="12"/>
  <c r="DN19" i="10"/>
  <c r="BA92" i="14"/>
  <c r="BB93" i="14"/>
  <c r="AU41" i="14"/>
  <c r="BB43" i="12"/>
  <c r="DO42" i="10"/>
  <c r="DJ43" i="12"/>
  <c r="BF42" i="10"/>
  <c r="AZ21" i="14"/>
  <c r="BA22" i="14"/>
  <c r="BA80" i="1"/>
  <c r="BB81" i="1"/>
  <c r="AV39" i="14"/>
  <c r="BB24" i="12"/>
  <c r="DJ24" i="12"/>
  <c r="DO23" i="10"/>
  <c r="BF23" i="10"/>
  <c r="AU62" i="14"/>
  <c r="AU25" i="14"/>
  <c r="AV57" i="14"/>
  <c r="AV53" i="14"/>
  <c r="AV28" i="14"/>
  <c r="AV24" i="14"/>
  <c r="AV36" i="14"/>
  <c r="BB30" i="12"/>
  <c r="DO29" i="10"/>
  <c r="DJ30" i="12"/>
  <c r="BF29" i="10"/>
  <c r="BC46" i="12"/>
  <c r="BG45" i="10"/>
  <c r="DK46" i="12"/>
  <c r="DP45" i="10"/>
  <c r="AU64" i="14"/>
  <c r="BA18" i="12"/>
  <c r="DI18" i="12" s="1"/>
  <c r="DN17" i="10"/>
  <c r="BE17" i="10"/>
  <c r="G57" i="13"/>
  <c r="H57" i="13" s="1"/>
  <c r="BB53" i="12"/>
  <c r="DJ53" i="12"/>
  <c r="DO52" i="10"/>
  <c r="BF52" i="10"/>
  <c r="DP49" i="10"/>
  <c r="BC50" i="12"/>
  <c r="BG49" i="10"/>
  <c r="DK50" i="12"/>
  <c r="BC60" i="12"/>
  <c r="BG59" i="10"/>
  <c r="DP59" i="10" s="1"/>
  <c r="DK60" i="12"/>
  <c r="BB21" i="12"/>
  <c r="DJ21" i="12"/>
  <c r="DO20" i="10"/>
  <c r="BF20" i="10"/>
  <c r="AU57" i="14"/>
  <c r="DO26" i="10"/>
  <c r="BB27" i="12"/>
  <c r="DJ27" i="12" s="1"/>
  <c r="BF26" i="10"/>
  <c r="BC42" i="12"/>
  <c r="DK42" i="12"/>
  <c r="DP41" i="10"/>
  <c r="BG41" i="10"/>
  <c r="AU54" i="14"/>
  <c r="BC56" i="12"/>
  <c r="DP55" i="10"/>
  <c r="BG55" i="10"/>
  <c r="DK56" i="12"/>
  <c r="AV47" i="14"/>
  <c r="BB36" i="12"/>
  <c r="DJ36" i="12" s="1"/>
  <c r="DO35" i="10"/>
  <c r="BF35" i="10"/>
  <c r="AU30" i="14"/>
  <c r="BB34" i="12"/>
  <c r="DJ34" i="12" s="1"/>
  <c r="DO33" i="10"/>
  <c r="BF33" i="10"/>
  <c r="AU34" i="14"/>
  <c r="AV52" i="14"/>
  <c r="AV37" i="14"/>
  <c r="AV68" i="14"/>
  <c r="AV48" i="14"/>
  <c r="AV16" i="1"/>
  <c r="AV54" i="14"/>
  <c r="AU38" i="14"/>
  <c r="ED60" i="12"/>
  <c r="D57" i="13"/>
  <c r="AU50" i="14"/>
  <c r="AU60" i="14"/>
  <c r="BD58" i="12"/>
  <c r="DL58" i="12" s="1"/>
  <c r="DQ57" i="10"/>
  <c r="BH57" i="10"/>
  <c r="AU37" i="14"/>
  <c r="AV56" i="14"/>
  <c r="BB37" i="12"/>
  <c r="DJ37" i="12" s="1"/>
  <c r="DO36" i="10"/>
  <c r="BF36" i="10"/>
  <c r="AU68" i="14"/>
  <c r="AV23" i="14"/>
  <c r="AV50" i="14"/>
  <c r="AV64" i="14"/>
  <c r="AV32" i="14"/>
  <c r="AV17" i="1"/>
  <c r="AV32" i="1"/>
  <c r="AV40" i="1"/>
  <c r="AY230" i="14"/>
  <c r="AZ231" i="14"/>
  <c r="AU55" i="14"/>
  <c r="B58" i="13"/>
  <c r="G58" i="13" s="1"/>
  <c r="H58" i="13" s="1"/>
  <c r="EB61" i="12"/>
  <c r="E58" i="13" s="1"/>
  <c r="EC61" i="12"/>
  <c r="EA62" i="12"/>
  <c r="BD54" i="12"/>
  <c r="DL54" i="12" s="1"/>
  <c r="DQ53" i="10"/>
  <c r="BH53" i="10"/>
  <c r="AU56" i="14"/>
  <c r="BD52" i="12"/>
  <c r="DL52" i="12"/>
  <c r="BH51" i="10"/>
  <c r="DQ51" i="10"/>
  <c r="BB35" i="12"/>
  <c r="DO34" i="10"/>
  <c r="DJ35" i="12"/>
  <c r="BF34" i="10"/>
  <c r="AU63" i="14"/>
  <c r="BB38" i="12"/>
  <c r="DJ38" i="12"/>
  <c r="DO37" i="10"/>
  <c r="BF37" i="10"/>
  <c r="AU31" i="14"/>
  <c r="BA12" i="12"/>
  <c r="DI12" i="12" s="1"/>
  <c r="DN11" i="10"/>
  <c r="BE11" i="10"/>
  <c r="BB45" i="12"/>
  <c r="DO44" i="10"/>
  <c r="DJ45" i="12"/>
  <c r="BF44" i="10"/>
  <c r="BI58" i="10"/>
  <c r="BE59" i="12"/>
  <c r="DM59" i="12" s="1"/>
  <c r="DR58" i="10"/>
  <c r="AU35" i="14"/>
  <c r="BB29" i="12"/>
  <c r="DJ29" i="12"/>
  <c r="DO28" i="10"/>
  <c r="BF28" i="10"/>
  <c r="DO56" i="10"/>
  <c r="BF56" i="10"/>
  <c r="BB57" i="12"/>
  <c r="DJ57" i="12"/>
  <c r="BB26" i="12"/>
  <c r="DO25" i="10"/>
  <c r="DJ26" i="12"/>
  <c r="BF25" i="10"/>
  <c r="AV45" i="14"/>
  <c r="BB47" i="12"/>
  <c r="DJ47" i="12"/>
  <c r="DO46" i="10"/>
  <c r="BF46" i="10"/>
  <c r="AU65" i="14"/>
  <c r="AV61" i="14"/>
  <c r="AV29" i="1"/>
  <c r="AV58" i="14"/>
  <c r="AV44" i="14"/>
  <c r="AV59" i="14"/>
  <c r="AV53" i="1"/>
  <c r="AV56" i="1"/>
  <c r="AU48" i="14"/>
  <c r="AU61" i="14"/>
  <c r="AU53" i="14"/>
  <c r="AU43" i="14"/>
  <c r="BB55" i="12"/>
  <c r="DJ55" i="12"/>
  <c r="DO54" i="10"/>
  <c r="BF54" i="10"/>
  <c r="BB32" i="12"/>
  <c r="DJ32" i="12" s="1"/>
  <c r="DO31" i="10"/>
  <c r="BF31" i="10"/>
  <c r="AU29" i="14"/>
  <c r="AW28" i="14" l="1"/>
  <c r="DP56" i="10"/>
  <c r="BG56" i="10"/>
  <c r="BC57" i="12"/>
  <c r="DK57" i="12" s="1"/>
  <c r="AW57" i="14"/>
  <c r="DO12" i="10"/>
  <c r="BB13" i="12"/>
  <c r="DJ13" i="12" s="1"/>
  <c r="BF12" i="10"/>
  <c r="BI51" i="10"/>
  <c r="BE52" i="12"/>
  <c r="DM52" i="12"/>
  <c r="DR51" i="10"/>
  <c r="BC24" i="12"/>
  <c r="BG23" i="10"/>
  <c r="DK24" i="12"/>
  <c r="DP23" i="10"/>
  <c r="BA21" i="14"/>
  <c r="BB22" i="14"/>
  <c r="BC93" i="14"/>
  <c r="BB92" i="14"/>
  <c r="AW39" i="1"/>
  <c r="AW35" i="1"/>
  <c r="AW15" i="1"/>
  <c r="AW22" i="1"/>
  <c r="BC25" i="12"/>
  <c r="DK25" i="12" s="1"/>
  <c r="DP24" i="10"/>
  <c r="BG24" i="10"/>
  <c r="AV43" i="14"/>
  <c r="BA231" i="14"/>
  <c r="AZ230" i="14"/>
  <c r="AY78" i="1"/>
  <c r="AW70" i="14"/>
  <c r="DO16" i="10"/>
  <c r="BB17" i="12"/>
  <c r="BF16" i="10"/>
  <c r="DJ17" i="12"/>
  <c r="AV49" i="14"/>
  <c r="BD42" i="12"/>
  <c r="DL42" i="12" s="1"/>
  <c r="DQ41" i="10"/>
  <c r="BH41" i="10"/>
  <c r="DQ59" i="10"/>
  <c r="BD60" i="12"/>
  <c r="DL60" i="12" s="1"/>
  <c r="BH59" i="10"/>
  <c r="AX63" i="1"/>
  <c r="AX72" i="14" s="1"/>
  <c r="AX53" i="1"/>
  <c r="AX32" i="1"/>
  <c r="AX14" i="1"/>
  <c r="AX15" i="1"/>
  <c r="AX7" i="1"/>
  <c r="AX25" i="1"/>
  <c r="AX65" i="1"/>
  <c r="AX74" i="14" s="1"/>
  <c r="AX64" i="1"/>
  <c r="AX73" i="14" s="1"/>
  <c r="AX36" i="1"/>
  <c r="AX17" i="1"/>
  <c r="AX9" i="1"/>
  <c r="AX8" i="1"/>
  <c r="BC39" i="12"/>
  <c r="DK39" i="12" s="1"/>
  <c r="DP38" i="10"/>
  <c r="BG38" i="10"/>
  <c r="DP48" i="10"/>
  <c r="DK49" i="12"/>
  <c r="BC49" i="12"/>
  <c r="BG48" i="10"/>
  <c r="AW34" i="1"/>
  <c r="AW44" i="1"/>
  <c r="AW43" i="1"/>
  <c r="AW49" i="1"/>
  <c r="AW45" i="1"/>
  <c r="AW47" i="1"/>
  <c r="AW32" i="1"/>
  <c r="BC41" i="12"/>
  <c r="DK41" i="12"/>
  <c r="DP40" i="10"/>
  <c r="BG40" i="10"/>
  <c r="BG33" i="10"/>
  <c r="BC34" i="12"/>
  <c r="DK34" i="12" s="1"/>
  <c r="DP33" i="10"/>
  <c r="AW26" i="14"/>
  <c r="DP30" i="10"/>
  <c r="BC31" i="12"/>
  <c r="DK31" i="12" s="1"/>
  <c r="BG30" i="10"/>
  <c r="DP25" i="10"/>
  <c r="BC26" i="12"/>
  <c r="DK26" i="12" s="1"/>
  <c r="BG25" i="10"/>
  <c r="BF59" i="12"/>
  <c r="BJ58" i="10"/>
  <c r="DS58" i="10" s="1"/>
  <c r="DN59" i="12"/>
  <c r="D58" i="13"/>
  <c r="ED61" i="12"/>
  <c r="AV41" i="14"/>
  <c r="DP42" i="10"/>
  <c r="BG42" i="10"/>
  <c r="BC43" i="12"/>
  <c r="DK43" i="12" s="1"/>
  <c r="BD40" i="12"/>
  <c r="DL40" i="12" s="1"/>
  <c r="DQ39" i="10"/>
  <c r="BH39" i="10"/>
  <c r="AY12" i="1"/>
  <c r="AX29" i="1" s="1"/>
  <c r="AZ13" i="1"/>
  <c r="AW25" i="1"/>
  <c r="AW16" i="1"/>
  <c r="AW28" i="1"/>
  <c r="AW40" i="1"/>
  <c r="AW60" i="1"/>
  <c r="AW42" i="1"/>
  <c r="AW37" i="1"/>
  <c r="C65" i="1"/>
  <c r="C74" i="14" s="1"/>
  <c r="B65" i="1"/>
  <c r="B74" i="14" s="1"/>
  <c r="A66" i="1"/>
  <c r="D65" i="1"/>
  <c r="D74" i="14" s="1"/>
  <c r="E65" i="1"/>
  <c r="E74" i="14" s="1"/>
  <c r="F65" i="1"/>
  <c r="F74" i="14" s="1"/>
  <c r="F62" i="15" s="1"/>
  <c r="G65" i="1"/>
  <c r="G74" i="14" s="1"/>
  <c r="H65" i="1"/>
  <c r="H74" i="14" s="1"/>
  <c r="E62" i="15" s="1"/>
  <c r="I65" i="1"/>
  <c r="I74" i="14" s="1"/>
  <c r="J65" i="1"/>
  <c r="J74" i="14" s="1"/>
  <c r="D62" i="15" s="1"/>
  <c r="K65" i="1"/>
  <c r="K74" i="14" s="1"/>
  <c r="L65" i="1"/>
  <c r="L74" i="14" s="1"/>
  <c r="C62" i="15" s="1"/>
  <c r="M65" i="1"/>
  <c r="M74" i="14" s="1"/>
  <c r="N65" i="1"/>
  <c r="N74" i="14" s="1"/>
  <c r="O65" i="1"/>
  <c r="O74" i="14" s="1"/>
  <c r="P65" i="1"/>
  <c r="P74" i="14" s="1"/>
  <c r="Q65" i="1"/>
  <c r="Q74" i="14" s="1"/>
  <c r="R65" i="1"/>
  <c r="R74" i="14" s="1"/>
  <c r="S65" i="1"/>
  <c r="S74" i="14" s="1"/>
  <c r="T65" i="1"/>
  <c r="T74" i="14" s="1"/>
  <c r="U65" i="1"/>
  <c r="U74" i="14" s="1"/>
  <c r="V65" i="1"/>
  <c r="V74" i="14" s="1"/>
  <c r="W65" i="1"/>
  <c r="W74" i="14" s="1"/>
  <c r="X65" i="1"/>
  <c r="X74" i="14" s="1"/>
  <c r="Y65" i="1"/>
  <c r="Y74" i="14" s="1"/>
  <c r="Z65" i="1"/>
  <c r="Z74" i="14" s="1"/>
  <c r="AA65" i="1"/>
  <c r="AA74" i="14" s="1"/>
  <c r="AB65" i="1"/>
  <c r="AB74" i="14" s="1"/>
  <c r="AC65" i="1"/>
  <c r="AC74" i="14" s="1"/>
  <c r="AD65" i="1"/>
  <c r="AD74" i="14" s="1"/>
  <c r="AE65" i="1"/>
  <c r="AE74" i="14" s="1"/>
  <c r="AF65" i="1"/>
  <c r="AF74" i="14" s="1"/>
  <c r="AG65" i="1"/>
  <c r="AG74" i="14" s="1"/>
  <c r="AH65" i="1"/>
  <c r="AH74" i="14" s="1"/>
  <c r="AI65" i="1"/>
  <c r="AI74" i="14" s="1"/>
  <c r="AJ65" i="1"/>
  <c r="AJ74" i="14" s="1"/>
  <c r="AK65" i="1"/>
  <c r="AK74" i="14" s="1"/>
  <c r="AL65" i="1"/>
  <c r="AL74" i="14" s="1"/>
  <c r="AM65" i="1"/>
  <c r="AM74" i="14" s="1"/>
  <c r="AN65" i="1"/>
  <c r="AN74" i="14" s="1"/>
  <c r="AO65" i="1"/>
  <c r="AO74" i="14" s="1"/>
  <c r="AP65" i="1"/>
  <c r="AP74" i="14" s="1"/>
  <c r="AQ65" i="1"/>
  <c r="AQ74" i="14" s="1"/>
  <c r="AR65" i="1"/>
  <c r="AR74" i="14" s="1"/>
  <c r="AS65" i="1"/>
  <c r="AS74" i="14" s="1"/>
  <c r="AT65" i="1"/>
  <c r="AT74" i="14" s="1"/>
  <c r="AU65" i="1"/>
  <c r="AU74" i="14" s="1"/>
  <c r="AV65" i="1"/>
  <c r="AV74" i="14" s="1"/>
  <c r="BI43" i="10"/>
  <c r="BE44" i="12"/>
  <c r="DM44" i="12" s="1"/>
  <c r="DR43" i="10"/>
  <c r="BB12" i="12"/>
  <c r="DJ12" i="12"/>
  <c r="DO11" i="10"/>
  <c r="BF11" i="10"/>
  <c r="BD48" i="12"/>
  <c r="DL48" i="12"/>
  <c r="DQ47" i="10"/>
  <c r="BH47" i="10"/>
  <c r="AW23" i="14"/>
  <c r="G133" i="1"/>
  <c r="B133" i="1"/>
  <c r="C133" i="1"/>
  <c r="D133" i="1"/>
  <c r="E133" i="1"/>
  <c r="A134" i="1"/>
  <c r="BA134" i="1" s="1"/>
  <c r="F133" i="1"/>
  <c r="H133" i="1"/>
  <c r="I133" i="1"/>
  <c r="J133" i="1"/>
  <c r="K133" i="1"/>
  <c r="L133" i="1"/>
  <c r="M133" i="1"/>
  <c r="N133" i="1"/>
  <c r="O133" i="1"/>
  <c r="P133" i="1"/>
  <c r="Q133" i="1"/>
  <c r="R133" i="1"/>
  <c r="S133" i="1"/>
  <c r="T133" i="1"/>
  <c r="U133" i="1"/>
  <c r="V133" i="1"/>
  <c r="W133" i="1"/>
  <c r="X133" i="1"/>
  <c r="Y133" i="1"/>
  <c r="Z133" i="1"/>
  <c r="AA133" i="1"/>
  <c r="AB133" i="1"/>
  <c r="AC133" i="1"/>
  <c r="AD133" i="1"/>
  <c r="AE133" i="1"/>
  <c r="AF133" i="1"/>
  <c r="AG133" i="1"/>
  <c r="AH133" i="1"/>
  <c r="AI133" i="1"/>
  <c r="AJ133" i="1"/>
  <c r="AK133" i="1"/>
  <c r="AL133" i="1"/>
  <c r="AM133" i="1"/>
  <c r="AN133" i="1"/>
  <c r="AO133" i="1"/>
  <c r="AP133" i="1"/>
  <c r="AQ133" i="1"/>
  <c r="AR133" i="1"/>
  <c r="AS133" i="1"/>
  <c r="AT133" i="1"/>
  <c r="AU133" i="1"/>
  <c r="AV133" i="1"/>
  <c r="AW133" i="1"/>
  <c r="AX133" i="1"/>
  <c r="AY133" i="1"/>
  <c r="DP54" i="10"/>
  <c r="BC55" i="12"/>
  <c r="DK55" i="12" s="1"/>
  <c r="BG54" i="10"/>
  <c r="BC47" i="12"/>
  <c r="DK47" i="12" s="1"/>
  <c r="BG46" i="10"/>
  <c r="DP46" i="10"/>
  <c r="BG34" i="10"/>
  <c r="BC35" i="12"/>
  <c r="DK35" i="12" s="1"/>
  <c r="DP34" i="10"/>
  <c r="AV26" i="14"/>
  <c r="BC21" i="12"/>
  <c r="DK21" i="12"/>
  <c r="DP20" i="10"/>
  <c r="BG20" i="10"/>
  <c r="BC51" i="12"/>
  <c r="DK51" i="12" s="1"/>
  <c r="BG50" i="10"/>
  <c r="DP50" i="10"/>
  <c r="BC33" i="12"/>
  <c r="BG32" i="10"/>
  <c r="DK33" i="12"/>
  <c r="DP32" i="10"/>
  <c r="AW38" i="1"/>
  <c r="AW30" i="1"/>
  <c r="AW21" i="1"/>
  <c r="AW23" i="1"/>
  <c r="AW53" i="1"/>
  <c r="AW52" i="1"/>
  <c r="AW55" i="1"/>
  <c r="DP27" i="10"/>
  <c r="BG27" i="10"/>
  <c r="BC28" i="12"/>
  <c r="DK28" i="12" s="1"/>
  <c r="AV25" i="14"/>
  <c r="BD56" i="12"/>
  <c r="DL56" i="12" s="1"/>
  <c r="DQ55" i="10"/>
  <c r="BH55" i="10"/>
  <c r="DQ49" i="10"/>
  <c r="BD50" i="12"/>
  <c r="DL50" i="12"/>
  <c r="BH49" i="10"/>
  <c r="BB18" i="12"/>
  <c r="DJ18" i="12" s="1"/>
  <c r="BF17" i="10"/>
  <c r="DO17" i="10"/>
  <c r="BD46" i="12"/>
  <c r="DL46" i="12"/>
  <c r="BH45" i="10"/>
  <c r="DQ45" i="10"/>
  <c r="BB20" i="12"/>
  <c r="DJ20" i="12" s="1"/>
  <c r="BF19" i="10"/>
  <c r="DO19" i="10"/>
  <c r="AW29" i="1"/>
  <c r="AW26" i="1"/>
  <c r="AW56" i="1"/>
  <c r="AW59" i="1"/>
  <c r="AW24" i="1"/>
  <c r="AW36" i="1"/>
  <c r="K63" i="15"/>
  <c r="H64" i="15"/>
  <c r="R63" i="15"/>
  <c r="Q63" i="15"/>
  <c r="P63" i="15"/>
  <c r="O63" i="15"/>
  <c r="J63" i="15"/>
  <c r="L63" i="15"/>
  <c r="I63" i="15"/>
  <c r="BE162" i="14"/>
  <c r="BD161" i="14"/>
  <c r="AV40" i="14"/>
  <c r="BC29" i="12"/>
  <c r="DK29" i="12" s="1"/>
  <c r="BG28" i="10"/>
  <c r="DP28" i="10"/>
  <c r="BC38" i="12"/>
  <c r="DK38" i="12"/>
  <c r="DP37" i="10"/>
  <c r="BG37" i="10"/>
  <c r="DR53" i="10"/>
  <c r="BE54" i="12"/>
  <c r="BI53" i="10"/>
  <c r="DM54" i="12"/>
  <c r="BC36" i="12"/>
  <c r="DK36" i="12"/>
  <c r="DP35" i="10"/>
  <c r="BG35" i="10"/>
  <c r="DK27" i="12"/>
  <c r="DP26" i="10"/>
  <c r="BG26" i="10"/>
  <c r="BC27" i="12"/>
  <c r="BB19" i="12"/>
  <c r="DJ19" i="12"/>
  <c r="DO18" i="10"/>
  <c r="BF18" i="10"/>
  <c r="BB15" i="12"/>
  <c r="DJ15" i="12" s="1"/>
  <c r="BF14" i="10"/>
  <c r="DO14" i="10"/>
  <c r="DO15" i="10"/>
  <c r="BF15" i="10"/>
  <c r="BB16" i="12"/>
  <c r="DJ16" i="12" s="1"/>
  <c r="AW58" i="1"/>
  <c r="AW50" i="1"/>
  <c r="AW20" i="1"/>
  <c r="AW41" i="1"/>
  <c r="AW46" i="1"/>
  <c r="AW33" i="1"/>
  <c r="AW27" i="1"/>
  <c r="BC22" i="12"/>
  <c r="DK22" i="12"/>
  <c r="DP21" i="10"/>
  <c r="BG21" i="10"/>
  <c r="AV30" i="14"/>
  <c r="BC23" i="12"/>
  <c r="DK23" i="12"/>
  <c r="DP22" i="10"/>
  <c r="BG22" i="10"/>
  <c r="AV62" i="14"/>
  <c r="DK53" i="12"/>
  <c r="BC53" i="12"/>
  <c r="DP52" i="10"/>
  <c r="BG52" i="10"/>
  <c r="DO13" i="10"/>
  <c r="DJ14" i="12"/>
  <c r="BB14" i="12"/>
  <c r="BF13" i="10"/>
  <c r="AW54" i="1"/>
  <c r="B59" i="13"/>
  <c r="G59" i="13" s="1"/>
  <c r="H59" i="13" s="1"/>
  <c r="EB62" i="12"/>
  <c r="E59" i="13" s="1"/>
  <c r="EC62" i="12"/>
  <c r="EA63" i="12"/>
  <c r="DP44" i="10"/>
  <c r="BC45" i="12"/>
  <c r="BG44" i="10"/>
  <c r="DK45" i="12"/>
  <c r="BC32" i="12"/>
  <c r="DK32" i="12" s="1"/>
  <c r="DP31" i="10"/>
  <c r="BG31" i="10"/>
  <c r="AV65" i="14"/>
  <c r="AV38" i="14"/>
  <c r="BC37" i="12"/>
  <c r="DK37" i="12" s="1"/>
  <c r="DP36" i="10"/>
  <c r="BG36" i="10"/>
  <c r="DR57" i="10"/>
  <c r="BE58" i="12"/>
  <c r="BI57" i="10"/>
  <c r="DM58" i="12"/>
  <c r="DK30" i="12"/>
  <c r="DP29" i="10"/>
  <c r="BG29" i="10"/>
  <c r="BC30" i="12"/>
  <c r="BC81" i="1"/>
  <c r="BB80" i="1"/>
  <c r="AW18" i="1"/>
  <c r="AW57" i="1"/>
  <c r="AW51" i="1"/>
  <c r="AW31" i="1"/>
  <c r="AV63" i="14"/>
  <c r="AX38" i="14" l="1"/>
  <c r="DR55" i="10"/>
  <c r="BE56" i="12"/>
  <c r="BI55" i="10"/>
  <c r="DM56" i="12"/>
  <c r="AX23" i="14"/>
  <c r="BD37" i="12"/>
  <c r="DL37" i="12"/>
  <c r="DQ36" i="10"/>
  <c r="BH36" i="10"/>
  <c r="BD32" i="12"/>
  <c r="DL32" i="12" s="1"/>
  <c r="DQ31" i="10"/>
  <c r="BH31" i="10"/>
  <c r="B60" i="13"/>
  <c r="EB63" i="12"/>
  <c r="E60" i="13" s="1"/>
  <c r="EA64" i="12"/>
  <c r="DK19" i="12"/>
  <c r="BG18" i="10"/>
  <c r="BC19" i="12"/>
  <c r="DP18" i="10"/>
  <c r="BH35" i="10"/>
  <c r="BD36" i="12"/>
  <c r="DL36" i="12" s="1"/>
  <c r="DQ35" i="10"/>
  <c r="BD38" i="12"/>
  <c r="DL38" i="12" s="1"/>
  <c r="DQ37" i="10"/>
  <c r="BH37" i="10"/>
  <c r="BD21" i="12"/>
  <c r="DL21" i="12"/>
  <c r="DQ20" i="10"/>
  <c r="BH20" i="10"/>
  <c r="BH34" i="10"/>
  <c r="BD35" i="12"/>
  <c r="DL35" i="12" s="1"/>
  <c r="DQ34" i="10"/>
  <c r="C66" i="1"/>
  <c r="C75" i="14" s="1"/>
  <c r="B66" i="1"/>
  <c r="B75" i="14" s="1"/>
  <c r="A67" i="1"/>
  <c r="D66" i="1"/>
  <c r="D75" i="14" s="1"/>
  <c r="E66" i="1"/>
  <c r="E75" i="14" s="1"/>
  <c r="F66" i="1"/>
  <c r="F75" i="14" s="1"/>
  <c r="F63" i="15" s="1"/>
  <c r="G66" i="1"/>
  <c r="G75" i="14" s="1"/>
  <c r="H66" i="1"/>
  <c r="H75" i="14" s="1"/>
  <c r="E63" i="15" s="1"/>
  <c r="I66" i="1"/>
  <c r="I75" i="14" s="1"/>
  <c r="J66" i="1"/>
  <c r="J75" i="14" s="1"/>
  <c r="D63" i="15" s="1"/>
  <c r="K66" i="1"/>
  <c r="K75" i="14" s="1"/>
  <c r="L66" i="1"/>
  <c r="L75" i="14" s="1"/>
  <c r="C63" i="15" s="1"/>
  <c r="M66" i="1"/>
  <c r="M75" i="14" s="1"/>
  <c r="N66" i="1"/>
  <c r="N75" i="14" s="1"/>
  <c r="O66" i="1"/>
  <c r="O75" i="14" s="1"/>
  <c r="P66" i="1"/>
  <c r="P75" i="14" s="1"/>
  <c r="Q66" i="1"/>
  <c r="Q75" i="14" s="1"/>
  <c r="R66" i="1"/>
  <c r="R75" i="14" s="1"/>
  <c r="S66" i="1"/>
  <c r="S75" i="14" s="1"/>
  <c r="T66" i="1"/>
  <c r="T75" i="14" s="1"/>
  <c r="U66" i="1"/>
  <c r="U75" i="14" s="1"/>
  <c r="V66" i="1"/>
  <c r="V75" i="14" s="1"/>
  <c r="W66" i="1"/>
  <c r="W75" i="14" s="1"/>
  <c r="X66" i="1"/>
  <c r="X75" i="14" s="1"/>
  <c r="Y66" i="1"/>
  <c r="Y75" i="14" s="1"/>
  <c r="Z66" i="1"/>
  <c r="Z75" i="14" s="1"/>
  <c r="AA66" i="1"/>
  <c r="AA75" i="14" s="1"/>
  <c r="AB66" i="1"/>
  <c r="AB75" i="14" s="1"/>
  <c r="AC66" i="1"/>
  <c r="AC75" i="14" s="1"/>
  <c r="AD66" i="1"/>
  <c r="AD75" i="14" s="1"/>
  <c r="AE66" i="1"/>
  <c r="AE75" i="14" s="1"/>
  <c r="AF66" i="1"/>
  <c r="AF75" i="14" s="1"/>
  <c r="AG66" i="1"/>
  <c r="AG75" i="14" s="1"/>
  <c r="AH66" i="1"/>
  <c r="AH75" i="14" s="1"/>
  <c r="AI66" i="1"/>
  <c r="AI75" i="14" s="1"/>
  <c r="AJ66" i="1"/>
  <c r="AJ75" i="14" s="1"/>
  <c r="AK66" i="1"/>
  <c r="AK75" i="14" s="1"/>
  <c r="AL66" i="1"/>
  <c r="AL75" i="14" s="1"/>
  <c r="AM66" i="1"/>
  <c r="AM75" i="14" s="1"/>
  <c r="AN66" i="1"/>
  <c r="AN75" i="14" s="1"/>
  <c r="AO66" i="1"/>
  <c r="AO75" i="14" s="1"/>
  <c r="AP66" i="1"/>
  <c r="AP75" i="14" s="1"/>
  <c r="AQ66" i="1"/>
  <c r="AQ75" i="14" s="1"/>
  <c r="AR66" i="1"/>
  <c r="AR75" i="14" s="1"/>
  <c r="AS66" i="1"/>
  <c r="AS75" i="14" s="1"/>
  <c r="AT66" i="1"/>
  <c r="AT75" i="14" s="1"/>
  <c r="AU66" i="1"/>
  <c r="AU75" i="14" s="1"/>
  <c r="AV66" i="1"/>
  <c r="AV75" i="14" s="1"/>
  <c r="AW66" i="1"/>
  <c r="AW75" i="14" s="1"/>
  <c r="AW25" i="14"/>
  <c r="BH33" i="10"/>
  <c r="BD34" i="12"/>
  <c r="DL34" i="12"/>
  <c r="DQ33" i="10"/>
  <c r="AW54" i="14"/>
  <c r="AX58" i="1"/>
  <c r="AX16" i="1"/>
  <c r="AX43" i="1"/>
  <c r="AX19" i="1"/>
  <c r="AX21" i="1"/>
  <c r="AX49" i="1"/>
  <c r="AX22" i="1"/>
  <c r="BG16" i="10"/>
  <c r="BC17" i="12"/>
  <c r="DK17" i="12"/>
  <c r="DP16" i="10"/>
  <c r="BC92" i="14"/>
  <c r="BD93" i="14"/>
  <c r="AW37" i="14"/>
  <c r="AX34" i="14"/>
  <c r="DL30" i="12"/>
  <c r="BH29" i="10"/>
  <c r="BD30" i="12"/>
  <c r="DQ29" i="10"/>
  <c r="AW45" i="14"/>
  <c r="BG19" i="10"/>
  <c r="BC20" i="12"/>
  <c r="DK20" i="12"/>
  <c r="DP19" i="10"/>
  <c r="BC18" i="12"/>
  <c r="DK18" i="12"/>
  <c r="DP17" i="10"/>
  <c r="BG17" i="10"/>
  <c r="AW64" i="14"/>
  <c r="AW34" i="14"/>
  <c r="BH42" i="10"/>
  <c r="BD43" i="12"/>
  <c r="DL43" i="12" s="1"/>
  <c r="DQ42" i="10"/>
  <c r="BH30" i="10"/>
  <c r="BD31" i="12"/>
  <c r="DL31" i="12"/>
  <c r="DQ30" i="10"/>
  <c r="AW58" i="14"/>
  <c r="DL39" i="12"/>
  <c r="BH38" i="10"/>
  <c r="BD39" i="12"/>
  <c r="DQ38" i="10"/>
  <c r="AX52" i="1"/>
  <c r="AX26" i="1"/>
  <c r="AX42" i="1"/>
  <c r="AX46" i="1"/>
  <c r="AX34" i="1"/>
  <c r="AX57" i="1"/>
  <c r="DR41" i="10"/>
  <c r="BE42" i="12"/>
  <c r="BI41" i="10"/>
  <c r="DM42" i="12"/>
  <c r="BB21" i="14"/>
  <c r="BC22" i="14"/>
  <c r="BE48" i="12"/>
  <c r="DM48" i="12"/>
  <c r="DR47" i="10"/>
  <c r="BI47" i="10"/>
  <c r="BD25" i="12"/>
  <c r="DL25" i="12" s="1"/>
  <c r="DQ24" i="10"/>
  <c r="BH24" i="10"/>
  <c r="ED62" i="12"/>
  <c r="D59" i="13"/>
  <c r="AW40" i="14"/>
  <c r="AW42" i="14"/>
  <c r="BG15" i="10"/>
  <c r="BC16" i="12"/>
  <c r="DK16" i="12" s="1"/>
  <c r="DP15" i="10"/>
  <c r="AW33" i="14"/>
  <c r="AW61" i="14"/>
  <c r="BD33" i="12"/>
  <c r="DL33" i="12"/>
  <c r="DQ32" i="10"/>
  <c r="BH32" i="10"/>
  <c r="BF44" i="12"/>
  <c r="DS43" i="10"/>
  <c r="DN44" i="12"/>
  <c r="BJ43" i="10"/>
  <c r="BA13" i="1"/>
  <c r="AZ12" i="1"/>
  <c r="DT58" i="10"/>
  <c r="BG59" i="12"/>
  <c r="DO59" i="12" s="1"/>
  <c r="BK58" i="10"/>
  <c r="BD41" i="12"/>
  <c r="DL41" i="12" s="1"/>
  <c r="DQ40" i="10"/>
  <c r="BH40" i="10"/>
  <c r="AW52" i="14"/>
  <c r="AX40" i="1"/>
  <c r="AX48" i="1"/>
  <c r="AX33" i="1"/>
  <c r="AX31" i="1"/>
  <c r="AX54" i="1"/>
  <c r="BF52" i="12"/>
  <c r="DS51" i="10"/>
  <c r="DN52" i="12"/>
  <c r="BJ51" i="10"/>
  <c r="BH56" i="10"/>
  <c r="BD57" i="12"/>
  <c r="DL57" i="12" s="1"/>
  <c r="DQ56" i="10"/>
  <c r="AW56" i="14"/>
  <c r="DL53" i="12"/>
  <c r="BH52" i="10"/>
  <c r="BD53" i="12"/>
  <c r="DQ52" i="10"/>
  <c r="AW60" i="14"/>
  <c r="AW55" i="14"/>
  <c r="BE161" i="14"/>
  <c r="BF162" i="14"/>
  <c r="AW68" i="14"/>
  <c r="BE50" i="12"/>
  <c r="DM50" i="12"/>
  <c r="DR49" i="10"/>
  <c r="BI49" i="10"/>
  <c r="AW62" i="14"/>
  <c r="BG11" i="10"/>
  <c r="BC12" i="12"/>
  <c r="DK12" i="12" s="1"/>
  <c r="DP11" i="10"/>
  <c r="AW46" i="14"/>
  <c r="AY7" i="1"/>
  <c r="AY41" i="1"/>
  <c r="AY47" i="1"/>
  <c r="AY14" i="1"/>
  <c r="AY67" i="1"/>
  <c r="AY76" i="14" s="1"/>
  <c r="AY16" i="1"/>
  <c r="AY15" i="1"/>
  <c r="AY64" i="1"/>
  <c r="AY73" i="14" s="1"/>
  <c r="AY34" i="1"/>
  <c r="AY22" i="1"/>
  <c r="AY50" i="1"/>
  <c r="AY30" i="1"/>
  <c r="AY65" i="1"/>
  <c r="AY74" i="14" s="1"/>
  <c r="AY33" i="1"/>
  <c r="AY17" i="1"/>
  <c r="AY66" i="1"/>
  <c r="AY75" i="14" s="1"/>
  <c r="AY53" i="1"/>
  <c r="AY55" i="1"/>
  <c r="AY20" i="1"/>
  <c r="AY46" i="1"/>
  <c r="AY59" i="1"/>
  <c r="AY26" i="1"/>
  <c r="AY35" i="1"/>
  <c r="AY43" i="1"/>
  <c r="AY27" i="1"/>
  <c r="AY37" i="1"/>
  <c r="AY18" i="1"/>
  <c r="AY9" i="1"/>
  <c r="AY8" i="1"/>
  <c r="AW53" i="14"/>
  <c r="AX27" i="1"/>
  <c r="AY28" i="1" s="1"/>
  <c r="AX60" i="1"/>
  <c r="AY61" i="1" s="1"/>
  <c r="AX44" i="1"/>
  <c r="AY45" i="1" s="1"/>
  <c r="AX50" i="1"/>
  <c r="AX39" i="1"/>
  <c r="AX51" i="1"/>
  <c r="AX35" i="1"/>
  <c r="AW31" i="14"/>
  <c r="DK13" i="12"/>
  <c r="BG12" i="10"/>
  <c r="BC13" i="12"/>
  <c r="DP12" i="10"/>
  <c r="BD81" i="1"/>
  <c r="BC80" i="1"/>
  <c r="BD23" i="12"/>
  <c r="DQ22" i="10"/>
  <c r="DL23" i="12"/>
  <c r="BH22" i="10"/>
  <c r="J64" i="15"/>
  <c r="H65" i="15"/>
  <c r="L64" i="15"/>
  <c r="R64" i="15"/>
  <c r="K64" i="15"/>
  <c r="Q64" i="15"/>
  <c r="I64" i="15"/>
  <c r="P64" i="15"/>
  <c r="O64" i="15"/>
  <c r="AX26" i="14"/>
  <c r="AX41" i="14"/>
  <c r="AW50" i="14"/>
  <c r="AW65" i="14"/>
  <c r="BI45" i="10"/>
  <c r="BE46" i="12"/>
  <c r="DM46" i="12" s="1"/>
  <c r="DR45" i="10"/>
  <c r="AW32" i="14"/>
  <c r="BD47" i="12"/>
  <c r="DL47" i="12" s="1"/>
  <c r="BH46" i="10"/>
  <c r="DQ46" i="10"/>
  <c r="AW51" i="14"/>
  <c r="DR39" i="10"/>
  <c r="BE40" i="12"/>
  <c r="DM40" i="12" s="1"/>
  <c r="BI39" i="10"/>
  <c r="BD26" i="12"/>
  <c r="DL26" i="12" s="1"/>
  <c r="BH25" i="10"/>
  <c r="DQ25" i="10"/>
  <c r="AW43" i="14"/>
  <c r="AX47" i="1"/>
  <c r="AX30" i="1"/>
  <c r="AY31" i="1" s="1"/>
  <c r="AX61" i="1"/>
  <c r="AX55" i="1"/>
  <c r="AY56" i="1" s="1"/>
  <c r="AX56" i="1"/>
  <c r="AY57" i="1" s="1"/>
  <c r="BA230" i="14"/>
  <c r="BB231" i="14"/>
  <c r="AW24" i="14"/>
  <c r="AX45" i="14"/>
  <c r="AX62" i="14"/>
  <c r="AW36" i="14"/>
  <c r="AW63" i="14"/>
  <c r="DS57" i="10"/>
  <c r="BJ57" i="10"/>
  <c r="BF58" i="12"/>
  <c r="DN58" i="12" s="1"/>
  <c r="BD22" i="12"/>
  <c r="DL22" i="12" s="1"/>
  <c r="DQ21" i="10"/>
  <c r="BH21" i="10"/>
  <c r="BC15" i="12"/>
  <c r="DK15" i="12"/>
  <c r="DP14" i="10"/>
  <c r="BG14" i="10"/>
  <c r="DS53" i="10"/>
  <c r="BJ53" i="10"/>
  <c r="BF54" i="12"/>
  <c r="DN54" i="12"/>
  <c r="AW35" i="14"/>
  <c r="AW30" i="14"/>
  <c r="AW69" i="14"/>
  <c r="BD49" i="12"/>
  <c r="DL49" i="12"/>
  <c r="DQ48" i="10"/>
  <c r="BH48" i="10"/>
  <c r="AX41" i="1"/>
  <c r="AX37" i="1"/>
  <c r="AX66" i="1"/>
  <c r="AX75" i="14" s="1"/>
  <c r="AX23" i="1"/>
  <c r="AX24" i="1"/>
  <c r="AX18" i="1"/>
  <c r="AY19" i="1" s="1"/>
  <c r="BE60" i="12"/>
  <c r="DM60" i="12"/>
  <c r="BI59" i="10"/>
  <c r="AW44" i="14"/>
  <c r="BD24" i="12"/>
  <c r="DL24" i="12"/>
  <c r="DQ23" i="10"/>
  <c r="BH23" i="10"/>
  <c r="AW67" i="14"/>
  <c r="AW47" i="14"/>
  <c r="E134" i="1"/>
  <c r="A135" i="1"/>
  <c r="G134" i="1"/>
  <c r="C134" i="1"/>
  <c r="B134" i="1"/>
  <c r="D134" i="1"/>
  <c r="F134" i="1"/>
  <c r="H134" i="1"/>
  <c r="I134" i="1"/>
  <c r="J134" i="1"/>
  <c r="K134" i="1"/>
  <c r="L134" i="1"/>
  <c r="M134" i="1"/>
  <c r="N134" i="1"/>
  <c r="O134" i="1"/>
  <c r="P134" i="1"/>
  <c r="Q134" i="1"/>
  <c r="R134" i="1"/>
  <c r="S134" i="1"/>
  <c r="T134" i="1"/>
  <c r="U134" i="1"/>
  <c r="V134" i="1"/>
  <c r="W134" i="1"/>
  <c r="X134" i="1"/>
  <c r="Y134" i="1"/>
  <c r="Z134" i="1"/>
  <c r="AA134" i="1"/>
  <c r="AB134" i="1"/>
  <c r="AC134" i="1"/>
  <c r="AD134" i="1"/>
  <c r="AE134" i="1"/>
  <c r="AF134" i="1"/>
  <c r="AG134" i="1"/>
  <c r="AH134" i="1"/>
  <c r="AI134" i="1"/>
  <c r="AJ134" i="1"/>
  <c r="AK134" i="1"/>
  <c r="AL134" i="1"/>
  <c r="AM134" i="1"/>
  <c r="AN134" i="1"/>
  <c r="AO134" i="1"/>
  <c r="AP134" i="1"/>
  <c r="AQ134" i="1"/>
  <c r="AR134" i="1"/>
  <c r="AS134" i="1"/>
  <c r="AT134" i="1"/>
  <c r="AU134" i="1"/>
  <c r="AV134" i="1"/>
  <c r="AW134" i="1"/>
  <c r="AX134" i="1"/>
  <c r="AY134" i="1"/>
  <c r="AZ134" i="1"/>
  <c r="AX24" i="14"/>
  <c r="AW66" i="14"/>
  <c r="AW27" i="14"/>
  <c r="DQ44" i="10"/>
  <c r="BD45" i="12"/>
  <c r="DL45" i="12"/>
  <c r="BH44" i="10"/>
  <c r="BC14" i="12"/>
  <c r="BG13" i="10"/>
  <c r="DK14" i="12"/>
  <c r="DP13" i="10"/>
  <c r="AW29" i="14"/>
  <c r="DQ26" i="10"/>
  <c r="BH26" i="10"/>
  <c r="BD27" i="12"/>
  <c r="DL27" i="12"/>
  <c r="AZ78" i="1"/>
  <c r="AW59" i="14"/>
  <c r="BD29" i="12"/>
  <c r="DL29" i="12"/>
  <c r="DQ28" i="10"/>
  <c r="BH28" i="10"/>
  <c r="AW38" i="14"/>
  <c r="BH27" i="10"/>
  <c r="BD28" i="12"/>
  <c r="DL28" i="12" s="1"/>
  <c r="DQ27" i="10"/>
  <c r="AW39" i="14"/>
  <c r="BD51" i="12"/>
  <c r="DL51" i="12" s="1"/>
  <c r="BH50" i="10"/>
  <c r="DQ50" i="10"/>
  <c r="DL55" i="12"/>
  <c r="BH54" i="10"/>
  <c r="BD55" i="12"/>
  <c r="DQ54" i="10"/>
  <c r="AW49" i="14"/>
  <c r="AW41" i="14"/>
  <c r="AX62" i="1"/>
  <c r="AY63" i="1" s="1"/>
  <c r="AX38" i="1"/>
  <c r="AX20" i="1"/>
  <c r="AY21" i="1" s="1"/>
  <c r="AX59" i="1"/>
  <c r="AY60" i="1" s="1"/>
  <c r="AX45" i="1"/>
  <c r="AX28" i="1"/>
  <c r="AY29" i="1" s="1"/>
  <c r="AW48" i="14"/>
  <c r="AY69" i="14" l="1"/>
  <c r="AY66" i="14"/>
  <c r="AY54" i="14"/>
  <c r="AY70" i="14"/>
  <c r="AY37" i="14"/>
  <c r="AY30" i="14"/>
  <c r="AY72" i="14"/>
  <c r="AY40" i="14"/>
  <c r="AY65" i="14"/>
  <c r="AY38" i="14"/>
  <c r="AY28" i="14"/>
  <c r="AX47" i="14"/>
  <c r="G135" i="1"/>
  <c r="C135" i="1"/>
  <c r="B135" i="1"/>
  <c r="D135" i="1"/>
  <c r="E135" i="1"/>
  <c r="A136" i="1"/>
  <c r="F135" i="1"/>
  <c r="H135" i="1"/>
  <c r="I135" i="1"/>
  <c r="J135" i="1"/>
  <c r="K135" i="1"/>
  <c r="L135" i="1"/>
  <c r="M135" i="1"/>
  <c r="N135" i="1"/>
  <c r="O135" i="1"/>
  <c r="P135" i="1"/>
  <c r="Q135" i="1"/>
  <c r="R135" i="1"/>
  <c r="S135" i="1"/>
  <c r="T135" i="1"/>
  <c r="U135" i="1"/>
  <c r="V135" i="1"/>
  <c r="W135" i="1"/>
  <c r="X135" i="1"/>
  <c r="Y135" i="1"/>
  <c r="Z135" i="1"/>
  <c r="AA135" i="1"/>
  <c r="AB135" i="1"/>
  <c r="AC135" i="1"/>
  <c r="AD135" i="1"/>
  <c r="AE135" i="1"/>
  <c r="AF135" i="1"/>
  <c r="AG135" i="1"/>
  <c r="AH135" i="1"/>
  <c r="AI135" i="1"/>
  <c r="AJ135" i="1"/>
  <c r="AK135" i="1"/>
  <c r="AL135" i="1"/>
  <c r="AM135" i="1"/>
  <c r="AN135" i="1"/>
  <c r="AO135" i="1"/>
  <c r="AP135" i="1"/>
  <c r="AQ135" i="1"/>
  <c r="AR135" i="1"/>
  <c r="AS135" i="1"/>
  <c r="AT135" i="1"/>
  <c r="AU135" i="1"/>
  <c r="AV135" i="1"/>
  <c r="AW135" i="1"/>
  <c r="AX135" i="1"/>
  <c r="AY135" i="1"/>
  <c r="AZ135" i="1"/>
  <c r="BA135" i="1"/>
  <c r="AX56" i="14"/>
  <c r="BA78" i="1"/>
  <c r="BC136" i="1"/>
  <c r="AY62" i="14"/>
  <c r="AX66" i="14"/>
  <c r="DQ17" i="10"/>
  <c r="BD18" i="12"/>
  <c r="BH17" i="10"/>
  <c r="DL18" i="12"/>
  <c r="BB135" i="1"/>
  <c r="AX33" i="14"/>
  <c r="BD80" i="1"/>
  <c r="BE81" i="1"/>
  <c r="AX60" i="14"/>
  <c r="AY52" i="14"/>
  <c r="AY39" i="14"/>
  <c r="AY25" i="14"/>
  <c r="AY23" i="14"/>
  <c r="BF50" i="12"/>
  <c r="DN50" i="12" s="1"/>
  <c r="DS49" i="10"/>
  <c r="BJ49" i="10"/>
  <c r="AX43" i="14"/>
  <c r="AX58" i="14"/>
  <c r="AY36" i="14"/>
  <c r="DQ13" i="10"/>
  <c r="BD14" i="12"/>
  <c r="DL14" i="12" s="1"/>
  <c r="BH13" i="10"/>
  <c r="AX32" i="14"/>
  <c r="BG54" i="12"/>
  <c r="DO54" i="12"/>
  <c r="DT53" i="10"/>
  <c r="BK53" i="10"/>
  <c r="BC231" i="14"/>
  <c r="BB230" i="14"/>
  <c r="Q65" i="15"/>
  <c r="P65" i="15"/>
  <c r="O65" i="15"/>
  <c r="J65" i="15"/>
  <c r="I65" i="15"/>
  <c r="K65" i="15"/>
  <c r="L65" i="15"/>
  <c r="H66" i="15"/>
  <c r="R65" i="15"/>
  <c r="AX48" i="14"/>
  <c r="AY48" i="1"/>
  <c r="AY29" i="14"/>
  <c r="AY26" i="14"/>
  <c r="AY59" i="14"/>
  <c r="AY56" i="14"/>
  <c r="DR40" i="10"/>
  <c r="BE41" i="12"/>
  <c r="BI40" i="10"/>
  <c r="DM41" i="12"/>
  <c r="AZ67" i="1"/>
  <c r="AZ76" i="14" s="1"/>
  <c r="AZ24" i="1"/>
  <c r="AZ45" i="1"/>
  <c r="AZ7" i="1"/>
  <c r="AZ55" i="1"/>
  <c r="AZ44" i="1"/>
  <c r="AZ51" i="1"/>
  <c r="AZ39" i="1"/>
  <c r="AZ47" i="1"/>
  <c r="AZ66" i="1"/>
  <c r="AZ75" i="14" s="1"/>
  <c r="AZ65" i="1"/>
  <c r="AZ74" i="14" s="1"/>
  <c r="AZ16" i="1"/>
  <c r="AZ15" i="1"/>
  <c r="AZ31" i="1"/>
  <c r="AZ8" i="1"/>
  <c r="AZ9" i="1"/>
  <c r="DR24" i="10"/>
  <c r="BE25" i="12"/>
  <c r="DM25" i="12" s="1"/>
  <c r="BI24" i="10"/>
  <c r="BC21" i="14"/>
  <c r="BD22" i="14"/>
  <c r="AX55" i="14"/>
  <c r="BE93" i="14"/>
  <c r="BD92" i="14"/>
  <c r="AX30" i="14"/>
  <c r="DQ18" i="10"/>
  <c r="BD19" i="12"/>
  <c r="BH18" i="10"/>
  <c r="DL19" i="12"/>
  <c r="DR54" i="10"/>
  <c r="BE55" i="12"/>
  <c r="DM55" i="12" s="1"/>
  <c r="BI54" i="10"/>
  <c r="BI21" i="10"/>
  <c r="DR21" i="10"/>
  <c r="BE22" i="12"/>
  <c r="DM22" i="12"/>
  <c r="DS39" i="10"/>
  <c r="BJ39" i="10"/>
  <c r="BF40" i="12"/>
  <c r="DN40" i="12"/>
  <c r="AY27" i="14"/>
  <c r="AY24" i="14"/>
  <c r="BI50" i="10"/>
  <c r="BE51" i="12"/>
  <c r="DM51" i="12" s="1"/>
  <c r="DR50" i="10"/>
  <c r="AX59" i="14"/>
  <c r="AY24" i="1"/>
  <c r="AY25" i="1"/>
  <c r="AY39" i="1"/>
  <c r="AY31" i="14"/>
  <c r="AY50" i="14"/>
  <c r="AX63" i="14"/>
  <c r="BB13" i="1"/>
  <c r="BA12" i="1"/>
  <c r="DQ15" i="10"/>
  <c r="BD16" i="12"/>
  <c r="BH15" i="10"/>
  <c r="DL16" i="12"/>
  <c r="AX51" i="14"/>
  <c r="DR42" i="10"/>
  <c r="BE43" i="12"/>
  <c r="DM43" i="12" s="1"/>
  <c r="BI42" i="10"/>
  <c r="AX28" i="14"/>
  <c r="DR34" i="10"/>
  <c r="BE35" i="12"/>
  <c r="DM35" i="12" s="1"/>
  <c r="BI34" i="10"/>
  <c r="DS55" i="10"/>
  <c r="BJ55" i="10"/>
  <c r="BF56" i="12"/>
  <c r="DN56" i="12"/>
  <c r="DR32" i="10"/>
  <c r="BE33" i="12"/>
  <c r="DM33" i="12" s="1"/>
  <c r="BI32" i="10"/>
  <c r="DR38" i="10"/>
  <c r="BE39" i="12"/>
  <c r="BI38" i="10"/>
  <c r="DM39" i="12"/>
  <c r="DR31" i="10"/>
  <c r="BE32" i="12"/>
  <c r="DM32" i="12" s="1"/>
  <c r="BI31" i="10"/>
  <c r="DR26" i="10"/>
  <c r="BE27" i="12"/>
  <c r="BI26" i="10"/>
  <c r="DM27" i="12"/>
  <c r="BE45" i="12"/>
  <c r="DM45" i="12"/>
  <c r="DR44" i="10"/>
  <c r="BI44" i="10"/>
  <c r="BJ59" i="10"/>
  <c r="BF60" i="12"/>
  <c r="DN60" i="12"/>
  <c r="AX46" i="14"/>
  <c r="DQ14" i="10"/>
  <c r="BD15" i="12"/>
  <c r="DL15" i="12" s="1"/>
  <c r="BH14" i="10"/>
  <c r="AX65" i="14"/>
  <c r="DR22" i="10"/>
  <c r="BE23" i="12"/>
  <c r="DM23" i="12" s="1"/>
  <c r="BI22" i="10"/>
  <c r="DQ12" i="10"/>
  <c r="BD13" i="12"/>
  <c r="BH12" i="10"/>
  <c r="DL13" i="12"/>
  <c r="AX53" i="14"/>
  <c r="AY44" i="14"/>
  <c r="AY43" i="14"/>
  <c r="AY51" i="1"/>
  <c r="AY52" i="1"/>
  <c r="AX40" i="14"/>
  <c r="DT43" i="10"/>
  <c r="BK43" i="10"/>
  <c r="BG44" i="12"/>
  <c r="DO44" i="12" s="1"/>
  <c r="AX35" i="14"/>
  <c r="DR29" i="10"/>
  <c r="BE30" i="12"/>
  <c r="DM30" i="12" s="1"/>
  <c r="BI29" i="10"/>
  <c r="AX52" i="14"/>
  <c r="DR33" i="10"/>
  <c r="BE34" i="12"/>
  <c r="DM34" i="12" s="1"/>
  <c r="BI33" i="10"/>
  <c r="DR20" i="10"/>
  <c r="BE21" i="12"/>
  <c r="DM21" i="12" s="1"/>
  <c r="BI20" i="10"/>
  <c r="EA65" i="12"/>
  <c r="B61" i="13"/>
  <c r="G61" i="13" s="1"/>
  <c r="H61" i="13" s="1"/>
  <c r="EB64" i="12"/>
  <c r="E61" i="13" s="1"/>
  <c r="DR36" i="10"/>
  <c r="BE37" i="12"/>
  <c r="DM37" i="12" s="1"/>
  <c r="BI36" i="10"/>
  <c r="AX44" i="14"/>
  <c r="DR37" i="10"/>
  <c r="BE38" i="12"/>
  <c r="DM38" i="12" s="1"/>
  <c r="BI37" i="10"/>
  <c r="AX54" i="14"/>
  <c r="AX50" i="14"/>
  <c r="AX64" i="14"/>
  <c r="DR25" i="10"/>
  <c r="BE26" i="12"/>
  <c r="DM26" i="12" s="1"/>
  <c r="BI25" i="10"/>
  <c r="AX69" i="14"/>
  <c r="AY46" i="14"/>
  <c r="AY35" i="14"/>
  <c r="AY58" i="1"/>
  <c r="DQ11" i="10"/>
  <c r="BD12" i="12"/>
  <c r="BH11" i="10"/>
  <c r="DL12" i="12"/>
  <c r="AX42" i="14"/>
  <c r="DS41" i="10"/>
  <c r="BJ41" i="10"/>
  <c r="BF42" i="12"/>
  <c r="DN42" i="12"/>
  <c r="AX61" i="14"/>
  <c r="AX25" i="14"/>
  <c r="C67" i="1"/>
  <c r="C76" i="14" s="1"/>
  <c r="B67" i="1"/>
  <c r="B76" i="14" s="1"/>
  <c r="A68" i="1"/>
  <c r="AZ68" i="1" s="1"/>
  <c r="AZ77" i="14" s="1"/>
  <c r="D67" i="1"/>
  <c r="D76" i="14" s="1"/>
  <c r="E67" i="1"/>
  <c r="E76" i="14" s="1"/>
  <c r="F67" i="1"/>
  <c r="F76" i="14" s="1"/>
  <c r="F64" i="15" s="1"/>
  <c r="G67" i="1"/>
  <c r="G76" i="14" s="1"/>
  <c r="H67" i="1"/>
  <c r="H76" i="14" s="1"/>
  <c r="E64" i="15" s="1"/>
  <c r="I67" i="1"/>
  <c r="I76" i="14" s="1"/>
  <c r="J67" i="1"/>
  <c r="J76" i="14" s="1"/>
  <c r="D64" i="15" s="1"/>
  <c r="K67" i="1"/>
  <c r="K76" i="14" s="1"/>
  <c r="L67" i="1"/>
  <c r="L76" i="14" s="1"/>
  <c r="C64" i="15" s="1"/>
  <c r="M67" i="1"/>
  <c r="M76" i="14" s="1"/>
  <c r="N67" i="1"/>
  <c r="N76" i="14" s="1"/>
  <c r="O67" i="1"/>
  <c r="O76" i="14" s="1"/>
  <c r="P67" i="1"/>
  <c r="P76" i="14" s="1"/>
  <c r="Q67" i="1"/>
  <c r="Q76" i="14" s="1"/>
  <c r="R67" i="1"/>
  <c r="R76" i="14" s="1"/>
  <c r="S67" i="1"/>
  <c r="S76" i="14" s="1"/>
  <c r="T67" i="1"/>
  <c r="T76" i="14" s="1"/>
  <c r="U67" i="1"/>
  <c r="U76" i="14" s="1"/>
  <c r="V67" i="1"/>
  <c r="V76" i="14" s="1"/>
  <c r="W67" i="1"/>
  <c r="W76" i="14" s="1"/>
  <c r="X67" i="1"/>
  <c r="X76" i="14" s="1"/>
  <c r="Y67" i="1"/>
  <c r="Y76" i="14" s="1"/>
  <c r="Z67" i="1"/>
  <c r="Z76" i="14" s="1"/>
  <c r="AA67" i="1"/>
  <c r="AA76" i="14" s="1"/>
  <c r="AB67" i="1"/>
  <c r="AB76" i="14" s="1"/>
  <c r="AC67" i="1"/>
  <c r="AC76" i="14" s="1"/>
  <c r="AD67" i="1"/>
  <c r="AD76" i="14" s="1"/>
  <c r="AE67" i="1"/>
  <c r="AE76" i="14" s="1"/>
  <c r="AF67" i="1"/>
  <c r="AF76" i="14" s="1"/>
  <c r="AG67" i="1"/>
  <c r="AG76" i="14" s="1"/>
  <c r="AH67" i="1"/>
  <c r="AH76" i="14" s="1"/>
  <c r="AI67" i="1"/>
  <c r="AI76" i="14" s="1"/>
  <c r="AJ67" i="1"/>
  <c r="AJ76" i="14" s="1"/>
  <c r="AK67" i="1"/>
  <c r="AK76" i="14" s="1"/>
  <c r="AL67" i="1"/>
  <c r="AL76" i="14" s="1"/>
  <c r="AM67" i="1"/>
  <c r="AM76" i="14" s="1"/>
  <c r="AN67" i="1"/>
  <c r="AN76" i="14" s="1"/>
  <c r="AO67" i="1"/>
  <c r="AO76" i="14" s="1"/>
  <c r="AP67" i="1"/>
  <c r="AP76" i="14" s="1"/>
  <c r="AQ67" i="1"/>
  <c r="AQ76" i="14" s="1"/>
  <c r="AR67" i="1"/>
  <c r="AR76" i="14" s="1"/>
  <c r="AS67" i="1"/>
  <c r="AS76" i="14" s="1"/>
  <c r="AT67" i="1"/>
  <c r="AT76" i="14" s="1"/>
  <c r="AU67" i="1"/>
  <c r="AU76" i="14" s="1"/>
  <c r="AV67" i="1"/>
  <c r="AV76" i="14" s="1"/>
  <c r="AW67" i="1"/>
  <c r="AW76" i="14" s="1"/>
  <c r="AX67" i="1"/>
  <c r="AX76" i="14" s="1"/>
  <c r="AX27" i="14"/>
  <c r="AY55" i="14"/>
  <c r="DR27" i="10"/>
  <c r="BE28" i="12"/>
  <c r="BI27" i="10"/>
  <c r="DM28" i="12"/>
  <c r="AX37" i="14"/>
  <c r="DR28" i="10"/>
  <c r="BE29" i="12"/>
  <c r="BI28" i="10"/>
  <c r="DM29" i="12"/>
  <c r="DR23" i="10"/>
  <c r="BE24" i="12"/>
  <c r="DM24" i="12" s="1"/>
  <c r="BI23" i="10"/>
  <c r="DR59" i="10"/>
  <c r="BE49" i="12"/>
  <c r="DM49" i="12"/>
  <c r="DR48" i="10"/>
  <c r="BI48" i="10"/>
  <c r="BG58" i="12"/>
  <c r="DO58" i="12" s="1"/>
  <c r="DT57" i="10"/>
  <c r="BK57" i="10"/>
  <c r="AX70" i="14"/>
  <c r="BI46" i="10"/>
  <c r="BE47" i="12"/>
  <c r="DM47" i="12"/>
  <c r="DR46" i="10"/>
  <c r="BF46" i="12"/>
  <c r="DS45" i="10"/>
  <c r="DN46" i="12"/>
  <c r="BJ45" i="10"/>
  <c r="AX36" i="14"/>
  <c r="AY42" i="1"/>
  <c r="AY68" i="14"/>
  <c r="AY64" i="14"/>
  <c r="AY42" i="14"/>
  <c r="AY38" i="1"/>
  <c r="AY49" i="1"/>
  <c r="DR56" i="10"/>
  <c r="BE57" i="12"/>
  <c r="BI56" i="10"/>
  <c r="DM57" i="12"/>
  <c r="AX57" i="14"/>
  <c r="BL58" i="10"/>
  <c r="BH59" i="12"/>
  <c r="DP59" i="12" s="1"/>
  <c r="BF48" i="12"/>
  <c r="DS47" i="10"/>
  <c r="DN48" i="12"/>
  <c r="BJ47" i="10"/>
  <c r="AX67" i="14"/>
  <c r="DR35" i="10"/>
  <c r="BE36" i="12"/>
  <c r="BI35" i="10"/>
  <c r="DM36" i="12"/>
  <c r="G60" i="13"/>
  <c r="H60" i="13" s="1"/>
  <c r="AX31" i="14"/>
  <c r="AX71" i="14"/>
  <c r="AX68" i="14"/>
  <c r="AX29" i="14"/>
  <c r="AX39" i="14"/>
  <c r="AY62" i="1"/>
  <c r="AZ63" i="1" s="1"/>
  <c r="AY40" i="1"/>
  <c r="AZ41" i="1" s="1"/>
  <c r="AY23" i="1"/>
  <c r="AY32" i="1"/>
  <c r="AY44" i="1"/>
  <c r="AY54" i="1"/>
  <c r="AY36" i="1"/>
  <c r="BF161" i="14"/>
  <c r="BG162" i="14"/>
  <c r="DR52" i="10"/>
  <c r="BE53" i="12"/>
  <c r="BI52" i="10"/>
  <c r="DM53" i="12"/>
  <c r="DT51" i="10"/>
  <c r="BK51" i="10"/>
  <c r="BG52" i="12"/>
  <c r="DO52" i="12"/>
  <c r="AX49" i="14"/>
  <c r="DR30" i="10"/>
  <c r="BE31" i="12"/>
  <c r="BI30" i="10"/>
  <c r="DM31" i="12"/>
  <c r="DQ19" i="10"/>
  <c r="BD20" i="12"/>
  <c r="DL20" i="12" s="1"/>
  <c r="BH19" i="10"/>
  <c r="DQ16" i="10"/>
  <c r="BD17" i="12"/>
  <c r="BH16" i="10"/>
  <c r="DL17" i="12"/>
  <c r="EC63" i="12"/>
  <c r="AZ50" i="14" l="1"/>
  <c r="AZ72" i="14"/>
  <c r="BG161" i="14"/>
  <c r="BH162" i="14"/>
  <c r="DS36" i="10"/>
  <c r="BJ36" i="10"/>
  <c r="BF37" i="12"/>
  <c r="DN37" i="12"/>
  <c r="DR14" i="10"/>
  <c r="BI14" i="10"/>
  <c r="BE15" i="12"/>
  <c r="DM15" i="12" s="1"/>
  <c r="BG40" i="12"/>
  <c r="DO40" i="12"/>
  <c r="DT39" i="10"/>
  <c r="BK39" i="10"/>
  <c r="AZ54" i="14"/>
  <c r="BH54" i="12"/>
  <c r="DP54" i="12" s="1"/>
  <c r="DU53" i="10"/>
  <c r="BL53" i="10"/>
  <c r="D60" i="13"/>
  <c r="ED63" i="12"/>
  <c r="AY47" i="14"/>
  <c r="BF49" i="12"/>
  <c r="DN49" i="12" s="1"/>
  <c r="DS48" i="10"/>
  <c r="BJ48" i="10"/>
  <c r="DS27" i="10"/>
  <c r="BJ27" i="10"/>
  <c r="BF28" i="12"/>
  <c r="DN28" i="12" s="1"/>
  <c r="BH44" i="12"/>
  <c r="DP44" i="12" s="1"/>
  <c r="DU43" i="10"/>
  <c r="BL43" i="10"/>
  <c r="BF45" i="12"/>
  <c r="DS44" i="10"/>
  <c r="DN45" i="12"/>
  <c r="BJ44" i="10"/>
  <c r="BA7" i="1"/>
  <c r="BA68" i="1"/>
  <c r="BA77" i="14" s="1"/>
  <c r="BA67" i="1"/>
  <c r="BA76" i="14" s="1"/>
  <c r="BA66" i="1"/>
  <c r="BA75" i="14" s="1"/>
  <c r="BA8" i="1"/>
  <c r="BA9" i="1"/>
  <c r="AY48" i="14"/>
  <c r="BF51" i="12"/>
  <c r="DN51" i="12" s="1"/>
  <c r="DS50" i="10"/>
  <c r="BJ50" i="10"/>
  <c r="BE92" i="14"/>
  <c r="BF93" i="14"/>
  <c r="AZ52" i="1"/>
  <c r="AZ36" i="1"/>
  <c r="AZ32" i="1"/>
  <c r="AZ22" i="1"/>
  <c r="AZ23" i="1"/>
  <c r="BI59" i="12"/>
  <c r="DQ59" i="12"/>
  <c r="BM58" i="10"/>
  <c r="AZ48" i="14"/>
  <c r="DS37" i="10"/>
  <c r="BJ37" i="10"/>
  <c r="BF38" i="12"/>
  <c r="DN38" i="12"/>
  <c r="DS29" i="10"/>
  <c r="BJ29" i="10"/>
  <c r="BF30" i="12"/>
  <c r="DN30" i="12"/>
  <c r="DS22" i="10"/>
  <c r="BJ22" i="10"/>
  <c r="BF23" i="12"/>
  <c r="DN23" i="12"/>
  <c r="DS31" i="10"/>
  <c r="BJ31" i="10"/>
  <c r="BF32" i="12"/>
  <c r="DN32" i="12"/>
  <c r="DS32" i="10"/>
  <c r="BJ32" i="10"/>
  <c r="BF33" i="12"/>
  <c r="DN33" i="12"/>
  <c r="DS34" i="10"/>
  <c r="BJ34" i="10"/>
  <c r="BF35" i="12"/>
  <c r="DN35" i="12"/>
  <c r="BB12" i="1"/>
  <c r="BA58" i="1" s="1"/>
  <c r="BC13" i="1"/>
  <c r="AY34" i="14"/>
  <c r="AZ24" i="14"/>
  <c r="AZ60" i="14"/>
  <c r="AZ26" i="1"/>
  <c r="AZ19" i="1"/>
  <c r="B136" i="1"/>
  <c r="A137" i="1"/>
  <c r="C136" i="1"/>
  <c r="D136" i="1"/>
  <c r="E136" i="1"/>
  <c r="G136" i="1"/>
  <c r="F136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T136" i="1"/>
  <c r="U136" i="1"/>
  <c r="V136" i="1"/>
  <c r="W136" i="1"/>
  <c r="X136" i="1"/>
  <c r="Y136" i="1"/>
  <c r="Z136" i="1"/>
  <c r="AA136" i="1"/>
  <c r="AB136" i="1"/>
  <c r="AC136" i="1"/>
  <c r="AD136" i="1"/>
  <c r="AE136" i="1"/>
  <c r="AF136" i="1"/>
  <c r="AG136" i="1"/>
  <c r="AH136" i="1"/>
  <c r="AI136" i="1"/>
  <c r="AJ136" i="1"/>
  <c r="AK136" i="1"/>
  <c r="AL136" i="1"/>
  <c r="AM136" i="1"/>
  <c r="AN136" i="1"/>
  <c r="AO136" i="1"/>
  <c r="AP136" i="1"/>
  <c r="AQ136" i="1"/>
  <c r="AR136" i="1"/>
  <c r="AS136" i="1"/>
  <c r="AT136" i="1"/>
  <c r="AU136" i="1"/>
  <c r="AV136" i="1"/>
  <c r="AW136" i="1"/>
  <c r="AX136" i="1"/>
  <c r="AY136" i="1"/>
  <c r="AZ136" i="1"/>
  <c r="BA136" i="1"/>
  <c r="BB136" i="1"/>
  <c r="AY71" i="14"/>
  <c r="BG42" i="12"/>
  <c r="DO42" i="12"/>
  <c r="BK41" i="10"/>
  <c r="DT41" i="10"/>
  <c r="DT59" i="10"/>
  <c r="BG60" i="12"/>
  <c r="DO60" i="12"/>
  <c r="BK59" i="10"/>
  <c r="AZ40" i="14"/>
  <c r="DT45" i="10"/>
  <c r="BK45" i="10"/>
  <c r="BG46" i="12"/>
  <c r="DO46" i="12"/>
  <c r="DS28" i="10"/>
  <c r="BJ28" i="10"/>
  <c r="BF29" i="12"/>
  <c r="DN29" i="12"/>
  <c r="AY33" i="14"/>
  <c r="DR18" i="10"/>
  <c r="BI18" i="10"/>
  <c r="BE19" i="12"/>
  <c r="DM19" i="12" s="1"/>
  <c r="AZ46" i="1"/>
  <c r="AZ25" i="1"/>
  <c r="AZ49" i="1"/>
  <c r="AZ17" i="1"/>
  <c r="AZ43" i="1"/>
  <c r="DS40" i="10"/>
  <c r="BJ40" i="10"/>
  <c r="BF41" i="12"/>
  <c r="DN41" i="12"/>
  <c r="AY51" i="14"/>
  <c r="DS20" i="10"/>
  <c r="BJ20" i="10"/>
  <c r="BF21" i="12"/>
  <c r="DN21" i="12"/>
  <c r="AZ53" i="14"/>
  <c r="BH52" i="12"/>
  <c r="DP52" i="12" s="1"/>
  <c r="DU51" i="10"/>
  <c r="BL51" i="10"/>
  <c r="DO48" i="12"/>
  <c r="DT47" i="10"/>
  <c r="BG48" i="12"/>
  <c r="BK47" i="10"/>
  <c r="DR16" i="10"/>
  <c r="BI16" i="10"/>
  <c r="BE17" i="12"/>
  <c r="DM17" i="12"/>
  <c r="AY53" i="14"/>
  <c r="DS33" i="10"/>
  <c r="BJ33" i="10"/>
  <c r="BF34" i="12"/>
  <c r="DN34" i="12" s="1"/>
  <c r="BD21" i="14"/>
  <c r="BE22" i="14"/>
  <c r="AZ64" i="1"/>
  <c r="AZ37" i="1"/>
  <c r="AZ40" i="1"/>
  <c r="AZ29" i="1"/>
  <c r="AZ50" i="1"/>
  <c r="DR17" i="10"/>
  <c r="BI17" i="10"/>
  <c r="BE18" i="12"/>
  <c r="DM18" i="12"/>
  <c r="DS25" i="10"/>
  <c r="BJ25" i="10"/>
  <c r="BF26" i="12"/>
  <c r="DN26" i="12"/>
  <c r="AZ56" i="14"/>
  <c r="DS52" i="10"/>
  <c r="BJ52" i="10"/>
  <c r="BF53" i="12"/>
  <c r="DN53" i="12" s="1"/>
  <c r="DS35" i="10"/>
  <c r="BJ35" i="10"/>
  <c r="BF36" i="12"/>
  <c r="DN36" i="12"/>
  <c r="DR11" i="10"/>
  <c r="BI11" i="10"/>
  <c r="BE12" i="12"/>
  <c r="DM12" i="12" s="1"/>
  <c r="EC64" i="12"/>
  <c r="AY61" i="14"/>
  <c r="DS21" i="10"/>
  <c r="BF22" i="12"/>
  <c r="BJ21" i="10"/>
  <c r="DN22" i="12"/>
  <c r="AZ28" i="1"/>
  <c r="AZ14" i="1"/>
  <c r="AZ53" i="1"/>
  <c r="AZ42" i="1"/>
  <c r="AZ21" i="1"/>
  <c r="AZ60" i="1"/>
  <c r="AZ61" i="1"/>
  <c r="AZ48" i="1"/>
  <c r="AY67" i="14"/>
  <c r="AZ64" i="14"/>
  <c r="BF47" i="12"/>
  <c r="DS46" i="10"/>
  <c r="DN47" i="12"/>
  <c r="BJ46" i="10"/>
  <c r="AY63" i="14"/>
  <c r="DS56" i="10"/>
  <c r="BJ56" i="10"/>
  <c r="BF57" i="12"/>
  <c r="DN57" i="12"/>
  <c r="AY32" i="14"/>
  <c r="EB65" i="12"/>
  <c r="E62" i="13" s="1"/>
  <c r="EA66" i="12"/>
  <c r="EC65" i="12"/>
  <c r="B62" i="13"/>
  <c r="AY60" i="14"/>
  <c r="DR12" i="10"/>
  <c r="BI12" i="10"/>
  <c r="BE13" i="12"/>
  <c r="DM13" i="12"/>
  <c r="BJ26" i="10"/>
  <c r="BF27" i="12"/>
  <c r="DN27" i="12"/>
  <c r="DS26" i="10"/>
  <c r="DS38" i="10"/>
  <c r="BJ38" i="10"/>
  <c r="BF39" i="12"/>
  <c r="DN39" i="12"/>
  <c r="DR15" i="10"/>
  <c r="BI15" i="10"/>
  <c r="BE16" i="12"/>
  <c r="DM16" i="12"/>
  <c r="AZ62" i="1"/>
  <c r="AZ27" i="1"/>
  <c r="AZ54" i="1"/>
  <c r="AZ34" i="1"/>
  <c r="AZ57" i="1"/>
  <c r="AZ38" i="1"/>
  <c r="AZ30" i="1"/>
  <c r="AY57" i="14"/>
  <c r="P66" i="15"/>
  <c r="O66" i="15"/>
  <c r="J66" i="15"/>
  <c r="L66" i="15"/>
  <c r="I66" i="15"/>
  <c r="K66" i="15"/>
  <c r="H67" i="15"/>
  <c r="R66" i="15"/>
  <c r="Q66" i="15"/>
  <c r="BE80" i="1"/>
  <c r="BF81" i="1"/>
  <c r="AY58" i="14"/>
  <c r="DS42" i="10"/>
  <c r="BJ42" i="10"/>
  <c r="BF43" i="12"/>
  <c r="DN43" i="12" s="1"/>
  <c r="AZ25" i="14"/>
  <c r="AZ33" i="14"/>
  <c r="DT49" i="10"/>
  <c r="BG50" i="12"/>
  <c r="DO50" i="12" s="1"/>
  <c r="BK49" i="10"/>
  <c r="AY45" i="14"/>
  <c r="DS30" i="10"/>
  <c r="BJ30" i="10"/>
  <c r="BF31" i="12"/>
  <c r="DN31" i="12"/>
  <c r="AY41" i="14"/>
  <c r="BH58" i="12"/>
  <c r="DP58" i="12"/>
  <c r="DU57" i="10"/>
  <c r="BL57" i="10"/>
  <c r="BI19" i="10"/>
  <c r="BE20" i="12"/>
  <c r="DM20" i="12"/>
  <c r="DR19" i="10"/>
  <c r="AY49" i="14"/>
  <c r="DU58" i="10"/>
  <c r="DS23" i="10"/>
  <c r="BJ23" i="10"/>
  <c r="BF24" i="12"/>
  <c r="DN24" i="12"/>
  <c r="C68" i="1"/>
  <c r="C77" i="14" s="1"/>
  <c r="B68" i="1"/>
  <c r="B77" i="14" s="1"/>
  <c r="A69" i="1"/>
  <c r="D68" i="1"/>
  <c r="D77" i="14" s="1"/>
  <c r="E68" i="1"/>
  <c r="E77" i="14" s="1"/>
  <c r="F68" i="1"/>
  <c r="F77" i="14" s="1"/>
  <c r="F65" i="15" s="1"/>
  <c r="G68" i="1"/>
  <c r="G77" i="14" s="1"/>
  <c r="H68" i="1"/>
  <c r="H77" i="14" s="1"/>
  <c r="E65" i="15" s="1"/>
  <c r="I68" i="1"/>
  <c r="I77" i="14" s="1"/>
  <c r="J68" i="1"/>
  <c r="J77" i="14" s="1"/>
  <c r="D65" i="15" s="1"/>
  <c r="K68" i="1"/>
  <c r="K77" i="14" s="1"/>
  <c r="L68" i="1"/>
  <c r="L77" i="14" s="1"/>
  <c r="C65" i="15" s="1"/>
  <c r="M68" i="1"/>
  <c r="M77" i="14" s="1"/>
  <c r="N68" i="1"/>
  <c r="N77" i="14" s="1"/>
  <c r="O68" i="1"/>
  <c r="O77" i="14" s="1"/>
  <c r="P68" i="1"/>
  <c r="P77" i="14" s="1"/>
  <c r="Q68" i="1"/>
  <c r="Q77" i="14" s="1"/>
  <c r="R68" i="1"/>
  <c r="R77" i="14" s="1"/>
  <c r="S68" i="1"/>
  <c r="S77" i="14" s="1"/>
  <c r="T68" i="1"/>
  <c r="T77" i="14" s="1"/>
  <c r="U68" i="1"/>
  <c r="U77" i="14" s="1"/>
  <c r="V68" i="1"/>
  <c r="V77" i="14" s="1"/>
  <c r="W68" i="1"/>
  <c r="W77" i="14" s="1"/>
  <c r="X68" i="1"/>
  <c r="X77" i="14" s="1"/>
  <c r="Y68" i="1"/>
  <c r="Y77" i="14" s="1"/>
  <c r="Z68" i="1"/>
  <c r="Z77" i="14" s="1"/>
  <c r="AA68" i="1"/>
  <c r="AA77" i="14" s="1"/>
  <c r="AB68" i="1"/>
  <c r="AB77" i="14" s="1"/>
  <c r="AC68" i="1"/>
  <c r="AC77" i="14" s="1"/>
  <c r="AD68" i="1"/>
  <c r="AD77" i="14" s="1"/>
  <c r="AE68" i="1"/>
  <c r="AE77" i="14" s="1"/>
  <c r="AF68" i="1"/>
  <c r="AF77" i="14" s="1"/>
  <c r="AG68" i="1"/>
  <c r="AG77" i="14" s="1"/>
  <c r="AH68" i="1"/>
  <c r="AH77" i="14" s="1"/>
  <c r="AI68" i="1"/>
  <c r="AI77" i="14" s="1"/>
  <c r="AJ68" i="1"/>
  <c r="AJ77" i="14" s="1"/>
  <c r="AK68" i="1"/>
  <c r="AK77" i="14" s="1"/>
  <c r="AL68" i="1"/>
  <c r="AL77" i="14" s="1"/>
  <c r="AM68" i="1"/>
  <c r="AM77" i="14" s="1"/>
  <c r="AN68" i="1"/>
  <c r="AN77" i="14" s="1"/>
  <c r="AO68" i="1"/>
  <c r="AO77" i="14" s="1"/>
  <c r="AP68" i="1"/>
  <c r="AP77" i="14" s="1"/>
  <c r="AQ68" i="1"/>
  <c r="AQ77" i="14" s="1"/>
  <c r="AR68" i="1"/>
  <c r="AR77" i="14" s="1"/>
  <c r="AS68" i="1"/>
  <c r="AS77" i="14" s="1"/>
  <c r="AT68" i="1"/>
  <c r="AT77" i="14" s="1"/>
  <c r="AU68" i="1"/>
  <c r="AU77" i="14" s="1"/>
  <c r="AV68" i="1"/>
  <c r="AV77" i="14" s="1"/>
  <c r="AW68" i="1"/>
  <c r="AW77" i="14" s="1"/>
  <c r="AX68" i="1"/>
  <c r="AX77" i="14" s="1"/>
  <c r="AY68" i="1"/>
  <c r="AY77" i="14" s="1"/>
  <c r="DS59" i="10"/>
  <c r="BG56" i="12"/>
  <c r="DO56" i="12" s="1"/>
  <c r="BK55" i="10"/>
  <c r="DT55" i="10"/>
  <c r="DS54" i="10"/>
  <c r="BJ54" i="10"/>
  <c r="BF55" i="12"/>
  <c r="DN55" i="12"/>
  <c r="DS24" i="10"/>
  <c r="BJ24" i="10"/>
  <c r="BF25" i="12"/>
  <c r="DN25" i="12"/>
  <c r="AZ20" i="1"/>
  <c r="AZ18" i="1"/>
  <c r="AZ58" i="1"/>
  <c r="AZ33" i="1"/>
  <c r="AZ59" i="1"/>
  <c r="AZ35" i="1"/>
  <c r="AZ56" i="1"/>
  <c r="BC230" i="14"/>
  <c r="BD231" i="14"/>
  <c r="DR13" i="10"/>
  <c r="BI13" i="10"/>
  <c r="BE14" i="12"/>
  <c r="DM14" i="12"/>
  <c r="BB78" i="1"/>
  <c r="BD137" i="1"/>
  <c r="BA67" i="14" l="1"/>
  <c r="BG39" i="12"/>
  <c r="DT38" i="10"/>
  <c r="DO39" i="12"/>
  <c r="BK38" i="10"/>
  <c r="DT46" i="10"/>
  <c r="BK46" i="10"/>
  <c r="BG47" i="12"/>
  <c r="DO47" i="12"/>
  <c r="AZ35" i="14"/>
  <c r="BA46" i="1"/>
  <c r="BA40" i="1"/>
  <c r="DO49" i="12"/>
  <c r="DT48" i="10"/>
  <c r="BG49" i="12"/>
  <c r="BK48" i="10"/>
  <c r="AZ42" i="14"/>
  <c r="AZ71" i="14"/>
  <c r="AZ70" i="14"/>
  <c r="BG22" i="12"/>
  <c r="DT21" i="10"/>
  <c r="DO22" i="12"/>
  <c r="BK21" i="10"/>
  <c r="BF12" i="12"/>
  <c r="DN12" i="12" s="1"/>
  <c r="DS11" i="10"/>
  <c r="BJ11" i="10"/>
  <c r="BG53" i="12"/>
  <c r="DT52" i="10"/>
  <c r="DO53" i="12"/>
  <c r="BK52" i="10"/>
  <c r="AZ73" i="14"/>
  <c r="BF19" i="12"/>
  <c r="DN19" i="12" s="1"/>
  <c r="DS18" i="10"/>
  <c r="BJ18" i="10"/>
  <c r="AZ41" i="14"/>
  <c r="BA59" i="1"/>
  <c r="BA34" i="1"/>
  <c r="BA52" i="1"/>
  <c r="BA18" i="1"/>
  <c r="BA50" i="1"/>
  <c r="BA54" i="1"/>
  <c r="BA45" i="1"/>
  <c r="BF14" i="12"/>
  <c r="DS13" i="10"/>
  <c r="DN14" i="12"/>
  <c r="BJ13" i="10"/>
  <c r="AZ67" i="14"/>
  <c r="B69" i="1"/>
  <c r="B78" i="14" s="1"/>
  <c r="C69" i="1"/>
  <c r="C78" i="14" s="1"/>
  <c r="A70" i="1"/>
  <c r="D69" i="1"/>
  <c r="D78" i="14" s="1"/>
  <c r="E69" i="1"/>
  <c r="E78" i="14" s="1"/>
  <c r="F69" i="1"/>
  <c r="F78" i="14" s="1"/>
  <c r="F66" i="15" s="1"/>
  <c r="G69" i="1"/>
  <c r="G78" i="14" s="1"/>
  <c r="H69" i="1"/>
  <c r="H78" i="14" s="1"/>
  <c r="E66" i="15" s="1"/>
  <c r="I69" i="1"/>
  <c r="I78" i="14" s="1"/>
  <c r="J69" i="1"/>
  <c r="J78" i="14" s="1"/>
  <c r="D66" i="15" s="1"/>
  <c r="K69" i="1"/>
  <c r="K78" i="14" s="1"/>
  <c r="L69" i="1"/>
  <c r="L78" i="14" s="1"/>
  <c r="C66" i="15" s="1"/>
  <c r="M69" i="1"/>
  <c r="M78" i="14" s="1"/>
  <c r="N69" i="1"/>
  <c r="N78" i="14" s="1"/>
  <c r="O69" i="1"/>
  <c r="O78" i="14" s="1"/>
  <c r="P69" i="1"/>
  <c r="P78" i="14" s="1"/>
  <c r="Q69" i="1"/>
  <c r="Q78" i="14" s="1"/>
  <c r="R69" i="1"/>
  <c r="R78" i="14" s="1"/>
  <c r="S69" i="1"/>
  <c r="S78" i="14" s="1"/>
  <c r="T69" i="1"/>
  <c r="T78" i="14" s="1"/>
  <c r="U69" i="1"/>
  <c r="U78" i="14" s="1"/>
  <c r="V69" i="1"/>
  <c r="V78" i="14" s="1"/>
  <c r="W69" i="1"/>
  <c r="W78" i="14" s="1"/>
  <c r="X69" i="1"/>
  <c r="X78" i="14" s="1"/>
  <c r="Y69" i="1"/>
  <c r="Y78" i="14" s="1"/>
  <c r="Z69" i="1"/>
  <c r="Z78" i="14" s="1"/>
  <c r="AA69" i="1"/>
  <c r="AA78" i="14" s="1"/>
  <c r="AB69" i="1"/>
  <c r="AB78" i="14" s="1"/>
  <c r="AC69" i="1"/>
  <c r="AC78" i="14" s="1"/>
  <c r="AD69" i="1"/>
  <c r="AD78" i="14" s="1"/>
  <c r="AE69" i="1"/>
  <c r="AE78" i="14" s="1"/>
  <c r="AF69" i="1"/>
  <c r="AF78" i="14" s="1"/>
  <c r="AG69" i="1"/>
  <c r="AG78" i="14" s="1"/>
  <c r="AH69" i="1"/>
  <c r="AH78" i="14" s="1"/>
  <c r="AI69" i="1"/>
  <c r="AI78" i="14" s="1"/>
  <c r="AJ69" i="1"/>
  <c r="AJ78" i="14" s="1"/>
  <c r="AK69" i="1"/>
  <c r="AK78" i="14" s="1"/>
  <c r="AL69" i="1"/>
  <c r="AL78" i="14" s="1"/>
  <c r="AM69" i="1"/>
  <c r="AM78" i="14" s="1"/>
  <c r="AN69" i="1"/>
  <c r="AN78" i="14" s="1"/>
  <c r="AO69" i="1"/>
  <c r="AO78" i="14" s="1"/>
  <c r="AP69" i="1"/>
  <c r="AP78" i="14" s="1"/>
  <c r="AQ69" i="1"/>
  <c r="AQ78" i="14" s="1"/>
  <c r="AR69" i="1"/>
  <c r="AR78" i="14" s="1"/>
  <c r="AS69" i="1"/>
  <c r="AS78" i="14" s="1"/>
  <c r="AT69" i="1"/>
  <c r="AT78" i="14" s="1"/>
  <c r="AU69" i="1"/>
  <c r="AU78" i="14" s="1"/>
  <c r="AV69" i="1"/>
  <c r="AV78" i="14" s="1"/>
  <c r="AW69" i="1"/>
  <c r="AW78" i="14" s="1"/>
  <c r="AX69" i="1"/>
  <c r="AX78" i="14" s="1"/>
  <c r="AY69" i="1"/>
  <c r="AY78" i="14" s="1"/>
  <c r="AZ69" i="1"/>
  <c r="AZ78" i="14" s="1"/>
  <c r="BG81" i="1"/>
  <c r="BF80" i="1"/>
  <c r="J67" i="15"/>
  <c r="L67" i="15"/>
  <c r="I67" i="15"/>
  <c r="H68" i="15"/>
  <c r="R67" i="15"/>
  <c r="K67" i="15"/>
  <c r="Q67" i="15"/>
  <c r="P67" i="15"/>
  <c r="O67" i="15"/>
  <c r="AZ69" i="14"/>
  <c r="BF22" i="14"/>
  <c r="BE21" i="14"/>
  <c r="DV51" i="10"/>
  <c r="BI52" i="12"/>
  <c r="DQ52" i="12"/>
  <c r="BM51" i="10"/>
  <c r="BG21" i="12"/>
  <c r="DO21" i="12"/>
  <c r="DT20" i="10"/>
  <c r="BK20" i="10"/>
  <c r="AZ52" i="14"/>
  <c r="AZ45" i="14"/>
  <c r="BA61" i="1"/>
  <c r="BA42" i="1"/>
  <c r="BA14" i="1"/>
  <c r="BA19" i="1"/>
  <c r="BA22" i="1"/>
  <c r="BA20" i="1"/>
  <c r="BA29" i="1"/>
  <c r="BI162" i="14"/>
  <c r="BH161" i="14"/>
  <c r="BF13" i="12"/>
  <c r="DS12" i="10"/>
  <c r="DN13" i="12"/>
  <c r="BJ12" i="10"/>
  <c r="BB70" i="1"/>
  <c r="BB79" i="14" s="1"/>
  <c r="BB7" i="1"/>
  <c r="BB69" i="1"/>
  <c r="BB78" i="14" s="1"/>
  <c r="BB68" i="1"/>
  <c r="BB77" i="14" s="1"/>
  <c r="BB67" i="1"/>
  <c r="BB76" i="14" s="1"/>
  <c r="BB42" i="1"/>
  <c r="BB39" i="1"/>
  <c r="BB28" i="1"/>
  <c r="BB17" i="1"/>
  <c r="BB56" i="1"/>
  <c r="BB8" i="1"/>
  <c r="BB9" i="1"/>
  <c r="BA17" i="1"/>
  <c r="DQ54" i="12"/>
  <c r="BM53" i="10"/>
  <c r="BI54" i="12"/>
  <c r="DV53" i="10"/>
  <c r="AZ27" i="14"/>
  <c r="BG55" i="12"/>
  <c r="DT54" i="10"/>
  <c r="DO55" i="12"/>
  <c r="BK54" i="10"/>
  <c r="BC78" i="1"/>
  <c r="AZ39" i="14"/>
  <c r="AZ30" i="14"/>
  <c r="BF18" i="12"/>
  <c r="DN18" i="12"/>
  <c r="BJ17" i="10"/>
  <c r="DS17" i="10"/>
  <c r="AZ26" i="14"/>
  <c r="BH46" i="12"/>
  <c r="DP46" i="12"/>
  <c r="DU45" i="10"/>
  <c r="BL45" i="10"/>
  <c r="BG35" i="12"/>
  <c r="DT34" i="10"/>
  <c r="DO35" i="12"/>
  <c r="BK34" i="10"/>
  <c r="BG32" i="12"/>
  <c r="DO32" i="12"/>
  <c r="BK31" i="10"/>
  <c r="DT31" i="10"/>
  <c r="BG30" i="12"/>
  <c r="DT29" i="10"/>
  <c r="DO30" i="12"/>
  <c r="BK29" i="10"/>
  <c r="BN58" i="10"/>
  <c r="DW58" i="10" s="1"/>
  <c r="BJ59" i="12"/>
  <c r="DR59" i="12" s="1"/>
  <c r="AZ61" i="14"/>
  <c r="BA63" i="1"/>
  <c r="BA60" i="1"/>
  <c r="BA16" i="1"/>
  <c r="BA38" i="1"/>
  <c r="BA64" i="1"/>
  <c r="BA36" i="1"/>
  <c r="BA49" i="1"/>
  <c r="BA30" i="1"/>
  <c r="BG31" i="12"/>
  <c r="DO31" i="12" s="1"/>
  <c r="DT30" i="10"/>
  <c r="BK30" i="10"/>
  <c r="AZ57" i="14"/>
  <c r="BD230" i="14"/>
  <c r="BE231" i="14"/>
  <c r="AZ29" i="14"/>
  <c r="DU49" i="10"/>
  <c r="BL49" i="10"/>
  <c r="BH50" i="12"/>
  <c r="DP50" i="12" s="1"/>
  <c r="AZ47" i="14"/>
  <c r="BF16" i="12"/>
  <c r="DN16" i="12" s="1"/>
  <c r="DS15" i="10"/>
  <c r="BJ15" i="10"/>
  <c r="G62" i="13"/>
  <c r="H62" i="13" s="1"/>
  <c r="BG57" i="12"/>
  <c r="DO57" i="12" s="1"/>
  <c r="DT56" i="10"/>
  <c r="BK56" i="10"/>
  <c r="AZ51" i="14"/>
  <c r="BF17" i="12"/>
  <c r="DS16" i="10"/>
  <c r="DN17" i="12"/>
  <c r="BJ16" i="10"/>
  <c r="AZ58" i="14"/>
  <c r="BH42" i="12"/>
  <c r="DP42" i="12"/>
  <c r="DU41" i="10"/>
  <c r="BL41" i="10"/>
  <c r="DV58" i="10"/>
  <c r="BG93" i="14"/>
  <c r="BF92" i="14"/>
  <c r="BA35" i="1"/>
  <c r="BA41" i="1"/>
  <c r="BA48" i="1"/>
  <c r="BA23" i="1"/>
  <c r="BA25" i="1"/>
  <c r="BA56" i="1"/>
  <c r="BA44" i="1"/>
  <c r="DO45" i="12"/>
  <c r="DT44" i="10"/>
  <c r="BG45" i="12"/>
  <c r="BK44" i="10"/>
  <c r="BF15" i="12"/>
  <c r="DN15" i="12" s="1"/>
  <c r="DS14" i="10"/>
  <c r="BJ14" i="10"/>
  <c r="AZ68" i="14"/>
  <c r="DV57" i="10"/>
  <c r="BI58" i="12"/>
  <c r="DQ58" i="12" s="1"/>
  <c r="BM57" i="10"/>
  <c r="BG41" i="12"/>
  <c r="DO41" i="12" s="1"/>
  <c r="DT40" i="10"/>
  <c r="BK40" i="10"/>
  <c r="BA53" i="1"/>
  <c r="DV43" i="10"/>
  <c r="BI44" i="12"/>
  <c r="DQ44" i="12" s="1"/>
  <c r="BM43" i="10"/>
  <c r="AZ66" i="14"/>
  <c r="BG27" i="12"/>
  <c r="DO27" i="12" s="1"/>
  <c r="DT26" i="10"/>
  <c r="BK26" i="10"/>
  <c r="ED65" i="12"/>
  <c r="D62" i="13"/>
  <c r="AZ62" i="14"/>
  <c r="BG36" i="12"/>
  <c r="DO36" i="12" s="1"/>
  <c r="DT35" i="10"/>
  <c r="BK35" i="10"/>
  <c r="AZ59" i="14"/>
  <c r="AZ34" i="14"/>
  <c r="A138" i="1"/>
  <c r="BE138" i="1" s="1"/>
  <c r="C137" i="1"/>
  <c r="B137" i="1"/>
  <c r="D137" i="1"/>
  <c r="E137" i="1"/>
  <c r="G137" i="1"/>
  <c r="F137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T137" i="1"/>
  <c r="U137" i="1"/>
  <c r="V137" i="1"/>
  <c r="W137" i="1"/>
  <c r="X137" i="1"/>
  <c r="Y137" i="1"/>
  <c r="Z137" i="1"/>
  <c r="AA137" i="1"/>
  <c r="AB137" i="1"/>
  <c r="AC137" i="1"/>
  <c r="AD137" i="1"/>
  <c r="AE137" i="1"/>
  <c r="AF137" i="1"/>
  <c r="AG137" i="1"/>
  <c r="AH137" i="1"/>
  <c r="AI137" i="1"/>
  <c r="AJ137" i="1"/>
  <c r="AK137" i="1"/>
  <c r="AL137" i="1"/>
  <c r="AM137" i="1"/>
  <c r="AN137" i="1"/>
  <c r="AO137" i="1"/>
  <c r="AP137" i="1"/>
  <c r="AQ137" i="1"/>
  <c r="AR137" i="1"/>
  <c r="AS137" i="1"/>
  <c r="AT137" i="1"/>
  <c r="AU137" i="1"/>
  <c r="AV137" i="1"/>
  <c r="AW137" i="1"/>
  <c r="AX137" i="1"/>
  <c r="AY137" i="1"/>
  <c r="AZ137" i="1"/>
  <c r="BA137" i="1"/>
  <c r="BB137" i="1"/>
  <c r="BC137" i="1"/>
  <c r="BA57" i="1"/>
  <c r="BA69" i="1"/>
  <c r="BA78" i="14" s="1"/>
  <c r="BA51" i="1"/>
  <c r="BA32" i="1"/>
  <c r="BA24" i="1"/>
  <c r="BA33" i="1"/>
  <c r="AZ46" i="14"/>
  <c r="AZ31" i="14"/>
  <c r="BG37" i="12"/>
  <c r="DO37" i="12"/>
  <c r="BK36" i="10"/>
  <c r="DT36" i="10"/>
  <c r="AZ65" i="14"/>
  <c r="BH56" i="12"/>
  <c r="DP56" i="12"/>
  <c r="DU55" i="10"/>
  <c r="BL55" i="10"/>
  <c r="BG43" i="12"/>
  <c r="DT42" i="10"/>
  <c r="DO43" i="12"/>
  <c r="BK42" i="10"/>
  <c r="AZ43" i="14"/>
  <c r="B63" i="13"/>
  <c r="G63" i="13" s="1"/>
  <c r="H63" i="13" s="1"/>
  <c r="EB66" i="12"/>
  <c r="E63" i="13" s="1"/>
  <c r="EA67" i="12"/>
  <c r="AZ23" i="14"/>
  <c r="ED64" i="12"/>
  <c r="D61" i="13"/>
  <c r="AZ38" i="14"/>
  <c r="BG34" i="12"/>
  <c r="DT33" i="10"/>
  <c r="DO34" i="12"/>
  <c r="BK33" i="10"/>
  <c r="DU47" i="10"/>
  <c r="BL47" i="10"/>
  <c r="BH48" i="12"/>
  <c r="DP48" i="12" s="1"/>
  <c r="AZ55" i="14"/>
  <c r="DT50" i="10"/>
  <c r="BK50" i="10"/>
  <c r="BG51" i="12"/>
  <c r="DO51" i="12"/>
  <c r="BA15" i="1"/>
  <c r="BA21" i="1"/>
  <c r="BA27" i="1"/>
  <c r="BA37" i="1"/>
  <c r="BA47" i="1"/>
  <c r="BG28" i="12"/>
  <c r="DT27" i="10"/>
  <c r="DO28" i="12"/>
  <c r="BK27" i="10"/>
  <c r="BH40" i="12"/>
  <c r="DP40" i="12"/>
  <c r="DU39" i="10"/>
  <c r="BL39" i="10"/>
  <c r="AZ36" i="14"/>
  <c r="BA39" i="1"/>
  <c r="BA62" i="1"/>
  <c r="AZ44" i="14"/>
  <c r="BG25" i="12"/>
  <c r="DO25" i="12"/>
  <c r="DT24" i="10"/>
  <c r="BK24" i="10"/>
  <c r="BG24" i="12"/>
  <c r="DO24" i="12" s="1"/>
  <c r="DT23" i="10"/>
  <c r="BK23" i="10"/>
  <c r="BF20" i="12"/>
  <c r="DN20" i="12"/>
  <c r="DS19" i="10"/>
  <c r="BJ19" i="10"/>
  <c r="AZ63" i="14"/>
  <c r="AZ37" i="14"/>
  <c r="BG26" i="12"/>
  <c r="DO26" i="12" s="1"/>
  <c r="DT25" i="10"/>
  <c r="BK25" i="10"/>
  <c r="AZ49" i="14"/>
  <c r="BG29" i="12"/>
  <c r="DO29" i="12"/>
  <c r="DT28" i="10"/>
  <c r="BK28" i="10"/>
  <c r="BH60" i="12"/>
  <c r="DP60" i="12"/>
  <c r="DU59" i="10"/>
  <c r="BL59" i="10"/>
  <c r="AZ28" i="14"/>
  <c r="BC12" i="1"/>
  <c r="BD13" i="1"/>
  <c r="BG33" i="12"/>
  <c r="DO33" i="12"/>
  <c r="DT32" i="10"/>
  <c r="BK32" i="10"/>
  <c r="BG23" i="12"/>
  <c r="DO23" i="12"/>
  <c r="DT22" i="10"/>
  <c r="BK22" i="10"/>
  <c r="BG38" i="12"/>
  <c r="DO38" i="12"/>
  <c r="DT37" i="10"/>
  <c r="BK37" i="10"/>
  <c r="AZ32" i="14"/>
  <c r="BA26" i="1"/>
  <c r="BA28" i="1"/>
  <c r="BA55" i="1"/>
  <c r="BA31" i="1"/>
  <c r="BA65" i="1"/>
  <c r="BA43" i="1"/>
  <c r="BH23" i="12" l="1"/>
  <c r="DP23" i="12"/>
  <c r="DU22" i="10"/>
  <c r="BL22" i="10"/>
  <c r="DV45" i="10"/>
  <c r="BI46" i="12"/>
  <c r="DQ46" i="12" s="1"/>
  <c r="BM45" i="10"/>
  <c r="BA35" i="14"/>
  <c r="BC70" i="1"/>
  <c r="BC79" i="14" s="1"/>
  <c r="BC7" i="1"/>
  <c r="BC30" i="1"/>
  <c r="BC58" i="1"/>
  <c r="BC40" i="1"/>
  <c r="BC43" i="1"/>
  <c r="BC69" i="1"/>
  <c r="BC78" i="14" s="1"/>
  <c r="BC68" i="1"/>
  <c r="BC77" i="14" s="1"/>
  <c r="BC29" i="1"/>
  <c r="BC9" i="1"/>
  <c r="BC8" i="1"/>
  <c r="BA46" i="14"/>
  <c r="B64" i="13"/>
  <c r="EB67" i="12"/>
  <c r="E64" i="13" s="1"/>
  <c r="EA68" i="12"/>
  <c r="EC67" i="12"/>
  <c r="BA42" i="14"/>
  <c r="BN57" i="10"/>
  <c r="BJ58" i="12"/>
  <c r="DR58" i="12"/>
  <c r="DW57" i="10"/>
  <c r="BA34" i="14"/>
  <c r="DV41" i="10"/>
  <c r="BI42" i="12"/>
  <c r="DQ42" i="12" s="1"/>
  <c r="BM41" i="10"/>
  <c r="BM49" i="10"/>
  <c r="BI50" i="12"/>
  <c r="DQ50" i="12" s="1"/>
  <c r="DV49" i="10"/>
  <c r="BA73" i="14"/>
  <c r="BH32" i="12"/>
  <c r="DP32" i="12" s="1"/>
  <c r="DU31" i="10"/>
  <c r="BL31" i="10"/>
  <c r="BB61" i="1"/>
  <c r="BB53" i="1"/>
  <c r="BB21" i="1"/>
  <c r="BB46" i="1"/>
  <c r="BB65" i="1"/>
  <c r="BB25" i="1"/>
  <c r="BB33" i="1"/>
  <c r="BB47" i="1"/>
  <c r="BA23" i="14"/>
  <c r="BF21" i="14"/>
  <c r="BG22" i="14"/>
  <c r="BD78" i="1"/>
  <c r="DT13" i="10"/>
  <c r="BK13" i="10"/>
  <c r="BG14" i="12"/>
  <c r="DO14" i="12" s="1"/>
  <c r="BA61" i="14"/>
  <c r="BA33" i="14"/>
  <c r="DU35" i="10"/>
  <c r="BL35" i="10"/>
  <c r="BH36" i="12"/>
  <c r="DP36" i="12" s="1"/>
  <c r="BH27" i="12"/>
  <c r="DP27" i="12"/>
  <c r="DU26" i="10"/>
  <c r="BL26" i="10"/>
  <c r="BA32" i="14"/>
  <c r="DT15" i="10"/>
  <c r="BK15" i="10"/>
  <c r="BG16" i="12"/>
  <c r="DO16" i="12"/>
  <c r="DU30" i="10"/>
  <c r="BL30" i="10"/>
  <c r="BH31" i="12"/>
  <c r="DP31" i="12"/>
  <c r="BA47" i="14"/>
  <c r="BK59" i="12"/>
  <c r="DS59" i="12" s="1"/>
  <c r="BO58" i="10"/>
  <c r="BB36" i="1"/>
  <c r="BB44" i="1"/>
  <c r="BB38" i="1"/>
  <c r="BB66" i="1"/>
  <c r="BB62" i="1"/>
  <c r="BB23" i="1"/>
  <c r="BB24" i="1"/>
  <c r="BB51" i="1"/>
  <c r="BA51" i="14"/>
  <c r="BH81" i="1"/>
  <c r="BG80" i="1"/>
  <c r="BA43" i="14"/>
  <c r="BA49" i="14"/>
  <c r="DU38" i="10"/>
  <c r="BL38" i="10"/>
  <c r="BH39" i="12"/>
  <c r="DP39" i="12" s="1"/>
  <c r="BA37" i="14"/>
  <c r="BB65" i="14"/>
  <c r="BH24" i="12"/>
  <c r="DP24" i="12"/>
  <c r="DU23" i="10"/>
  <c r="BL23" i="10"/>
  <c r="BH37" i="12"/>
  <c r="DP37" i="12"/>
  <c r="DU36" i="10"/>
  <c r="BL36" i="10"/>
  <c r="BA30" i="14"/>
  <c r="EC66" i="12"/>
  <c r="BM55" i="10"/>
  <c r="BI56" i="12"/>
  <c r="DQ56" i="12" s="1"/>
  <c r="DV55" i="10"/>
  <c r="BA41" i="14"/>
  <c r="DU44" i="10"/>
  <c r="BL44" i="10"/>
  <c r="BH45" i="12"/>
  <c r="DP45" i="12" s="1"/>
  <c r="BA57" i="14"/>
  <c r="BA25" i="14"/>
  <c r="BB32" i="1"/>
  <c r="BB41" i="1"/>
  <c r="BB29" i="1"/>
  <c r="BB52" i="1"/>
  <c r="BB43" i="1"/>
  <c r="BB26" i="1"/>
  <c r="BB30" i="1"/>
  <c r="BB60" i="1"/>
  <c r="BA70" i="14"/>
  <c r="BA68" i="14"/>
  <c r="BA55" i="14"/>
  <c r="BA56" i="14"/>
  <c r="BB26" i="14"/>
  <c r="BA28" i="14"/>
  <c r="DT11" i="10"/>
  <c r="BK11" i="10"/>
  <c r="BG12" i="12"/>
  <c r="DO12" i="12" s="1"/>
  <c r="BA52" i="14"/>
  <c r="BH38" i="12"/>
  <c r="DP38" i="12"/>
  <c r="DU37" i="10"/>
  <c r="BL37" i="10"/>
  <c r="BH33" i="12"/>
  <c r="DP33" i="12" s="1"/>
  <c r="DU32" i="10"/>
  <c r="BL32" i="10"/>
  <c r="BM59" i="10"/>
  <c r="BI60" i="12"/>
  <c r="DQ60" i="12" s="1"/>
  <c r="DV59" i="10"/>
  <c r="BA71" i="14"/>
  <c r="DU27" i="10"/>
  <c r="BL27" i="10"/>
  <c r="BH28" i="12"/>
  <c r="DP28" i="12"/>
  <c r="BA24" i="14"/>
  <c r="BM47" i="10"/>
  <c r="BI48" i="12"/>
  <c r="DQ48" i="12"/>
  <c r="DV47" i="10"/>
  <c r="BA60" i="14"/>
  <c r="BA62" i="14"/>
  <c r="BA50" i="14"/>
  <c r="BA69" i="14"/>
  <c r="DU29" i="10"/>
  <c r="BL29" i="10"/>
  <c r="BH30" i="12"/>
  <c r="DP30" i="12" s="1"/>
  <c r="DU34" i="10"/>
  <c r="BL34" i="10"/>
  <c r="BH35" i="12"/>
  <c r="DP35" i="12"/>
  <c r="DU54" i="10"/>
  <c r="BL54" i="10"/>
  <c r="BH55" i="12"/>
  <c r="DP55" i="12" s="1"/>
  <c r="DW53" i="10"/>
  <c r="BJ54" i="12"/>
  <c r="BN53" i="10"/>
  <c r="DR54" i="12"/>
  <c r="BB48" i="1"/>
  <c r="BB27" i="1"/>
  <c r="BB35" i="1"/>
  <c r="BB64" i="1"/>
  <c r="BB31" i="1"/>
  <c r="BB63" i="1"/>
  <c r="BB58" i="1"/>
  <c r="BB37" i="1"/>
  <c r="BI161" i="14"/>
  <c r="BJ162" i="14"/>
  <c r="BJ161" i="14" s="1"/>
  <c r="DW51" i="10"/>
  <c r="BN51" i="10"/>
  <c r="BJ52" i="12"/>
  <c r="DR52" i="12" s="1"/>
  <c r="C70" i="1"/>
  <c r="C79" i="14" s="1"/>
  <c r="B70" i="1"/>
  <c r="B79" i="14" s="1"/>
  <c r="A71" i="1"/>
  <c r="BC71" i="1" s="1"/>
  <c r="BC80" i="14" s="1"/>
  <c r="D70" i="1"/>
  <c r="D79" i="14" s="1"/>
  <c r="E70" i="1"/>
  <c r="E79" i="14" s="1"/>
  <c r="F70" i="1"/>
  <c r="F79" i="14" s="1"/>
  <c r="F67" i="15" s="1"/>
  <c r="G70" i="1"/>
  <c r="G79" i="14" s="1"/>
  <c r="H70" i="1"/>
  <c r="H79" i="14" s="1"/>
  <c r="E67" i="15" s="1"/>
  <c r="I70" i="1"/>
  <c r="I79" i="14" s="1"/>
  <c r="J70" i="1"/>
  <c r="J79" i="14" s="1"/>
  <c r="D67" i="15" s="1"/>
  <c r="K70" i="1"/>
  <c r="K79" i="14" s="1"/>
  <c r="L70" i="1"/>
  <c r="L79" i="14" s="1"/>
  <c r="C67" i="15" s="1"/>
  <c r="M70" i="1"/>
  <c r="M79" i="14" s="1"/>
  <c r="N70" i="1"/>
  <c r="N79" i="14" s="1"/>
  <c r="O70" i="1"/>
  <c r="O79" i="14" s="1"/>
  <c r="P70" i="1"/>
  <c r="P79" i="14" s="1"/>
  <c r="Q70" i="1"/>
  <c r="Q79" i="14" s="1"/>
  <c r="R70" i="1"/>
  <c r="R79" i="14" s="1"/>
  <c r="S70" i="1"/>
  <c r="S79" i="14" s="1"/>
  <c r="T70" i="1"/>
  <c r="T79" i="14" s="1"/>
  <c r="U70" i="1"/>
  <c r="U79" i="14" s="1"/>
  <c r="V70" i="1"/>
  <c r="V79" i="14" s="1"/>
  <c r="W70" i="1"/>
  <c r="W79" i="14" s="1"/>
  <c r="X70" i="1"/>
  <c r="X79" i="14" s="1"/>
  <c r="Y70" i="1"/>
  <c r="Y79" i="14" s="1"/>
  <c r="Z70" i="1"/>
  <c r="Z79" i="14" s="1"/>
  <c r="AA70" i="1"/>
  <c r="AA79" i="14" s="1"/>
  <c r="AB70" i="1"/>
  <c r="AB79" i="14" s="1"/>
  <c r="AC70" i="1"/>
  <c r="AC79" i="14" s="1"/>
  <c r="AD70" i="1"/>
  <c r="AD79" i="14" s="1"/>
  <c r="AE70" i="1"/>
  <c r="AE79" i="14" s="1"/>
  <c r="AF70" i="1"/>
  <c r="AF79" i="14" s="1"/>
  <c r="AG70" i="1"/>
  <c r="AG79" i="14" s="1"/>
  <c r="AH70" i="1"/>
  <c r="AH79" i="14" s="1"/>
  <c r="AI70" i="1"/>
  <c r="AI79" i="14" s="1"/>
  <c r="AJ70" i="1"/>
  <c r="AJ79" i="14" s="1"/>
  <c r="AK70" i="1"/>
  <c r="AK79" i="14" s="1"/>
  <c r="AL70" i="1"/>
  <c r="AL79" i="14" s="1"/>
  <c r="AM70" i="1"/>
  <c r="AM79" i="14" s="1"/>
  <c r="AN70" i="1"/>
  <c r="AN79" i="14" s="1"/>
  <c r="AO70" i="1"/>
  <c r="AO79" i="14" s="1"/>
  <c r="AP70" i="1"/>
  <c r="AP79" i="14" s="1"/>
  <c r="AQ70" i="1"/>
  <c r="AQ79" i="14" s="1"/>
  <c r="AR70" i="1"/>
  <c r="AR79" i="14" s="1"/>
  <c r="AS70" i="1"/>
  <c r="AS79" i="14" s="1"/>
  <c r="AT70" i="1"/>
  <c r="AT79" i="14" s="1"/>
  <c r="AU70" i="1"/>
  <c r="AU79" i="14" s="1"/>
  <c r="AV70" i="1"/>
  <c r="AV79" i="14" s="1"/>
  <c r="AW70" i="1"/>
  <c r="AW79" i="14" s="1"/>
  <c r="AX70" i="1"/>
  <c r="AX79" i="14" s="1"/>
  <c r="AY70" i="1"/>
  <c r="AY79" i="14" s="1"/>
  <c r="AZ70" i="1"/>
  <c r="AZ79" i="14" s="1"/>
  <c r="BA70" i="1"/>
  <c r="BA79" i="14" s="1"/>
  <c r="DU52" i="10"/>
  <c r="BL52" i="10"/>
  <c r="BH53" i="12"/>
  <c r="DP53" i="12"/>
  <c r="BH22" i="12"/>
  <c r="DP22" i="12" s="1"/>
  <c r="DU21" i="10"/>
  <c r="BL21" i="10"/>
  <c r="BD12" i="1"/>
  <c r="BE13" i="1"/>
  <c r="BA65" i="14"/>
  <c r="BB48" i="14"/>
  <c r="BH47" i="12"/>
  <c r="DP47" i="12"/>
  <c r="DU46" i="10"/>
  <c r="BL46" i="10"/>
  <c r="BA74" i="14"/>
  <c r="BA48" i="14"/>
  <c r="B138" i="1"/>
  <c r="D138" i="1"/>
  <c r="E138" i="1"/>
  <c r="G138" i="1"/>
  <c r="C138" i="1"/>
  <c r="A139" i="1"/>
  <c r="BF139" i="1" s="1"/>
  <c r="F138" i="1"/>
  <c r="H138" i="1"/>
  <c r="I138" i="1"/>
  <c r="J138" i="1"/>
  <c r="K138" i="1"/>
  <c r="L138" i="1"/>
  <c r="M138" i="1"/>
  <c r="N138" i="1"/>
  <c r="O138" i="1"/>
  <c r="P138" i="1"/>
  <c r="Q138" i="1"/>
  <c r="R138" i="1"/>
  <c r="S138" i="1"/>
  <c r="T138" i="1"/>
  <c r="U138" i="1"/>
  <c r="V138" i="1"/>
  <c r="W138" i="1"/>
  <c r="X138" i="1"/>
  <c r="Y138" i="1"/>
  <c r="Z138" i="1"/>
  <c r="AA138" i="1"/>
  <c r="AB138" i="1"/>
  <c r="AC138" i="1"/>
  <c r="AD138" i="1"/>
  <c r="AE138" i="1"/>
  <c r="AF138" i="1"/>
  <c r="AG138" i="1"/>
  <c r="AH138" i="1"/>
  <c r="AI138" i="1"/>
  <c r="AJ138" i="1"/>
  <c r="AK138" i="1"/>
  <c r="AL138" i="1"/>
  <c r="AM138" i="1"/>
  <c r="AN138" i="1"/>
  <c r="AO138" i="1"/>
  <c r="AP138" i="1"/>
  <c r="AQ138" i="1"/>
  <c r="AR138" i="1"/>
  <c r="AS138" i="1"/>
  <c r="AT138" i="1"/>
  <c r="AU138" i="1"/>
  <c r="AV138" i="1"/>
  <c r="AW138" i="1"/>
  <c r="AX138" i="1"/>
  <c r="AY138" i="1"/>
  <c r="AZ138" i="1"/>
  <c r="BA138" i="1"/>
  <c r="BB138" i="1"/>
  <c r="BC138" i="1"/>
  <c r="BD138" i="1"/>
  <c r="BH41" i="12"/>
  <c r="DP41" i="12"/>
  <c r="DU40" i="10"/>
  <c r="BL40" i="10"/>
  <c r="BA44" i="14"/>
  <c r="DU56" i="10"/>
  <c r="BL56" i="10"/>
  <c r="BH57" i="12"/>
  <c r="DP57" i="12"/>
  <c r="BA72" i="14"/>
  <c r="BB50" i="1"/>
  <c r="BB34" i="1"/>
  <c r="BB15" i="1"/>
  <c r="BB59" i="1"/>
  <c r="BA38" i="14"/>
  <c r="J68" i="15"/>
  <c r="L68" i="15"/>
  <c r="Q68" i="15"/>
  <c r="I68" i="15"/>
  <c r="P68" i="15"/>
  <c r="O68" i="15"/>
  <c r="H69" i="15"/>
  <c r="K68" i="15"/>
  <c r="R68" i="15"/>
  <c r="BA54" i="14"/>
  <c r="BB51" i="14"/>
  <c r="BH21" i="12"/>
  <c r="DP21" i="12" s="1"/>
  <c r="DU20" i="10"/>
  <c r="BL20" i="10"/>
  <c r="BA66" i="14"/>
  <c r="BF231" i="14"/>
  <c r="BE230" i="14"/>
  <c r="BA39" i="14"/>
  <c r="BA26" i="14"/>
  <c r="BB45" i="1"/>
  <c r="BB49" i="1"/>
  <c r="BB18" i="1"/>
  <c r="BB19" i="1"/>
  <c r="BB14" i="1"/>
  <c r="BB22" i="1"/>
  <c r="BA29" i="14"/>
  <c r="BA63" i="14"/>
  <c r="DT18" i="10"/>
  <c r="BK18" i="10"/>
  <c r="BG19" i="12"/>
  <c r="DO19" i="12" s="1"/>
  <c r="DU48" i="10"/>
  <c r="BL48" i="10"/>
  <c r="BH49" i="12"/>
  <c r="DP49" i="12" s="1"/>
  <c r="BH29" i="12"/>
  <c r="DP29" i="12" s="1"/>
  <c r="DU28" i="10"/>
  <c r="BL28" i="10"/>
  <c r="DQ40" i="12"/>
  <c r="DV39" i="10"/>
  <c r="BI40" i="12"/>
  <c r="BM39" i="10"/>
  <c r="DR44" i="12"/>
  <c r="DW43" i="10"/>
  <c r="BN43" i="10"/>
  <c r="BJ44" i="12"/>
  <c r="BA45" i="14"/>
  <c r="BB37" i="14"/>
  <c r="BA27" i="14"/>
  <c r="BA36" i="14"/>
  <c r="BA40" i="14"/>
  <c r="DU25" i="10"/>
  <c r="BL25" i="10"/>
  <c r="BH26" i="12"/>
  <c r="DP26" i="12" s="1"/>
  <c r="BK19" i="10"/>
  <c r="BG20" i="12"/>
  <c r="DO20" i="12"/>
  <c r="DT19" i="10"/>
  <c r="BH25" i="12"/>
  <c r="DP25" i="12"/>
  <c r="DU24" i="10"/>
  <c r="BL24" i="10"/>
  <c r="BA64" i="14"/>
  <c r="BH51" i="12"/>
  <c r="DP51" i="12"/>
  <c r="DU50" i="10"/>
  <c r="BL50" i="10"/>
  <c r="DU33" i="10"/>
  <c r="BL33" i="10"/>
  <c r="BH34" i="12"/>
  <c r="DP34" i="12" s="1"/>
  <c r="DU42" i="10"/>
  <c r="BL42" i="10"/>
  <c r="BH43" i="12"/>
  <c r="DP43" i="12"/>
  <c r="BG15" i="12"/>
  <c r="DO15" i="12" s="1"/>
  <c r="DT14" i="10"/>
  <c r="BK14" i="10"/>
  <c r="BA53" i="14"/>
  <c r="BG92" i="14"/>
  <c r="BH93" i="14"/>
  <c r="DT16" i="10"/>
  <c r="BK16" i="10"/>
  <c r="BG17" i="12"/>
  <c r="DO17" i="12" s="1"/>
  <c r="BA58" i="14"/>
  <c r="BG18" i="12"/>
  <c r="DO18" i="12"/>
  <c r="DT17" i="10"/>
  <c r="BK17" i="10"/>
  <c r="BB55" i="1"/>
  <c r="BB20" i="1"/>
  <c r="BB57" i="1"/>
  <c r="BB40" i="1"/>
  <c r="BB16" i="1"/>
  <c r="BB54" i="1"/>
  <c r="DT12" i="10"/>
  <c r="BK12" i="10"/>
  <c r="BG13" i="12"/>
  <c r="DO13" i="12" s="1"/>
  <c r="BA31" i="14"/>
  <c r="BA59" i="14"/>
  <c r="BB64" i="14" l="1"/>
  <c r="BL59" i="12"/>
  <c r="DT59" i="12" s="1"/>
  <c r="BP58" i="10"/>
  <c r="ED67" i="12"/>
  <c r="D64" i="13"/>
  <c r="BC38" i="14"/>
  <c r="DW45" i="10"/>
  <c r="BN45" i="10"/>
  <c r="BJ46" i="12"/>
  <c r="DR46" i="12" s="1"/>
  <c r="BH13" i="12"/>
  <c r="DP13" i="12"/>
  <c r="BL12" i="10"/>
  <c r="DU12" i="10"/>
  <c r="DU17" i="10"/>
  <c r="BH18" i="12"/>
  <c r="DP18" i="12" s="1"/>
  <c r="BL17" i="10"/>
  <c r="BL16" i="10"/>
  <c r="BH17" i="12"/>
  <c r="DP17" i="12" s="1"/>
  <c r="DU16" i="10"/>
  <c r="BM33" i="10"/>
  <c r="BI34" i="12"/>
  <c r="DQ34" i="12"/>
  <c r="DV33" i="10"/>
  <c r="DQ25" i="12"/>
  <c r="DV24" i="10"/>
  <c r="BI25" i="12"/>
  <c r="BM24" i="10"/>
  <c r="BL18" i="10"/>
  <c r="BH19" i="12"/>
  <c r="DP19" i="12"/>
  <c r="DU18" i="10"/>
  <c r="BB28" i="14"/>
  <c r="BD16" i="1"/>
  <c r="BD71" i="1"/>
  <c r="BD80" i="14" s="1"/>
  <c r="BD7" i="1"/>
  <c r="BD46" i="1"/>
  <c r="BD62" i="1"/>
  <c r="BD53" i="1"/>
  <c r="BD20" i="1"/>
  <c r="BD70" i="1"/>
  <c r="BD79" i="14" s="1"/>
  <c r="BD69" i="1"/>
  <c r="BD78" i="14" s="1"/>
  <c r="BD8" i="1"/>
  <c r="BD9" i="1"/>
  <c r="DX51" i="10"/>
  <c r="BO51" i="10"/>
  <c r="BK52" i="12"/>
  <c r="DS52" i="12" s="1"/>
  <c r="BB73" i="14"/>
  <c r="DQ38" i="12"/>
  <c r="DV37" i="10"/>
  <c r="BI38" i="12"/>
  <c r="BM37" i="10"/>
  <c r="BL11" i="10"/>
  <c r="BH12" i="12"/>
  <c r="DP12" i="12"/>
  <c r="DU11" i="10"/>
  <c r="BB35" i="14"/>
  <c r="BB33" i="14"/>
  <c r="BB70" i="14"/>
  <c r="EB68" i="12"/>
  <c r="E65" i="13" s="1"/>
  <c r="B65" i="13"/>
  <c r="EA69" i="12"/>
  <c r="BC18" i="1"/>
  <c r="BC62" i="1"/>
  <c r="BC21" i="1"/>
  <c r="BC45" i="1"/>
  <c r="BC22" i="1"/>
  <c r="BB39" i="14"/>
  <c r="BI22" i="12"/>
  <c r="DQ22" i="12" s="1"/>
  <c r="BM21" i="10"/>
  <c r="DV21" i="10"/>
  <c r="BB44" i="14"/>
  <c r="BB52" i="14"/>
  <c r="BB32" i="14"/>
  <c r="BB56" i="14"/>
  <c r="DV31" i="10"/>
  <c r="BI32" i="12"/>
  <c r="DQ32" i="12" s="1"/>
  <c r="BM31" i="10"/>
  <c r="BC32" i="1"/>
  <c r="BC50" i="1"/>
  <c r="BC14" i="1"/>
  <c r="BC19" i="1"/>
  <c r="BC24" i="1"/>
  <c r="BC66" i="1"/>
  <c r="BC26" i="1"/>
  <c r="DX43" i="10"/>
  <c r="BO43" i="10"/>
  <c r="BK44" i="12"/>
  <c r="DS44" i="12"/>
  <c r="BE12" i="1"/>
  <c r="BD40" i="1" s="1"/>
  <c r="BF13" i="1"/>
  <c r="BN47" i="10"/>
  <c r="BJ48" i="12"/>
  <c r="DR48" i="12"/>
  <c r="DW47" i="10"/>
  <c r="BM30" i="10"/>
  <c r="BI31" i="12"/>
  <c r="DQ31" i="12"/>
  <c r="DV30" i="10"/>
  <c r="BC39" i="14"/>
  <c r="BB63" i="14"/>
  <c r="BM25" i="10"/>
  <c r="BI26" i="12"/>
  <c r="DQ26" i="12"/>
  <c r="DV25" i="10"/>
  <c r="BB58" i="14"/>
  <c r="H70" i="15"/>
  <c r="R69" i="15"/>
  <c r="I69" i="15"/>
  <c r="Q69" i="15"/>
  <c r="K69" i="15"/>
  <c r="P69" i="15"/>
  <c r="J69" i="15"/>
  <c r="O69" i="15"/>
  <c r="L69" i="15"/>
  <c r="BB36" i="14"/>
  <c r="BI55" i="12"/>
  <c r="DQ55" i="12" s="1"/>
  <c r="DV54" i="10"/>
  <c r="BM54" i="10"/>
  <c r="BM29" i="10"/>
  <c r="BI30" i="12"/>
  <c r="DQ30" i="12" s="1"/>
  <c r="DV29" i="10"/>
  <c r="BB61" i="14"/>
  <c r="BJ56" i="12"/>
  <c r="DR56" i="12" s="1"/>
  <c r="DW55" i="10"/>
  <c r="BN55" i="10"/>
  <c r="BB71" i="14"/>
  <c r="DX58" i="10"/>
  <c r="BB42" i="14"/>
  <c r="BN49" i="10"/>
  <c r="BJ50" i="12"/>
  <c r="DR50" i="12"/>
  <c r="DW49" i="10"/>
  <c r="G64" i="13"/>
  <c r="H64" i="13" s="1"/>
  <c r="BC57" i="1"/>
  <c r="BC55" i="1"/>
  <c r="BC16" i="1"/>
  <c r="BC67" i="1"/>
  <c r="BC65" i="1"/>
  <c r="BC23" i="1"/>
  <c r="BC41" i="1"/>
  <c r="BC44" i="1"/>
  <c r="BB60" i="14"/>
  <c r="BI93" i="14"/>
  <c r="BH92" i="14"/>
  <c r="DV50" i="10"/>
  <c r="BM50" i="10"/>
  <c r="BI51" i="12"/>
  <c r="DQ51" i="12" s="1"/>
  <c r="BN39" i="10"/>
  <c r="BJ40" i="12"/>
  <c r="DR40" i="12" s="1"/>
  <c r="DW39" i="10"/>
  <c r="BB25" i="14"/>
  <c r="BM48" i="10"/>
  <c r="BI49" i="12"/>
  <c r="DQ49" i="12" s="1"/>
  <c r="DV48" i="10"/>
  <c r="BB54" i="14"/>
  <c r="BB68" i="14"/>
  <c r="BM56" i="10"/>
  <c r="BI57" i="12"/>
  <c r="DQ57" i="12" s="1"/>
  <c r="DV56" i="10"/>
  <c r="C71" i="1"/>
  <c r="C80" i="14" s="1"/>
  <c r="A72" i="1"/>
  <c r="B71" i="1"/>
  <c r="B80" i="14" s="1"/>
  <c r="D71" i="1"/>
  <c r="D80" i="14" s="1"/>
  <c r="E71" i="1"/>
  <c r="E80" i="14" s="1"/>
  <c r="F71" i="1"/>
  <c r="F80" i="14" s="1"/>
  <c r="F68" i="15" s="1"/>
  <c r="G71" i="1"/>
  <c r="G80" i="14" s="1"/>
  <c r="H71" i="1"/>
  <c r="H80" i="14" s="1"/>
  <c r="E68" i="15" s="1"/>
  <c r="I71" i="1"/>
  <c r="I80" i="14" s="1"/>
  <c r="J71" i="1"/>
  <c r="J80" i="14" s="1"/>
  <c r="D68" i="15" s="1"/>
  <c r="K71" i="1"/>
  <c r="K80" i="14" s="1"/>
  <c r="L71" i="1"/>
  <c r="L80" i="14" s="1"/>
  <c r="C68" i="15" s="1"/>
  <c r="M71" i="1"/>
  <c r="M80" i="14" s="1"/>
  <c r="N71" i="1"/>
  <c r="N80" i="14" s="1"/>
  <c r="O71" i="1"/>
  <c r="O80" i="14" s="1"/>
  <c r="P71" i="1"/>
  <c r="P80" i="14" s="1"/>
  <c r="Q71" i="1"/>
  <c r="Q80" i="14" s="1"/>
  <c r="R71" i="1"/>
  <c r="R80" i="14" s="1"/>
  <c r="S71" i="1"/>
  <c r="S80" i="14" s="1"/>
  <c r="T71" i="1"/>
  <c r="T80" i="14" s="1"/>
  <c r="U71" i="1"/>
  <c r="U80" i="14" s="1"/>
  <c r="V71" i="1"/>
  <c r="V80" i="14" s="1"/>
  <c r="W71" i="1"/>
  <c r="W80" i="14" s="1"/>
  <c r="X71" i="1"/>
  <c r="X80" i="14" s="1"/>
  <c r="Y71" i="1"/>
  <c r="Y80" i="14" s="1"/>
  <c r="Z71" i="1"/>
  <c r="Z80" i="14" s="1"/>
  <c r="AA71" i="1"/>
  <c r="AA80" i="14" s="1"/>
  <c r="AB71" i="1"/>
  <c r="AB80" i="14" s="1"/>
  <c r="AC71" i="1"/>
  <c r="AC80" i="14" s="1"/>
  <c r="AD71" i="1"/>
  <c r="AD80" i="14" s="1"/>
  <c r="AE71" i="1"/>
  <c r="AE80" i="14" s="1"/>
  <c r="AF71" i="1"/>
  <c r="AF80" i="14" s="1"/>
  <c r="AG71" i="1"/>
  <c r="AG80" i="14" s="1"/>
  <c r="AH71" i="1"/>
  <c r="AH80" i="14" s="1"/>
  <c r="AI71" i="1"/>
  <c r="AI80" i="14" s="1"/>
  <c r="AJ71" i="1"/>
  <c r="AJ80" i="14" s="1"/>
  <c r="AK71" i="1"/>
  <c r="AK80" i="14" s="1"/>
  <c r="AL71" i="1"/>
  <c r="AL80" i="14" s="1"/>
  <c r="AM71" i="1"/>
  <c r="AM80" i="14" s="1"/>
  <c r="AN71" i="1"/>
  <c r="AN80" i="14" s="1"/>
  <c r="AO71" i="1"/>
  <c r="AO80" i="14" s="1"/>
  <c r="AP71" i="1"/>
  <c r="AP80" i="14" s="1"/>
  <c r="AQ71" i="1"/>
  <c r="AQ80" i="14" s="1"/>
  <c r="AR71" i="1"/>
  <c r="AR80" i="14" s="1"/>
  <c r="AS71" i="1"/>
  <c r="AS80" i="14" s="1"/>
  <c r="AT71" i="1"/>
  <c r="AT80" i="14" s="1"/>
  <c r="AU71" i="1"/>
  <c r="AU80" i="14" s="1"/>
  <c r="AV71" i="1"/>
  <c r="AV80" i="14" s="1"/>
  <c r="AW71" i="1"/>
  <c r="AW80" i="14" s="1"/>
  <c r="AX71" i="1"/>
  <c r="AX80" i="14" s="1"/>
  <c r="AY71" i="1"/>
  <c r="AY80" i="14" s="1"/>
  <c r="AZ71" i="1"/>
  <c r="AZ80" i="14" s="1"/>
  <c r="BA71" i="1"/>
  <c r="BA80" i="14" s="1"/>
  <c r="BB71" i="1"/>
  <c r="BB80" i="14" s="1"/>
  <c r="BB57" i="14"/>
  <c r="BJ60" i="12"/>
  <c r="DR60" i="12" s="1"/>
  <c r="BN59" i="10"/>
  <c r="DW59" i="10"/>
  <c r="BB38" i="14"/>
  <c r="BM44" i="10"/>
  <c r="BI45" i="12"/>
  <c r="DQ45" i="12"/>
  <c r="DV44" i="10"/>
  <c r="DQ24" i="12"/>
  <c r="DV23" i="10"/>
  <c r="BI24" i="12"/>
  <c r="BM23" i="10"/>
  <c r="BE78" i="1"/>
  <c r="BB75" i="14"/>
  <c r="BL15" i="10"/>
  <c r="BH16" i="12"/>
  <c r="DP16" i="12"/>
  <c r="DU15" i="10"/>
  <c r="BB34" i="14"/>
  <c r="BN41" i="10"/>
  <c r="BJ42" i="12"/>
  <c r="DR42" i="12" s="1"/>
  <c r="DW41" i="10"/>
  <c r="BC60" i="1"/>
  <c r="BC64" i="1"/>
  <c r="BC34" i="1"/>
  <c r="BC33" i="1"/>
  <c r="BC63" i="1"/>
  <c r="BC48" i="1"/>
  <c r="BC37" i="1"/>
  <c r="DQ23" i="12"/>
  <c r="DV22" i="10"/>
  <c r="BI23" i="12"/>
  <c r="BM22" i="10"/>
  <c r="BB23" i="14"/>
  <c r="BI53" i="12"/>
  <c r="DQ53" i="12" s="1"/>
  <c r="BM52" i="10"/>
  <c r="DV52" i="10"/>
  <c r="BB40" i="14"/>
  <c r="BC15" i="1"/>
  <c r="BC49" i="14"/>
  <c r="BG231" i="14"/>
  <c r="BF230" i="14"/>
  <c r="DQ21" i="12"/>
  <c r="DV20" i="10"/>
  <c r="BI21" i="12"/>
  <c r="BM20" i="10"/>
  <c r="BB24" i="14"/>
  <c r="BB46" i="14"/>
  <c r="BM27" i="10"/>
  <c r="BI28" i="12"/>
  <c r="DQ28" i="12"/>
  <c r="DV27" i="10"/>
  <c r="DV32" i="10"/>
  <c r="BI33" i="12"/>
  <c r="DQ33" i="12" s="1"/>
  <c r="BM32" i="10"/>
  <c r="BB50" i="14"/>
  <c r="D63" i="13"/>
  <c r="ED66" i="12"/>
  <c r="BH80" i="1"/>
  <c r="BI81" i="1"/>
  <c r="BB47" i="14"/>
  <c r="BB74" i="14"/>
  <c r="BK58" i="12"/>
  <c r="DS58" i="12" s="1"/>
  <c r="DX57" i="10"/>
  <c r="BO57" i="10"/>
  <c r="BC46" i="1"/>
  <c r="BC52" i="1"/>
  <c r="BC36" i="1"/>
  <c r="BC39" i="1"/>
  <c r="BC56" i="1"/>
  <c r="BC49" i="1"/>
  <c r="BC25" i="1"/>
  <c r="BL19" i="10"/>
  <c r="BH20" i="12"/>
  <c r="DU19" i="10"/>
  <c r="DP20" i="12"/>
  <c r="DV40" i="10"/>
  <c r="BI41" i="12"/>
  <c r="DQ41" i="12" s="1"/>
  <c r="BM40" i="10"/>
  <c r="BI27" i="12"/>
  <c r="DQ27" i="12" s="1"/>
  <c r="BM26" i="10"/>
  <c r="DV26" i="10"/>
  <c r="BC67" i="14"/>
  <c r="BB43" i="14"/>
  <c r="G139" i="1"/>
  <c r="B139" i="1"/>
  <c r="C139" i="1"/>
  <c r="A140" i="1"/>
  <c r="BG140" i="1" s="1"/>
  <c r="D139" i="1"/>
  <c r="E139" i="1"/>
  <c r="F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T139" i="1"/>
  <c r="U139" i="1"/>
  <c r="V139" i="1"/>
  <c r="W139" i="1"/>
  <c r="X139" i="1"/>
  <c r="Y139" i="1"/>
  <c r="Z139" i="1"/>
  <c r="AA139" i="1"/>
  <c r="AB139" i="1"/>
  <c r="AC139" i="1"/>
  <c r="AD139" i="1"/>
  <c r="AE139" i="1"/>
  <c r="AF139" i="1"/>
  <c r="AG139" i="1"/>
  <c r="AH139" i="1"/>
  <c r="AI139" i="1"/>
  <c r="AJ139" i="1"/>
  <c r="AK139" i="1"/>
  <c r="AL139" i="1"/>
  <c r="AM139" i="1"/>
  <c r="AN139" i="1"/>
  <c r="AO139" i="1"/>
  <c r="AP139" i="1"/>
  <c r="AQ139" i="1"/>
  <c r="AR139" i="1"/>
  <c r="AS139" i="1"/>
  <c r="AT139" i="1"/>
  <c r="AU139" i="1"/>
  <c r="AV139" i="1"/>
  <c r="AW139" i="1"/>
  <c r="AX139" i="1"/>
  <c r="AY139" i="1"/>
  <c r="AZ139" i="1"/>
  <c r="BA139" i="1"/>
  <c r="BB139" i="1"/>
  <c r="BC139" i="1"/>
  <c r="BD139" i="1"/>
  <c r="BE139" i="1"/>
  <c r="BB67" i="14"/>
  <c r="DX53" i="10"/>
  <c r="BK54" i="12"/>
  <c r="BO53" i="10"/>
  <c r="DS54" i="12"/>
  <c r="BB41" i="14"/>
  <c r="BM38" i="10"/>
  <c r="BI39" i="12"/>
  <c r="DQ39" i="12"/>
  <c r="DV38" i="10"/>
  <c r="BB53" i="14"/>
  <c r="BM35" i="10"/>
  <c r="BI36" i="12"/>
  <c r="DQ36" i="12"/>
  <c r="DV35" i="10"/>
  <c r="BL13" i="10"/>
  <c r="BH14" i="12"/>
  <c r="DU13" i="10"/>
  <c r="DP14" i="12"/>
  <c r="BH22" i="14"/>
  <c r="BG21" i="14"/>
  <c r="BB55" i="14"/>
  <c r="BC54" i="1"/>
  <c r="BC27" i="1"/>
  <c r="BC53" i="1"/>
  <c r="BC38" i="1"/>
  <c r="BC20" i="1"/>
  <c r="BC42" i="1"/>
  <c r="BC61" i="1"/>
  <c r="DV46" i="10"/>
  <c r="BI47" i="12"/>
  <c r="DQ47" i="12" s="1"/>
  <c r="BM46" i="10"/>
  <c r="DV36" i="10"/>
  <c r="BI37" i="12"/>
  <c r="DQ37" i="12" s="1"/>
  <c r="BM36" i="10"/>
  <c r="BB62" i="14"/>
  <c r="BC52" i="14"/>
  <c r="BB27" i="14"/>
  <c r="BB49" i="14"/>
  <c r="BM42" i="10"/>
  <c r="BI43" i="12"/>
  <c r="DQ43" i="12" s="1"/>
  <c r="DV42" i="10"/>
  <c r="BB66" i="14"/>
  <c r="BB29" i="14"/>
  <c r="DP15" i="12"/>
  <c r="DU14" i="10"/>
  <c r="BH15" i="12"/>
  <c r="BL14" i="10"/>
  <c r="DV28" i="10"/>
  <c r="BM28" i="10"/>
  <c r="BI29" i="12"/>
  <c r="DQ29" i="12" s="1"/>
  <c r="BB31" i="14"/>
  <c r="BB59" i="14"/>
  <c r="BB72" i="14"/>
  <c r="BM34" i="10"/>
  <c r="BI35" i="12"/>
  <c r="DQ35" i="12"/>
  <c r="DV34" i="10"/>
  <c r="BB69" i="14"/>
  <c r="BB45" i="14"/>
  <c r="BB30" i="14"/>
  <c r="BC59" i="1"/>
  <c r="BC28" i="1"/>
  <c r="BC35" i="1"/>
  <c r="BC31" i="1"/>
  <c r="BC47" i="1"/>
  <c r="BC17" i="1"/>
  <c r="BC51" i="1"/>
  <c r="BD49" i="14" l="1"/>
  <c r="BC45" i="14"/>
  <c r="BI92" i="14"/>
  <c r="BJ93" i="14"/>
  <c r="BJ92" i="14" s="1"/>
  <c r="BC41" i="14"/>
  <c r="BD29" i="14"/>
  <c r="BJ43" i="12"/>
  <c r="DR43" i="12"/>
  <c r="DW42" i="10"/>
  <c r="BN42" i="10"/>
  <c r="BC61" i="14"/>
  <c r="BJ33" i="12"/>
  <c r="BN32" i="10"/>
  <c r="DR33" i="12"/>
  <c r="DW32" i="10"/>
  <c r="BJ53" i="12"/>
  <c r="DR53" i="12" s="1"/>
  <c r="DW52" i="10"/>
  <c r="BN52" i="10"/>
  <c r="BK40" i="12"/>
  <c r="DS40" i="12"/>
  <c r="DX39" i="10"/>
  <c r="BO39" i="10"/>
  <c r="BC64" i="14"/>
  <c r="H71" i="15"/>
  <c r="R70" i="15"/>
  <c r="Q70" i="15"/>
  <c r="L70" i="15"/>
  <c r="P70" i="15"/>
  <c r="J70" i="15"/>
  <c r="O70" i="15"/>
  <c r="K70" i="15"/>
  <c r="I70" i="15"/>
  <c r="BN31" i="10"/>
  <c r="BJ32" i="12"/>
  <c r="DR32" i="12"/>
  <c r="DW31" i="10"/>
  <c r="G65" i="13"/>
  <c r="H65" i="13" s="1"/>
  <c r="BD19" i="1"/>
  <c r="BD67" i="1"/>
  <c r="BD45" i="1"/>
  <c r="BD50" i="1"/>
  <c r="BD32" i="1"/>
  <c r="BD42" i="1"/>
  <c r="BI17" i="12"/>
  <c r="DQ17" i="12"/>
  <c r="DV16" i="10"/>
  <c r="BM16" i="10"/>
  <c r="BD25" i="14"/>
  <c r="BC70" i="14"/>
  <c r="BJ39" i="12"/>
  <c r="DR39" i="12"/>
  <c r="DW38" i="10"/>
  <c r="BN38" i="10"/>
  <c r="BJ27" i="12"/>
  <c r="DR27" i="12" s="1"/>
  <c r="DW26" i="10"/>
  <c r="BN26" i="10"/>
  <c r="BC55" i="14"/>
  <c r="BG230" i="14"/>
  <c r="BH231" i="14"/>
  <c r="BC46" i="14"/>
  <c r="BI16" i="12"/>
  <c r="DQ16" i="12"/>
  <c r="DV15" i="10"/>
  <c r="BM15" i="10"/>
  <c r="BJ45" i="12"/>
  <c r="BN44" i="10"/>
  <c r="DR45" i="12"/>
  <c r="DW44" i="10"/>
  <c r="BC66" i="14"/>
  <c r="BC35" i="14"/>
  <c r="EC68" i="12"/>
  <c r="BD57" i="1"/>
  <c r="BD54" i="1"/>
  <c r="BD61" i="1"/>
  <c r="BD29" i="1"/>
  <c r="BD39" i="1"/>
  <c r="BD23" i="1"/>
  <c r="BD24" i="1"/>
  <c r="BE25" i="1" s="1"/>
  <c r="BD35" i="1"/>
  <c r="BM17" i="10"/>
  <c r="BI18" i="12"/>
  <c r="DQ18" i="12" s="1"/>
  <c r="DV17" i="10"/>
  <c r="BQ58" i="10"/>
  <c r="BM59" i="12"/>
  <c r="DU59" i="12"/>
  <c r="BI14" i="12"/>
  <c r="DQ14" i="12"/>
  <c r="DV13" i="10"/>
  <c r="BM13" i="10"/>
  <c r="DW27" i="10"/>
  <c r="BN27" i="10"/>
  <c r="BJ28" i="12"/>
  <c r="DR28" i="12" s="1"/>
  <c r="BD71" i="14"/>
  <c r="BC51" i="14"/>
  <c r="BM19" i="10"/>
  <c r="BI20" i="12"/>
  <c r="DQ20" i="12"/>
  <c r="DV19" i="10"/>
  <c r="DY57" i="10"/>
  <c r="BP57" i="10"/>
  <c r="BL58" i="12"/>
  <c r="DT58" i="12" s="1"/>
  <c r="BJ81" i="1"/>
  <c r="BJ80" i="1" s="1"/>
  <c r="BI80" i="1"/>
  <c r="BC57" i="14"/>
  <c r="BJ24" i="12"/>
  <c r="BN23" i="10"/>
  <c r="DR24" i="12"/>
  <c r="DW23" i="10"/>
  <c r="BC53" i="14"/>
  <c r="BK48" i="12"/>
  <c r="DS48" i="12" s="1"/>
  <c r="DX47" i="10"/>
  <c r="BO47" i="10"/>
  <c r="BC75" i="14"/>
  <c r="BC31" i="14"/>
  <c r="BD56" i="1"/>
  <c r="BD43" i="1"/>
  <c r="BD41" i="1"/>
  <c r="BD49" i="1"/>
  <c r="BD58" i="1"/>
  <c r="BD66" i="1"/>
  <c r="BD68" i="1"/>
  <c r="BD33" i="1"/>
  <c r="DX45" i="10"/>
  <c r="BO45" i="10"/>
  <c r="BK46" i="12"/>
  <c r="DS46" i="12"/>
  <c r="BC69" i="14"/>
  <c r="BD55" i="14"/>
  <c r="BC68" i="14"/>
  <c r="BC60" i="14"/>
  <c r="BN28" i="10"/>
  <c r="BJ29" i="12"/>
  <c r="DR29" i="12"/>
  <c r="DW28" i="10"/>
  <c r="BC26" i="14"/>
  <c r="BC29" i="14"/>
  <c r="BH21" i="14"/>
  <c r="BI22" i="14"/>
  <c r="DW35" i="10"/>
  <c r="BJ36" i="12"/>
  <c r="DR36" i="12" s="1"/>
  <c r="BN35" i="10"/>
  <c r="BJ41" i="12"/>
  <c r="BN40" i="10"/>
  <c r="DR41" i="12"/>
  <c r="DW40" i="10"/>
  <c r="BC34" i="14"/>
  <c r="BH141" i="1"/>
  <c r="BF78" i="1"/>
  <c r="BC72" i="14"/>
  <c r="BK42" i="12"/>
  <c r="DS42" i="12" s="1"/>
  <c r="DX41" i="10"/>
  <c r="BO41" i="10"/>
  <c r="BJ57" i="12"/>
  <c r="DR57" i="12"/>
  <c r="DW56" i="10"/>
  <c r="BN56" i="10"/>
  <c r="BN48" i="10"/>
  <c r="BJ49" i="12"/>
  <c r="DR49" i="12" s="1"/>
  <c r="DW48" i="10"/>
  <c r="BJ51" i="12"/>
  <c r="DR51" i="12"/>
  <c r="DW50" i="10"/>
  <c r="BN50" i="10"/>
  <c r="BC50" i="14"/>
  <c r="BF12" i="1"/>
  <c r="BG13" i="1"/>
  <c r="BC33" i="14"/>
  <c r="BC54" i="14"/>
  <c r="BD28" i="1"/>
  <c r="BD60" i="1"/>
  <c r="BD27" i="1"/>
  <c r="BD55" i="1"/>
  <c r="BD30" i="1"/>
  <c r="BD26" i="1"/>
  <c r="BD48" i="1"/>
  <c r="BC37" i="14"/>
  <c r="BC25" i="14"/>
  <c r="DY43" i="10"/>
  <c r="BL44" i="12"/>
  <c r="DT44" i="12"/>
  <c r="BP43" i="10"/>
  <c r="EB69" i="12"/>
  <c r="E66" i="13" s="1"/>
  <c r="EC69" i="12"/>
  <c r="B66" i="13"/>
  <c r="G66" i="13" s="1"/>
  <c r="H66" i="13" s="1"/>
  <c r="EA70" i="12"/>
  <c r="BC56" i="14"/>
  <c r="BC58" i="14"/>
  <c r="BN20" i="10"/>
  <c r="BJ21" i="12"/>
  <c r="DR21" i="12" s="1"/>
  <c r="DW20" i="10"/>
  <c r="BC24" i="14"/>
  <c r="BC42" i="14"/>
  <c r="BC32" i="14"/>
  <c r="DX55" i="10"/>
  <c r="BK56" i="12"/>
  <c r="BO55" i="10"/>
  <c r="DS56" i="12"/>
  <c r="BE7" i="1"/>
  <c r="BE68" i="1"/>
  <c r="BE28" i="1"/>
  <c r="BE58" i="1"/>
  <c r="BE34" i="1"/>
  <c r="BE36" i="1"/>
  <c r="BE40" i="1"/>
  <c r="BE27" i="1"/>
  <c r="BE62" i="1"/>
  <c r="BE61" i="1"/>
  <c r="BE24" i="1"/>
  <c r="BE72" i="1"/>
  <c r="BE81" i="14" s="1"/>
  <c r="BE69" i="1"/>
  <c r="BE50" i="1"/>
  <c r="BE67" i="1"/>
  <c r="BE71" i="1"/>
  <c r="BE80" i="14" s="1"/>
  <c r="BE63" i="1"/>
  <c r="BE52" i="1"/>
  <c r="BE37" i="1"/>
  <c r="BE42" i="1"/>
  <c r="BE39" i="1"/>
  <c r="BE31" i="1"/>
  <c r="BE70" i="1"/>
  <c r="BE79" i="14" s="1"/>
  <c r="BE46" i="1"/>
  <c r="BE26" i="1"/>
  <c r="BE44" i="1"/>
  <c r="BE41" i="1"/>
  <c r="BE49" i="1"/>
  <c r="BE17" i="1"/>
  <c r="BE43" i="1"/>
  <c r="BE33" i="1"/>
  <c r="BE59" i="1"/>
  <c r="BE30" i="1"/>
  <c r="BE54" i="1"/>
  <c r="BE55" i="1"/>
  <c r="BE21" i="1"/>
  <c r="BE51" i="1"/>
  <c r="BE47" i="1"/>
  <c r="BE20" i="1"/>
  <c r="BE8" i="1"/>
  <c r="BE9" i="1"/>
  <c r="BC28" i="14"/>
  <c r="BC30" i="14"/>
  <c r="DV11" i="10"/>
  <c r="BI12" i="12"/>
  <c r="BM11" i="10"/>
  <c r="DQ12" i="12"/>
  <c r="BD65" i="1"/>
  <c r="BD31" i="1"/>
  <c r="BD25" i="1"/>
  <c r="BD63" i="1"/>
  <c r="BE64" i="1" s="1"/>
  <c r="BD21" i="1"/>
  <c r="BE22" i="1" s="1"/>
  <c r="BD36" i="1"/>
  <c r="BD22" i="1"/>
  <c r="BE23" i="1" s="1"/>
  <c r="BD51" i="1"/>
  <c r="BI19" i="12"/>
  <c r="DQ19" i="12"/>
  <c r="DV18" i="10"/>
  <c r="BM18" i="10"/>
  <c r="DW33" i="10"/>
  <c r="BN33" i="10"/>
  <c r="BJ34" i="12"/>
  <c r="DR34" i="12" s="1"/>
  <c r="DY58" i="10"/>
  <c r="BD62" i="14"/>
  <c r="BJ35" i="12"/>
  <c r="DR35" i="12" s="1"/>
  <c r="DW34" i="10"/>
  <c r="BN34" i="10"/>
  <c r="BM14" i="10"/>
  <c r="BI15" i="12"/>
  <c r="DQ15" i="12"/>
  <c r="DV14" i="10"/>
  <c r="BC62" i="14"/>
  <c r="BC65" i="14"/>
  <c r="BN22" i="10"/>
  <c r="BJ23" i="12"/>
  <c r="DR23" i="12"/>
  <c r="DW22" i="10"/>
  <c r="BC43" i="14"/>
  <c r="BC74" i="14"/>
  <c r="BJ30" i="12"/>
  <c r="DR30" i="12"/>
  <c r="DW29" i="10"/>
  <c r="BN29" i="10"/>
  <c r="BC23" i="14"/>
  <c r="DW21" i="10"/>
  <c r="BN21" i="10"/>
  <c r="BJ22" i="12"/>
  <c r="DR22" i="12" s="1"/>
  <c r="BC71" i="14"/>
  <c r="BN37" i="10"/>
  <c r="BJ38" i="12"/>
  <c r="DR38" i="12" s="1"/>
  <c r="DW37" i="10"/>
  <c r="DY51" i="10"/>
  <c r="BL52" i="12"/>
  <c r="DT52" i="12"/>
  <c r="BP51" i="10"/>
  <c r="BD52" i="1"/>
  <c r="BD59" i="1"/>
  <c r="BE60" i="1" s="1"/>
  <c r="BD38" i="1"/>
  <c r="BD15" i="1"/>
  <c r="BD14" i="1"/>
  <c r="BE15" i="1" s="1"/>
  <c r="BD44" i="1"/>
  <c r="BE45" i="1" s="1"/>
  <c r="BN24" i="10"/>
  <c r="BJ25" i="12"/>
  <c r="DR25" i="12" s="1"/>
  <c r="DW24" i="10"/>
  <c r="BC63" i="14"/>
  <c r="G140" i="1"/>
  <c r="B140" i="1"/>
  <c r="C140" i="1"/>
  <c r="D140" i="1"/>
  <c r="E140" i="1"/>
  <c r="A141" i="1"/>
  <c r="F140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T140" i="1"/>
  <c r="U140" i="1"/>
  <c r="V140" i="1"/>
  <c r="W140" i="1"/>
  <c r="X140" i="1"/>
  <c r="Y140" i="1"/>
  <c r="Z140" i="1"/>
  <c r="AA140" i="1"/>
  <c r="AB140" i="1"/>
  <c r="AC140" i="1"/>
  <c r="AD140" i="1"/>
  <c r="AE140" i="1"/>
  <c r="AF140" i="1"/>
  <c r="AG140" i="1"/>
  <c r="AH140" i="1"/>
  <c r="AI140" i="1"/>
  <c r="AJ140" i="1"/>
  <c r="AK140" i="1"/>
  <c r="AL140" i="1"/>
  <c r="AM140" i="1"/>
  <c r="AN140" i="1"/>
  <c r="AO140" i="1"/>
  <c r="AP140" i="1"/>
  <c r="AQ140" i="1"/>
  <c r="AR140" i="1"/>
  <c r="AS140" i="1"/>
  <c r="AT140" i="1"/>
  <c r="AU140" i="1"/>
  <c r="AV140" i="1"/>
  <c r="AW140" i="1"/>
  <c r="AX140" i="1"/>
  <c r="AY140" i="1"/>
  <c r="AZ140" i="1"/>
  <c r="BA140" i="1"/>
  <c r="BB140" i="1"/>
  <c r="BC140" i="1"/>
  <c r="BD140" i="1"/>
  <c r="BE140" i="1"/>
  <c r="BF140" i="1"/>
  <c r="BN36" i="10"/>
  <c r="BJ37" i="12"/>
  <c r="DR37" i="12"/>
  <c r="DW36" i="10"/>
  <c r="BC47" i="14"/>
  <c r="BC40" i="14"/>
  <c r="BJ47" i="12"/>
  <c r="DW46" i="10"/>
  <c r="DR47" i="12"/>
  <c r="BN46" i="10"/>
  <c r="BL54" i="12"/>
  <c r="DT54" i="12"/>
  <c r="DY53" i="10"/>
  <c r="BP53" i="10"/>
  <c r="BC44" i="14"/>
  <c r="BC36" i="14"/>
  <c r="BC48" i="14"/>
  <c r="BC73" i="14"/>
  <c r="BO59" i="10"/>
  <c r="DX59" i="10" s="1"/>
  <c r="BK60" i="12"/>
  <c r="DS60" i="12" s="1"/>
  <c r="C72" i="1"/>
  <c r="C81" i="14" s="1"/>
  <c r="B72" i="1"/>
  <c r="B81" i="14" s="1"/>
  <c r="A73" i="1"/>
  <c r="D72" i="1"/>
  <c r="D81" i="14" s="1"/>
  <c r="E72" i="1"/>
  <c r="E81" i="14" s="1"/>
  <c r="F72" i="1"/>
  <c r="F81" i="14" s="1"/>
  <c r="F69" i="15" s="1"/>
  <c r="G72" i="1"/>
  <c r="G81" i="14" s="1"/>
  <c r="H72" i="1"/>
  <c r="H81" i="14" s="1"/>
  <c r="E69" i="15" s="1"/>
  <c r="I72" i="1"/>
  <c r="I81" i="14" s="1"/>
  <c r="J72" i="1"/>
  <c r="J81" i="14" s="1"/>
  <c r="D69" i="15" s="1"/>
  <c r="K72" i="1"/>
  <c r="K81" i="14" s="1"/>
  <c r="L72" i="1"/>
  <c r="L81" i="14" s="1"/>
  <c r="C69" i="15" s="1"/>
  <c r="M72" i="1"/>
  <c r="M81" i="14" s="1"/>
  <c r="N72" i="1"/>
  <c r="N81" i="14" s="1"/>
  <c r="O72" i="1"/>
  <c r="O81" i="14" s="1"/>
  <c r="P72" i="1"/>
  <c r="P81" i="14" s="1"/>
  <c r="Q72" i="1"/>
  <c r="Q81" i="14" s="1"/>
  <c r="R72" i="1"/>
  <c r="R81" i="14" s="1"/>
  <c r="S72" i="1"/>
  <c r="S81" i="14" s="1"/>
  <c r="T72" i="1"/>
  <c r="T81" i="14" s="1"/>
  <c r="U72" i="1"/>
  <c r="U81" i="14" s="1"/>
  <c r="V72" i="1"/>
  <c r="V81" i="14" s="1"/>
  <c r="W72" i="1"/>
  <c r="W81" i="14" s="1"/>
  <c r="X72" i="1"/>
  <c r="X81" i="14" s="1"/>
  <c r="Y72" i="1"/>
  <c r="Y81" i="14" s="1"/>
  <c r="Z72" i="1"/>
  <c r="Z81" i="14" s="1"/>
  <c r="AA72" i="1"/>
  <c r="AA81" i="14" s="1"/>
  <c r="AB72" i="1"/>
  <c r="AB81" i="14" s="1"/>
  <c r="AC72" i="1"/>
  <c r="AC81" i="14" s="1"/>
  <c r="AD72" i="1"/>
  <c r="AD81" i="14" s="1"/>
  <c r="AE72" i="1"/>
  <c r="AE81" i="14" s="1"/>
  <c r="AF72" i="1"/>
  <c r="AF81" i="14" s="1"/>
  <c r="AG72" i="1"/>
  <c r="AG81" i="14" s="1"/>
  <c r="AH72" i="1"/>
  <c r="AH81" i="14" s="1"/>
  <c r="AI72" i="1"/>
  <c r="AI81" i="14" s="1"/>
  <c r="AJ72" i="1"/>
  <c r="AJ81" i="14" s="1"/>
  <c r="AK72" i="1"/>
  <c r="AK81" i="14" s="1"/>
  <c r="AL72" i="1"/>
  <c r="AL81" i="14" s="1"/>
  <c r="AM72" i="1"/>
  <c r="AM81" i="14" s="1"/>
  <c r="AN72" i="1"/>
  <c r="AN81" i="14" s="1"/>
  <c r="AO72" i="1"/>
  <c r="AO81" i="14" s="1"/>
  <c r="AP72" i="1"/>
  <c r="AP81" i="14" s="1"/>
  <c r="AQ72" i="1"/>
  <c r="AQ81" i="14" s="1"/>
  <c r="AR72" i="1"/>
  <c r="AR81" i="14" s="1"/>
  <c r="AS72" i="1"/>
  <c r="AS81" i="14" s="1"/>
  <c r="AT72" i="1"/>
  <c r="AT81" i="14" s="1"/>
  <c r="AU72" i="1"/>
  <c r="AU81" i="14" s="1"/>
  <c r="AV72" i="1"/>
  <c r="AV81" i="14" s="1"/>
  <c r="AW72" i="1"/>
  <c r="AW81" i="14" s="1"/>
  <c r="AX72" i="1"/>
  <c r="AX81" i="14" s="1"/>
  <c r="AY72" i="1"/>
  <c r="AY81" i="14" s="1"/>
  <c r="AZ72" i="1"/>
  <c r="AZ81" i="14" s="1"/>
  <c r="BA72" i="1"/>
  <c r="BA81" i="14" s="1"/>
  <c r="BB72" i="1"/>
  <c r="BB81" i="14" s="1"/>
  <c r="BC72" i="1"/>
  <c r="BC81" i="14" s="1"/>
  <c r="BC76" i="14"/>
  <c r="BK50" i="12"/>
  <c r="DS50" i="12" s="1"/>
  <c r="DX49" i="10"/>
  <c r="BO49" i="10"/>
  <c r="BJ55" i="12"/>
  <c r="DR55" i="12"/>
  <c r="DW54" i="10"/>
  <c r="BN54" i="10"/>
  <c r="BJ26" i="12"/>
  <c r="DR26" i="12" s="1"/>
  <c r="DW25" i="10"/>
  <c r="BN25" i="10"/>
  <c r="BJ31" i="12"/>
  <c r="DR31" i="12"/>
  <c r="DW30" i="10"/>
  <c r="BN30" i="10"/>
  <c r="BC59" i="14"/>
  <c r="BC27" i="14"/>
  <c r="BD64" i="1"/>
  <c r="BD34" i="1"/>
  <c r="BE35" i="1" s="1"/>
  <c r="BD37" i="1"/>
  <c r="BD18" i="1"/>
  <c r="BE19" i="1" s="1"/>
  <c r="BD17" i="1"/>
  <c r="BE18" i="1" s="1"/>
  <c r="BD47" i="1"/>
  <c r="BE48" i="1" s="1"/>
  <c r="BD72" i="1"/>
  <c r="BD81" i="14" s="1"/>
  <c r="BI13" i="12"/>
  <c r="DQ13" i="12" s="1"/>
  <c r="DV12" i="10"/>
  <c r="BM12" i="10"/>
  <c r="BE73" i="14" l="1"/>
  <c r="BE34" i="14"/>
  <c r="BE69" i="14"/>
  <c r="BE28" i="14"/>
  <c r="BE32" i="14"/>
  <c r="BE44" i="14"/>
  <c r="BE57" i="14"/>
  <c r="BE54" i="14"/>
  <c r="BE27" i="14"/>
  <c r="BE24" i="14"/>
  <c r="BE31" i="14"/>
  <c r="BE39" i="14"/>
  <c r="BK49" i="12"/>
  <c r="DS49" i="12"/>
  <c r="DX48" i="10"/>
  <c r="BO48" i="10"/>
  <c r="BD65" i="14"/>
  <c r="BD73" i="14"/>
  <c r="BK25" i="12"/>
  <c r="DS25" i="12"/>
  <c r="DX24" i="10"/>
  <c r="BO24" i="10"/>
  <c r="DZ51" i="10"/>
  <c r="BQ51" i="10"/>
  <c r="BM52" i="12"/>
  <c r="DU52" i="12"/>
  <c r="DX29" i="10"/>
  <c r="BO29" i="10"/>
  <c r="BK30" i="12"/>
  <c r="DS30" i="12" s="1"/>
  <c r="BD34" i="14"/>
  <c r="BE60" i="14"/>
  <c r="BE68" i="14"/>
  <c r="BE55" i="14"/>
  <c r="BE36" i="14"/>
  <c r="BE37" i="14"/>
  <c r="BK21" i="12"/>
  <c r="DS21" i="12"/>
  <c r="DX20" i="10"/>
  <c r="BO20" i="10"/>
  <c r="DX50" i="10"/>
  <c r="BO50" i="10"/>
  <c r="BK51" i="12"/>
  <c r="DS51" i="12"/>
  <c r="BO56" i="10"/>
  <c r="BK57" i="12"/>
  <c r="DX56" i="10"/>
  <c r="DS57" i="12"/>
  <c r="BD42" i="14"/>
  <c r="BG78" i="1"/>
  <c r="DX27" i="10"/>
  <c r="BO27" i="10"/>
  <c r="BK28" i="12"/>
  <c r="DS28" i="12"/>
  <c r="BD32" i="14"/>
  <c r="O71" i="15"/>
  <c r="K71" i="15"/>
  <c r="L71" i="15"/>
  <c r="J71" i="15"/>
  <c r="R71" i="15"/>
  <c r="I71" i="15"/>
  <c r="P71" i="15"/>
  <c r="Q71" i="15"/>
  <c r="BE61" i="14"/>
  <c r="BP59" i="10"/>
  <c r="BL60" i="12"/>
  <c r="DT60" i="12"/>
  <c r="DY59" i="10"/>
  <c r="BK37" i="12"/>
  <c r="DS37" i="12"/>
  <c r="DX36" i="10"/>
  <c r="BO36" i="10"/>
  <c r="BD40" i="14"/>
  <c r="BE42" i="14"/>
  <c r="BE51" i="14"/>
  <c r="BE72" i="14"/>
  <c r="BE32" i="1"/>
  <c r="BE49" i="14"/>
  <c r="BE77" i="14"/>
  <c r="DZ43" i="10"/>
  <c r="BQ43" i="10"/>
  <c r="BM44" i="12"/>
  <c r="DU44" i="12" s="1"/>
  <c r="BD57" i="14"/>
  <c r="BD77" i="14"/>
  <c r="BJ133" i="1"/>
  <c r="BJ123" i="1"/>
  <c r="BJ107" i="1"/>
  <c r="BJ91" i="1"/>
  <c r="BJ134" i="1"/>
  <c r="BJ116" i="1"/>
  <c r="BJ100" i="1"/>
  <c r="BJ84" i="1"/>
  <c r="BJ132" i="1"/>
  <c r="BJ122" i="1"/>
  <c r="BJ106" i="1"/>
  <c r="BJ90" i="1"/>
  <c r="BJ129" i="1"/>
  <c r="BJ113" i="1"/>
  <c r="BJ97" i="1"/>
  <c r="BH78" i="1"/>
  <c r="BJ135" i="1"/>
  <c r="BJ118" i="1"/>
  <c r="BJ102" i="1"/>
  <c r="BJ86" i="1"/>
  <c r="BJ125" i="1"/>
  <c r="BJ109" i="1"/>
  <c r="BJ93" i="1"/>
  <c r="BJ141" i="1"/>
  <c r="BJ131" i="1"/>
  <c r="BJ115" i="1"/>
  <c r="BJ99" i="1"/>
  <c r="BJ83" i="1"/>
  <c r="BJ124" i="1"/>
  <c r="BJ108" i="1"/>
  <c r="BJ92" i="1"/>
  <c r="BJ140" i="1"/>
  <c r="BJ130" i="1"/>
  <c r="BJ114" i="1"/>
  <c r="BJ98" i="1"/>
  <c r="BJ82" i="1"/>
  <c r="BJ121" i="1"/>
  <c r="BJ105" i="1"/>
  <c r="BJ89" i="1"/>
  <c r="BJ138" i="1"/>
  <c r="BJ94" i="1"/>
  <c r="BJ104" i="1"/>
  <c r="BJ126" i="1"/>
  <c r="BJ96" i="1"/>
  <c r="BJ111" i="1"/>
  <c r="BJ128" i="1"/>
  <c r="BJ85" i="1"/>
  <c r="BJ137" i="1"/>
  <c r="BJ103" i="1"/>
  <c r="BJ117" i="1"/>
  <c r="BJ87" i="1"/>
  <c r="BJ139" i="1"/>
  <c r="BJ120" i="1"/>
  <c r="BJ136" i="1"/>
  <c r="BJ112" i="1"/>
  <c r="BJ127" i="1"/>
  <c r="BJ101" i="1"/>
  <c r="BJ119" i="1"/>
  <c r="BJ88" i="1"/>
  <c r="BJ110" i="1"/>
  <c r="BJ95" i="1"/>
  <c r="BJ20" i="12"/>
  <c r="DR20" i="12"/>
  <c r="DW19" i="10"/>
  <c r="BN19" i="10"/>
  <c r="BN59" i="12"/>
  <c r="DV59" i="12" s="1"/>
  <c r="EA58" i="10"/>
  <c r="BR58" i="10"/>
  <c r="BD48" i="14"/>
  <c r="BK27" i="12"/>
  <c r="DX26" i="10"/>
  <c r="DS27" i="12"/>
  <c r="BO26" i="10"/>
  <c r="BD51" i="14"/>
  <c r="DX42" i="10"/>
  <c r="BO42" i="10"/>
  <c r="BK43" i="12"/>
  <c r="DS43" i="12" s="1"/>
  <c r="BE35" i="14"/>
  <c r="D66" i="13"/>
  <c r="ED69" i="12"/>
  <c r="DW15" i="10"/>
  <c r="BN15" i="10"/>
  <c r="BJ16" i="12"/>
  <c r="DR16" i="12" s="1"/>
  <c r="DU54" i="12"/>
  <c r="DZ53" i="10"/>
  <c r="BQ53" i="10"/>
  <c r="BM54" i="12"/>
  <c r="BD53" i="14"/>
  <c r="BD74" i="14"/>
  <c r="BE30" i="14"/>
  <c r="BE52" i="14"/>
  <c r="BE46" i="14"/>
  <c r="BE57" i="1"/>
  <c r="BE45" i="14"/>
  <c r="BD35" i="14"/>
  <c r="BJ22" i="14"/>
  <c r="BJ21" i="14" s="1"/>
  <c r="BI21" i="14"/>
  <c r="BD75" i="14"/>
  <c r="DW13" i="10"/>
  <c r="BN13" i="10"/>
  <c r="BJ14" i="12"/>
  <c r="DR14" i="12"/>
  <c r="BD38" i="14"/>
  <c r="BD41" i="14"/>
  <c r="BD61" i="14"/>
  <c r="DW18" i="10"/>
  <c r="BN18" i="10"/>
  <c r="BJ19" i="12"/>
  <c r="DR19" i="12" s="1"/>
  <c r="BE48" i="14"/>
  <c r="BD37" i="14"/>
  <c r="BD33" i="14"/>
  <c r="DX25" i="10"/>
  <c r="BO25" i="10"/>
  <c r="BK26" i="12"/>
  <c r="DS26" i="12"/>
  <c r="BD56" i="14"/>
  <c r="A74" i="1"/>
  <c r="C73" i="1"/>
  <c r="C82" i="14" s="1"/>
  <c r="B73" i="1"/>
  <c r="B82" i="14" s="1"/>
  <c r="D73" i="1"/>
  <c r="D82" i="14" s="1"/>
  <c r="E73" i="1"/>
  <c r="E82" i="14" s="1"/>
  <c r="F73" i="1"/>
  <c r="F82" i="14" s="1"/>
  <c r="F70" i="15" s="1"/>
  <c r="G73" i="1"/>
  <c r="G82" i="14" s="1"/>
  <c r="H73" i="1"/>
  <c r="H82" i="14" s="1"/>
  <c r="E70" i="15" s="1"/>
  <c r="I73" i="1"/>
  <c r="I82" i="14" s="1"/>
  <c r="J73" i="1"/>
  <c r="J82" i="14" s="1"/>
  <c r="D70" i="15" s="1"/>
  <c r="K73" i="1"/>
  <c r="K82" i="14" s="1"/>
  <c r="L73" i="1"/>
  <c r="L82" i="14" s="1"/>
  <c r="C70" i="15" s="1"/>
  <c r="M73" i="1"/>
  <c r="M82" i="14" s="1"/>
  <c r="N73" i="1"/>
  <c r="N82" i="14" s="1"/>
  <c r="O73" i="1"/>
  <c r="O82" i="14" s="1"/>
  <c r="P73" i="1"/>
  <c r="P82" i="14" s="1"/>
  <c r="Q73" i="1"/>
  <c r="Q82" i="14" s="1"/>
  <c r="R73" i="1"/>
  <c r="R82" i="14" s="1"/>
  <c r="S73" i="1"/>
  <c r="S82" i="14" s="1"/>
  <c r="T73" i="1"/>
  <c r="T82" i="14" s="1"/>
  <c r="U73" i="1"/>
  <c r="U82" i="14" s="1"/>
  <c r="V73" i="1"/>
  <c r="V82" i="14" s="1"/>
  <c r="W73" i="1"/>
  <c r="W82" i="14" s="1"/>
  <c r="X73" i="1"/>
  <c r="X82" i="14" s="1"/>
  <c r="Y73" i="1"/>
  <c r="Y82" i="14" s="1"/>
  <c r="Z73" i="1"/>
  <c r="Z82" i="14" s="1"/>
  <c r="AA73" i="1"/>
  <c r="AA82" i="14" s="1"/>
  <c r="AB73" i="1"/>
  <c r="AB82" i="14" s="1"/>
  <c r="AC73" i="1"/>
  <c r="AC82" i="14" s="1"/>
  <c r="AD73" i="1"/>
  <c r="AD82" i="14" s="1"/>
  <c r="AE73" i="1"/>
  <c r="AE82" i="14" s="1"/>
  <c r="AF73" i="1"/>
  <c r="AF82" i="14" s="1"/>
  <c r="AG73" i="1"/>
  <c r="AG82" i="14" s="1"/>
  <c r="AH73" i="1"/>
  <c r="AH82" i="14" s="1"/>
  <c r="AI73" i="1"/>
  <c r="AI82" i="14" s="1"/>
  <c r="AJ73" i="1"/>
  <c r="AJ82" i="14" s="1"/>
  <c r="AK73" i="1"/>
  <c r="AK82" i="14" s="1"/>
  <c r="AL73" i="1"/>
  <c r="AL82" i="14" s="1"/>
  <c r="AM73" i="1"/>
  <c r="AM82" i="14" s="1"/>
  <c r="AN73" i="1"/>
  <c r="AN82" i="14" s="1"/>
  <c r="AO73" i="1"/>
  <c r="AO82" i="14" s="1"/>
  <c r="AP73" i="1"/>
  <c r="AP82" i="14" s="1"/>
  <c r="AQ73" i="1"/>
  <c r="AQ82" i="14" s="1"/>
  <c r="AR73" i="1"/>
  <c r="AR82" i="14" s="1"/>
  <c r="AS73" i="1"/>
  <c r="AS82" i="14" s="1"/>
  <c r="AT73" i="1"/>
  <c r="AT82" i="14" s="1"/>
  <c r="AU73" i="1"/>
  <c r="AU82" i="14" s="1"/>
  <c r="AV73" i="1"/>
  <c r="AV82" i="14" s="1"/>
  <c r="AW73" i="1"/>
  <c r="AW82" i="14" s="1"/>
  <c r="AX73" i="1"/>
  <c r="AX82" i="14" s="1"/>
  <c r="AY73" i="1"/>
  <c r="AY82" i="14" s="1"/>
  <c r="AZ73" i="1"/>
  <c r="AZ82" i="14" s="1"/>
  <c r="BA73" i="1"/>
  <c r="BA82" i="14" s="1"/>
  <c r="BB73" i="1"/>
  <c r="BB82" i="14" s="1"/>
  <c r="BC73" i="1"/>
  <c r="BC82" i="14" s="1"/>
  <c r="BD73" i="1"/>
  <c r="BD82" i="14" s="1"/>
  <c r="BD23" i="14"/>
  <c r="DX21" i="10"/>
  <c r="BK22" i="12"/>
  <c r="BO21" i="10"/>
  <c r="DS22" i="12"/>
  <c r="BK23" i="12"/>
  <c r="DS23" i="12"/>
  <c r="DX22" i="10"/>
  <c r="BO22" i="10"/>
  <c r="BJ15" i="12"/>
  <c r="DR15" i="12" s="1"/>
  <c r="DW14" i="10"/>
  <c r="BN14" i="10"/>
  <c r="BD60" i="14"/>
  <c r="BE29" i="1"/>
  <c r="BE26" i="14"/>
  <c r="BE73" i="1"/>
  <c r="BE82" i="14" s="1"/>
  <c r="BD39" i="14"/>
  <c r="BK29" i="12"/>
  <c r="DS29" i="12"/>
  <c r="DX28" i="10"/>
  <c r="BO28" i="10"/>
  <c r="BD67" i="14"/>
  <c r="DZ57" i="10"/>
  <c r="BQ57" i="10"/>
  <c r="BM58" i="12"/>
  <c r="DU58" i="12"/>
  <c r="BD70" i="14"/>
  <c r="BD59" i="14"/>
  <c r="BK32" i="12"/>
  <c r="DS32" i="12"/>
  <c r="DX31" i="10"/>
  <c r="BO31" i="10"/>
  <c r="BL40" i="12"/>
  <c r="DT40" i="12"/>
  <c r="DY39" i="10"/>
  <c r="BP39" i="10"/>
  <c r="BE56" i="14"/>
  <c r="DS53" i="12"/>
  <c r="DX52" i="10"/>
  <c r="BK53" i="12"/>
  <c r="BO52" i="10"/>
  <c r="BD24" i="14"/>
  <c r="DX34" i="10"/>
  <c r="BO34" i="10"/>
  <c r="BK35" i="12"/>
  <c r="DS35" i="12"/>
  <c r="BD31" i="14"/>
  <c r="DW11" i="10"/>
  <c r="BN11" i="10"/>
  <c r="BJ12" i="12"/>
  <c r="DR12" i="12"/>
  <c r="BE64" i="14"/>
  <c r="BE58" i="14"/>
  <c r="BE14" i="1"/>
  <c r="BE16" i="1"/>
  <c r="BE33" i="14"/>
  <c r="BE66" i="1"/>
  <c r="BL56" i="12"/>
  <c r="DT56" i="12" s="1"/>
  <c r="DY55" i="10"/>
  <c r="BP55" i="10"/>
  <c r="BD64" i="14"/>
  <c r="BH13" i="1"/>
  <c r="BG12" i="1"/>
  <c r="BL42" i="12"/>
  <c r="DT42" i="12" s="1"/>
  <c r="DY41" i="10"/>
  <c r="BP41" i="10"/>
  <c r="BK41" i="12"/>
  <c r="DS41" i="12" s="1"/>
  <c r="DX40" i="10"/>
  <c r="BO40" i="10"/>
  <c r="BD58" i="14"/>
  <c r="BL48" i="12"/>
  <c r="DT48" i="12"/>
  <c r="BP47" i="10"/>
  <c r="DY47" i="10"/>
  <c r="BK24" i="12"/>
  <c r="DS24" i="12" s="1"/>
  <c r="DX23" i="10"/>
  <c r="BO23" i="10"/>
  <c r="BD63" i="14"/>
  <c r="BD54" i="14"/>
  <c r="BK38" i="12"/>
  <c r="DS38" i="12" s="1"/>
  <c r="DX37" i="10"/>
  <c r="BO37" i="10"/>
  <c r="BE71" i="14"/>
  <c r="BL50" i="12"/>
  <c r="DT50" i="12" s="1"/>
  <c r="BP49" i="10"/>
  <c r="DY49" i="10"/>
  <c r="BD27" i="14"/>
  <c r="DX30" i="10"/>
  <c r="BO30" i="10"/>
  <c r="BK31" i="12"/>
  <c r="DS31" i="12" s="1"/>
  <c r="DX54" i="10"/>
  <c r="BK55" i="12"/>
  <c r="DS55" i="12" s="1"/>
  <c r="BO54" i="10"/>
  <c r="BD47" i="14"/>
  <c r="DX33" i="10"/>
  <c r="BO33" i="10"/>
  <c r="BK34" i="12"/>
  <c r="DS34" i="12" s="1"/>
  <c r="BD45" i="14"/>
  <c r="BE29" i="14"/>
  <c r="BE65" i="1"/>
  <c r="BE50" i="14"/>
  <c r="BE40" i="14"/>
  <c r="BE76" i="14"/>
  <c r="BE56" i="1"/>
  <c r="BE43" i="14"/>
  <c r="EA71" i="12"/>
  <c r="EC70" i="12"/>
  <c r="B67" i="13"/>
  <c r="G67" i="13" s="1"/>
  <c r="H67" i="13" s="1"/>
  <c r="EB70" i="12"/>
  <c r="E67" i="13" s="1"/>
  <c r="BD36" i="14"/>
  <c r="BF71" i="1"/>
  <c r="BF80" i="14" s="1"/>
  <c r="BF66" i="1"/>
  <c r="BF31" i="1"/>
  <c r="BF38" i="1"/>
  <c r="BF34" i="1"/>
  <c r="BF62" i="1"/>
  <c r="BF17" i="1"/>
  <c r="BF32" i="1"/>
  <c r="BF70" i="1"/>
  <c r="BF24" i="1"/>
  <c r="BF43" i="1"/>
  <c r="BF52" i="1"/>
  <c r="BF20" i="1"/>
  <c r="BF19" i="1"/>
  <c r="BF7" i="1"/>
  <c r="BF68" i="1"/>
  <c r="BF59" i="1"/>
  <c r="BF37" i="1"/>
  <c r="BF50" i="1"/>
  <c r="BF53" i="1"/>
  <c r="BF45" i="1"/>
  <c r="BF57" i="1"/>
  <c r="BF36" i="1"/>
  <c r="BF56" i="1"/>
  <c r="BF61" i="1"/>
  <c r="BF63" i="1"/>
  <c r="BF58" i="1"/>
  <c r="BF73" i="1"/>
  <c r="BF82" i="14" s="1"/>
  <c r="BF67" i="1"/>
  <c r="BF22" i="1"/>
  <c r="BF46" i="1"/>
  <c r="BF60" i="1"/>
  <c r="BF49" i="1"/>
  <c r="BF69" i="1"/>
  <c r="BF16" i="1"/>
  <c r="BF74" i="1"/>
  <c r="BF83" i="14" s="1"/>
  <c r="BF55" i="1"/>
  <c r="BF41" i="1"/>
  <c r="BF33" i="1"/>
  <c r="BF48" i="1"/>
  <c r="BF27" i="1"/>
  <c r="BF28" i="1"/>
  <c r="BF44" i="1"/>
  <c r="BF30" i="1"/>
  <c r="BF51" i="1"/>
  <c r="BF42" i="1"/>
  <c r="BF26" i="1"/>
  <c r="BF64" i="1"/>
  <c r="BF40" i="1"/>
  <c r="BF72" i="1"/>
  <c r="BF81" i="14" s="1"/>
  <c r="BF23" i="1"/>
  <c r="BF47" i="1"/>
  <c r="BF35" i="1"/>
  <c r="BF21" i="1"/>
  <c r="BF29" i="1"/>
  <c r="BF25" i="1"/>
  <c r="BF65" i="1"/>
  <c r="BF9" i="1"/>
  <c r="BF8" i="1"/>
  <c r="BF18" i="1"/>
  <c r="BF14" i="1"/>
  <c r="BF15" i="1"/>
  <c r="BD50" i="14"/>
  <c r="BJ18" i="12"/>
  <c r="DR18" i="12" s="1"/>
  <c r="DW17" i="10"/>
  <c r="BN17" i="10"/>
  <c r="BD66" i="14"/>
  <c r="BK45" i="12"/>
  <c r="DS45" i="12" s="1"/>
  <c r="DX44" i="10"/>
  <c r="BO44" i="10"/>
  <c r="BI231" i="14"/>
  <c r="BH230" i="14"/>
  <c r="DX38" i="10"/>
  <c r="BO38" i="10"/>
  <c r="BK39" i="12"/>
  <c r="DS39" i="12" s="1"/>
  <c r="DW16" i="10"/>
  <c r="BN16" i="10"/>
  <c r="BJ17" i="12"/>
  <c r="DR17" i="12" s="1"/>
  <c r="BD76" i="14"/>
  <c r="BK33" i="12"/>
  <c r="DS33" i="12" s="1"/>
  <c r="DX32" i="10"/>
  <c r="BO32" i="10"/>
  <c r="BD43" i="14"/>
  <c r="BD72" i="14"/>
  <c r="BE78" i="14"/>
  <c r="DX35" i="10"/>
  <c r="BO35" i="10"/>
  <c r="BK36" i="12"/>
  <c r="DS36" i="12" s="1"/>
  <c r="BD26" i="14"/>
  <c r="DW12" i="10"/>
  <c r="BJ13" i="12"/>
  <c r="DR13" i="12" s="1"/>
  <c r="BN12" i="10"/>
  <c r="BD46" i="14"/>
  <c r="DX46" i="10"/>
  <c r="BO46" i="10"/>
  <c r="BK47" i="12"/>
  <c r="DS47" i="12" s="1"/>
  <c r="G141" i="1"/>
  <c r="B141" i="1"/>
  <c r="C141" i="1"/>
  <c r="D141" i="1"/>
  <c r="E141" i="1"/>
  <c r="A142" i="1"/>
  <c r="BI142" i="1" s="1"/>
  <c r="F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T141" i="1"/>
  <c r="U141" i="1"/>
  <c r="V141" i="1"/>
  <c r="W141" i="1"/>
  <c r="X141" i="1"/>
  <c r="Y141" i="1"/>
  <c r="Z141" i="1"/>
  <c r="AA141" i="1"/>
  <c r="AB141" i="1"/>
  <c r="AC141" i="1"/>
  <c r="AD141" i="1"/>
  <c r="AE141" i="1"/>
  <c r="AF141" i="1"/>
  <c r="AG141" i="1"/>
  <c r="AH141" i="1"/>
  <c r="AI141" i="1"/>
  <c r="AJ141" i="1"/>
  <c r="AK141" i="1"/>
  <c r="AL141" i="1"/>
  <c r="AM141" i="1"/>
  <c r="AN141" i="1"/>
  <c r="AO141" i="1"/>
  <c r="AP141" i="1"/>
  <c r="AQ141" i="1"/>
  <c r="AR141" i="1"/>
  <c r="AS141" i="1"/>
  <c r="AT141" i="1"/>
  <c r="AU141" i="1"/>
  <c r="AV141" i="1"/>
  <c r="AW141" i="1"/>
  <c r="AX141" i="1"/>
  <c r="AY141" i="1"/>
  <c r="AZ141" i="1"/>
  <c r="BA141" i="1"/>
  <c r="BB141" i="1"/>
  <c r="BC141" i="1"/>
  <c r="BD141" i="1"/>
  <c r="BE141" i="1"/>
  <c r="BF141" i="1"/>
  <c r="BG141" i="1"/>
  <c r="BD68" i="14"/>
  <c r="BD30" i="14"/>
  <c r="BE38" i="1"/>
  <c r="BF39" i="1" s="1"/>
  <c r="BE63" i="14"/>
  <c r="BE53" i="14"/>
  <c r="BE53" i="1"/>
  <c r="BF54" i="1" s="1"/>
  <c r="BE59" i="14"/>
  <c r="BE70" i="14"/>
  <c r="BE67" i="14"/>
  <c r="BD69" i="14"/>
  <c r="DY45" i="10"/>
  <c r="BL46" i="12"/>
  <c r="DT46" i="12"/>
  <c r="BP45" i="10"/>
  <c r="BD52" i="14"/>
  <c r="DZ58" i="10"/>
  <c r="BD44" i="14"/>
  <c r="D65" i="13"/>
  <c r="ED68" i="12"/>
  <c r="BD28" i="14"/>
  <c r="BF63" i="14" l="1"/>
  <c r="BF48" i="14"/>
  <c r="BF32" i="14"/>
  <c r="BF59" i="14"/>
  <c r="BL32" i="12"/>
  <c r="DT32" i="12"/>
  <c r="DY31" i="10"/>
  <c r="BP31" i="10"/>
  <c r="BK13" i="12"/>
  <c r="DS13" i="12"/>
  <c r="DX12" i="10"/>
  <c r="BO12" i="10"/>
  <c r="BL36" i="12"/>
  <c r="DT36" i="12"/>
  <c r="DY35" i="10"/>
  <c r="BP35" i="10"/>
  <c r="BL33" i="12"/>
  <c r="DT33" i="12"/>
  <c r="DY32" i="10"/>
  <c r="BP32" i="10"/>
  <c r="BK17" i="12"/>
  <c r="DS17" i="12"/>
  <c r="DX16" i="10"/>
  <c r="BO16" i="10"/>
  <c r="BL45" i="12"/>
  <c r="DT45" i="12"/>
  <c r="BP44" i="10"/>
  <c r="DY44" i="10"/>
  <c r="BF37" i="14"/>
  <c r="BF78" i="14"/>
  <c r="BF72" i="14"/>
  <c r="BF46" i="14"/>
  <c r="BF40" i="14"/>
  <c r="D67" i="13"/>
  <c r="ED70" i="12"/>
  <c r="BL41" i="12"/>
  <c r="DT41" i="12"/>
  <c r="DY40" i="10"/>
  <c r="BP40" i="10"/>
  <c r="BG72" i="1"/>
  <c r="BG81" i="14" s="1"/>
  <c r="BG29" i="1"/>
  <c r="BG73" i="1"/>
  <c r="BG82" i="14" s="1"/>
  <c r="BG31" i="1"/>
  <c r="BG49" i="1"/>
  <c r="BG32" i="1"/>
  <c r="BG7" i="1"/>
  <c r="BG34" i="1"/>
  <c r="BG74" i="1"/>
  <c r="BG83" i="14" s="1"/>
  <c r="BG25" i="1"/>
  <c r="BG9" i="1"/>
  <c r="BG14" i="1"/>
  <c r="BG8" i="1"/>
  <c r="BG17" i="1"/>
  <c r="BE75" i="14"/>
  <c r="BK20" i="12"/>
  <c r="DS20" i="12" s="1"/>
  <c r="DX19" i="10"/>
  <c r="BO19" i="10"/>
  <c r="EA43" i="10"/>
  <c r="BR43" i="10"/>
  <c r="BN44" i="12"/>
  <c r="DV44" i="12"/>
  <c r="BF52" i="14"/>
  <c r="BF36" i="14"/>
  <c r="BF58" i="14"/>
  <c r="BF70" i="14"/>
  <c r="BF68" i="14"/>
  <c r="BF33" i="14"/>
  <c r="B68" i="13"/>
  <c r="G68" i="13" s="1"/>
  <c r="H68" i="13" s="1"/>
  <c r="EC71" i="12"/>
  <c r="EB71" i="12"/>
  <c r="E68" i="13" s="1"/>
  <c r="DZ49" i="10"/>
  <c r="BQ49" i="10"/>
  <c r="BM50" i="12"/>
  <c r="DU50" i="12" s="1"/>
  <c r="BI13" i="1"/>
  <c r="BH12" i="1"/>
  <c r="BL35" i="12"/>
  <c r="DT35" i="12" s="1"/>
  <c r="DY34" i="10"/>
  <c r="BP34" i="10"/>
  <c r="BN58" i="12"/>
  <c r="DV58" i="12" s="1"/>
  <c r="EA57" i="10"/>
  <c r="BR57" i="10"/>
  <c r="BK15" i="12"/>
  <c r="DS15" i="12" s="1"/>
  <c r="DX14" i="10"/>
  <c r="BO14" i="10"/>
  <c r="BE66" i="14"/>
  <c r="BL28" i="12"/>
  <c r="DT28" i="12" s="1"/>
  <c r="DY27" i="10"/>
  <c r="BP27" i="10"/>
  <c r="DY50" i="10"/>
  <c r="BL51" i="12"/>
  <c r="DT51" i="12" s="1"/>
  <c r="BP50" i="10"/>
  <c r="EA51" i="10"/>
  <c r="BR51" i="10"/>
  <c r="BN52" i="12"/>
  <c r="DV52" i="12" s="1"/>
  <c r="BI230" i="14"/>
  <c r="BJ231" i="14"/>
  <c r="BF25" i="14"/>
  <c r="BE47" i="14"/>
  <c r="BF34" i="14"/>
  <c r="BF73" i="14"/>
  <c r="BF57" i="14"/>
  <c r="BF69" i="14"/>
  <c r="BF65" i="14"/>
  <c r="BF77" i="14"/>
  <c r="BF79" i="14"/>
  <c r="BF75" i="14"/>
  <c r="BL34" i="12"/>
  <c r="DT34" i="12" s="1"/>
  <c r="DY33" i="10"/>
  <c r="BP33" i="10"/>
  <c r="BL22" i="12"/>
  <c r="DT22" i="12" s="1"/>
  <c r="DY21" i="10"/>
  <c r="BP21" i="10"/>
  <c r="BK16" i="12"/>
  <c r="DS16" i="12" s="1"/>
  <c r="DX15" i="10"/>
  <c r="BO15" i="10"/>
  <c r="BL43" i="12"/>
  <c r="DT43" i="12" s="1"/>
  <c r="DY42" i="10"/>
  <c r="BP42" i="10"/>
  <c r="BF67" i="14"/>
  <c r="BF49" i="14"/>
  <c r="BF38" i="14"/>
  <c r="BF35" i="14"/>
  <c r="BF42" i="14"/>
  <c r="BF55" i="14"/>
  <c r="BF45" i="14"/>
  <c r="BF41" i="14"/>
  <c r="BE74" i="14"/>
  <c r="DZ47" i="10"/>
  <c r="BQ47" i="10"/>
  <c r="BM48" i="12"/>
  <c r="DU48" i="12" s="1"/>
  <c r="BE25" i="14"/>
  <c r="BK12" i="12"/>
  <c r="DS12" i="12" s="1"/>
  <c r="DX11" i="10"/>
  <c r="BO11" i="10"/>
  <c r="BM40" i="12"/>
  <c r="DU40" i="12" s="1"/>
  <c r="DZ39" i="10"/>
  <c r="BQ39" i="10"/>
  <c r="BL26" i="12"/>
  <c r="DT26" i="12" s="1"/>
  <c r="DY25" i="10"/>
  <c r="BP25" i="10"/>
  <c r="BL21" i="12"/>
  <c r="DT21" i="12" s="1"/>
  <c r="DY20" i="10"/>
  <c r="BP20" i="10"/>
  <c r="BL25" i="12"/>
  <c r="DT25" i="12" s="1"/>
  <c r="DY24" i="10"/>
  <c r="BP24" i="10"/>
  <c r="BL49" i="12"/>
  <c r="DT49" i="12" s="1"/>
  <c r="BP48" i="10"/>
  <c r="DY48" i="10"/>
  <c r="BF47" i="14"/>
  <c r="BF74" i="14"/>
  <c r="DY46" i="10"/>
  <c r="BL47" i="12"/>
  <c r="DT47" i="12"/>
  <c r="BP46" i="10"/>
  <c r="BL39" i="12"/>
  <c r="DT39" i="12" s="1"/>
  <c r="DY38" i="10"/>
  <c r="BP38" i="10"/>
  <c r="BF24" i="14"/>
  <c r="BF30" i="14"/>
  <c r="BF51" i="14"/>
  <c r="BF50" i="14"/>
  <c r="BF31" i="14"/>
  <c r="BF66" i="14"/>
  <c r="BF28" i="14"/>
  <c r="BF26" i="14"/>
  <c r="BE65" i="14"/>
  <c r="BL31" i="12"/>
  <c r="DT31" i="12"/>
  <c r="DY30" i="10"/>
  <c r="BP30" i="10"/>
  <c r="BM42" i="12"/>
  <c r="DU42" i="12"/>
  <c r="DZ41" i="10"/>
  <c r="BQ41" i="10"/>
  <c r="DU56" i="12"/>
  <c r="DZ55" i="10"/>
  <c r="BQ55" i="10"/>
  <c r="BM56" i="12"/>
  <c r="BE23" i="14"/>
  <c r="BO59" i="12"/>
  <c r="DW59" i="12" s="1"/>
  <c r="DX59" i="12" s="1"/>
  <c r="DY59" i="12" s="1"/>
  <c r="EB58" i="10"/>
  <c r="BS58" i="10"/>
  <c r="BF53" i="14"/>
  <c r="DZ45" i="10"/>
  <c r="BQ45" i="10"/>
  <c r="BM46" i="12"/>
  <c r="DU46" i="12" s="1"/>
  <c r="B142" i="1"/>
  <c r="D142" i="1"/>
  <c r="E142" i="1"/>
  <c r="G142" i="1"/>
  <c r="C142" i="1"/>
  <c r="F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T142" i="1"/>
  <c r="U142" i="1"/>
  <c r="V142" i="1"/>
  <c r="W142" i="1"/>
  <c r="X142" i="1"/>
  <c r="Y142" i="1"/>
  <c r="Z142" i="1"/>
  <c r="AA142" i="1"/>
  <c r="AB142" i="1"/>
  <c r="AC142" i="1"/>
  <c r="AD142" i="1"/>
  <c r="AE142" i="1"/>
  <c r="AF142" i="1"/>
  <c r="AG142" i="1"/>
  <c r="AH142" i="1"/>
  <c r="AI142" i="1"/>
  <c r="AJ142" i="1"/>
  <c r="AK142" i="1"/>
  <c r="AL142" i="1"/>
  <c r="AM142" i="1"/>
  <c r="AN142" i="1"/>
  <c r="AO142" i="1"/>
  <c r="AP142" i="1"/>
  <c r="AQ142" i="1"/>
  <c r="AR142" i="1"/>
  <c r="AS142" i="1"/>
  <c r="AT142" i="1"/>
  <c r="AU142" i="1"/>
  <c r="AV142" i="1"/>
  <c r="AW142" i="1"/>
  <c r="AX142" i="1"/>
  <c r="AY142" i="1"/>
  <c r="AZ142" i="1"/>
  <c r="BA142" i="1"/>
  <c r="BB142" i="1"/>
  <c r="BC142" i="1"/>
  <c r="BD142" i="1"/>
  <c r="BE142" i="1"/>
  <c r="BF142" i="1"/>
  <c r="BG142" i="1"/>
  <c r="BH142" i="1"/>
  <c r="BF23" i="14"/>
  <c r="BF44" i="14"/>
  <c r="BF60" i="14"/>
  <c r="BF64" i="14"/>
  <c r="BF76" i="14"/>
  <c r="BF54" i="14"/>
  <c r="BF29" i="14"/>
  <c r="BF71" i="14"/>
  <c r="BL53" i="12"/>
  <c r="DT53" i="12" s="1"/>
  <c r="DY52" i="10"/>
  <c r="BP52" i="10"/>
  <c r="BL29" i="12"/>
  <c r="DT29" i="12"/>
  <c r="DY28" i="10"/>
  <c r="BP28" i="10"/>
  <c r="BL23" i="12"/>
  <c r="DT23" i="12" s="1"/>
  <c r="DY22" i="10"/>
  <c r="BP22" i="10"/>
  <c r="BK19" i="12"/>
  <c r="DS19" i="12"/>
  <c r="DX18" i="10"/>
  <c r="BO18" i="10"/>
  <c r="BN54" i="12"/>
  <c r="DV54" i="12" s="1"/>
  <c r="EA53" i="10"/>
  <c r="BR53" i="10"/>
  <c r="BL30" i="12"/>
  <c r="DT30" i="12"/>
  <c r="DY29" i="10"/>
  <c r="BP29" i="10"/>
  <c r="BK14" i="12"/>
  <c r="DS14" i="12" s="1"/>
  <c r="DX13" i="10"/>
  <c r="BO13" i="10"/>
  <c r="BL37" i="12"/>
  <c r="DT37" i="12"/>
  <c r="DY36" i="10"/>
  <c r="BP36" i="10"/>
  <c r="BE62" i="14"/>
  <c r="BK18" i="12"/>
  <c r="DS18" i="12" s="1"/>
  <c r="DX17" i="10"/>
  <c r="BO17" i="10"/>
  <c r="BF27" i="14"/>
  <c r="BF56" i="14"/>
  <c r="BF39" i="14"/>
  <c r="BF62" i="14"/>
  <c r="BF61" i="14"/>
  <c r="BF43" i="14"/>
  <c r="BL55" i="12"/>
  <c r="DT55" i="12" s="1"/>
  <c r="DY54" i="10"/>
  <c r="BP54" i="10"/>
  <c r="BL38" i="12"/>
  <c r="DT38" i="12"/>
  <c r="DY37" i="10"/>
  <c r="BP37" i="10"/>
  <c r="BL24" i="12"/>
  <c r="DT24" i="12" s="1"/>
  <c r="DY23" i="10"/>
  <c r="BP23" i="10"/>
  <c r="BE38" i="14"/>
  <c r="C74" i="1"/>
  <c r="C83" i="14" s="1"/>
  <c r="B74" i="1"/>
  <c r="B83" i="14" s="1"/>
  <c r="D74" i="1"/>
  <c r="D83" i="14" s="1"/>
  <c r="E74" i="1"/>
  <c r="E83" i="14" s="1"/>
  <c r="F74" i="1"/>
  <c r="F83" i="14" s="1"/>
  <c r="F71" i="15" s="1"/>
  <c r="G74" i="1"/>
  <c r="G83" i="14" s="1"/>
  <c r="H74" i="1"/>
  <c r="H83" i="14" s="1"/>
  <c r="E71" i="15" s="1"/>
  <c r="I74" i="1"/>
  <c r="I83" i="14" s="1"/>
  <c r="J74" i="1"/>
  <c r="J83" i="14" s="1"/>
  <c r="D71" i="15" s="1"/>
  <c r="K74" i="1"/>
  <c r="K83" i="14" s="1"/>
  <c r="L74" i="1"/>
  <c r="L83" i="14" s="1"/>
  <c r="C71" i="15" s="1"/>
  <c r="M74" i="1"/>
  <c r="M83" i="14" s="1"/>
  <c r="N74" i="1"/>
  <c r="N83" i="14" s="1"/>
  <c r="O74" i="1"/>
  <c r="O83" i="14" s="1"/>
  <c r="P74" i="1"/>
  <c r="P83" i="14" s="1"/>
  <c r="Q74" i="1"/>
  <c r="Q83" i="14" s="1"/>
  <c r="R74" i="1"/>
  <c r="R83" i="14" s="1"/>
  <c r="S74" i="1"/>
  <c r="S83" i="14" s="1"/>
  <c r="T74" i="1"/>
  <c r="T83" i="14" s="1"/>
  <c r="U74" i="1"/>
  <c r="U83" i="14" s="1"/>
  <c r="V74" i="1"/>
  <c r="V83" i="14" s="1"/>
  <c r="W74" i="1"/>
  <c r="W83" i="14" s="1"/>
  <c r="X74" i="1"/>
  <c r="X83" i="14" s="1"/>
  <c r="Y74" i="1"/>
  <c r="Y83" i="14" s="1"/>
  <c r="Z74" i="1"/>
  <c r="Z83" i="14" s="1"/>
  <c r="AA74" i="1"/>
  <c r="AA83" i="14" s="1"/>
  <c r="AB74" i="1"/>
  <c r="AB83" i="14" s="1"/>
  <c r="AC74" i="1"/>
  <c r="AC83" i="14" s="1"/>
  <c r="AD74" i="1"/>
  <c r="AD83" i="14" s="1"/>
  <c r="AE74" i="1"/>
  <c r="AE83" i="14" s="1"/>
  <c r="AF74" i="1"/>
  <c r="AF83" i="14" s="1"/>
  <c r="AG74" i="1"/>
  <c r="AG83" i="14" s="1"/>
  <c r="AH74" i="1"/>
  <c r="AH83" i="14" s="1"/>
  <c r="AI74" i="1"/>
  <c r="AI83" i="14" s="1"/>
  <c r="AJ74" i="1"/>
  <c r="AJ83" i="14" s="1"/>
  <c r="AK74" i="1"/>
  <c r="AK83" i="14" s="1"/>
  <c r="AL74" i="1"/>
  <c r="AL83" i="14" s="1"/>
  <c r="AM74" i="1"/>
  <c r="AM83" i="14" s="1"/>
  <c r="AN74" i="1"/>
  <c r="AN83" i="14" s="1"/>
  <c r="AO74" i="1"/>
  <c r="AO83" i="14" s="1"/>
  <c r="AP74" i="1"/>
  <c r="AP83" i="14" s="1"/>
  <c r="AQ74" i="1"/>
  <c r="AQ83" i="14" s="1"/>
  <c r="AR74" i="1"/>
  <c r="AR83" i="14" s="1"/>
  <c r="AS74" i="1"/>
  <c r="AS83" i="14" s="1"/>
  <c r="AT74" i="1"/>
  <c r="AT83" i="14" s="1"/>
  <c r="AU74" i="1"/>
  <c r="AU83" i="14" s="1"/>
  <c r="AV74" i="1"/>
  <c r="AV83" i="14" s="1"/>
  <c r="AW74" i="1"/>
  <c r="AW83" i="14" s="1"/>
  <c r="AX74" i="1"/>
  <c r="AX83" i="14" s="1"/>
  <c r="AY74" i="1"/>
  <c r="AY83" i="14" s="1"/>
  <c r="AZ74" i="1"/>
  <c r="AZ83" i="14" s="1"/>
  <c r="BA74" i="1"/>
  <c r="BA83" i="14" s="1"/>
  <c r="BB74" i="1"/>
  <c r="BB83" i="14" s="1"/>
  <c r="BC74" i="1"/>
  <c r="BC83" i="14" s="1"/>
  <c r="BD74" i="1"/>
  <c r="BD83" i="14" s="1"/>
  <c r="BE74" i="1"/>
  <c r="BE83" i="14" s="1"/>
  <c r="BL27" i="12"/>
  <c r="DT27" i="12" s="1"/>
  <c r="DY26" i="10"/>
  <c r="BP26" i="10"/>
  <c r="BJ142" i="1"/>
  <c r="BE41" i="14"/>
  <c r="DU60" i="12"/>
  <c r="BQ59" i="10"/>
  <c r="DZ59" i="10" s="1"/>
  <c r="BM60" i="12"/>
  <c r="BL57" i="12"/>
  <c r="DT57" i="12"/>
  <c r="DY56" i="10"/>
  <c r="BP56" i="10"/>
  <c r="D68" i="13" l="1"/>
  <c r="ED71" i="12"/>
  <c r="EB43" i="10"/>
  <c r="BO44" i="12"/>
  <c r="DW44" i="12"/>
  <c r="DX44" i="12" s="1"/>
  <c r="DY44" i="12" s="1"/>
  <c r="BS43" i="10"/>
  <c r="BG58" i="14"/>
  <c r="DZ46" i="10"/>
  <c r="BQ46" i="10"/>
  <c r="BM47" i="12"/>
  <c r="DU47" i="12"/>
  <c r="BM21" i="12"/>
  <c r="DU21" i="12" s="1"/>
  <c r="DZ20" i="10"/>
  <c r="BQ20" i="10"/>
  <c r="EA39" i="10"/>
  <c r="BR39" i="10"/>
  <c r="BN40" i="12"/>
  <c r="DV40" i="12" s="1"/>
  <c r="DZ42" i="10"/>
  <c r="BQ42" i="10"/>
  <c r="BM43" i="12"/>
  <c r="DU43" i="12" s="1"/>
  <c r="BQ21" i="10"/>
  <c r="DZ21" i="10"/>
  <c r="BM22" i="12"/>
  <c r="DU22" i="12" s="1"/>
  <c r="EB51" i="10"/>
  <c r="BO52" i="12"/>
  <c r="DW52" i="12" s="1"/>
  <c r="DX52" i="12" s="1"/>
  <c r="DY52" i="12" s="1"/>
  <c r="BS51" i="10"/>
  <c r="BO58" i="12"/>
  <c r="DW58" i="12"/>
  <c r="EB57" i="10"/>
  <c r="BS57" i="10"/>
  <c r="BH74" i="1"/>
  <c r="BH83" i="14" s="1"/>
  <c r="BH73" i="1"/>
  <c r="BH82" i="14" s="1"/>
  <c r="BH7" i="1"/>
  <c r="BH59" i="1"/>
  <c r="BH26" i="1"/>
  <c r="BH38" i="1"/>
  <c r="BH14" i="1"/>
  <c r="BH8" i="1"/>
  <c r="BH30" i="1"/>
  <c r="BH50" i="1"/>
  <c r="BH9" i="1"/>
  <c r="BH19" i="1"/>
  <c r="BH52" i="1"/>
  <c r="BH17" i="1"/>
  <c r="BH63" i="1"/>
  <c r="BH32" i="1"/>
  <c r="BH42" i="1"/>
  <c r="BH33" i="1"/>
  <c r="BH35" i="1"/>
  <c r="BH34" i="1"/>
  <c r="BH16" i="1"/>
  <c r="BG52" i="1"/>
  <c r="BG68" i="1"/>
  <c r="BG69" i="1"/>
  <c r="BG67" i="1"/>
  <c r="BH68" i="1" s="1"/>
  <c r="BG33" i="1"/>
  <c r="DZ44" i="10"/>
  <c r="BQ44" i="10"/>
  <c r="BM45" i="12"/>
  <c r="DU45" i="12"/>
  <c r="BG26" i="14"/>
  <c r="BM33" i="12"/>
  <c r="DU33" i="12" s="1"/>
  <c r="DZ32" i="10"/>
  <c r="BQ32" i="10"/>
  <c r="DZ56" i="10"/>
  <c r="BQ56" i="10"/>
  <c r="BM57" i="12"/>
  <c r="DU57" i="12" s="1"/>
  <c r="BM24" i="12"/>
  <c r="DU24" i="12" s="1"/>
  <c r="DZ23" i="10"/>
  <c r="BQ23" i="10"/>
  <c r="BM55" i="12"/>
  <c r="DU55" i="12"/>
  <c r="DZ54" i="10"/>
  <c r="BQ54" i="10"/>
  <c r="BL18" i="12"/>
  <c r="DT18" i="12" s="1"/>
  <c r="DY17" i="10"/>
  <c r="BP17" i="10"/>
  <c r="DZ48" i="10"/>
  <c r="BQ48" i="10"/>
  <c r="BM49" i="12"/>
  <c r="DU49" i="12" s="1"/>
  <c r="BJ13" i="1"/>
  <c r="BJ12" i="1" s="1"/>
  <c r="BI12" i="1"/>
  <c r="BH27" i="1" s="1"/>
  <c r="DY19" i="10"/>
  <c r="BP19" i="10"/>
  <c r="BL20" i="12"/>
  <c r="DT20" i="12"/>
  <c r="BG38" i="1"/>
  <c r="BG71" i="1"/>
  <c r="BG53" i="1"/>
  <c r="BH54" i="1" s="1"/>
  <c r="BG51" i="1"/>
  <c r="BG20" i="1"/>
  <c r="BG18" i="1"/>
  <c r="BG56" i="1"/>
  <c r="DZ29" i="10"/>
  <c r="BQ29" i="10"/>
  <c r="BM30" i="12"/>
  <c r="DU30" i="12" s="1"/>
  <c r="BG23" i="14"/>
  <c r="EA41" i="10"/>
  <c r="BR41" i="10"/>
  <c r="BN42" i="12"/>
  <c r="DV42" i="12" s="1"/>
  <c r="DZ50" i="10"/>
  <c r="BQ50" i="10"/>
  <c r="BM51" i="12"/>
  <c r="DU51" i="12"/>
  <c r="BG36" i="1"/>
  <c r="BG16" i="1"/>
  <c r="BG55" i="1"/>
  <c r="BG37" i="1"/>
  <c r="BG35" i="1"/>
  <c r="BG60" i="1"/>
  <c r="BG58" i="1"/>
  <c r="BG40" i="1"/>
  <c r="BM29" i="12"/>
  <c r="DU29" i="12" s="1"/>
  <c r="DZ28" i="10"/>
  <c r="BQ28" i="10"/>
  <c r="BG43" i="14"/>
  <c r="DZ26" i="10"/>
  <c r="BQ26" i="10"/>
  <c r="BM27" i="12"/>
  <c r="DU27" i="12" s="1"/>
  <c r="DY13" i="10"/>
  <c r="BP13" i="10"/>
  <c r="BL14" i="12"/>
  <c r="DT14" i="12" s="1"/>
  <c r="BS53" i="10"/>
  <c r="BO54" i="12"/>
  <c r="DW54" i="12" s="1"/>
  <c r="DX54" i="12" s="1"/>
  <c r="DY54" i="12" s="1"/>
  <c r="EB53" i="10"/>
  <c r="BM23" i="12"/>
  <c r="DU23" i="12" s="1"/>
  <c r="DZ22" i="10"/>
  <c r="BQ22" i="10"/>
  <c r="BM53" i="12"/>
  <c r="DU53" i="12"/>
  <c r="DZ52" i="10"/>
  <c r="BQ52" i="10"/>
  <c r="BG19" i="1"/>
  <c r="BH20" i="1" s="1"/>
  <c r="BG54" i="1"/>
  <c r="BG39" i="1"/>
  <c r="BG70" i="1"/>
  <c r="BH71" i="1" s="1"/>
  <c r="BG62" i="1"/>
  <c r="BG44" i="1"/>
  <c r="BG42" i="1"/>
  <c r="BG24" i="1"/>
  <c r="DY16" i="10"/>
  <c r="BP16" i="10"/>
  <c r="BL17" i="12"/>
  <c r="DT17" i="12" s="1"/>
  <c r="DZ35" i="10"/>
  <c r="BQ35" i="10"/>
  <c r="BM36" i="12"/>
  <c r="DU36" i="12" s="1"/>
  <c r="BM32" i="12"/>
  <c r="DU32" i="12" s="1"/>
  <c r="DZ31" i="10"/>
  <c r="BQ31" i="10"/>
  <c r="BN56" i="12"/>
  <c r="DV56" i="12"/>
  <c r="EA55" i="10"/>
  <c r="BR55" i="10"/>
  <c r="BG41" i="14"/>
  <c r="BL13" i="12"/>
  <c r="DT13" i="12"/>
  <c r="DY12" i="10"/>
  <c r="BP12" i="10"/>
  <c r="EA45" i="10"/>
  <c r="BR45" i="10"/>
  <c r="BN46" i="12"/>
  <c r="DV46" i="12" s="1"/>
  <c r="DU39" i="12"/>
  <c r="DZ38" i="10"/>
  <c r="BQ38" i="10"/>
  <c r="BM39" i="12"/>
  <c r="BM25" i="12"/>
  <c r="DU25" i="12" s="1"/>
  <c r="DZ24" i="10"/>
  <c r="BQ24" i="10"/>
  <c r="DU26" i="12"/>
  <c r="DZ25" i="10"/>
  <c r="BQ25" i="10"/>
  <c r="BM26" i="12"/>
  <c r="DY11" i="10"/>
  <c r="BP11" i="10"/>
  <c r="BL12" i="12"/>
  <c r="DT12" i="12" s="1"/>
  <c r="BN48" i="12"/>
  <c r="DV48" i="12"/>
  <c r="EA47" i="10"/>
  <c r="BR47" i="10"/>
  <c r="DY15" i="10"/>
  <c r="BP15" i="10"/>
  <c r="BL16" i="12"/>
  <c r="DT16" i="12" s="1"/>
  <c r="DU34" i="12"/>
  <c r="DZ33" i="10"/>
  <c r="BQ33" i="10"/>
  <c r="BM34" i="12"/>
  <c r="BJ230" i="14"/>
  <c r="O11" i="15"/>
  <c r="O14" i="15"/>
  <c r="O16" i="15"/>
  <c r="O17" i="15"/>
  <c r="BL15" i="12"/>
  <c r="DT15" i="12" s="1"/>
  <c r="DY14" i="10"/>
  <c r="BP14" i="10"/>
  <c r="DZ34" i="10"/>
  <c r="BQ34" i="10"/>
  <c r="BM35" i="12"/>
  <c r="DU35" i="12" s="1"/>
  <c r="BN50" i="12"/>
  <c r="DV50" i="12" s="1"/>
  <c r="EA49" i="10"/>
  <c r="BR49" i="10"/>
  <c r="BG22" i="1"/>
  <c r="BH23" i="1" s="1"/>
  <c r="BG23" i="1"/>
  <c r="BH24" i="1" s="1"/>
  <c r="BG46" i="1"/>
  <c r="BG28" i="1"/>
  <c r="BG26" i="1"/>
  <c r="BG59" i="1"/>
  <c r="DY18" i="10"/>
  <c r="BP18" i="10"/>
  <c r="BL19" i="12"/>
  <c r="DT19" i="12" s="1"/>
  <c r="BG34" i="14"/>
  <c r="BG38" i="14"/>
  <c r="BM38" i="12"/>
  <c r="DU38" i="12"/>
  <c r="DZ37" i="10"/>
  <c r="BQ37" i="10"/>
  <c r="BG15" i="1"/>
  <c r="BG57" i="1"/>
  <c r="BG66" i="1"/>
  <c r="BH67" i="1" s="1"/>
  <c r="BG64" i="1"/>
  <c r="BH65" i="1" s="1"/>
  <c r="BG30" i="1"/>
  <c r="BG63" i="1"/>
  <c r="BH64" i="1" s="1"/>
  <c r="BG61" i="1"/>
  <c r="BG43" i="1"/>
  <c r="BM37" i="12"/>
  <c r="DU37" i="12"/>
  <c r="DZ36" i="10"/>
  <c r="BQ36" i="10"/>
  <c r="BG40" i="14"/>
  <c r="BM41" i="12"/>
  <c r="DU41" i="12"/>
  <c r="DZ40" i="10"/>
  <c r="BQ40" i="10"/>
  <c r="BR59" i="10"/>
  <c r="BN60" i="12"/>
  <c r="DV60" i="12"/>
  <c r="DZ30" i="10"/>
  <c r="BQ30" i="10"/>
  <c r="BM31" i="12"/>
  <c r="DU31" i="12" s="1"/>
  <c r="DU28" i="12"/>
  <c r="DZ27" i="10"/>
  <c r="BQ27" i="10"/>
  <c r="BM28" i="12"/>
  <c r="BG21" i="1"/>
  <c r="BH22" i="1" s="1"/>
  <c r="BG41" i="1"/>
  <c r="BG50" i="1"/>
  <c r="BH51" i="1" s="1"/>
  <c r="BG48" i="1"/>
  <c r="BG65" i="1"/>
  <c r="BG47" i="1"/>
  <c r="BG45" i="1"/>
  <c r="BH46" i="1" s="1"/>
  <c r="BG27" i="1"/>
  <c r="BH77" i="14" l="1"/>
  <c r="BH60" i="14"/>
  <c r="BH73" i="14"/>
  <c r="BH29" i="14"/>
  <c r="BH80" i="14"/>
  <c r="BH31" i="14"/>
  <c r="BH74" i="14"/>
  <c r="BH76" i="14"/>
  <c r="BH33" i="14"/>
  <c r="BH36" i="14"/>
  <c r="BH55" i="14"/>
  <c r="BH32" i="14"/>
  <c r="BH63" i="14"/>
  <c r="BG74" i="14"/>
  <c r="EA50" i="10"/>
  <c r="BR50" i="10"/>
  <c r="BN51" i="12"/>
  <c r="DV51" i="12"/>
  <c r="BG66" i="14"/>
  <c r="BG37" i="14"/>
  <c r="BM17" i="12"/>
  <c r="DU17" i="12"/>
  <c r="DZ16" i="10"/>
  <c r="BQ16" i="10"/>
  <c r="BG48" i="14"/>
  <c r="BM14" i="12"/>
  <c r="DU14" i="12"/>
  <c r="DZ13" i="10"/>
  <c r="BQ13" i="10"/>
  <c r="BG44" i="14"/>
  <c r="BN30" i="12"/>
  <c r="DV30" i="12"/>
  <c r="EA29" i="10"/>
  <c r="BR29" i="10"/>
  <c r="BG80" i="14"/>
  <c r="DV55" i="12"/>
  <c r="EA54" i="10"/>
  <c r="BR54" i="10"/>
  <c r="BN55" i="12"/>
  <c r="BG78" i="14"/>
  <c r="BH41" i="14"/>
  <c r="BH70" i="1"/>
  <c r="BH40" i="1"/>
  <c r="BH23" i="14"/>
  <c r="BH35" i="14"/>
  <c r="BN43" i="12"/>
  <c r="DV43" i="12"/>
  <c r="EA42" i="10"/>
  <c r="BR42" i="10"/>
  <c r="EA22" i="10"/>
  <c r="BR22" i="10"/>
  <c r="BN23" i="12"/>
  <c r="DV23" i="12" s="1"/>
  <c r="EA24" i="10"/>
  <c r="BR24" i="10"/>
  <c r="BN25" i="12"/>
  <c r="DV25" i="12" s="1"/>
  <c r="BG63" i="14"/>
  <c r="EA28" i="10"/>
  <c r="BR28" i="10"/>
  <c r="BN29" i="12"/>
  <c r="DV29" i="12" s="1"/>
  <c r="BG46" i="14"/>
  <c r="BG47" i="14"/>
  <c r="EA56" i="10"/>
  <c r="BR56" i="10"/>
  <c r="BN57" i="12"/>
  <c r="DV57" i="12"/>
  <c r="BG77" i="14"/>
  <c r="BH61" i="14"/>
  <c r="BH39" i="14"/>
  <c r="BH69" i="1"/>
  <c r="BG35" i="14"/>
  <c r="DV32" i="12"/>
  <c r="EA31" i="10"/>
  <c r="BR31" i="10"/>
  <c r="BN32" i="12"/>
  <c r="BJ62" i="1"/>
  <c r="BJ71" i="14" s="1"/>
  <c r="BJ56" i="1"/>
  <c r="BJ65" i="14" s="1"/>
  <c r="BJ45" i="1"/>
  <c r="BJ54" i="14" s="1"/>
  <c r="BJ32" i="1"/>
  <c r="BJ41" i="14" s="1"/>
  <c r="BJ20" i="1"/>
  <c r="BJ29" i="14" s="1"/>
  <c r="BJ30" i="1"/>
  <c r="BJ39" i="14" s="1"/>
  <c r="BJ58" i="1"/>
  <c r="BJ67" i="14" s="1"/>
  <c r="BJ42" i="1"/>
  <c r="BJ51" i="14" s="1"/>
  <c r="BJ18" i="1"/>
  <c r="BJ27" i="14" s="1"/>
  <c r="BJ7" i="1"/>
  <c r="BJ71" i="1"/>
  <c r="BJ80" i="14" s="1"/>
  <c r="BJ59" i="1"/>
  <c r="BJ68" i="14" s="1"/>
  <c r="BJ52" i="1"/>
  <c r="BJ61" i="14" s="1"/>
  <c r="BJ40" i="1"/>
  <c r="BJ49" i="14" s="1"/>
  <c r="BJ72" i="1"/>
  <c r="BJ81" i="14" s="1"/>
  <c r="BJ31" i="1"/>
  <c r="BJ40" i="14" s="1"/>
  <c r="BJ34" i="1"/>
  <c r="BJ43" i="14" s="1"/>
  <c r="BJ70" i="1"/>
  <c r="BJ79" i="14" s="1"/>
  <c r="BJ74" i="1"/>
  <c r="BJ83" i="14" s="1"/>
  <c r="BJ37" i="1"/>
  <c r="BJ46" i="14" s="1"/>
  <c r="BJ24" i="1"/>
  <c r="BJ33" i="14" s="1"/>
  <c r="BJ68" i="1"/>
  <c r="BJ77" i="14" s="1"/>
  <c r="BJ23" i="1"/>
  <c r="BJ32" i="14" s="1"/>
  <c r="BJ51" i="1"/>
  <c r="BJ60" i="14" s="1"/>
  <c r="BJ49" i="1"/>
  <c r="BJ58" i="14" s="1"/>
  <c r="BJ36" i="1"/>
  <c r="BJ45" i="14" s="1"/>
  <c r="BJ21" i="1"/>
  <c r="BJ30" i="14" s="1"/>
  <c r="BJ55" i="1"/>
  <c r="BJ64" i="14" s="1"/>
  <c r="BJ22" i="1"/>
  <c r="BJ31" i="14" s="1"/>
  <c r="BJ27" i="1"/>
  <c r="BJ36" i="14" s="1"/>
  <c r="BJ73" i="1"/>
  <c r="BJ82" i="14" s="1"/>
  <c r="BJ64" i="1"/>
  <c r="BJ73" i="14" s="1"/>
  <c r="BJ48" i="1"/>
  <c r="BJ57" i="14" s="1"/>
  <c r="BJ33" i="1"/>
  <c r="BJ42" i="14" s="1"/>
  <c r="BJ17" i="1"/>
  <c r="BJ26" i="14" s="1"/>
  <c r="BJ54" i="1"/>
  <c r="BJ63" i="14" s="1"/>
  <c r="BJ15" i="1"/>
  <c r="BJ24" i="14" s="1"/>
  <c r="BJ50" i="1"/>
  <c r="BJ59" i="14" s="1"/>
  <c r="BJ67" i="1"/>
  <c r="BJ76" i="14" s="1"/>
  <c r="BJ61" i="1"/>
  <c r="BJ70" i="14" s="1"/>
  <c r="BJ29" i="1"/>
  <c r="BJ38" i="14" s="1"/>
  <c r="BJ47" i="1"/>
  <c r="BJ56" i="14" s="1"/>
  <c r="BJ69" i="1"/>
  <c r="BJ78" i="14" s="1"/>
  <c r="BJ26" i="1"/>
  <c r="BJ35" i="14" s="1"/>
  <c r="BJ66" i="1"/>
  <c r="BJ75" i="14" s="1"/>
  <c r="BJ57" i="1"/>
  <c r="BJ66" i="14" s="1"/>
  <c r="BJ44" i="1"/>
  <c r="BJ53" i="14" s="1"/>
  <c r="BJ16" i="1"/>
  <c r="BJ25" i="14" s="1"/>
  <c r="BJ46" i="1"/>
  <c r="BJ55" i="14" s="1"/>
  <c r="BJ65" i="1"/>
  <c r="BJ74" i="14" s="1"/>
  <c r="BJ43" i="1"/>
  <c r="BJ52" i="14" s="1"/>
  <c r="BJ19" i="1"/>
  <c r="BJ28" i="14" s="1"/>
  <c r="BJ63" i="1"/>
  <c r="BJ72" i="14" s="1"/>
  <c r="BJ28" i="1"/>
  <c r="BJ37" i="14" s="1"/>
  <c r="BJ14" i="1"/>
  <c r="BJ23" i="14" s="1"/>
  <c r="BJ39" i="1"/>
  <c r="BJ48" i="14" s="1"/>
  <c r="BJ53" i="1"/>
  <c r="BJ62" i="14" s="1"/>
  <c r="BJ41" i="1"/>
  <c r="BJ50" i="14" s="1"/>
  <c r="BJ25" i="1"/>
  <c r="BJ34" i="14" s="1"/>
  <c r="BJ38" i="1"/>
  <c r="BJ47" i="14" s="1"/>
  <c r="BJ60" i="1"/>
  <c r="BJ69" i="14" s="1"/>
  <c r="BJ35" i="1"/>
  <c r="BJ44" i="14" s="1"/>
  <c r="BH26" i="14"/>
  <c r="BG64" i="14"/>
  <c r="EB41" i="10"/>
  <c r="BO42" i="12"/>
  <c r="DW42" i="12"/>
  <c r="BS41" i="10"/>
  <c r="BN49" i="12"/>
  <c r="DV49" i="12"/>
  <c r="EA48" i="10"/>
  <c r="BR48" i="10"/>
  <c r="BG61" i="14"/>
  <c r="BH43" i="14"/>
  <c r="BH72" i="14"/>
  <c r="BH28" i="14"/>
  <c r="BH58" i="1"/>
  <c r="BH68" i="14"/>
  <c r="BH72" i="1"/>
  <c r="BO60" i="12"/>
  <c r="DW60" i="12"/>
  <c r="BS59" i="10"/>
  <c r="EB59" i="10" s="1"/>
  <c r="BG69" i="14"/>
  <c r="BH44" i="14"/>
  <c r="BG55" i="14"/>
  <c r="BN35" i="12"/>
  <c r="DV35" i="12" s="1"/>
  <c r="EA34" i="10"/>
  <c r="BR34" i="10"/>
  <c r="EA37" i="10"/>
  <c r="BR37" i="10"/>
  <c r="BN38" i="12"/>
  <c r="DV38" i="12" s="1"/>
  <c r="BG28" i="14"/>
  <c r="BG30" i="14"/>
  <c r="BG70" i="14"/>
  <c r="BM19" i="12"/>
  <c r="DU19" i="12"/>
  <c r="DZ18" i="10"/>
  <c r="BQ18" i="10"/>
  <c r="BG31" i="14"/>
  <c r="EB45" i="10"/>
  <c r="BO46" i="12"/>
  <c r="DW46" i="12" s="1"/>
  <c r="DX46" i="12" s="1"/>
  <c r="DY46" i="12" s="1"/>
  <c r="BS45" i="10"/>
  <c r="BS55" i="10"/>
  <c r="BO56" i="12"/>
  <c r="DW56" i="12" s="1"/>
  <c r="DX56" i="12" s="1"/>
  <c r="DY56" i="12" s="1"/>
  <c r="EB55" i="10"/>
  <c r="BG33" i="14"/>
  <c r="EA52" i="10"/>
  <c r="BR52" i="10"/>
  <c r="BN53" i="12"/>
  <c r="DV53" i="12" s="1"/>
  <c r="BG25" i="14"/>
  <c r="BG65" i="14"/>
  <c r="BH56" i="1"/>
  <c r="BH44" i="1"/>
  <c r="BH53" i="1"/>
  <c r="BH41" i="1"/>
  <c r="BH61" i="1"/>
  <c r="BH28" i="1"/>
  <c r="BH47" i="1"/>
  <c r="BG79" i="14"/>
  <c r="BH25" i="14"/>
  <c r="BH47" i="14"/>
  <c r="BG57" i="14"/>
  <c r="EA40" i="10"/>
  <c r="BR40" i="10"/>
  <c r="BN41" i="12"/>
  <c r="DV41" i="12" s="1"/>
  <c r="BN31" i="12"/>
  <c r="DV31" i="12"/>
  <c r="EA30" i="10"/>
  <c r="BR30" i="10"/>
  <c r="BG52" i="14"/>
  <c r="BM12" i="12"/>
  <c r="DU12" i="12" s="1"/>
  <c r="DZ11" i="10"/>
  <c r="BQ11" i="10"/>
  <c r="BG72" i="14"/>
  <c r="BO50" i="12"/>
  <c r="DW50" i="12"/>
  <c r="EB49" i="10"/>
  <c r="BS49" i="10"/>
  <c r="BN36" i="12"/>
  <c r="DV36" i="12"/>
  <c r="EA35" i="10"/>
  <c r="BR35" i="10"/>
  <c r="BG51" i="14"/>
  <c r="BG45" i="14"/>
  <c r="BG27" i="14"/>
  <c r="DZ19" i="10"/>
  <c r="BM20" i="12"/>
  <c r="DU20" i="12" s="1"/>
  <c r="BQ19" i="10"/>
  <c r="DZ17" i="10"/>
  <c r="BQ17" i="10"/>
  <c r="BM18" i="12"/>
  <c r="DU18" i="12" s="1"/>
  <c r="EA23" i="10"/>
  <c r="BR23" i="10"/>
  <c r="BN24" i="12"/>
  <c r="DV24" i="12" s="1"/>
  <c r="EA32" i="10"/>
  <c r="BR32" i="10"/>
  <c r="BN33" i="12"/>
  <c r="DV33" i="12" s="1"/>
  <c r="BN45" i="12"/>
  <c r="DV45" i="12"/>
  <c r="EA44" i="10"/>
  <c r="BR44" i="10"/>
  <c r="BH36" i="1"/>
  <c r="BH43" i="1"/>
  <c r="BH49" i="1"/>
  <c r="BH37" i="1"/>
  <c r="EB39" i="10"/>
  <c r="BO40" i="12"/>
  <c r="DW40" i="12" s="1"/>
  <c r="DX40" i="12" s="1"/>
  <c r="DY40" i="12" s="1"/>
  <c r="BS39" i="10"/>
  <c r="BG75" i="14"/>
  <c r="BG76" i="14"/>
  <c r="BH59" i="14"/>
  <c r="BG59" i="14"/>
  <c r="BG50" i="14"/>
  <c r="BM16" i="12"/>
  <c r="DU16" i="12"/>
  <c r="DZ15" i="10"/>
  <c r="BQ15" i="10"/>
  <c r="BG36" i="14"/>
  <c r="EA59" i="10"/>
  <c r="DU15" i="12"/>
  <c r="DZ14" i="10"/>
  <c r="BQ14" i="10"/>
  <c r="BM15" i="12"/>
  <c r="BG39" i="14"/>
  <c r="BO48" i="12"/>
  <c r="DW48" i="12"/>
  <c r="DX48" i="12" s="1"/>
  <c r="DY48" i="12" s="1"/>
  <c r="BS47" i="10"/>
  <c r="EB47" i="10"/>
  <c r="DU13" i="12"/>
  <c r="DZ12" i="10"/>
  <c r="BQ12" i="10"/>
  <c r="BM13" i="12"/>
  <c r="BG53" i="14"/>
  <c r="EA26" i="10"/>
  <c r="BN27" i="12"/>
  <c r="DV27" i="12"/>
  <c r="BR26" i="10"/>
  <c r="BG49" i="14"/>
  <c r="BG29" i="14"/>
  <c r="BH57" i="1"/>
  <c r="BH55" i="1"/>
  <c r="BH42" i="14"/>
  <c r="BH31" i="1"/>
  <c r="BH15" i="1"/>
  <c r="BH39" i="1"/>
  <c r="BI40" i="1" s="1"/>
  <c r="BH66" i="1"/>
  <c r="DX58" i="12"/>
  <c r="DY58" i="12" s="1"/>
  <c r="BR21" i="10"/>
  <c r="BN22" i="12"/>
  <c r="DV22" i="12" s="1"/>
  <c r="EA21" i="10"/>
  <c r="EA46" i="10"/>
  <c r="BR46" i="10"/>
  <c r="BN47" i="12"/>
  <c r="DV47" i="12"/>
  <c r="BG62" i="14"/>
  <c r="BH51" i="14"/>
  <c r="EA20" i="10"/>
  <c r="BR20" i="10"/>
  <c r="BN21" i="12"/>
  <c r="DV21" i="12" s="1"/>
  <c r="BG24" i="14"/>
  <c r="BG32" i="14"/>
  <c r="BG54" i="14"/>
  <c r="BN28" i="12"/>
  <c r="DV28" i="12"/>
  <c r="EA27" i="10"/>
  <c r="BR27" i="10"/>
  <c r="BG56" i="14"/>
  <c r="EA36" i="10"/>
  <c r="BR36" i="10"/>
  <c r="BN37" i="12"/>
  <c r="DV37" i="12" s="1"/>
  <c r="BG73" i="14"/>
  <c r="BG68" i="14"/>
  <c r="BN34" i="12"/>
  <c r="DV34" i="12"/>
  <c r="EA33" i="10"/>
  <c r="BR33" i="10"/>
  <c r="BN26" i="12"/>
  <c r="DV26" i="12"/>
  <c r="EA25" i="10"/>
  <c r="BR25" i="10"/>
  <c r="BN39" i="12"/>
  <c r="DV39" i="12"/>
  <c r="EA38" i="10"/>
  <c r="BR38" i="10"/>
  <c r="BG71" i="14"/>
  <c r="BG67" i="14"/>
  <c r="BG60" i="14"/>
  <c r="BI24" i="1"/>
  <c r="BI32" i="1"/>
  <c r="BI48" i="1"/>
  <c r="BI64" i="1"/>
  <c r="BI72" i="1"/>
  <c r="BI27" i="1"/>
  <c r="BI35" i="1"/>
  <c r="BI43" i="1"/>
  <c r="BI51" i="1"/>
  <c r="BI59" i="1"/>
  <c r="BI34" i="1"/>
  <c r="BI42" i="1"/>
  <c r="BI50" i="1"/>
  <c r="BI58" i="1"/>
  <c r="BI66" i="1"/>
  <c r="BI20" i="1"/>
  <c r="BI29" i="1"/>
  <c r="BI37" i="1"/>
  <c r="BI45" i="1"/>
  <c r="BI57" i="1"/>
  <c r="BI15" i="1"/>
  <c r="BI73" i="1"/>
  <c r="BI28" i="1"/>
  <c r="BI60" i="1"/>
  <c r="BI70" i="1"/>
  <c r="BI39" i="1"/>
  <c r="BI7" i="1"/>
  <c r="BI69" i="1"/>
  <c r="BI16" i="1"/>
  <c r="BI52" i="1"/>
  <c r="BI31" i="1"/>
  <c r="BI61" i="1"/>
  <c r="BI17" i="1"/>
  <c r="BI8" i="1"/>
  <c r="BI53" i="1"/>
  <c r="BI71" i="1"/>
  <c r="BI9" i="1"/>
  <c r="BI22" i="1"/>
  <c r="BI44" i="1"/>
  <c r="BI54" i="1"/>
  <c r="BI23" i="1"/>
  <c r="BI33" i="1"/>
  <c r="BI18" i="1"/>
  <c r="BI55" i="1"/>
  <c r="BI21" i="1"/>
  <c r="BI36" i="1"/>
  <c r="BI68" i="1"/>
  <c r="BI25" i="1"/>
  <c r="BI47" i="1"/>
  <c r="BI65" i="1"/>
  <c r="BI74" i="1"/>
  <c r="BI83" i="14" s="1"/>
  <c r="BI14" i="1"/>
  <c r="BG42" i="14"/>
  <c r="BH25" i="1"/>
  <c r="BH45" i="1"/>
  <c r="BH62" i="1"/>
  <c r="BH21" i="1"/>
  <c r="BH60" i="1"/>
  <c r="BH29" i="1"/>
  <c r="BH48" i="1"/>
  <c r="BH18" i="1"/>
  <c r="BI19" i="1" s="1"/>
  <c r="BI28" i="14" l="1"/>
  <c r="BI87" i="1"/>
  <c r="BI49" i="14"/>
  <c r="BI108" i="1"/>
  <c r="BI25" i="14"/>
  <c r="BI84" i="1"/>
  <c r="EA14" i="10"/>
  <c r="BN15" i="12"/>
  <c r="DV15" i="12"/>
  <c r="BR14" i="10"/>
  <c r="BN17" i="12"/>
  <c r="DV17" i="12" s="1"/>
  <c r="EA16" i="10"/>
  <c r="BR16" i="10"/>
  <c r="BH34" i="14"/>
  <c r="BI77" i="14"/>
  <c r="BI136" i="1"/>
  <c r="BH136" i="1" s="1"/>
  <c r="BI32" i="14"/>
  <c r="BI91" i="1"/>
  <c r="BI26" i="14"/>
  <c r="BI85" i="1"/>
  <c r="BI78" i="14"/>
  <c r="BI137" i="1"/>
  <c r="BI82" i="14"/>
  <c r="BI141" i="1"/>
  <c r="BI75" i="14"/>
  <c r="BI134" i="1"/>
  <c r="BI60" i="14"/>
  <c r="BI119" i="1"/>
  <c r="BO22" i="12"/>
  <c r="DW22" i="12" s="1"/>
  <c r="DX22" i="12" s="1"/>
  <c r="DY22" i="12" s="1"/>
  <c r="BS21" i="10"/>
  <c r="EB21" i="10"/>
  <c r="BH64" i="14"/>
  <c r="BH58" i="14"/>
  <c r="EB32" i="10"/>
  <c r="BO33" i="12"/>
  <c r="DW33" i="12"/>
  <c r="BS32" i="10"/>
  <c r="EA17" i="10"/>
  <c r="BN18" i="12"/>
  <c r="DV18" i="12" s="1"/>
  <c r="BR17" i="10"/>
  <c r="BH50" i="14"/>
  <c r="BN19" i="12"/>
  <c r="DV19" i="12" s="1"/>
  <c r="EA18" i="10"/>
  <c r="BR18" i="10"/>
  <c r="BO49" i="12"/>
  <c r="DW49" i="12"/>
  <c r="DX49" i="12" s="1"/>
  <c r="DY49" i="12" s="1"/>
  <c r="BS48" i="10"/>
  <c r="EB48" i="10"/>
  <c r="EB24" i="10"/>
  <c r="BO25" i="12"/>
  <c r="DW25" i="12" s="1"/>
  <c r="DX25" i="12" s="1"/>
  <c r="DY25" i="12" s="1"/>
  <c r="BS24" i="10"/>
  <c r="BH79" i="14"/>
  <c r="BI41" i="14"/>
  <c r="BI100" i="1"/>
  <c r="DW39" i="12"/>
  <c r="BS38" i="10"/>
  <c r="BO39" i="12"/>
  <c r="EB38" i="10"/>
  <c r="BS33" i="10"/>
  <c r="BO34" i="12"/>
  <c r="DW34" i="12" s="1"/>
  <c r="DX34" i="12" s="1"/>
  <c r="DY34" i="12" s="1"/>
  <c r="EB33" i="10"/>
  <c r="BH66" i="14"/>
  <c r="BH52" i="14"/>
  <c r="BH62" i="14"/>
  <c r="EB52" i="10"/>
  <c r="BO53" i="12"/>
  <c r="DW53" i="12"/>
  <c r="BS52" i="10"/>
  <c r="C17" i="15"/>
  <c r="C12" i="15"/>
  <c r="C11" i="15"/>
  <c r="C16" i="15"/>
  <c r="C14" i="15"/>
  <c r="C13" i="15"/>
  <c r="C15" i="15"/>
  <c r="DV14" i="12"/>
  <c r="BN14" i="12"/>
  <c r="EA13" i="10"/>
  <c r="BR13" i="10"/>
  <c r="EB50" i="10"/>
  <c r="BO51" i="12"/>
  <c r="DW51" i="12" s="1"/>
  <c r="DX51" i="12" s="1"/>
  <c r="DY51" i="12" s="1"/>
  <c r="BS50" i="10"/>
  <c r="BH54" i="14"/>
  <c r="BI29" i="14"/>
  <c r="BI88" i="1"/>
  <c r="BN12" i="12"/>
  <c r="DV12" i="12" s="1"/>
  <c r="EA11" i="10"/>
  <c r="BR11" i="10"/>
  <c r="BI67" i="14"/>
  <c r="BI126" i="1"/>
  <c r="BI59" i="14"/>
  <c r="BI118" i="1"/>
  <c r="BH118" i="1" s="1"/>
  <c r="BI33" i="14"/>
  <c r="BI92" i="1"/>
  <c r="BH92" i="1" s="1"/>
  <c r="EB36" i="10"/>
  <c r="BO37" i="12"/>
  <c r="DW37" i="12" s="1"/>
  <c r="DX37" i="12" s="1"/>
  <c r="DY37" i="12" s="1"/>
  <c r="BS36" i="10"/>
  <c r="EB20" i="10"/>
  <c r="BO21" i="12"/>
  <c r="DW21" i="12"/>
  <c r="DX21" i="12" s="1"/>
  <c r="DY21" i="12" s="1"/>
  <c r="BS20" i="10"/>
  <c r="BH75" i="14"/>
  <c r="BH45" i="14"/>
  <c r="EB40" i="10"/>
  <c r="BO41" i="12"/>
  <c r="DW41" i="12"/>
  <c r="DX41" i="12" s="1"/>
  <c r="DY41" i="12" s="1"/>
  <c r="BS40" i="10"/>
  <c r="BH53" i="14"/>
  <c r="DX60" i="12"/>
  <c r="DY60" i="12" s="1"/>
  <c r="BH78" i="14"/>
  <c r="EB28" i="10"/>
  <c r="BO29" i="12"/>
  <c r="DW29" i="12"/>
  <c r="DX29" i="12" s="1"/>
  <c r="DY29" i="12" s="1"/>
  <c r="BS28" i="10"/>
  <c r="BI42" i="14"/>
  <c r="BI101" i="1"/>
  <c r="BI57" i="14"/>
  <c r="BI116" i="1"/>
  <c r="BH70" i="14"/>
  <c r="BI63" i="14"/>
  <c r="BI122" i="1"/>
  <c r="BH57" i="14"/>
  <c r="BI44" i="14"/>
  <c r="BI103" i="1"/>
  <c r="BI31" i="14"/>
  <c r="BI90" i="1"/>
  <c r="BH90" i="1" s="1"/>
  <c r="BI48" i="14"/>
  <c r="BI107" i="1"/>
  <c r="BI66" i="14"/>
  <c r="BI125" i="1"/>
  <c r="BH125" i="1" s="1"/>
  <c r="BI51" i="14"/>
  <c r="BI110" i="1"/>
  <c r="BH110" i="1" s="1"/>
  <c r="BI36" i="14"/>
  <c r="BI95" i="1"/>
  <c r="EB46" i="10"/>
  <c r="BO47" i="12"/>
  <c r="DW47" i="12"/>
  <c r="BS46" i="10"/>
  <c r="BH48" i="14"/>
  <c r="BH107" i="1"/>
  <c r="BO45" i="12"/>
  <c r="DW45" i="12"/>
  <c r="EB44" i="10"/>
  <c r="BS44" i="10"/>
  <c r="EA19" i="10"/>
  <c r="BN20" i="12"/>
  <c r="DV20" i="12" s="1"/>
  <c r="BR19" i="10"/>
  <c r="DX50" i="12"/>
  <c r="DY50" i="12" s="1"/>
  <c r="BH65" i="14"/>
  <c r="EB37" i="10"/>
  <c r="BO38" i="12"/>
  <c r="DW38" i="12"/>
  <c r="DX38" i="12" s="1"/>
  <c r="DY38" i="12" s="1"/>
  <c r="BS37" i="10"/>
  <c r="EB56" i="10"/>
  <c r="BO57" i="12"/>
  <c r="DW57" i="12"/>
  <c r="DX57" i="12" s="1"/>
  <c r="DY57" i="12" s="1"/>
  <c r="BS56" i="10"/>
  <c r="BS29" i="10"/>
  <c r="BO30" i="12"/>
  <c r="DW30" i="12" s="1"/>
  <c r="DX30" i="12" s="1"/>
  <c r="DY30" i="12" s="1"/>
  <c r="EB29" i="10"/>
  <c r="BI34" i="14"/>
  <c r="BI93" i="1"/>
  <c r="BI68" i="14"/>
  <c r="BI127" i="1"/>
  <c r="BS27" i="10"/>
  <c r="BO28" i="12"/>
  <c r="DW28" i="12" s="1"/>
  <c r="DX28" i="12" s="1"/>
  <c r="DY28" i="12" s="1"/>
  <c r="EB27" i="10"/>
  <c r="BH49" i="14"/>
  <c r="BI70" i="14"/>
  <c r="BI129" i="1"/>
  <c r="BI45" i="14"/>
  <c r="BI104" i="1"/>
  <c r="BH104" i="1" s="1"/>
  <c r="BI23" i="14"/>
  <c r="BI82" i="1"/>
  <c r="BH69" i="14"/>
  <c r="BI64" i="14"/>
  <c r="BI123" i="1"/>
  <c r="BI62" i="1"/>
  <c r="BI79" i="14"/>
  <c r="BI138" i="1"/>
  <c r="BH137" i="1" s="1"/>
  <c r="BI54" i="14"/>
  <c r="BI113" i="1"/>
  <c r="BI43" i="14"/>
  <c r="BI102" i="1"/>
  <c r="BH102" i="1" s="1"/>
  <c r="BI81" i="14"/>
  <c r="BI140" i="1"/>
  <c r="BH24" i="14"/>
  <c r="BH83" i="1"/>
  <c r="EB23" i="10"/>
  <c r="BO24" i="12"/>
  <c r="DW24" i="12"/>
  <c r="DX24" i="12" s="1"/>
  <c r="DY24" i="12" s="1"/>
  <c r="BS23" i="10"/>
  <c r="BH81" i="14"/>
  <c r="BH140" i="1"/>
  <c r="EB22" i="10"/>
  <c r="BO23" i="12"/>
  <c r="DW23" i="12" s="1"/>
  <c r="DX23" i="12" s="1"/>
  <c r="DY23" i="12" s="1"/>
  <c r="BS22" i="10"/>
  <c r="BI37" i="14"/>
  <c r="BI96" i="1"/>
  <c r="BH96" i="1" s="1"/>
  <c r="BH67" i="14"/>
  <c r="BH27" i="14"/>
  <c r="BH86" i="1"/>
  <c r="BI24" i="14"/>
  <c r="BI83" i="1"/>
  <c r="BI53" i="14"/>
  <c r="BI112" i="1"/>
  <c r="BH112" i="1" s="1"/>
  <c r="BI49" i="1"/>
  <c r="BI30" i="14"/>
  <c r="BI89" i="1"/>
  <c r="BI74" i="14"/>
  <c r="BI133" i="1"/>
  <c r="BH133" i="1" s="1"/>
  <c r="BI80" i="14"/>
  <c r="BI139" i="1"/>
  <c r="BH139" i="1" s="1"/>
  <c r="BG139" i="1" s="1"/>
  <c r="BI69" i="14"/>
  <c r="BI128" i="1"/>
  <c r="BH128" i="1" s="1"/>
  <c r="BI73" i="14"/>
  <c r="BI132" i="1"/>
  <c r="BH132" i="1" s="1"/>
  <c r="BG132" i="1" s="1"/>
  <c r="BH40" i="14"/>
  <c r="EA12" i="10"/>
  <c r="BN13" i="12"/>
  <c r="DV13" i="12"/>
  <c r="BR12" i="10"/>
  <c r="BN16" i="12"/>
  <c r="DV16" i="12" s="1"/>
  <c r="EA15" i="10"/>
  <c r="BR15" i="10"/>
  <c r="BS35" i="10"/>
  <c r="BO36" i="12"/>
  <c r="DW36" i="12" s="1"/>
  <c r="DX36" i="12" s="1"/>
  <c r="DY36" i="12" s="1"/>
  <c r="EB35" i="10"/>
  <c r="BS30" i="10"/>
  <c r="BO31" i="12"/>
  <c r="DW31" i="12" s="1"/>
  <c r="DX31" i="12" s="1"/>
  <c r="DY31" i="12" s="1"/>
  <c r="EB30" i="10"/>
  <c r="BH56" i="14"/>
  <c r="BH115" i="1"/>
  <c r="DX42" i="12"/>
  <c r="DY42" i="12" s="1"/>
  <c r="EB31" i="10"/>
  <c r="BO32" i="12"/>
  <c r="DW32" i="12"/>
  <c r="BS31" i="10"/>
  <c r="BH46" i="14"/>
  <c r="BS42" i="10"/>
  <c r="BO43" i="12"/>
  <c r="DW43" i="12" s="1"/>
  <c r="DX43" i="12" s="1"/>
  <c r="DY43" i="12" s="1"/>
  <c r="EB42" i="10"/>
  <c r="BI46" i="1"/>
  <c r="BI52" i="14"/>
  <c r="BI111" i="1"/>
  <c r="BH111" i="1" s="1"/>
  <c r="BI41" i="1"/>
  <c r="BH38" i="14"/>
  <c r="BI40" i="14"/>
  <c r="BI99" i="1"/>
  <c r="BH99" i="1" s="1"/>
  <c r="BH30" i="14"/>
  <c r="BH89" i="1"/>
  <c r="BG89" i="1" s="1"/>
  <c r="BI27" i="14"/>
  <c r="BI86" i="1"/>
  <c r="BI61" i="14"/>
  <c r="BI120" i="1"/>
  <c r="BH120" i="1" s="1"/>
  <c r="BI46" i="14"/>
  <c r="BI105" i="1"/>
  <c r="BI26" i="1"/>
  <c r="DW26" i="12"/>
  <c r="DX26" i="12" s="1"/>
  <c r="DY26" i="12" s="1"/>
  <c r="BS25" i="10"/>
  <c r="BO26" i="12"/>
  <c r="EB25" i="10"/>
  <c r="BH71" i="14"/>
  <c r="BI56" i="14"/>
  <c r="BI115" i="1"/>
  <c r="BI63" i="1"/>
  <c r="BI62" i="14"/>
  <c r="BI121" i="1"/>
  <c r="BH121" i="1" s="1"/>
  <c r="BI30" i="1"/>
  <c r="BI38" i="1"/>
  <c r="BI38" i="14"/>
  <c r="BI97" i="1"/>
  <c r="BI67" i="1"/>
  <c r="BI56" i="1"/>
  <c r="BS26" i="10"/>
  <c r="BO27" i="12"/>
  <c r="DW27" i="12" s="1"/>
  <c r="DX27" i="12" s="1"/>
  <c r="DY27" i="12" s="1"/>
  <c r="EB26" i="10"/>
  <c r="BH37" i="14"/>
  <c r="DW35" i="12"/>
  <c r="DX35" i="12" s="1"/>
  <c r="DY35" i="12" s="1"/>
  <c r="BS34" i="10"/>
  <c r="BO35" i="12"/>
  <c r="EB34" i="10"/>
  <c r="EB54" i="10"/>
  <c r="BO55" i="12"/>
  <c r="DW55" i="12"/>
  <c r="DX55" i="12" s="1"/>
  <c r="DY55" i="12" s="1"/>
  <c r="BS54" i="10"/>
  <c r="BG111" i="1" l="1"/>
  <c r="BG137" i="1"/>
  <c r="BF137" i="1" s="1"/>
  <c r="BE137" i="1" s="1"/>
  <c r="BI58" i="14"/>
  <c r="BI117" i="1"/>
  <c r="BG120" i="1"/>
  <c r="DX45" i="12"/>
  <c r="DY45" i="12" s="1"/>
  <c r="BH95" i="1"/>
  <c r="BG95" i="1" s="1"/>
  <c r="BH138" i="1"/>
  <c r="BG138" i="1" s="1"/>
  <c r="BF138" i="1" s="1"/>
  <c r="BO18" i="12"/>
  <c r="DW18" i="12" s="1"/>
  <c r="DX18" i="12" s="1"/>
  <c r="DY18" i="12" s="1"/>
  <c r="BS17" i="10"/>
  <c r="EB17" i="10"/>
  <c r="BH119" i="1"/>
  <c r="BG119" i="1" s="1"/>
  <c r="BH85" i="1"/>
  <c r="BG85" i="1" s="1"/>
  <c r="BO17" i="12"/>
  <c r="BS16" i="10"/>
  <c r="DW17" i="12"/>
  <c r="DX17" i="12" s="1"/>
  <c r="DY17" i="12" s="1"/>
  <c r="EB16" i="10"/>
  <c r="BH84" i="1"/>
  <c r="BG84" i="1" s="1"/>
  <c r="BF84" i="1" s="1"/>
  <c r="BG118" i="1"/>
  <c r="BF118" i="1" s="1"/>
  <c r="BH88" i="1"/>
  <c r="BG88" i="1" s="1"/>
  <c r="BF88" i="1" s="1"/>
  <c r="BO14" i="12"/>
  <c r="BS13" i="10"/>
  <c r="DW14" i="12"/>
  <c r="EB13" i="10"/>
  <c r="BH127" i="1"/>
  <c r="BG127" i="1" s="1"/>
  <c r="BI39" i="14"/>
  <c r="BI98" i="1"/>
  <c r="BI50" i="14"/>
  <c r="BI109" i="1"/>
  <c r="BO20" i="12"/>
  <c r="EB19" i="10"/>
  <c r="BS19" i="10"/>
  <c r="DW20" i="12"/>
  <c r="DX20" i="12" s="1"/>
  <c r="DY20" i="12" s="1"/>
  <c r="BG110" i="1"/>
  <c r="BF110" i="1" s="1"/>
  <c r="BH103" i="1"/>
  <c r="BG103" i="1" s="1"/>
  <c r="BO19" i="12"/>
  <c r="DW19" i="12" s="1"/>
  <c r="DX19" i="12" s="1"/>
  <c r="DY19" i="12" s="1"/>
  <c r="BS18" i="10"/>
  <c r="EB18" i="10"/>
  <c r="BH91" i="1"/>
  <c r="BG91" i="1" s="1"/>
  <c r="BO16" i="12"/>
  <c r="DW16" i="12" s="1"/>
  <c r="DX16" i="12" s="1"/>
  <c r="DY16" i="12" s="1"/>
  <c r="BS15" i="10"/>
  <c r="EB15" i="10"/>
  <c r="BH82" i="1"/>
  <c r="BG82" i="1" s="1"/>
  <c r="BF82" i="1" s="1"/>
  <c r="BE82" i="1" s="1"/>
  <c r="BD82" i="1" s="1"/>
  <c r="BG86" i="1"/>
  <c r="BF86" i="1" s="1"/>
  <c r="BE86" i="1" s="1"/>
  <c r="BD86" i="1" s="1"/>
  <c r="BG83" i="1"/>
  <c r="BF83" i="1" s="1"/>
  <c r="BE83" i="1" s="1"/>
  <c r="BH101" i="1"/>
  <c r="BG101" i="1" s="1"/>
  <c r="BG136" i="1"/>
  <c r="BF136" i="1" s="1"/>
  <c r="BE136" i="1" s="1"/>
  <c r="BD136" i="1" s="1"/>
  <c r="EB14" i="10"/>
  <c r="BO15" i="12"/>
  <c r="DW15" i="12" s="1"/>
  <c r="DX15" i="12" s="1"/>
  <c r="DY15" i="12" s="1"/>
  <c r="BS14" i="10"/>
  <c r="BO13" i="12"/>
  <c r="DW13" i="12" s="1"/>
  <c r="DX13" i="12" s="1"/>
  <c r="DY13" i="12" s="1"/>
  <c r="BS12" i="10"/>
  <c r="EB12" i="10"/>
  <c r="BI65" i="14"/>
  <c r="BI124" i="1"/>
  <c r="BH124" i="1" s="1"/>
  <c r="BG124" i="1" s="1"/>
  <c r="BI76" i="14"/>
  <c r="BI135" i="1"/>
  <c r="BI35" i="14"/>
  <c r="BI94" i="1"/>
  <c r="BH94" i="1" s="1"/>
  <c r="BG94" i="1" s="1"/>
  <c r="BF94" i="1" s="1"/>
  <c r="BI55" i="14"/>
  <c r="BI114" i="1"/>
  <c r="BH114" i="1" s="1"/>
  <c r="BG114" i="1" s="1"/>
  <c r="DX47" i="12"/>
  <c r="DY47" i="12" s="1"/>
  <c r="BO12" i="12"/>
  <c r="DW12" i="12"/>
  <c r="DX12" i="12" s="1"/>
  <c r="DY12" i="12" s="1"/>
  <c r="EB11" i="10"/>
  <c r="BS11" i="10"/>
  <c r="DX53" i="12"/>
  <c r="DY53" i="12" s="1"/>
  <c r="DX39" i="12"/>
  <c r="DY39" i="12" s="1"/>
  <c r="DX33" i="12"/>
  <c r="DY33" i="12" s="1"/>
  <c r="BH87" i="1"/>
  <c r="BG87" i="1" s="1"/>
  <c r="BF87" i="1" s="1"/>
  <c r="BE87" i="1" s="1"/>
  <c r="BI47" i="14"/>
  <c r="BI106" i="1"/>
  <c r="BI72" i="14"/>
  <c r="BI131" i="1"/>
  <c r="BH131" i="1" s="1"/>
  <c r="BG131" i="1" s="1"/>
  <c r="BF131" i="1" s="1"/>
  <c r="DX32" i="12"/>
  <c r="DY32" i="12" s="1"/>
  <c r="BH126" i="1"/>
  <c r="BG126" i="1" s="1"/>
  <c r="BF126" i="1" s="1"/>
  <c r="BI71" i="14"/>
  <c r="BI130" i="1"/>
  <c r="BH130" i="1" s="1"/>
  <c r="BG130" i="1" s="1"/>
  <c r="BF130" i="1" s="1"/>
  <c r="BE130" i="1" s="1"/>
  <c r="BH122" i="1"/>
  <c r="BH100" i="1"/>
  <c r="BG100" i="1" s="1"/>
  <c r="BF100" i="1" s="1"/>
  <c r="BH106" i="1" l="1"/>
  <c r="BG106" i="1" s="1"/>
  <c r="BH105" i="1"/>
  <c r="BH129" i="1"/>
  <c r="BH116" i="1"/>
  <c r="BH117" i="1"/>
  <c r="BG117" i="1" s="1"/>
  <c r="BF117" i="1" s="1"/>
  <c r="BE117" i="1" s="1"/>
  <c r="BG121" i="1"/>
  <c r="BF120" i="1" s="1"/>
  <c r="BG102" i="1"/>
  <c r="BF102" i="1" s="1"/>
  <c r="BH98" i="1"/>
  <c r="BG98" i="1" s="1"/>
  <c r="BH97" i="1"/>
  <c r="BH123" i="1"/>
  <c r="BG123" i="1" s="1"/>
  <c r="BF123" i="1" s="1"/>
  <c r="DX14" i="12"/>
  <c r="DY14" i="12" s="1"/>
  <c r="BG99" i="1"/>
  <c r="BF99" i="1" s="1"/>
  <c r="BE99" i="1" s="1"/>
  <c r="BG90" i="1"/>
  <c r="BH113" i="1"/>
  <c r="BH135" i="1"/>
  <c r="BG135" i="1" s="1"/>
  <c r="BF135" i="1" s="1"/>
  <c r="BE135" i="1" s="1"/>
  <c r="BD135" i="1" s="1"/>
  <c r="BC135" i="1" s="1"/>
  <c r="BH134" i="1"/>
  <c r="BF101" i="1"/>
  <c r="BE101" i="1" s="1"/>
  <c r="BH109" i="1"/>
  <c r="BG109" i="1" s="1"/>
  <c r="BF109" i="1" s="1"/>
  <c r="BE109" i="1" s="1"/>
  <c r="BH108" i="1"/>
  <c r="BF85" i="1"/>
  <c r="BE85" i="1" s="1"/>
  <c r="BD85" i="1" s="1"/>
  <c r="BC85" i="1" s="1"/>
  <c r="BG125" i="1"/>
  <c r="BF125" i="1" s="1"/>
  <c r="BE125" i="1" s="1"/>
  <c r="DY8" i="12"/>
  <c r="BF119" i="1"/>
  <c r="BH93" i="1"/>
  <c r="BE84" i="1" l="1"/>
  <c r="BE100" i="1"/>
  <c r="BD100" i="1" s="1"/>
  <c r="BG113" i="1"/>
  <c r="BF113" i="1" s="1"/>
  <c r="BG112" i="1"/>
  <c r="BG122" i="1"/>
  <c r="BF122" i="1" s="1"/>
  <c r="BE122" i="1" s="1"/>
  <c r="BE119" i="1"/>
  <c r="BG129" i="1"/>
  <c r="BF129" i="1" s="1"/>
  <c r="BE129" i="1" s="1"/>
  <c r="BD129" i="1" s="1"/>
  <c r="BG128" i="1"/>
  <c r="BF90" i="1"/>
  <c r="BF89" i="1"/>
  <c r="BF124" i="1"/>
  <c r="BE124" i="1" s="1"/>
  <c r="BD124" i="1" s="1"/>
  <c r="BE118" i="1"/>
  <c r="BD118" i="1" s="1"/>
  <c r="BG108" i="1"/>
  <c r="BF108" i="1" s="1"/>
  <c r="BE108" i="1" s="1"/>
  <c r="BD108" i="1" s="1"/>
  <c r="BG107" i="1"/>
  <c r="BD99" i="1"/>
  <c r="BC99" i="1" s="1"/>
  <c r="BG97" i="1"/>
  <c r="BF97" i="1" s="1"/>
  <c r="BE97" i="1" s="1"/>
  <c r="BD97" i="1" s="1"/>
  <c r="BC97" i="1" s="1"/>
  <c r="BG96" i="1"/>
  <c r="BD117" i="1"/>
  <c r="BC117" i="1" s="1"/>
  <c r="BG105" i="1"/>
  <c r="BF105" i="1" s="1"/>
  <c r="BG104" i="1"/>
  <c r="BG93" i="1"/>
  <c r="BF93" i="1" s="1"/>
  <c r="BE93" i="1" s="1"/>
  <c r="BG92" i="1"/>
  <c r="BG134" i="1"/>
  <c r="BF134" i="1" s="1"/>
  <c r="BE134" i="1" s="1"/>
  <c r="BD134" i="1" s="1"/>
  <c r="BC134" i="1" s="1"/>
  <c r="BB134" i="1" s="1"/>
  <c r="BG133" i="1"/>
  <c r="BF98" i="1"/>
  <c r="BE98" i="1" s="1"/>
  <c r="BD98" i="1" s="1"/>
  <c r="BG116" i="1"/>
  <c r="BF116" i="1" s="1"/>
  <c r="BE116" i="1" s="1"/>
  <c r="BD116" i="1" s="1"/>
  <c r="BC116" i="1" s="1"/>
  <c r="BB116" i="1" s="1"/>
  <c r="BG115" i="1"/>
  <c r="BF92" i="1" l="1"/>
  <c r="BE92" i="1" s="1"/>
  <c r="BD92" i="1" s="1"/>
  <c r="BF91" i="1"/>
  <c r="BE91" i="1" s="1"/>
  <c r="BD91" i="1" s="1"/>
  <c r="BF107" i="1"/>
  <c r="BE107" i="1" s="1"/>
  <c r="BD107" i="1" s="1"/>
  <c r="BC107" i="1" s="1"/>
  <c r="BE89" i="1"/>
  <c r="BE88" i="1"/>
  <c r="BF112" i="1"/>
  <c r="BE112" i="1" s="1"/>
  <c r="BD112" i="1" s="1"/>
  <c r="BC112" i="1" s="1"/>
  <c r="BB112" i="1" s="1"/>
  <c r="BA112" i="1" s="1"/>
  <c r="AZ112" i="1" s="1"/>
  <c r="AY112" i="1" s="1"/>
  <c r="AX112" i="1" s="1"/>
  <c r="BF111" i="1"/>
  <c r="BE113" i="1"/>
  <c r="BD113" i="1" s="1"/>
  <c r="BC113" i="1" s="1"/>
  <c r="BB113" i="1" s="1"/>
  <c r="BA113" i="1" s="1"/>
  <c r="AZ113" i="1" s="1"/>
  <c r="AY113" i="1" s="1"/>
  <c r="BE90" i="1"/>
  <c r="BD90" i="1" s="1"/>
  <c r="BC90" i="1" s="1"/>
  <c r="BF106" i="1"/>
  <c r="BE106" i="1" s="1"/>
  <c r="BD106" i="1" s="1"/>
  <c r="BC106" i="1" s="1"/>
  <c r="BB106" i="1" s="1"/>
  <c r="BF104" i="1"/>
  <c r="BE104" i="1" s="1"/>
  <c r="BF103" i="1"/>
  <c r="BF128" i="1"/>
  <c r="BE128" i="1" s="1"/>
  <c r="BD128" i="1" s="1"/>
  <c r="BC128" i="1" s="1"/>
  <c r="BF127" i="1"/>
  <c r="BF133" i="1"/>
  <c r="BE133" i="1" s="1"/>
  <c r="BD133" i="1" s="1"/>
  <c r="BC133" i="1" s="1"/>
  <c r="BB133" i="1" s="1"/>
  <c r="BA133" i="1" s="1"/>
  <c r="BF132" i="1"/>
  <c r="BB97" i="1"/>
  <c r="BA97" i="1" s="1"/>
  <c r="BF115" i="1"/>
  <c r="BE115" i="1" s="1"/>
  <c r="BD115" i="1" s="1"/>
  <c r="BC115" i="1" s="1"/>
  <c r="BB115" i="1" s="1"/>
  <c r="BA115" i="1" s="1"/>
  <c r="BF114" i="1"/>
  <c r="BE114" i="1" s="1"/>
  <c r="BD114" i="1" s="1"/>
  <c r="BC114" i="1" s="1"/>
  <c r="BB114" i="1" s="1"/>
  <c r="BA114" i="1" s="1"/>
  <c r="AZ114" i="1" s="1"/>
  <c r="BE105" i="1"/>
  <c r="BD105" i="1" s="1"/>
  <c r="BC105" i="1" s="1"/>
  <c r="BB105" i="1" s="1"/>
  <c r="BA105" i="1" s="1"/>
  <c r="BF121" i="1"/>
  <c r="BE123" i="1"/>
  <c r="BD123" i="1" s="1"/>
  <c r="BC123" i="1" s="1"/>
  <c r="BD84" i="1"/>
  <c r="BC84" i="1" s="1"/>
  <c r="BB84" i="1" s="1"/>
  <c r="BD83" i="1"/>
  <c r="BC98" i="1"/>
  <c r="BB98" i="1" s="1"/>
  <c r="BF96" i="1"/>
  <c r="BE96" i="1" s="1"/>
  <c r="BD96" i="1" s="1"/>
  <c r="BC96" i="1" s="1"/>
  <c r="BB96" i="1" s="1"/>
  <c r="BA96" i="1" s="1"/>
  <c r="AZ96" i="1" s="1"/>
  <c r="BF95" i="1"/>
  <c r="BD104" i="1" l="1"/>
  <c r="BC104" i="1" s="1"/>
  <c r="BB104" i="1" s="1"/>
  <c r="BA104" i="1" s="1"/>
  <c r="AZ104" i="1" s="1"/>
  <c r="BD88" i="1"/>
  <c r="BD87" i="1"/>
  <c r="BD89" i="1"/>
  <c r="BC89" i="1" s="1"/>
  <c r="BB89" i="1" s="1"/>
  <c r="BE132" i="1"/>
  <c r="BD132" i="1" s="1"/>
  <c r="BC132" i="1" s="1"/>
  <c r="BB132" i="1" s="1"/>
  <c r="BA132" i="1" s="1"/>
  <c r="AZ132" i="1" s="1"/>
  <c r="BE131" i="1"/>
  <c r="BE121" i="1"/>
  <c r="BD121" i="1" s="1"/>
  <c r="BC121" i="1" s="1"/>
  <c r="BB121" i="1" s="1"/>
  <c r="BA121" i="1" s="1"/>
  <c r="BE120" i="1"/>
  <c r="BC91" i="1"/>
  <c r="BE95" i="1"/>
  <c r="BD95" i="1" s="1"/>
  <c r="BC95" i="1" s="1"/>
  <c r="BB95" i="1" s="1"/>
  <c r="BA95" i="1" s="1"/>
  <c r="AZ95" i="1" s="1"/>
  <c r="AY95" i="1" s="1"/>
  <c r="BE94" i="1"/>
  <c r="BE103" i="1"/>
  <c r="BD103" i="1" s="1"/>
  <c r="BC103" i="1" s="1"/>
  <c r="BB103" i="1" s="1"/>
  <c r="BA103" i="1" s="1"/>
  <c r="AZ103" i="1" s="1"/>
  <c r="AY103" i="1" s="1"/>
  <c r="BE102" i="1"/>
  <c r="BD122" i="1"/>
  <c r="BC122" i="1" s="1"/>
  <c r="BB122" i="1" s="1"/>
  <c r="BE127" i="1"/>
  <c r="BD127" i="1" s="1"/>
  <c r="BC127" i="1" s="1"/>
  <c r="BB127" i="1" s="1"/>
  <c r="BE126" i="1"/>
  <c r="BC83" i="1"/>
  <c r="BB83" i="1" s="1"/>
  <c r="BA83" i="1" s="1"/>
  <c r="BC82" i="1"/>
  <c r="BB82" i="1" s="1"/>
  <c r="BA82" i="1" s="1"/>
  <c r="AZ82" i="1" s="1"/>
  <c r="BE111" i="1"/>
  <c r="BD111" i="1" s="1"/>
  <c r="BC111" i="1" s="1"/>
  <c r="BB111" i="1" s="1"/>
  <c r="BA111" i="1" s="1"/>
  <c r="AZ111" i="1" s="1"/>
  <c r="AY111" i="1" s="1"/>
  <c r="AX111" i="1" s="1"/>
  <c r="AW111" i="1" s="1"/>
  <c r="BE110" i="1"/>
  <c r="BD120" i="1" l="1"/>
  <c r="BC120" i="1" s="1"/>
  <c r="BB120" i="1" s="1"/>
  <c r="BA120" i="1" s="1"/>
  <c r="AZ120" i="1" s="1"/>
  <c r="BD119" i="1"/>
  <c r="BD126" i="1"/>
  <c r="BC126" i="1" s="1"/>
  <c r="BB126" i="1" s="1"/>
  <c r="BA126" i="1" s="1"/>
  <c r="BD125" i="1"/>
  <c r="BD102" i="1"/>
  <c r="BC102" i="1" s="1"/>
  <c r="BB102" i="1" s="1"/>
  <c r="BA102" i="1" s="1"/>
  <c r="AZ102" i="1" s="1"/>
  <c r="AY102" i="1" s="1"/>
  <c r="AX102" i="1" s="1"/>
  <c r="BD101" i="1"/>
  <c r="BC87" i="1"/>
  <c r="BC86" i="1"/>
  <c r="BC88" i="1"/>
  <c r="BB88" i="1" s="1"/>
  <c r="BA88" i="1" s="1"/>
  <c r="BD110" i="1"/>
  <c r="BC110" i="1" s="1"/>
  <c r="BB110" i="1" s="1"/>
  <c r="BA110" i="1" s="1"/>
  <c r="AZ110" i="1" s="1"/>
  <c r="AY110" i="1" s="1"/>
  <c r="AX110" i="1" s="1"/>
  <c r="AW110" i="1" s="1"/>
  <c r="AV110" i="1" s="1"/>
  <c r="BD109" i="1"/>
  <c r="BB90" i="1"/>
  <c r="BA89" i="1" s="1"/>
  <c r="BD94" i="1"/>
  <c r="BC94" i="1" s="1"/>
  <c r="BB94" i="1" s="1"/>
  <c r="BA94" i="1" s="1"/>
  <c r="AZ94" i="1" s="1"/>
  <c r="AY94" i="1" s="1"/>
  <c r="AX94" i="1" s="1"/>
  <c r="BD93" i="1"/>
  <c r="BD131" i="1"/>
  <c r="BC131" i="1" s="1"/>
  <c r="BB131" i="1" s="1"/>
  <c r="BA131" i="1" s="1"/>
  <c r="AZ131" i="1" s="1"/>
  <c r="AY131" i="1" s="1"/>
  <c r="BD130" i="1"/>
  <c r="AZ88" i="1" l="1"/>
  <c r="BC125" i="1"/>
  <c r="BB125" i="1" s="1"/>
  <c r="BA125" i="1" s="1"/>
  <c r="AZ125" i="1" s="1"/>
  <c r="BC124" i="1"/>
  <c r="BB86" i="1"/>
  <c r="BA86" i="1" s="1"/>
  <c r="AZ86" i="1" s="1"/>
  <c r="AY86" i="1" s="1"/>
  <c r="AX86" i="1" s="1"/>
  <c r="BB85" i="1"/>
  <c r="BB87" i="1"/>
  <c r="BA87" i="1" s="1"/>
  <c r="AZ87" i="1" s="1"/>
  <c r="AY87" i="1" s="1"/>
  <c r="BC93" i="1"/>
  <c r="BB93" i="1" s="1"/>
  <c r="BA93" i="1" s="1"/>
  <c r="AZ93" i="1" s="1"/>
  <c r="AY93" i="1" s="1"/>
  <c r="AX93" i="1" s="1"/>
  <c r="AW93" i="1" s="1"/>
  <c r="BC92" i="1"/>
  <c r="BC119" i="1"/>
  <c r="BB119" i="1" s="1"/>
  <c r="BA119" i="1" s="1"/>
  <c r="AZ119" i="1" s="1"/>
  <c r="AY119" i="1" s="1"/>
  <c r="BC118" i="1"/>
  <c r="BC130" i="1"/>
  <c r="BB130" i="1" s="1"/>
  <c r="BA130" i="1" s="1"/>
  <c r="AZ130" i="1" s="1"/>
  <c r="AY130" i="1" s="1"/>
  <c r="AX130" i="1" s="1"/>
  <c r="BC129" i="1"/>
  <c r="BC109" i="1"/>
  <c r="BB109" i="1" s="1"/>
  <c r="BA109" i="1" s="1"/>
  <c r="AZ109" i="1" s="1"/>
  <c r="AY109" i="1" s="1"/>
  <c r="AX109" i="1" s="1"/>
  <c r="AW109" i="1" s="1"/>
  <c r="AV109" i="1" s="1"/>
  <c r="AU109" i="1" s="1"/>
  <c r="BC108" i="1"/>
  <c r="BC101" i="1"/>
  <c r="BB101" i="1" s="1"/>
  <c r="BA101" i="1" s="1"/>
  <c r="AZ101" i="1" s="1"/>
  <c r="AY101" i="1" s="1"/>
  <c r="AX101" i="1" s="1"/>
  <c r="AW101" i="1" s="1"/>
  <c r="BC100" i="1"/>
  <c r="BB129" i="1" l="1"/>
  <c r="BA129" i="1" s="1"/>
  <c r="AZ129" i="1" s="1"/>
  <c r="AY129" i="1" s="1"/>
  <c r="AX129" i="1" s="1"/>
  <c r="AW129" i="1" s="1"/>
  <c r="BB128" i="1"/>
  <c r="BA85" i="1"/>
  <c r="AZ85" i="1" s="1"/>
  <c r="AY85" i="1" s="1"/>
  <c r="AX85" i="1" s="1"/>
  <c r="AW85" i="1" s="1"/>
  <c r="BA84" i="1"/>
  <c r="BB118" i="1"/>
  <c r="BA118" i="1" s="1"/>
  <c r="AZ118" i="1" s="1"/>
  <c r="AY118" i="1" s="1"/>
  <c r="AX118" i="1" s="1"/>
  <c r="BB117" i="1"/>
  <c r="BB100" i="1"/>
  <c r="BA100" i="1" s="1"/>
  <c r="AZ100" i="1" s="1"/>
  <c r="AY100" i="1" s="1"/>
  <c r="AX100" i="1" s="1"/>
  <c r="AW100" i="1" s="1"/>
  <c r="AV100" i="1" s="1"/>
  <c r="BB99" i="1"/>
  <c r="BB124" i="1"/>
  <c r="BA124" i="1" s="1"/>
  <c r="AZ124" i="1" s="1"/>
  <c r="AY124" i="1" s="1"/>
  <c r="BB123" i="1"/>
  <c r="BB92" i="1"/>
  <c r="BA92" i="1" s="1"/>
  <c r="AZ92" i="1" s="1"/>
  <c r="AY92" i="1" s="1"/>
  <c r="AX92" i="1" s="1"/>
  <c r="AW92" i="1" s="1"/>
  <c r="AV92" i="1" s="1"/>
  <c r="BB91" i="1"/>
  <c r="BB108" i="1"/>
  <c r="BA108" i="1" s="1"/>
  <c r="AZ108" i="1" s="1"/>
  <c r="AY108" i="1" s="1"/>
  <c r="AX108" i="1" s="1"/>
  <c r="AW108" i="1" s="1"/>
  <c r="AV108" i="1" s="1"/>
  <c r="AU108" i="1" s="1"/>
  <c r="AT108" i="1" s="1"/>
  <c r="BB107" i="1"/>
  <c r="AZ84" i="1" l="1"/>
  <c r="AY84" i="1" s="1"/>
  <c r="AX84" i="1" s="1"/>
  <c r="AW84" i="1" s="1"/>
  <c r="AV84" i="1" s="1"/>
  <c r="AZ83" i="1"/>
  <c r="BA91" i="1"/>
  <c r="AZ91" i="1" s="1"/>
  <c r="AY91" i="1" s="1"/>
  <c r="AX91" i="1" s="1"/>
  <c r="AW91" i="1" s="1"/>
  <c r="AV91" i="1" s="1"/>
  <c r="AU91" i="1" s="1"/>
  <c r="BA90" i="1"/>
  <c r="BA117" i="1"/>
  <c r="AZ117" i="1" s="1"/>
  <c r="AY117" i="1" s="1"/>
  <c r="AX117" i="1" s="1"/>
  <c r="AW117" i="1" s="1"/>
  <c r="BA116" i="1"/>
  <c r="BA123" i="1"/>
  <c r="AZ123" i="1" s="1"/>
  <c r="AY123" i="1" s="1"/>
  <c r="AX123" i="1" s="1"/>
  <c r="BA122" i="1"/>
  <c r="BA107" i="1"/>
  <c r="AZ107" i="1" s="1"/>
  <c r="AY107" i="1" s="1"/>
  <c r="AX107" i="1" s="1"/>
  <c r="AW107" i="1" s="1"/>
  <c r="AV107" i="1" s="1"/>
  <c r="AU107" i="1" s="1"/>
  <c r="AT107" i="1" s="1"/>
  <c r="AS107" i="1" s="1"/>
  <c r="BA106" i="1"/>
  <c r="BA99" i="1"/>
  <c r="AZ99" i="1" s="1"/>
  <c r="AY99" i="1" s="1"/>
  <c r="AX99" i="1" s="1"/>
  <c r="AW99" i="1" s="1"/>
  <c r="AV99" i="1" s="1"/>
  <c r="AU99" i="1" s="1"/>
  <c r="BA98" i="1"/>
  <c r="BA128" i="1"/>
  <c r="AZ128" i="1" s="1"/>
  <c r="AY128" i="1" s="1"/>
  <c r="AX128" i="1" s="1"/>
  <c r="AW128" i="1" s="1"/>
  <c r="AV128" i="1" s="1"/>
  <c r="BA127" i="1"/>
  <c r="AZ106" i="1" l="1"/>
  <c r="AY106" i="1" s="1"/>
  <c r="AX106" i="1" s="1"/>
  <c r="AW106" i="1" s="1"/>
  <c r="AV106" i="1" s="1"/>
  <c r="AU106" i="1" s="1"/>
  <c r="AT106" i="1" s="1"/>
  <c r="AS106" i="1" s="1"/>
  <c r="AR106" i="1" s="1"/>
  <c r="AZ105" i="1"/>
  <c r="AZ90" i="1"/>
  <c r="AY90" i="1" s="1"/>
  <c r="AX90" i="1" s="1"/>
  <c r="AW90" i="1" s="1"/>
  <c r="AV90" i="1" s="1"/>
  <c r="AU90" i="1" s="1"/>
  <c r="AT90" i="1" s="1"/>
  <c r="AZ89" i="1"/>
  <c r="AZ122" i="1"/>
  <c r="AY122" i="1" s="1"/>
  <c r="AX122" i="1" s="1"/>
  <c r="AW122" i="1" s="1"/>
  <c r="AZ121" i="1"/>
  <c r="AY83" i="1"/>
  <c r="AX83" i="1" s="1"/>
  <c r="AW83" i="1" s="1"/>
  <c r="AV83" i="1" s="1"/>
  <c r="AU83" i="1" s="1"/>
  <c r="AY82" i="1"/>
  <c r="AX82" i="1" s="1"/>
  <c r="AW82" i="1" s="1"/>
  <c r="AV82" i="1" s="1"/>
  <c r="AU82" i="1" s="1"/>
  <c r="AT82" i="1" s="1"/>
  <c r="AZ127" i="1"/>
  <c r="AY127" i="1" s="1"/>
  <c r="AX127" i="1" s="1"/>
  <c r="AW127" i="1" s="1"/>
  <c r="AV127" i="1" s="1"/>
  <c r="AU127" i="1" s="1"/>
  <c r="AZ126" i="1"/>
  <c r="AZ116" i="1"/>
  <c r="AY116" i="1" s="1"/>
  <c r="AX116" i="1" s="1"/>
  <c r="AW116" i="1" s="1"/>
  <c r="AV116" i="1" s="1"/>
  <c r="AZ115" i="1"/>
  <c r="AZ98" i="1"/>
  <c r="AY98" i="1" s="1"/>
  <c r="AX98" i="1" s="1"/>
  <c r="AW98" i="1" s="1"/>
  <c r="AV98" i="1" s="1"/>
  <c r="AU98" i="1" s="1"/>
  <c r="AT98" i="1" s="1"/>
  <c r="AZ97" i="1"/>
  <c r="AY126" i="1" l="1"/>
  <c r="AX126" i="1" s="1"/>
  <c r="AW126" i="1" s="1"/>
  <c r="AV126" i="1" s="1"/>
  <c r="AU126" i="1" s="1"/>
  <c r="AT126" i="1" s="1"/>
  <c r="AY125" i="1"/>
  <c r="AY115" i="1"/>
  <c r="AX115" i="1" s="1"/>
  <c r="AW115" i="1" s="1"/>
  <c r="AV115" i="1" s="1"/>
  <c r="AU115" i="1" s="1"/>
  <c r="AY114" i="1"/>
  <c r="AY89" i="1"/>
  <c r="AX89" i="1" s="1"/>
  <c r="AW89" i="1" s="1"/>
  <c r="AV89" i="1" s="1"/>
  <c r="AU89" i="1" s="1"/>
  <c r="AT89" i="1" s="1"/>
  <c r="AS89" i="1" s="1"/>
  <c r="AY88" i="1"/>
  <c r="AY105" i="1"/>
  <c r="AX105" i="1" s="1"/>
  <c r="AW105" i="1" s="1"/>
  <c r="AV105" i="1" s="1"/>
  <c r="AU105" i="1" s="1"/>
  <c r="AT105" i="1" s="1"/>
  <c r="AS105" i="1" s="1"/>
  <c r="AR105" i="1" s="1"/>
  <c r="AQ105" i="1" s="1"/>
  <c r="AY104" i="1"/>
  <c r="AY97" i="1"/>
  <c r="AX97" i="1" s="1"/>
  <c r="AW97" i="1" s="1"/>
  <c r="AV97" i="1" s="1"/>
  <c r="AU97" i="1" s="1"/>
  <c r="AT97" i="1" s="1"/>
  <c r="AS97" i="1" s="1"/>
  <c r="AY96" i="1"/>
  <c r="AY121" i="1"/>
  <c r="AX121" i="1" s="1"/>
  <c r="AW121" i="1" s="1"/>
  <c r="AV121" i="1" s="1"/>
  <c r="AY120" i="1"/>
  <c r="AX88" i="1" l="1"/>
  <c r="AW88" i="1" s="1"/>
  <c r="AV88" i="1" s="1"/>
  <c r="AU88" i="1" s="1"/>
  <c r="AT88" i="1" s="1"/>
  <c r="AS88" i="1" s="1"/>
  <c r="AR88" i="1" s="1"/>
  <c r="AX87" i="1"/>
  <c r="AX114" i="1"/>
  <c r="AW114" i="1" s="1"/>
  <c r="AV114" i="1" s="1"/>
  <c r="AU114" i="1" s="1"/>
  <c r="AT114" i="1" s="1"/>
  <c r="AX113" i="1"/>
  <c r="AX104" i="1"/>
  <c r="AW104" i="1" s="1"/>
  <c r="AV104" i="1" s="1"/>
  <c r="AU104" i="1" s="1"/>
  <c r="AT104" i="1" s="1"/>
  <c r="AS104" i="1" s="1"/>
  <c r="AR104" i="1" s="1"/>
  <c r="AQ104" i="1" s="1"/>
  <c r="AP104" i="1" s="1"/>
  <c r="AX103" i="1"/>
  <c r="AX125" i="1"/>
  <c r="AW125" i="1" s="1"/>
  <c r="AV125" i="1" s="1"/>
  <c r="AU125" i="1" s="1"/>
  <c r="AT125" i="1" s="1"/>
  <c r="AS125" i="1" s="1"/>
  <c r="AX124" i="1"/>
  <c r="AX96" i="1"/>
  <c r="AW96" i="1" s="1"/>
  <c r="AV96" i="1" s="1"/>
  <c r="AU96" i="1" s="1"/>
  <c r="AT96" i="1" s="1"/>
  <c r="AS96" i="1" s="1"/>
  <c r="AR96" i="1" s="1"/>
  <c r="AX95" i="1"/>
  <c r="AX120" i="1"/>
  <c r="AW120" i="1" s="1"/>
  <c r="AV120" i="1" s="1"/>
  <c r="AU120" i="1" s="1"/>
  <c r="AX119" i="1"/>
  <c r="AW119" i="1" l="1"/>
  <c r="AV119" i="1" s="1"/>
  <c r="AU119" i="1" s="1"/>
  <c r="AT119" i="1" s="1"/>
  <c r="AW118" i="1"/>
  <c r="AW113" i="1"/>
  <c r="AV113" i="1" s="1"/>
  <c r="AU113" i="1" s="1"/>
  <c r="AT113" i="1" s="1"/>
  <c r="AS113" i="1" s="1"/>
  <c r="AW112" i="1"/>
  <c r="AW95" i="1"/>
  <c r="AV95" i="1" s="1"/>
  <c r="AU95" i="1" s="1"/>
  <c r="AT95" i="1" s="1"/>
  <c r="AS95" i="1" s="1"/>
  <c r="AR95" i="1" s="1"/>
  <c r="AQ95" i="1" s="1"/>
  <c r="AW94" i="1"/>
  <c r="AW124" i="1"/>
  <c r="AV124" i="1" s="1"/>
  <c r="AU124" i="1" s="1"/>
  <c r="AT124" i="1" s="1"/>
  <c r="AS124" i="1" s="1"/>
  <c r="AR124" i="1" s="1"/>
  <c r="AW123" i="1"/>
  <c r="AW87" i="1"/>
  <c r="AV87" i="1" s="1"/>
  <c r="AU87" i="1" s="1"/>
  <c r="AT87" i="1" s="1"/>
  <c r="AS87" i="1" s="1"/>
  <c r="AR87" i="1" s="1"/>
  <c r="AQ87" i="1" s="1"/>
  <c r="AW86" i="1"/>
  <c r="AW103" i="1"/>
  <c r="AV103" i="1" s="1"/>
  <c r="AU103" i="1" s="1"/>
  <c r="AT103" i="1" s="1"/>
  <c r="AS103" i="1" s="1"/>
  <c r="AR103" i="1" s="1"/>
  <c r="AQ103" i="1" s="1"/>
  <c r="AP103" i="1" s="1"/>
  <c r="AO103" i="1" s="1"/>
  <c r="AW102" i="1"/>
  <c r="AV112" i="1" l="1"/>
  <c r="AU112" i="1" s="1"/>
  <c r="AT112" i="1" s="1"/>
  <c r="AS112" i="1" s="1"/>
  <c r="AR112" i="1" s="1"/>
  <c r="AV111" i="1"/>
  <c r="AV123" i="1"/>
  <c r="AU123" i="1" s="1"/>
  <c r="AT123" i="1" s="1"/>
  <c r="AS123" i="1" s="1"/>
  <c r="AR123" i="1" s="1"/>
  <c r="AQ123" i="1" s="1"/>
  <c r="AV122" i="1"/>
  <c r="AV118" i="1"/>
  <c r="AU118" i="1" s="1"/>
  <c r="AT118" i="1" s="1"/>
  <c r="AS118" i="1" s="1"/>
  <c r="AV117" i="1"/>
  <c r="AV86" i="1"/>
  <c r="AU86" i="1" s="1"/>
  <c r="AT86" i="1" s="1"/>
  <c r="AS86" i="1" s="1"/>
  <c r="AR86" i="1" s="1"/>
  <c r="AQ86" i="1" s="1"/>
  <c r="AP86" i="1" s="1"/>
  <c r="AV85" i="1"/>
  <c r="AV102" i="1"/>
  <c r="AU102" i="1" s="1"/>
  <c r="AT102" i="1" s="1"/>
  <c r="AS102" i="1" s="1"/>
  <c r="AR102" i="1" s="1"/>
  <c r="AQ102" i="1" s="1"/>
  <c r="AP102" i="1" s="1"/>
  <c r="AO102" i="1" s="1"/>
  <c r="AN102" i="1" s="1"/>
  <c r="AV101" i="1"/>
  <c r="AV94" i="1"/>
  <c r="AU94" i="1" s="1"/>
  <c r="AT94" i="1" s="1"/>
  <c r="AS94" i="1" s="1"/>
  <c r="AR94" i="1" s="1"/>
  <c r="AQ94" i="1" s="1"/>
  <c r="AP94" i="1" s="1"/>
  <c r="AV93" i="1"/>
  <c r="AU122" i="1" l="1"/>
  <c r="AT122" i="1" s="1"/>
  <c r="AS122" i="1" s="1"/>
  <c r="AR122" i="1" s="1"/>
  <c r="AQ122" i="1" s="1"/>
  <c r="AP122" i="1" s="1"/>
  <c r="AU121" i="1"/>
  <c r="AU85" i="1"/>
  <c r="AT85" i="1" s="1"/>
  <c r="AS85" i="1" s="1"/>
  <c r="AR85" i="1" s="1"/>
  <c r="AQ85" i="1" s="1"/>
  <c r="AP85" i="1" s="1"/>
  <c r="AO85" i="1" s="1"/>
  <c r="AU84" i="1"/>
  <c r="AU111" i="1"/>
  <c r="AT111" i="1" s="1"/>
  <c r="AS111" i="1" s="1"/>
  <c r="AR111" i="1" s="1"/>
  <c r="AQ111" i="1" s="1"/>
  <c r="AU110" i="1"/>
  <c r="AU101" i="1"/>
  <c r="AT101" i="1" s="1"/>
  <c r="AS101" i="1" s="1"/>
  <c r="AR101" i="1" s="1"/>
  <c r="AQ101" i="1" s="1"/>
  <c r="AP101" i="1" s="1"/>
  <c r="AO101" i="1" s="1"/>
  <c r="AN101" i="1" s="1"/>
  <c r="AM101" i="1" s="1"/>
  <c r="AU100" i="1"/>
  <c r="AU93" i="1"/>
  <c r="AT93" i="1" s="1"/>
  <c r="AS93" i="1" s="1"/>
  <c r="AR93" i="1" s="1"/>
  <c r="AQ93" i="1" s="1"/>
  <c r="AP93" i="1" s="1"/>
  <c r="AO93" i="1" s="1"/>
  <c r="AU92" i="1"/>
  <c r="AU117" i="1"/>
  <c r="AT117" i="1" s="1"/>
  <c r="AS117" i="1" s="1"/>
  <c r="AR117" i="1" s="1"/>
  <c r="AU116" i="1"/>
  <c r="AT92" i="1" l="1"/>
  <c r="AS92" i="1" s="1"/>
  <c r="AR92" i="1" s="1"/>
  <c r="AQ92" i="1" s="1"/>
  <c r="AP92" i="1" s="1"/>
  <c r="AO92" i="1" s="1"/>
  <c r="AN92" i="1" s="1"/>
  <c r="AT91" i="1"/>
  <c r="AT84" i="1"/>
  <c r="AS84" i="1" s="1"/>
  <c r="AR84" i="1" s="1"/>
  <c r="AQ84" i="1" s="1"/>
  <c r="AP84" i="1" s="1"/>
  <c r="AO84" i="1" s="1"/>
  <c r="AN84" i="1" s="1"/>
  <c r="AT83" i="1"/>
  <c r="AT100" i="1"/>
  <c r="AS100" i="1" s="1"/>
  <c r="AR100" i="1" s="1"/>
  <c r="AQ100" i="1" s="1"/>
  <c r="AP100" i="1" s="1"/>
  <c r="AO100" i="1" s="1"/>
  <c r="AN100" i="1" s="1"/>
  <c r="AM100" i="1" s="1"/>
  <c r="AL100" i="1" s="1"/>
  <c r="AT99" i="1"/>
  <c r="AT121" i="1"/>
  <c r="AS121" i="1" s="1"/>
  <c r="AR121" i="1" s="1"/>
  <c r="AQ121" i="1" s="1"/>
  <c r="AP121" i="1" s="1"/>
  <c r="AO121" i="1" s="1"/>
  <c r="AT120" i="1"/>
  <c r="AT116" i="1"/>
  <c r="AS116" i="1" s="1"/>
  <c r="AR116" i="1" s="1"/>
  <c r="AQ116" i="1" s="1"/>
  <c r="AT115" i="1"/>
  <c r="AT110" i="1"/>
  <c r="AS110" i="1" s="1"/>
  <c r="AR110" i="1" s="1"/>
  <c r="AQ110" i="1" s="1"/>
  <c r="AP110" i="1" s="1"/>
  <c r="AT109" i="1"/>
  <c r="AS115" i="1" l="1"/>
  <c r="AR115" i="1" s="1"/>
  <c r="AQ115" i="1" s="1"/>
  <c r="AP115" i="1" s="1"/>
  <c r="AS114" i="1"/>
  <c r="AS83" i="1"/>
  <c r="AR83" i="1" s="1"/>
  <c r="AQ83" i="1" s="1"/>
  <c r="AP83" i="1" s="1"/>
  <c r="AO83" i="1" s="1"/>
  <c r="AN83" i="1" s="1"/>
  <c r="AM83" i="1" s="1"/>
  <c r="AS82" i="1"/>
  <c r="AR82" i="1" s="1"/>
  <c r="AQ82" i="1" s="1"/>
  <c r="AP82" i="1" s="1"/>
  <c r="AO82" i="1" s="1"/>
  <c r="AN82" i="1" s="1"/>
  <c r="AM82" i="1" s="1"/>
  <c r="AL82" i="1" s="1"/>
  <c r="AS120" i="1"/>
  <c r="AR120" i="1" s="1"/>
  <c r="AQ120" i="1" s="1"/>
  <c r="AP120" i="1" s="1"/>
  <c r="AO120" i="1" s="1"/>
  <c r="AN120" i="1" s="1"/>
  <c r="AS119" i="1"/>
  <c r="AS91" i="1"/>
  <c r="AR91" i="1" s="1"/>
  <c r="AQ91" i="1" s="1"/>
  <c r="AP91" i="1" s="1"/>
  <c r="AO91" i="1" s="1"/>
  <c r="AN91" i="1" s="1"/>
  <c r="AM91" i="1" s="1"/>
  <c r="AS90" i="1"/>
  <c r="AS109" i="1"/>
  <c r="AR109" i="1" s="1"/>
  <c r="AQ109" i="1" s="1"/>
  <c r="AP109" i="1" s="1"/>
  <c r="AO109" i="1" s="1"/>
  <c r="AS108" i="1"/>
  <c r="AS99" i="1"/>
  <c r="AR99" i="1" s="1"/>
  <c r="AQ99" i="1" s="1"/>
  <c r="AP99" i="1" s="1"/>
  <c r="AO99" i="1" s="1"/>
  <c r="AN99" i="1" s="1"/>
  <c r="AM99" i="1" s="1"/>
  <c r="AL99" i="1" s="1"/>
  <c r="AK99" i="1" s="1"/>
  <c r="AS98" i="1"/>
  <c r="AR108" i="1" l="1"/>
  <c r="AQ108" i="1" s="1"/>
  <c r="AP108" i="1" s="1"/>
  <c r="AO108" i="1" s="1"/>
  <c r="AN108" i="1" s="1"/>
  <c r="AR107" i="1"/>
  <c r="AR114" i="1"/>
  <c r="AQ114" i="1" s="1"/>
  <c r="AP114" i="1" s="1"/>
  <c r="AO114" i="1" s="1"/>
  <c r="AR113" i="1"/>
  <c r="AR90" i="1"/>
  <c r="AQ90" i="1" s="1"/>
  <c r="AP90" i="1" s="1"/>
  <c r="AO90" i="1" s="1"/>
  <c r="AN90" i="1" s="1"/>
  <c r="AM90" i="1" s="1"/>
  <c r="AL90" i="1" s="1"/>
  <c r="AR89" i="1"/>
  <c r="AR119" i="1"/>
  <c r="AQ119" i="1" s="1"/>
  <c r="AP119" i="1" s="1"/>
  <c r="AO119" i="1" s="1"/>
  <c r="AN119" i="1" s="1"/>
  <c r="AM119" i="1" s="1"/>
  <c r="AR118" i="1"/>
  <c r="AR98" i="1"/>
  <c r="AQ98" i="1" s="1"/>
  <c r="AP98" i="1" s="1"/>
  <c r="AO98" i="1" s="1"/>
  <c r="AN98" i="1" s="1"/>
  <c r="AM98" i="1" s="1"/>
  <c r="AL98" i="1" s="1"/>
  <c r="AK98" i="1" s="1"/>
  <c r="AJ98" i="1" s="1"/>
  <c r="AR97" i="1"/>
  <c r="AQ113" i="1" l="1"/>
  <c r="AP113" i="1" s="1"/>
  <c r="AO113" i="1" s="1"/>
  <c r="AN113" i="1" s="1"/>
  <c r="AQ112" i="1"/>
  <c r="AQ118" i="1"/>
  <c r="AP118" i="1" s="1"/>
  <c r="AO118" i="1" s="1"/>
  <c r="AN118" i="1" s="1"/>
  <c r="AM118" i="1" s="1"/>
  <c r="AL118" i="1" s="1"/>
  <c r="AQ117" i="1"/>
  <c r="AQ97" i="1"/>
  <c r="AP97" i="1" s="1"/>
  <c r="AO97" i="1" s="1"/>
  <c r="AN97" i="1" s="1"/>
  <c r="AM97" i="1" s="1"/>
  <c r="AL97" i="1" s="1"/>
  <c r="AK97" i="1" s="1"/>
  <c r="AJ97" i="1" s="1"/>
  <c r="AI97" i="1" s="1"/>
  <c r="AQ96" i="1"/>
  <c r="AQ107" i="1"/>
  <c r="AP107" i="1" s="1"/>
  <c r="AO107" i="1" s="1"/>
  <c r="AN107" i="1" s="1"/>
  <c r="AM107" i="1" s="1"/>
  <c r="AQ106" i="1"/>
  <c r="AQ89" i="1"/>
  <c r="AP89" i="1" s="1"/>
  <c r="AO89" i="1" s="1"/>
  <c r="AN89" i="1" s="1"/>
  <c r="AM89" i="1" s="1"/>
  <c r="AL89" i="1" s="1"/>
  <c r="AK89" i="1" s="1"/>
  <c r="AQ88" i="1"/>
  <c r="AP117" i="1" l="1"/>
  <c r="AO117" i="1" s="1"/>
  <c r="AN117" i="1" s="1"/>
  <c r="AM117" i="1" s="1"/>
  <c r="AL117" i="1" s="1"/>
  <c r="AK117" i="1" s="1"/>
  <c r="AP116" i="1"/>
  <c r="AP88" i="1"/>
  <c r="AO88" i="1" s="1"/>
  <c r="AN88" i="1" s="1"/>
  <c r="AM88" i="1" s="1"/>
  <c r="AL88" i="1" s="1"/>
  <c r="AK88" i="1" s="1"/>
  <c r="AJ88" i="1" s="1"/>
  <c r="AP87" i="1"/>
  <c r="AP112" i="1"/>
  <c r="AO112" i="1" s="1"/>
  <c r="AN112" i="1" s="1"/>
  <c r="AM112" i="1" s="1"/>
  <c r="AP111" i="1"/>
  <c r="AP106" i="1"/>
  <c r="AO106" i="1" s="1"/>
  <c r="AN106" i="1" s="1"/>
  <c r="AM106" i="1" s="1"/>
  <c r="AL106" i="1" s="1"/>
  <c r="AP105" i="1"/>
  <c r="AP96" i="1"/>
  <c r="AO96" i="1" s="1"/>
  <c r="AN96" i="1" s="1"/>
  <c r="AM96" i="1" s="1"/>
  <c r="AL96" i="1" s="1"/>
  <c r="AK96" i="1" s="1"/>
  <c r="AJ96" i="1" s="1"/>
  <c r="AI96" i="1" s="1"/>
  <c r="AH96" i="1" s="1"/>
  <c r="AP95" i="1"/>
  <c r="AO111" i="1" l="1"/>
  <c r="AN111" i="1" s="1"/>
  <c r="AM111" i="1" s="1"/>
  <c r="AL111" i="1" s="1"/>
  <c r="AO110" i="1"/>
  <c r="AO87" i="1"/>
  <c r="AN87" i="1" s="1"/>
  <c r="AM87" i="1" s="1"/>
  <c r="AL87" i="1" s="1"/>
  <c r="AK87" i="1" s="1"/>
  <c r="AJ87" i="1" s="1"/>
  <c r="AI87" i="1" s="1"/>
  <c r="AO86" i="1"/>
  <c r="AO116" i="1"/>
  <c r="AN116" i="1" s="1"/>
  <c r="AM116" i="1" s="1"/>
  <c r="AL116" i="1" s="1"/>
  <c r="AK116" i="1" s="1"/>
  <c r="AJ116" i="1" s="1"/>
  <c r="AO115" i="1"/>
  <c r="AO95" i="1"/>
  <c r="AN95" i="1" s="1"/>
  <c r="AM95" i="1" s="1"/>
  <c r="AL95" i="1" s="1"/>
  <c r="AK95" i="1" s="1"/>
  <c r="AJ95" i="1" s="1"/>
  <c r="AI95" i="1" s="1"/>
  <c r="AH95" i="1" s="1"/>
  <c r="AG95" i="1" s="1"/>
  <c r="AO94" i="1"/>
  <c r="AO105" i="1"/>
  <c r="AN105" i="1" s="1"/>
  <c r="AM105" i="1" s="1"/>
  <c r="AL105" i="1" s="1"/>
  <c r="AK105" i="1" s="1"/>
  <c r="AO104" i="1"/>
  <c r="AN104" i="1" l="1"/>
  <c r="AM104" i="1" s="1"/>
  <c r="AL104" i="1" s="1"/>
  <c r="AK104" i="1" s="1"/>
  <c r="AJ104" i="1" s="1"/>
  <c r="AN103" i="1"/>
  <c r="AN86" i="1"/>
  <c r="AM86" i="1" s="1"/>
  <c r="AL86" i="1" s="1"/>
  <c r="AK86" i="1" s="1"/>
  <c r="AJ86" i="1" s="1"/>
  <c r="AI86" i="1" s="1"/>
  <c r="AH86" i="1" s="1"/>
  <c r="AN85" i="1"/>
  <c r="AN115" i="1"/>
  <c r="AM115" i="1" s="1"/>
  <c r="AL115" i="1" s="1"/>
  <c r="AK115" i="1" s="1"/>
  <c r="AJ115" i="1" s="1"/>
  <c r="AI115" i="1" s="1"/>
  <c r="AN114" i="1"/>
  <c r="AN94" i="1"/>
  <c r="AM94" i="1" s="1"/>
  <c r="AL94" i="1" s="1"/>
  <c r="AK94" i="1" s="1"/>
  <c r="AJ94" i="1" s="1"/>
  <c r="AI94" i="1" s="1"/>
  <c r="AH94" i="1" s="1"/>
  <c r="AG94" i="1" s="1"/>
  <c r="AF94" i="1" s="1"/>
  <c r="AN93" i="1"/>
  <c r="AN110" i="1"/>
  <c r="AM110" i="1" s="1"/>
  <c r="AL110" i="1" s="1"/>
  <c r="AK110" i="1" s="1"/>
  <c r="AN109" i="1"/>
  <c r="AM114" i="1" l="1"/>
  <c r="AL114" i="1" s="1"/>
  <c r="AK114" i="1" s="1"/>
  <c r="AJ114" i="1" s="1"/>
  <c r="AI114" i="1" s="1"/>
  <c r="AH114" i="1" s="1"/>
  <c r="AM113" i="1"/>
  <c r="AM85" i="1"/>
  <c r="AL85" i="1" s="1"/>
  <c r="AK85" i="1" s="1"/>
  <c r="AJ85" i="1" s="1"/>
  <c r="AI85" i="1" s="1"/>
  <c r="AH85" i="1" s="1"/>
  <c r="AG85" i="1" s="1"/>
  <c r="AM84" i="1"/>
  <c r="AM103" i="1"/>
  <c r="AL103" i="1" s="1"/>
  <c r="AK103" i="1" s="1"/>
  <c r="AJ103" i="1" s="1"/>
  <c r="AI103" i="1" s="1"/>
  <c r="AM102" i="1"/>
  <c r="AM109" i="1"/>
  <c r="AL109" i="1" s="1"/>
  <c r="AK109" i="1" s="1"/>
  <c r="AJ109" i="1" s="1"/>
  <c r="AM108" i="1"/>
  <c r="AM93" i="1"/>
  <c r="AL93" i="1" s="1"/>
  <c r="AK93" i="1" s="1"/>
  <c r="AJ93" i="1" s="1"/>
  <c r="AI93" i="1" s="1"/>
  <c r="AH93" i="1" s="1"/>
  <c r="AG93" i="1" s="1"/>
  <c r="AF93" i="1" s="1"/>
  <c r="AE93" i="1" s="1"/>
  <c r="AM92" i="1"/>
  <c r="AL92" i="1" l="1"/>
  <c r="AK92" i="1" s="1"/>
  <c r="AJ92" i="1" s="1"/>
  <c r="AI92" i="1" s="1"/>
  <c r="AH92" i="1" s="1"/>
  <c r="AG92" i="1" s="1"/>
  <c r="AF92" i="1" s="1"/>
  <c r="AE92" i="1" s="1"/>
  <c r="AD92" i="1" s="1"/>
  <c r="AL91" i="1"/>
  <c r="AL84" i="1"/>
  <c r="AK84" i="1" s="1"/>
  <c r="AJ84" i="1" s="1"/>
  <c r="AI84" i="1" s="1"/>
  <c r="AH84" i="1" s="1"/>
  <c r="AG84" i="1" s="1"/>
  <c r="AF84" i="1" s="1"/>
  <c r="AL83" i="1"/>
  <c r="AL113" i="1"/>
  <c r="AK113" i="1" s="1"/>
  <c r="AJ113" i="1" s="1"/>
  <c r="AI113" i="1" s="1"/>
  <c r="AH113" i="1" s="1"/>
  <c r="AG113" i="1" s="1"/>
  <c r="AL112" i="1"/>
  <c r="AL102" i="1"/>
  <c r="AK102" i="1" s="1"/>
  <c r="AJ102" i="1" s="1"/>
  <c r="AI102" i="1" s="1"/>
  <c r="AH102" i="1" s="1"/>
  <c r="AL101" i="1"/>
  <c r="AL108" i="1"/>
  <c r="AK108" i="1" s="1"/>
  <c r="AJ108" i="1" s="1"/>
  <c r="AI108" i="1" s="1"/>
  <c r="AL107" i="1"/>
  <c r="AK83" i="1" l="1"/>
  <c r="AJ83" i="1" s="1"/>
  <c r="AI83" i="1" s="1"/>
  <c r="AH83" i="1" s="1"/>
  <c r="AG83" i="1" s="1"/>
  <c r="AF83" i="1" s="1"/>
  <c r="AE83" i="1" s="1"/>
  <c r="AK82" i="1"/>
  <c r="AJ82" i="1" s="1"/>
  <c r="AI82" i="1" s="1"/>
  <c r="AH82" i="1" s="1"/>
  <c r="AG82" i="1" s="1"/>
  <c r="AF82" i="1" s="1"/>
  <c r="AE82" i="1" s="1"/>
  <c r="AD82" i="1" s="1"/>
  <c r="AK101" i="1"/>
  <c r="AJ101" i="1" s="1"/>
  <c r="AI101" i="1" s="1"/>
  <c r="AH101" i="1" s="1"/>
  <c r="AG101" i="1" s="1"/>
  <c r="AK100" i="1"/>
  <c r="AK91" i="1"/>
  <c r="AJ91" i="1" s="1"/>
  <c r="AI91" i="1" s="1"/>
  <c r="AH91" i="1" s="1"/>
  <c r="AG91" i="1" s="1"/>
  <c r="AF91" i="1" s="1"/>
  <c r="AE91" i="1" s="1"/>
  <c r="AD91" i="1" s="1"/>
  <c r="AC91" i="1" s="1"/>
  <c r="AK90" i="1"/>
  <c r="AK107" i="1"/>
  <c r="AJ107" i="1" s="1"/>
  <c r="AI107" i="1" s="1"/>
  <c r="AH107" i="1" s="1"/>
  <c r="AK106" i="1"/>
  <c r="AK112" i="1"/>
  <c r="AJ112" i="1" s="1"/>
  <c r="AI112" i="1" s="1"/>
  <c r="AH112" i="1" s="1"/>
  <c r="AG112" i="1" s="1"/>
  <c r="AF112" i="1" s="1"/>
  <c r="AK111" i="1"/>
  <c r="AJ100" i="1" l="1"/>
  <c r="AI100" i="1" s="1"/>
  <c r="AH100" i="1" s="1"/>
  <c r="AG100" i="1" s="1"/>
  <c r="AF100" i="1" s="1"/>
  <c r="AJ99" i="1"/>
  <c r="AJ106" i="1"/>
  <c r="AI106" i="1" s="1"/>
  <c r="AH106" i="1" s="1"/>
  <c r="AG106" i="1" s="1"/>
  <c r="AJ105" i="1"/>
  <c r="AJ111" i="1"/>
  <c r="AI111" i="1" s="1"/>
  <c r="AH111" i="1" s="1"/>
  <c r="AG111" i="1" s="1"/>
  <c r="AF111" i="1" s="1"/>
  <c r="AE111" i="1" s="1"/>
  <c r="AJ110" i="1"/>
  <c r="AJ90" i="1"/>
  <c r="AI90" i="1" s="1"/>
  <c r="AH90" i="1" s="1"/>
  <c r="AG90" i="1" s="1"/>
  <c r="AF90" i="1" s="1"/>
  <c r="AE90" i="1" s="1"/>
  <c r="AD90" i="1" s="1"/>
  <c r="AC90" i="1" s="1"/>
  <c r="AB90" i="1" s="1"/>
  <c r="AJ89" i="1"/>
  <c r="AI105" i="1" l="1"/>
  <c r="AH105" i="1" s="1"/>
  <c r="AG105" i="1" s="1"/>
  <c r="AF105" i="1" s="1"/>
  <c r="AI104" i="1"/>
  <c r="AI89" i="1"/>
  <c r="AH89" i="1" s="1"/>
  <c r="AG89" i="1" s="1"/>
  <c r="AF89" i="1" s="1"/>
  <c r="AE89" i="1" s="1"/>
  <c r="AD89" i="1" s="1"/>
  <c r="AC89" i="1" s="1"/>
  <c r="AB89" i="1" s="1"/>
  <c r="AA89" i="1" s="1"/>
  <c r="AI88" i="1"/>
  <c r="AI99" i="1"/>
  <c r="AH99" i="1" s="1"/>
  <c r="AG99" i="1" s="1"/>
  <c r="AF99" i="1" s="1"/>
  <c r="AE99" i="1" s="1"/>
  <c r="AI98" i="1"/>
  <c r="AI110" i="1"/>
  <c r="AH110" i="1" s="1"/>
  <c r="AG110" i="1" s="1"/>
  <c r="AF110" i="1" s="1"/>
  <c r="AE110" i="1" s="1"/>
  <c r="AD110" i="1" s="1"/>
  <c r="AI109" i="1"/>
  <c r="AH88" i="1" l="1"/>
  <c r="AG88" i="1" s="1"/>
  <c r="AF88" i="1" s="1"/>
  <c r="AE88" i="1" s="1"/>
  <c r="AD88" i="1" s="1"/>
  <c r="AC88" i="1" s="1"/>
  <c r="AB88" i="1" s="1"/>
  <c r="AA88" i="1" s="1"/>
  <c r="Z88" i="1" s="1"/>
  <c r="AH87" i="1"/>
  <c r="AH98" i="1"/>
  <c r="AG98" i="1" s="1"/>
  <c r="AF98" i="1" s="1"/>
  <c r="AE98" i="1" s="1"/>
  <c r="AD98" i="1" s="1"/>
  <c r="AH97" i="1"/>
  <c r="AH109" i="1"/>
  <c r="AG109" i="1" s="1"/>
  <c r="AF109" i="1" s="1"/>
  <c r="AE109" i="1" s="1"/>
  <c r="AD109" i="1" s="1"/>
  <c r="AC109" i="1" s="1"/>
  <c r="AH108" i="1"/>
  <c r="AH104" i="1"/>
  <c r="AG104" i="1" s="1"/>
  <c r="AF104" i="1" s="1"/>
  <c r="AE104" i="1" s="1"/>
  <c r="AH103" i="1"/>
  <c r="AG97" i="1" l="1"/>
  <c r="AF97" i="1" s="1"/>
  <c r="AE97" i="1" s="1"/>
  <c r="AD97" i="1" s="1"/>
  <c r="AC97" i="1" s="1"/>
  <c r="AG96" i="1"/>
  <c r="AG108" i="1"/>
  <c r="AF108" i="1" s="1"/>
  <c r="AE108" i="1" s="1"/>
  <c r="AD108" i="1" s="1"/>
  <c r="AC108" i="1" s="1"/>
  <c r="AB108" i="1" s="1"/>
  <c r="AG107" i="1"/>
  <c r="AG103" i="1"/>
  <c r="AF103" i="1" s="1"/>
  <c r="AE103" i="1" s="1"/>
  <c r="AD103" i="1" s="1"/>
  <c r="AG102" i="1"/>
  <c r="AG87" i="1"/>
  <c r="AF87" i="1" s="1"/>
  <c r="AE87" i="1" s="1"/>
  <c r="AD87" i="1" s="1"/>
  <c r="AC87" i="1" s="1"/>
  <c r="AB87" i="1" s="1"/>
  <c r="AA87" i="1" s="1"/>
  <c r="Z87" i="1" s="1"/>
  <c r="Y87" i="1" s="1"/>
  <c r="AG86" i="1"/>
  <c r="AF102" i="1" l="1"/>
  <c r="AE102" i="1" s="1"/>
  <c r="AD102" i="1" s="1"/>
  <c r="AC102" i="1" s="1"/>
  <c r="AF101" i="1"/>
  <c r="AF107" i="1"/>
  <c r="AE107" i="1" s="1"/>
  <c r="AD107" i="1" s="1"/>
  <c r="AC107" i="1" s="1"/>
  <c r="AB107" i="1" s="1"/>
  <c r="AA107" i="1" s="1"/>
  <c r="AF106" i="1"/>
  <c r="AF96" i="1"/>
  <c r="AE96" i="1" s="1"/>
  <c r="AD96" i="1" s="1"/>
  <c r="AC96" i="1" s="1"/>
  <c r="AB96" i="1" s="1"/>
  <c r="AF95" i="1"/>
  <c r="AF86" i="1"/>
  <c r="AE86" i="1" s="1"/>
  <c r="AD86" i="1" s="1"/>
  <c r="AC86" i="1" s="1"/>
  <c r="AB86" i="1" s="1"/>
  <c r="AA86" i="1" s="1"/>
  <c r="Z86" i="1" s="1"/>
  <c r="Y86" i="1" s="1"/>
  <c r="X86" i="1" s="1"/>
  <c r="AF85" i="1"/>
  <c r="AE95" i="1" l="1"/>
  <c r="AD95" i="1" s="1"/>
  <c r="AC95" i="1" s="1"/>
  <c r="AB95" i="1" s="1"/>
  <c r="AA95" i="1" s="1"/>
  <c r="AE94" i="1"/>
  <c r="AE106" i="1"/>
  <c r="AD106" i="1" s="1"/>
  <c r="AC106" i="1" s="1"/>
  <c r="AB106" i="1" s="1"/>
  <c r="AA106" i="1" s="1"/>
  <c r="Z106" i="1" s="1"/>
  <c r="AE105" i="1"/>
  <c r="AE101" i="1"/>
  <c r="AD101" i="1" s="1"/>
  <c r="AC101" i="1" s="1"/>
  <c r="AB101" i="1" s="1"/>
  <c r="AE100" i="1"/>
  <c r="AE85" i="1"/>
  <c r="AD85" i="1" s="1"/>
  <c r="AC85" i="1" s="1"/>
  <c r="AB85" i="1" s="1"/>
  <c r="AA85" i="1" s="1"/>
  <c r="Z85" i="1" s="1"/>
  <c r="Y85" i="1" s="1"/>
  <c r="X85" i="1" s="1"/>
  <c r="W85" i="1" s="1"/>
  <c r="AE84" i="1"/>
  <c r="AD100" i="1" l="1"/>
  <c r="AC100" i="1" s="1"/>
  <c r="AB100" i="1" s="1"/>
  <c r="AA100" i="1" s="1"/>
  <c r="AD99" i="1"/>
  <c r="AD105" i="1"/>
  <c r="AC105" i="1" s="1"/>
  <c r="AB105" i="1" s="1"/>
  <c r="AA105" i="1" s="1"/>
  <c r="Z105" i="1" s="1"/>
  <c r="Y105" i="1" s="1"/>
  <c r="AD104" i="1"/>
  <c r="AD84" i="1"/>
  <c r="AC84" i="1" s="1"/>
  <c r="AB84" i="1" s="1"/>
  <c r="AA84" i="1" s="1"/>
  <c r="Z84" i="1" s="1"/>
  <c r="Y84" i="1" s="1"/>
  <c r="X84" i="1" s="1"/>
  <c r="W84" i="1" s="1"/>
  <c r="V84" i="1" s="1"/>
  <c r="AD83" i="1"/>
  <c r="AD94" i="1"/>
  <c r="AC94" i="1" s="1"/>
  <c r="AB94" i="1" s="1"/>
  <c r="AA94" i="1" s="1"/>
  <c r="Z94" i="1" s="1"/>
  <c r="AD93" i="1"/>
  <c r="AC104" i="1" l="1"/>
  <c r="AB104" i="1" s="1"/>
  <c r="AA104" i="1" s="1"/>
  <c r="Z104" i="1" s="1"/>
  <c r="Y104" i="1" s="1"/>
  <c r="X104" i="1" s="1"/>
  <c r="AC103" i="1"/>
  <c r="AC99" i="1"/>
  <c r="AB99" i="1" s="1"/>
  <c r="AA99" i="1" s="1"/>
  <c r="Z99" i="1" s="1"/>
  <c r="AC98" i="1"/>
  <c r="AC83" i="1"/>
  <c r="AB83" i="1" s="1"/>
  <c r="AA83" i="1" s="1"/>
  <c r="Z83" i="1" s="1"/>
  <c r="Y83" i="1" s="1"/>
  <c r="X83" i="1" s="1"/>
  <c r="W83" i="1" s="1"/>
  <c r="V83" i="1" s="1"/>
  <c r="U83" i="1" s="1"/>
  <c r="AC82" i="1"/>
  <c r="AB82" i="1" s="1"/>
  <c r="AA82" i="1" s="1"/>
  <c r="Z82" i="1" s="1"/>
  <c r="Y82" i="1" s="1"/>
  <c r="X82" i="1" s="1"/>
  <c r="W82" i="1" s="1"/>
  <c r="V82" i="1" s="1"/>
  <c r="U82" i="1" s="1"/>
  <c r="T82" i="1" s="1"/>
  <c r="AC93" i="1"/>
  <c r="AB93" i="1" s="1"/>
  <c r="AA93" i="1" s="1"/>
  <c r="Z93" i="1" s="1"/>
  <c r="Y93" i="1" s="1"/>
  <c r="AC92" i="1"/>
  <c r="AB98" i="1" l="1"/>
  <c r="AA98" i="1" s="1"/>
  <c r="Z98" i="1" s="1"/>
  <c r="Y98" i="1" s="1"/>
  <c r="AB97" i="1"/>
  <c r="AB103" i="1"/>
  <c r="AA103" i="1" s="1"/>
  <c r="Z103" i="1" s="1"/>
  <c r="Y103" i="1" s="1"/>
  <c r="X103" i="1" s="1"/>
  <c r="W103" i="1" s="1"/>
  <c r="AB102" i="1"/>
  <c r="AB92" i="1"/>
  <c r="AA92" i="1" s="1"/>
  <c r="Z92" i="1" s="1"/>
  <c r="Y92" i="1" s="1"/>
  <c r="X92" i="1" s="1"/>
  <c r="AB91" i="1"/>
  <c r="AA102" i="1" l="1"/>
  <c r="Z102" i="1" s="1"/>
  <c r="Y102" i="1" s="1"/>
  <c r="X102" i="1" s="1"/>
  <c r="W102" i="1" s="1"/>
  <c r="V102" i="1" s="1"/>
  <c r="AA101" i="1"/>
  <c r="AA97" i="1"/>
  <c r="Z97" i="1" s="1"/>
  <c r="Y97" i="1" s="1"/>
  <c r="X97" i="1" s="1"/>
  <c r="AA96" i="1"/>
  <c r="AA91" i="1"/>
  <c r="Z91" i="1" s="1"/>
  <c r="Y91" i="1" s="1"/>
  <c r="X91" i="1" s="1"/>
  <c r="W91" i="1" s="1"/>
  <c r="AA90" i="1"/>
  <c r="Z96" i="1" l="1"/>
  <c r="Y96" i="1" s="1"/>
  <c r="X96" i="1" s="1"/>
  <c r="W96" i="1" s="1"/>
  <c r="Z95" i="1"/>
  <c r="Z90" i="1"/>
  <c r="Y90" i="1" s="1"/>
  <c r="X90" i="1" s="1"/>
  <c r="W90" i="1" s="1"/>
  <c r="V90" i="1" s="1"/>
  <c r="Z89" i="1"/>
  <c r="Z101" i="1"/>
  <c r="Y101" i="1" s="1"/>
  <c r="X101" i="1" s="1"/>
  <c r="W101" i="1" s="1"/>
  <c r="V101" i="1" s="1"/>
  <c r="U101" i="1" s="1"/>
  <c r="Z100" i="1"/>
  <c r="Y100" i="1" l="1"/>
  <c r="X100" i="1" s="1"/>
  <c r="W100" i="1" s="1"/>
  <c r="V100" i="1" s="1"/>
  <c r="U100" i="1" s="1"/>
  <c r="T100" i="1" s="1"/>
  <c r="Y99" i="1"/>
  <c r="Y89" i="1"/>
  <c r="X89" i="1" s="1"/>
  <c r="W89" i="1" s="1"/>
  <c r="V89" i="1" s="1"/>
  <c r="U89" i="1" s="1"/>
  <c r="Y88" i="1"/>
  <c r="Y95" i="1"/>
  <c r="X95" i="1" s="1"/>
  <c r="W95" i="1" s="1"/>
  <c r="V95" i="1" s="1"/>
  <c r="Y94" i="1"/>
  <c r="X94" i="1" l="1"/>
  <c r="W94" i="1" s="1"/>
  <c r="V94" i="1" s="1"/>
  <c r="U94" i="1" s="1"/>
  <c r="X93" i="1"/>
  <c r="X88" i="1"/>
  <c r="W88" i="1" s="1"/>
  <c r="V88" i="1" s="1"/>
  <c r="U88" i="1" s="1"/>
  <c r="T88" i="1" s="1"/>
  <c r="X87" i="1"/>
  <c r="X99" i="1"/>
  <c r="W99" i="1" s="1"/>
  <c r="V99" i="1" s="1"/>
  <c r="U99" i="1" s="1"/>
  <c r="T99" i="1" s="1"/>
  <c r="S99" i="1" s="1"/>
  <c r="X98" i="1"/>
  <c r="W87" i="1" l="1"/>
  <c r="V87" i="1" s="1"/>
  <c r="U87" i="1" s="1"/>
  <c r="T87" i="1" s="1"/>
  <c r="S87" i="1" s="1"/>
  <c r="W86" i="1"/>
  <c r="W93" i="1"/>
  <c r="V93" i="1" s="1"/>
  <c r="U93" i="1" s="1"/>
  <c r="T93" i="1" s="1"/>
  <c r="W92" i="1"/>
  <c r="W98" i="1"/>
  <c r="V98" i="1" s="1"/>
  <c r="U98" i="1" s="1"/>
  <c r="T98" i="1" s="1"/>
  <c r="S98" i="1" s="1"/>
  <c r="R98" i="1" s="1"/>
  <c r="W97" i="1"/>
  <c r="V92" i="1" l="1"/>
  <c r="U92" i="1" s="1"/>
  <c r="T92" i="1" s="1"/>
  <c r="S92" i="1" s="1"/>
  <c r="V91" i="1"/>
  <c r="V97" i="1"/>
  <c r="U97" i="1" s="1"/>
  <c r="T97" i="1" s="1"/>
  <c r="S97" i="1" s="1"/>
  <c r="R97" i="1" s="1"/>
  <c r="Q97" i="1" s="1"/>
  <c r="V96" i="1"/>
  <c r="V86" i="1"/>
  <c r="U86" i="1" s="1"/>
  <c r="T86" i="1" s="1"/>
  <c r="S86" i="1" s="1"/>
  <c r="R86" i="1" s="1"/>
  <c r="V85" i="1"/>
  <c r="U96" i="1" l="1"/>
  <c r="T96" i="1" s="1"/>
  <c r="S96" i="1" s="1"/>
  <c r="R96" i="1" s="1"/>
  <c r="Q96" i="1" s="1"/>
  <c r="P96" i="1" s="1"/>
  <c r="U95" i="1"/>
  <c r="U91" i="1"/>
  <c r="T91" i="1" s="1"/>
  <c r="S91" i="1" s="1"/>
  <c r="R91" i="1" s="1"/>
  <c r="U90" i="1"/>
  <c r="U85" i="1"/>
  <c r="T85" i="1" s="1"/>
  <c r="S85" i="1" s="1"/>
  <c r="R85" i="1" s="1"/>
  <c r="Q85" i="1" s="1"/>
  <c r="U84" i="1"/>
  <c r="T84" i="1" l="1"/>
  <c r="S84" i="1" s="1"/>
  <c r="R84" i="1" s="1"/>
  <c r="Q84" i="1" s="1"/>
  <c r="P84" i="1" s="1"/>
  <c r="T83" i="1"/>
  <c r="T90" i="1"/>
  <c r="S90" i="1" s="1"/>
  <c r="R90" i="1" s="1"/>
  <c r="Q90" i="1" s="1"/>
  <c r="T89" i="1"/>
  <c r="T95" i="1"/>
  <c r="S95" i="1" s="1"/>
  <c r="R95" i="1" s="1"/>
  <c r="Q95" i="1" s="1"/>
  <c r="P95" i="1" s="1"/>
  <c r="O95" i="1" s="1"/>
  <c r="T94" i="1"/>
  <c r="S94" i="1" l="1"/>
  <c r="R94" i="1" s="1"/>
  <c r="Q94" i="1" s="1"/>
  <c r="P94" i="1" s="1"/>
  <c r="O94" i="1" s="1"/>
  <c r="N94" i="1" s="1"/>
  <c r="S93" i="1"/>
  <c r="S89" i="1"/>
  <c r="R89" i="1" s="1"/>
  <c r="Q89" i="1" s="1"/>
  <c r="P89" i="1" s="1"/>
  <c r="S88" i="1"/>
  <c r="S83" i="1"/>
  <c r="R83" i="1" s="1"/>
  <c r="Q83" i="1" s="1"/>
  <c r="P83" i="1" s="1"/>
  <c r="O83" i="1" s="1"/>
  <c r="S82" i="1"/>
  <c r="R82" i="1" s="1"/>
  <c r="Q82" i="1" s="1"/>
  <c r="P82" i="1" s="1"/>
  <c r="O82" i="1" s="1"/>
  <c r="N82" i="1" s="1"/>
  <c r="R93" i="1" l="1"/>
  <c r="Q93" i="1" s="1"/>
  <c r="P93" i="1" s="1"/>
  <c r="O93" i="1" s="1"/>
  <c r="N93" i="1" s="1"/>
  <c r="M93" i="1" s="1"/>
  <c r="R92" i="1"/>
  <c r="R88" i="1"/>
  <c r="Q88" i="1" s="1"/>
  <c r="P88" i="1" s="1"/>
  <c r="O88" i="1" s="1"/>
  <c r="R87" i="1"/>
  <c r="Q87" i="1" l="1"/>
  <c r="P87" i="1" s="1"/>
  <c r="O87" i="1" s="1"/>
  <c r="N87" i="1" s="1"/>
  <c r="Q86" i="1"/>
  <c r="Q92" i="1"/>
  <c r="P92" i="1" s="1"/>
  <c r="O92" i="1" s="1"/>
  <c r="N92" i="1" s="1"/>
  <c r="M92" i="1" s="1"/>
  <c r="L92" i="1" s="1"/>
  <c r="Q91" i="1"/>
  <c r="P91" i="1" l="1"/>
  <c r="O91" i="1" s="1"/>
  <c r="N91" i="1" s="1"/>
  <c r="M91" i="1" s="1"/>
  <c r="L91" i="1" s="1"/>
  <c r="K91" i="1" s="1"/>
  <c r="P90" i="1"/>
  <c r="P86" i="1"/>
  <c r="O86" i="1" s="1"/>
  <c r="N86" i="1" s="1"/>
  <c r="M86" i="1" s="1"/>
  <c r="P85" i="1"/>
  <c r="O85" i="1" l="1"/>
  <c r="N85" i="1" s="1"/>
  <c r="M85" i="1" s="1"/>
  <c r="L85" i="1" s="1"/>
  <c r="O84" i="1"/>
  <c r="O90" i="1"/>
  <c r="N90" i="1" s="1"/>
  <c r="M90" i="1" s="1"/>
  <c r="L90" i="1" s="1"/>
  <c r="K90" i="1" s="1"/>
  <c r="J90" i="1" s="1"/>
  <c r="O89" i="1"/>
  <c r="N89" i="1" l="1"/>
  <c r="M89" i="1" s="1"/>
  <c r="L89" i="1" s="1"/>
  <c r="K89" i="1" s="1"/>
  <c r="J89" i="1" s="1"/>
  <c r="I89" i="1" s="1"/>
  <c r="N88" i="1"/>
  <c r="N84" i="1"/>
  <c r="M84" i="1" s="1"/>
  <c r="L84" i="1" s="1"/>
  <c r="K84" i="1" s="1"/>
  <c r="N83" i="1"/>
  <c r="M83" i="1" l="1"/>
  <c r="L83" i="1" s="1"/>
  <c r="K83" i="1" s="1"/>
  <c r="J83" i="1" s="1"/>
  <c r="M82" i="1"/>
  <c r="L82" i="1" s="1"/>
  <c r="K82" i="1" s="1"/>
  <c r="J82" i="1" s="1"/>
  <c r="I82" i="1" s="1"/>
  <c r="M88" i="1"/>
  <c r="L88" i="1" s="1"/>
  <c r="K88" i="1" s="1"/>
  <c r="J88" i="1" s="1"/>
  <c r="I88" i="1" s="1"/>
  <c r="H88" i="1" s="1"/>
  <c r="M87" i="1"/>
  <c r="L87" i="1" l="1"/>
  <c r="K87" i="1" s="1"/>
  <c r="J87" i="1" s="1"/>
  <c r="I87" i="1" s="1"/>
  <c r="H87" i="1" s="1"/>
  <c r="G87" i="1" s="1"/>
  <c r="L86" i="1"/>
  <c r="K86" i="1" l="1"/>
  <c r="J86" i="1" s="1"/>
  <c r="I86" i="1" s="1"/>
  <c r="H86" i="1" s="1"/>
  <c r="G86" i="1" s="1"/>
  <c r="F86" i="1" s="1"/>
  <c r="K85" i="1"/>
  <c r="J85" i="1" l="1"/>
  <c r="I85" i="1" s="1"/>
  <c r="H85" i="1" s="1"/>
  <c r="G85" i="1" s="1"/>
  <c r="F85" i="1" s="1"/>
  <c r="E85" i="1" s="1"/>
  <c r="J84" i="1"/>
  <c r="I84" i="1" l="1"/>
  <c r="H84" i="1" s="1"/>
  <c r="G84" i="1" s="1"/>
  <c r="F84" i="1" s="1"/>
  <c r="E84" i="1" s="1"/>
  <c r="D84" i="1" s="1"/>
  <c r="I83" i="1"/>
  <c r="H83" i="1" l="1"/>
  <c r="G83" i="1" s="1"/>
  <c r="F83" i="1" s="1"/>
  <c r="E83" i="1" s="1"/>
  <c r="D83" i="1" s="1"/>
  <c r="C83" i="1" s="1"/>
  <c r="H82" i="1"/>
  <c r="G82" i="1" s="1"/>
  <c r="F82" i="1" s="1"/>
  <c r="E82" i="1" s="1"/>
  <c r="D82" i="1" s="1"/>
  <c r="C82" i="1" s="1"/>
  <c r="B82" i="1" s="1"/>
  <c r="L3" i="1" s="1"/>
  <c r="BJ8" i="1" s="1"/>
  <c r="BJ9" i="1" s="1"/>
  <c r="O4" i="1" s="1"/>
</calcChain>
</file>

<file path=xl/sharedStrings.xml><?xml version="1.0" encoding="utf-8"?>
<sst xmlns="http://schemas.openxmlformats.org/spreadsheetml/2006/main" count="739" uniqueCount="702">
  <si>
    <t>sigma</t>
  </si>
  <si>
    <t>T</t>
  </si>
  <si>
    <t>Tree</t>
  </si>
  <si>
    <t>h</t>
  </si>
  <si>
    <t>i==&gt;</t>
  </si>
  <si>
    <t>time ==&gt;</t>
  </si>
  <si>
    <t>Price Binomial</t>
  </si>
  <si>
    <t>r0</t>
  </si>
  <si>
    <t>coupon</t>
  </si>
  <si>
    <t>Bond Assumption</t>
  </si>
  <si>
    <t>Interest Rate Assumptions</t>
  </si>
  <si>
    <t>Target</t>
  </si>
  <si>
    <t>Model Price</t>
  </si>
  <si>
    <t>(obtained from first zero)</t>
  </si>
  <si>
    <t>Zeros (Data)</t>
  </si>
  <si>
    <t>Target = (Data - Model)^2</t>
  </si>
  <si>
    <t>theta (i)</t>
  </si>
  <si>
    <t>Interest Rate Tree</t>
  </si>
  <si>
    <t>i</t>
  </si>
  <si>
    <t>crspid</t>
  </si>
  <si>
    <t>type</t>
  </si>
  <si>
    <t>couprt</t>
  </si>
  <si>
    <t>bid</t>
  </si>
  <si>
    <t>ask</t>
  </si>
  <si>
    <t>Maturity</t>
  </si>
  <si>
    <t>time</t>
  </si>
  <si>
    <t>Final Mat</t>
  </si>
  <si>
    <t>Run Macro</t>
  </si>
  <si>
    <t>Ctrl-Shift-F</t>
  </si>
  <si>
    <t>by changing</t>
  </si>
  <si>
    <t>SolverEngage</t>
  </si>
  <si>
    <t>LAST COUPON</t>
  </si>
  <si>
    <t>TODAY</t>
  </si>
  <si>
    <t>theta0</t>
  </si>
  <si>
    <t>theta1</t>
  </si>
  <si>
    <t>theta2</t>
  </si>
  <si>
    <t>Yield</t>
  </si>
  <si>
    <t>Duration</t>
  </si>
  <si>
    <t>Convexity</t>
  </si>
  <si>
    <t>Series Description</t>
  </si>
  <si>
    <t>6-month Treasury bill secondary market rate   discount basis</t>
  </si>
  <si>
    <t>Unit:</t>
  </si>
  <si>
    <t>Percent:_Per_Year</t>
  </si>
  <si>
    <t>Multiplier:</t>
  </si>
  <si>
    <t>Currency:</t>
  </si>
  <si>
    <t>NA</t>
  </si>
  <si>
    <t xml:space="preserve">Unique Identifier: </t>
  </si>
  <si>
    <t>H15/H15/RIFSGFSM06_N.M</t>
  </si>
  <si>
    <t>Time Period</t>
  </si>
  <si>
    <t>RIFSGFSM06_N.M</t>
  </si>
  <si>
    <t>1958-12</t>
  </si>
  <si>
    <t>1959-01</t>
  </si>
  <si>
    <t>1959-02</t>
  </si>
  <si>
    <t>1959-03</t>
  </si>
  <si>
    <t>1959-04</t>
  </si>
  <si>
    <t>1959-05</t>
  </si>
  <si>
    <t>1959-06</t>
  </si>
  <si>
    <t>1959-07</t>
  </si>
  <si>
    <t>1959-08</t>
  </si>
  <si>
    <t>1959-09</t>
  </si>
  <si>
    <t>1959-10</t>
  </si>
  <si>
    <t>1959-11</t>
  </si>
  <si>
    <t>1959-12</t>
  </si>
  <si>
    <t>1960-01</t>
  </si>
  <si>
    <t>1960-02</t>
  </si>
  <si>
    <t>1960-03</t>
  </si>
  <si>
    <t>1960-04</t>
  </si>
  <si>
    <t>1960-05</t>
  </si>
  <si>
    <t>1960-06</t>
  </si>
  <si>
    <t>1960-07</t>
  </si>
  <si>
    <t>1960-08</t>
  </si>
  <si>
    <t>1960-09</t>
  </si>
  <si>
    <t>1960-10</t>
  </si>
  <si>
    <t>1960-11</t>
  </si>
  <si>
    <t>1960-12</t>
  </si>
  <si>
    <t>1961-01</t>
  </si>
  <si>
    <t>1961-02</t>
  </si>
  <si>
    <t>1961-03</t>
  </si>
  <si>
    <t>1961-04</t>
  </si>
  <si>
    <t>1961-05</t>
  </si>
  <si>
    <t>1961-06</t>
  </si>
  <si>
    <t>1961-07</t>
  </si>
  <si>
    <t>1961-08</t>
  </si>
  <si>
    <t>1961-09</t>
  </si>
  <si>
    <t>1961-10</t>
  </si>
  <si>
    <t>1961-11</t>
  </si>
  <si>
    <t>1961-12</t>
  </si>
  <si>
    <t>1962-01</t>
  </si>
  <si>
    <t>1962-02</t>
  </si>
  <si>
    <t>1962-03</t>
  </si>
  <si>
    <t>1962-04</t>
  </si>
  <si>
    <t>1962-05</t>
  </si>
  <si>
    <t>1962-06</t>
  </si>
  <si>
    <t>1962-07</t>
  </si>
  <si>
    <t>1962-08</t>
  </si>
  <si>
    <t>1962-09</t>
  </si>
  <si>
    <t>1962-10</t>
  </si>
  <si>
    <t>1962-11</t>
  </si>
  <si>
    <t>1962-12</t>
  </si>
  <si>
    <t>1963-01</t>
  </si>
  <si>
    <t>1963-02</t>
  </si>
  <si>
    <t>1963-03</t>
  </si>
  <si>
    <t>1963-04</t>
  </si>
  <si>
    <t>1963-05</t>
  </si>
  <si>
    <t>1963-06</t>
  </si>
  <si>
    <t>1963-07</t>
  </si>
  <si>
    <t>1963-08</t>
  </si>
  <si>
    <t>1963-09</t>
  </si>
  <si>
    <t>1963-10</t>
  </si>
  <si>
    <t>1963-11</t>
  </si>
  <si>
    <t>1963-12</t>
  </si>
  <si>
    <t>1964-01</t>
  </si>
  <si>
    <t>1964-02</t>
  </si>
  <si>
    <t>1964-03</t>
  </si>
  <si>
    <t>1964-04</t>
  </si>
  <si>
    <t>1964-05</t>
  </si>
  <si>
    <t>1964-06</t>
  </si>
  <si>
    <t>1964-07</t>
  </si>
  <si>
    <t>1964-08</t>
  </si>
  <si>
    <t>1964-09</t>
  </si>
  <si>
    <t>1964-10</t>
  </si>
  <si>
    <t>1964-11</t>
  </si>
  <si>
    <t>1964-12</t>
  </si>
  <si>
    <t>1965-01</t>
  </si>
  <si>
    <t>1965-02</t>
  </si>
  <si>
    <t>1965-03</t>
  </si>
  <si>
    <t>1965-04</t>
  </si>
  <si>
    <t>1965-05</t>
  </si>
  <si>
    <t>1965-06</t>
  </si>
  <si>
    <t>1965-07</t>
  </si>
  <si>
    <t>1965-08</t>
  </si>
  <si>
    <t>1965-09</t>
  </si>
  <si>
    <t>1965-10</t>
  </si>
  <si>
    <t>1965-11</t>
  </si>
  <si>
    <t>1965-12</t>
  </si>
  <si>
    <t>1966-01</t>
  </si>
  <si>
    <t>1966-02</t>
  </si>
  <si>
    <t>1966-03</t>
  </si>
  <si>
    <t>1966-04</t>
  </si>
  <si>
    <t>1966-05</t>
  </si>
  <si>
    <t>1966-06</t>
  </si>
  <si>
    <t>1966-07</t>
  </si>
  <si>
    <t>1966-08</t>
  </si>
  <si>
    <t>1966-09</t>
  </si>
  <si>
    <t>1966-10</t>
  </si>
  <si>
    <t>1966-11</t>
  </si>
  <si>
    <t>1966-12</t>
  </si>
  <si>
    <t>1967-01</t>
  </si>
  <si>
    <t>1967-02</t>
  </si>
  <si>
    <t>1967-03</t>
  </si>
  <si>
    <t>1967-04</t>
  </si>
  <si>
    <t>1967-05</t>
  </si>
  <si>
    <t>1967-06</t>
  </si>
  <si>
    <t>1967-07</t>
  </si>
  <si>
    <t>1967-08</t>
  </si>
  <si>
    <t>1967-09</t>
  </si>
  <si>
    <t>1967-10</t>
  </si>
  <si>
    <t>1967-11</t>
  </si>
  <si>
    <t>1967-12</t>
  </si>
  <si>
    <t>1968-01</t>
  </si>
  <si>
    <t>1968-02</t>
  </si>
  <si>
    <t>1968-03</t>
  </si>
  <si>
    <t>1968-04</t>
  </si>
  <si>
    <t>1968-05</t>
  </si>
  <si>
    <t>1968-06</t>
  </si>
  <si>
    <t>1968-07</t>
  </si>
  <si>
    <t>1968-08</t>
  </si>
  <si>
    <t>1968-09</t>
  </si>
  <si>
    <t>1968-10</t>
  </si>
  <si>
    <t>1968-11</t>
  </si>
  <si>
    <t>1968-12</t>
  </si>
  <si>
    <t>1969-01</t>
  </si>
  <si>
    <t>1969-02</t>
  </si>
  <si>
    <t>1969-03</t>
  </si>
  <si>
    <t>1969-04</t>
  </si>
  <si>
    <t>1969-05</t>
  </si>
  <si>
    <t>1969-06</t>
  </si>
  <si>
    <t>1969-07</t>
  </si>
  <si>
    <t>1969-08</t>
  </si>
  <si>
    <t>1969-09</t>
  </si>
  <si>
    <t>1969-10</t>
  </si>
  <si>
    <t>1969-11</t>
  </si>
  <si>
    <t>1969-12</t>
  </si>
  <si>
    <t>1970-01</t>
  </si>
  <si>
    <t>1970-02</t>
  </si>
  <si>
    <t>1970-03</t>
  </si>
  <si>
    <t>1970-04</t>
  </si>
  <si>
    <t>1970-05</t>
  </si>
  <si>
    <t>1970-06</t>
  </si>
  <si>
    <t>1970-07</t>
  </si>
  <si>
    <t>1970-08</t>
  </si>
  <si>
    <t>1970-09</t>
  </si>
  <si>
    <t>1970-10</t>
  </si>
  <si>
    <t>1970-11</t>
  </si>
  <si>
    <t>1970-12</t>
  </si>
  <si>
    <t>1971-01</t>
  </si>
  <si>
    <t>1971-02</t>
  </si>
  <si>
    <t>1971-03</t>
  </si>
  <si>
    <t>1971-04</t>
  </si>
  <si>
    <t>1971-05</t>
  </si>
  <si>
    <t>1971-06</t>
  </si>
  <si>
    <t>1971-07</t>
  </si>
  <si>
    <t>1971-08</t>
  </si>
  <si>
    <t>1971-09</t>
  </si>
  <si>
    <t>1971-10</t>
  </si>
  <si>
    <t>1971-11</t>
  </si>
  <si>
    <t>1971-12</t>
  </si>
  <si>
    <t>1972-01</t>
  </si>
  <si>
    <t>1972-02</t>
  </si>
  <si>
    <t>1972-03</t>
  </si>
  <si>
    <t>1972-04</t>
  </si>
  <si>
    <t>1972-05</t>
  </si>
  <si>
    <t>1972-06</t>
  </si>
  <si>
    <t>1972-07</t>
  </si>
  <si>
    <t>1972-08</t>
  </si>
  <si>
    <t>1972-09</t>
  </si>
  <si>
    <t>1972-10</t>
  </si>
  <si>
    <t>1972-11</t>
  </si>
  <si>
    <t>1972-12</t>
  </si>
  <si>
    <t>1973-01</t>
  </si>
  <si>
    <t>1973-02</t>
  </si>
  <si>
    <t>1973-03</t>
  </si>
  <si>
    <t>1973-04</t>
  </si>
  <si>
    <t>1973-05</t>
  </si>
  <si>
    <t>1973-06</t>
  </si>
  <si>
    <t>1973-07</t>
  </si>
  <si>
    <t>1973-08</t>
  </si>
  <si>
    <t>1973-09</t>
  </si>
  <si>
    <t>1973-10</t>
  </si>
  <si>
    <t>1973-11</t>
  </si>
  <si>
    <t>1973-12</t>
  </si>
  <si>
    <t>1974-01</t>
  </si>
  <si>
    <t>1974-02</t>
  </si>
  <si>
    <t>1974-03</t>
  </si>
  <si>
    <t>1974-04</t>
  </si>
  <si>
    <t>1974-05</t>
  </si>
  <si>
    <t>1974-06</t>
  </si>
  <si>
    <t>1974-07</t>
  </si>
  <si>
    <t>1974-08</t>
  </si>
  <si>
    <t>1974-09</t>
  </si>
  <si>
    <t>1974-10</t>
  </si>
  <si>
    <t>1974-11</t>
  </si>
  <si>
    <t>1974-12</t>
  </si>
  <si>
    <t>1975-01</t>
  </si>
  <si>
    <t>1975-02</t>
  </si>
  <si>
    <t>1975-03</t>
  </si>
  <si>
    <t>1975-04</t>
  </si>
  <si>
    <t>1975-05</t>
  </si>
  <si>
    <t>1975-06</t>
  </si>
  <si>
    <t>1975-07</t>
  </si>
  <si>
    <t>1975-08</t>
  </si>
  <si>
    <t>1975-09</t>
  </si>
  <si>
    <t>1975-10</t>
  </si>
  <si>
    <t>1975-11</t>
  </si>
  <si>
    <t>1975-12</t>
  </si>
  <si>
    <t>1976-01</t>
  </si>
  <si>
    <t>1976-02</t>
  </si>
  <si>
    <t>1976-03</t>
  </si>
  <si>
    <t>1976-04</t>
  </si>
  <si>
    <t>1976-05</t>
  </si>
  <si>
    <t>1976-06</t>
  </si>
  <si>
    <t>1976-07</t>
  </si>
  <si>
    <t>1976-08</t>
  </si>
  <si>
    <t>1976-09</t>
  </si>
  <si>
    <t>1976-10</t>
  </si>
  <si>
    <t>1976-11</t>
  </si>
  <si>
    <t>1976-12</t>
  </si>
  <si>
    <t>1977-01</t>
  </si>
  <si>
    <t>1977-02</t>
  </si>
  <si>
    <t>1977-03</t>
  </si>
  <si>
    <t>1977-04</t>
  </si>
  <si>
    <t>1977-05</t>
  </si>
  <si>
    <t>1977-06</t>
  </si>
  <si>
    <t>1977-07</t>
  </si>
  <si>
    <t>1977-08</t>
  </si>
  <si>
    <t>1977-09</t>
  </si>
  <si>
    <t>1977-10</t>
  </si>
  <si>
    <t>1977-11</t>
  </si>
  <si>
    <t>1977-12</t>
  </si>
  <si>
    <t>1978-01</t>
  </si>
  <si>
    <t>1978-02</t>
  </si>
  <si>
    <t>1978-03</t>
  </si>
  <si>
    <t>1978-04</t>
  </si>
  <si>
    <t>1978-05</t>
  </si>
  <si>
    <t>1978-06</t>
  </si>
  <si>
    <t>1978-07</t>
  </si>
  <si>
    <t>1978-08</t>
  </si>
  <si>
    <t>1978-09</t>
  </si>
  <si>
    <t>1978-10</t>
  </si>
  <si>
    <t>1978-11</t>
  </si>
  <si>
    <t>1978-12</t>
  </si>
  <si>
    <t>1979-01</t>
  </si>
  <si>
    <t>1979-02</t>
  </si>
  <si>
    <t>1979-03</t>
  </si>
  <si>
    <t>1979-04</t>
  </si>
  <si>
    <t>1979-05</t>
  </si>
  <si>
    <t>1979-06</t>
  </si>
  <si>
    <t>1979-07</t>
  </si>
  <si>
    <t>1979-08</t>
  </si>
  <si>
    <t>1979-09</t>
  </si>
  <si>
    <t>1979-10</t>
  </si>
  <si>
    <t>1979-11</t>
  </si>
  <si>
    <t>1979-12</t>
  </si>
  <si>
    <t>1980-01</t>
  </si>
  <si>
    <t>1980-02</t>
  </si>
  <si>
    <t>1980-03</t>
  </si>
  <si>
    <t>1980-04</t>
  </si>
  <si>
    <t>1980-05</t>
  </si>
  <si>
    <t>1980-06</t>
  </si>
  <si>
    <t>1980-07</t>
  </si>
  <si>
    <t>1980-08</t>
  </si>
  <si>
    <t>1980-09</t>
  </si>
  <si>
    <t>1980-10</t>
  </si>
  <si>
    <t>1980-11</t>
  </si>
  <si>
    <t>1980-12</t>
  </si>
  <si>
    <t>1981-01</t>
  </si>
  <si>
    <t>1981-02</t>
  </si>
  <si>
    <t>1981-03</t>
  </si>
  <si>
    <t>1981-04</t>
  </si>
  <si>
    <t>1981-05</t>
  </si>
  <si>
    <t>1981-06</t>
  </si>
  <si>
    <t>1981-07</t>
  </si>
  <si>
    <t>1981-08</t>
  </si>
  <si>
    <t>1981-09</t>
  </si>
  <si>
    <t>1981-10</t>
  </si>
  <si>
    <t>1981-11</t>
  </si>
  <si>
    <t>1981-12</t>
  </si>
  <si>
    <t>1982-01</t>
  </si>
  <si>
    <t>1982-02</t>
  </si>
  <si>
    <t>1982-03</t>
  </si>
  <si>
    <t>1982-04</t>
  </si>
  <si>
    <t>1982-05</t>
  </si>
  <si>
    <t>1982-06</t>
  </si>
  <si>
    <t>1982-07</t>
  </si>
  <si>
    <t>1982-08</t>
  </si>
  <si>
    <t>1982-09</t>
  </si>
  <si>
    <t>1982-10</t>
  </si>
  <si>
    <t>1982-11</t>
  </si>
  <si>
    <t>1982-12</t>
  </si>
  <si>
    <t>1983-01</t>
  </si>
  <si>
    <t>1983-02</t>
  </si>
  <si>
    <t>1983-03</t>
  </si>
  <si>
    <t>1983-04</t>
  </si>
  <si>
    <t>1983-05</t>
  </si>
  <si>
    <t>1983-06</t>
  </si>
  <si>
    <t>1983-07</t>
  </si>
  <si>
    <t>1983-08</t>
  </si>
  <si>
    <t>1983-09</t>
  </si>
  <si>
    <t>1983-10</t>
  </si>
  <si>
    <t>1983-11</t>
  </si>
  <si>
    <t>1983-12</t>
  </si>
  <si>
    <t>1984-01</t>
  </si>
  <si>
    <t>1984-02</t>
  </si>
  <si>
    <t>1984-03</t>
  </si>
  <si>
    <t>1984-04</t>
  </si>
  <si>
    <t>1984-05</t>
  </si>
  <si>
    <t>1984-06</t>
  </si>
  <si>
    <t>1984-07</t>
  </si>
  <si>
    <t>1984-08</t>
  </si>
  <si>
    <t>1984-09</t>
  </si>
  <si>
    <t>1984-10</t>
  </si>
  <si>
    <t>1984-11</t>
  </si>
  <si>
    <t>1984-12</t>
  </si>
  <si>
    <t>1985-01</t>
  </si>
  <si>
    <t>1985-02</t>
  </si>
  <si>
    <t>1985-03</t>
  </si>
  <si>
    <t>1985-04</t>
  </si>
  <si>
    <t>1985-05</t>
  </si>
  <si>
    <t>1985-06</t>
  </si>
  <si>
    <t>1985-07</t>
  </si>
  <si>
    <t>1985-08</t>
  </si>
  <si>
    <t>1985-09</t>
  </si>
  <si>
    <t>1985-10</t>
  </si>
  <si>
    <t>1985-11</t>
  </si>
  <si>
    <t>1985-12</t>
  </si>
  <si>
    <t>1986-01</t>
  </si>
  <si>
    <t>1986-02</t>
  </si>
  <si>
    <t>1986-03</t>
  </si>
  <si>
    <t>1986-04</t>
  </si>
  <si>
    <t>1986-05</t>
  </si>
  <si>
    <t>1986-06</t>
  </si>
  <si>
    <t>1986-07</t>
  </si>
  <si>
    <t>1986-08</t>
  </si>
  <si>
    <t>1986-09</t>
  </si>
  <si>
    <t>1986-10</t>
  </si>
  <si>
    <t>1986-11</t>
  </si>
  <si>
    <t>1986-12</t>
  </si>
  <si>
    <t>1987-01</t>
  </si>
  <si>
    <t>1987-02</t>
  </si>
  <si>
    <t>1987-03</t>
  </si>
  <si>
    <t>1987-04</t>
  </si>
  <si>
    <t>1987-05</t>
  </si>
  <si>
    <t>1987-06</t>
  </si>
  <si>
    <t>1987-07</t>
  </si>
  <si>
    <t>1987-08</t>
  </si>
  <si>
    <t>1987-09</t>
  </si>
  <si>
    <t>1987-10</t>
  </si>
  <si>
    <t>1987-11</t>
  </si>
  <si>
    <t>1987-12</t>
  </si>
  <si>
    <t>1988-01</t>
  </si>
  <si>
    <t>1988-02</t>
  </si>
  <si>
    <t>1988-03</t>
  </si>
  <si>
    <t>1988-04</t>
  </si>
  <si>
    <t>1988-05</t>
  </si>
  <si>
    <t>1988-06</t>
  </si>
  <si>
    <t>1988-07</t>
  </si>
  <si>
    <t>1988-08</t>
  </si>
  <si>
    <t>1988-09</t>
  </si>
  <si>
    <t>1988-10</t>
  </si>
  <si>
    <t>1988-11</t>
  </si>
  <si>
    <t>1988-12</t>
  </si>
  <si>
    <t>1989-01</t>
  </si>
  <si>
    <t>1989-02</t>
  </si>
  <si>
    <t>1989-03</t>
  </si>
  <si>
    <t>1989-04</t>
  </si>
  <si>
    <t>1989-05</t>
  </si>
  <si>
    <t>1989-06</t>
  </si>
  <si>
    <t>1989-07</t>
  </si>
  <si>
    <t>1989-08</t>
  </si>
  <si>
    <t>1989-09</t>
  </si>
  <si>
    <t>1989-10</t>
  </si>
  <si>
    <t>1989-11</t>
  </si>
  <si>
    <t>1989-12</t>
  </si>
  <si>
    <t>1990-01</t>
  </si>
  <si>
    <t>1990-02</t>
  </si>
  <si>
    <t>1990-03</t>
  </si>
  <si>
    <t>1990-04</t>
  </si>
  <si>
    <t>1990-05</t>
  </si>
  <si>
    <t>1990-06</t>
  </si>
  <si>
    <t>1990-07</t>
  </si>
  <si>
    <t>1990-08</t>
  </si>
  <si>
    <t>1990-09</t>
  </si>
  <si>
    <t>1990-10</t>
  </si>
  <si>
    <t>1990-11</t>
  </si>
  <si>
    <t>1990-12</t>
  </si>
  <si>
    <t>1991-01</t>
  </si>
  <si>
    <t>1991-02</t>
  </si>
  <si>
    <t>1991-03</t>
  </si>
  <si>
    <t>1991-04</t>
  </si>
  <si>
    <t>1991-05</t>
  </si>
  <si>
    <t>1991-06</t>
  </si>
  <si>
    <t>1991-07</t>
  </si>
  <si>
    <t>1991-08</t>
  </si>
  <si>
    <t>1991-09</t>
  </si>
  <si>
    <t>1991-10</t>
  </si>
  <si>
    <t>1991-11</t>
  </si>
  <si>
    <t>1991-12</t>
  </si>
  <si>
    <t>1992-01</t>
  </si>
  <si>
    <t>1992-02</t>
  </si>
  <si>
    <t>1992-03</t>
  </si>
  <si>
    <t>1992-04</t>
  </si>
  <si>
    <t>1992-05</t>
  </si>
  <si>
    <t>1992-06</t>
  </si>
  <si>
    <t>1992-07</t>
  </si>
  <si>
    <t>1992-08</t>
  </si>
  <si>
    <t>1992-09</t>
  </si>
  <si>
    <t>1992-10</t>
  </si>
  <si>
    <t>1992-11</t>
  </si>
  <si>
    <t>1992-12</t>
  </si>
  <si>
    <t>1993-01</t>
  </si>
  <si>
    <t>1993-02</t>
  </si>
  <si>
    <t>1993-03</t>
  </si>
  <si>
    <t>1993-04</t>
  </si>
  <si>
    <t>1993-05</t>
  </si>
  <si>
    <t>1993-06</t>
  </si>
  <si>
    <t>1993-07</t>
  </si>
  <si>
    <t>1993-08</t>
  </si>
  <si>
    <t>1993-09</t>
  </si>
  <si>
    <t>1993-10</t>
  </si>
  <si>
    <t>1993-11</t>
  </si>
  <si>
    <t>1993-12</t>
  </si>
  <si>
    <t>1994-01</t>
  </si>
  <si>
    <t>1994-02</t>
  </si>
  <si>
    <t>1994-03</t>
  </si>
  <si>
    <t>1994-04</t>
  </si>
  <si>
    <t>1994-05</t>
  </si>
  <si>
    <t>1994-06</t>
  </si>
  <si>
    <t>1994-07</t>
  </si>
  <si>
    <t>1994-08</t>
  </si>
  <si>
    <t>1994-09</t>
  </si>
  <si>
    <t>1994-10</t>
  </si>
  <si>
    <t>1994-11</t>
  </si>
  <si>
    <t>1994-12</t>
  </si>
  <si>
    <t>1995-01</t>
  </si>
  <si>
    <t>1995-02</t>
  </si>
  <si>
    <t>1995-03</t>
  </si>
  <si>
    <t>1995-04</t>
  </si>
  <si>
    <t>1995-05</t>
  </si>
  <si>
    <t>1995-06</t>
  </si>
  <si>
    <t>1995-07</t>
  </si>
  <si>
    <t>1995-08</t>
  </si>
  <si>
    <t>1995-09</t>
  </si>
  <si>
    <t>1995-10</t>
  </si>
  <si>
    <t>1995-11</t>
  </si>
  <si>
    <t>1995-12</t>
  </si>
  <si>
    <t>1996-01</t>
  </si>
  <si>
    <t>1996-02</t>
  </si>
  <si>
    <t>1996-03</t>
  </si>
  <si>
    <t>1996-04</t>
  </si>
  <si>
    <t>1996-05</t>
  </si>
  <si>
    <t>1996-06</t>
  </si>
  <si>
    <t>1996-07</t>
  </si>
  <si>
    <t>1996-08</t>
  </si>
  <si>
    <t>1996-09</t>
  </si>
  <si>
    <t>1996-10</t>
  </si>
  <si>
    <t>1996-11</t>
  </si>
  <si>
    <t>1996-12</t>
  </si>
  <si>
    <t>1997-01</t>
  </si>
  <si>
    <t>1997-02</t>
  </si>
  <si>
    <t>1997-03</t>
  </si>
  <si>
    <t>1997-04</t>
  </si>
  <si>
    <t>1997-05</t>
  </si>
  <si>
    <t>1997-06</t>
  </si>
  <si>
    <t>1997-07</t>
  </si>
  <si>
    <t>1997-08</t>
  </si>
  <si>
    <t>1997-09</t>
  </si>
  <si>
    <t>1997-10</t>
  </si>
  <si>
    <t>1997-11</t>
  </si>
  <si>
    <t>1997-12</t>
  </si>
  <si>
    <t>1998-01</t>
  </si>
  <si>
    <t>1998-02</t>
  </si>
  <si>
    <t>1998-03</t>
  </si>
  <si>
    <t>1998-04</t>
  </si>
  <si>
    <t>1998-05</t>
  </si>
  <si>
    <t>1998-06</t>
  </si>
  <si>
    <t>1998-07</t>
  </si>
  <si>
    <t>1998-08</t>
  </si>
  <si>
    <t>1998-09</t>
  </si>
  <si>
    <t>1998-10</t>
  </si>
  <si>
    <t>1998-11</t>
  </si>
  <si>
    <t>1998-12</t>
  </si>
  <si>
    <t>1999-01</t>
  </si>
  <si>
    <t>1999-02</t>
  </si>
  <si>
    <t>1999-03</t>
  </si>
  <si>
    <t>1999-04</t>
  </si>
  <si>
    <t>1999-05</t>
  </si>
  <si>
    <t>1999-06</t>
  </si>
  <si>
    <t>1999-07</t>
  </si>
  <si>
    <t>1999-08</t>
  </si>
  <si>
    <t>1999-09</t>
  </si>
  <si>
    <t>1999-10</t>
  </si>
  <si>
    <t>1999-11</t>
  </si>
  <si>
    <t>1999-12</t>
  </si>
  <si>
    <t>2000-01</t>
  </si>
  <si>
    <t>2000-02</t>
  </si>
  <si>
    <t>2000-03</t>
  </si>
  <si>
    <t>2000-04</t>
  </si>
  <si>
    <t>2000-05</t>
  </si>
  <si>
    <t>2000-06</t>
  </si>
  <si>
    <t>2000-07</t>
  </si>
  <si>
    <t>2000-08</t>
  </si>
  <si>
    <t>2000-09</t>
  </si>
  <si>
    <t>2000-10</t>
  </si>
  <si>
    <t>2000-11</t>
  </si>
  <si>
    <t>2000-12</t>
  </si>
  <si>
    <t>2001-01</t>
  </si>
  <si>
    <t>2001-02</t>
  </si>
  <si>
    <t>2001-03</t>
  </si>
  <si>
    <t>2001-04</t>
  </si>
  <si>
    <t>2001-05</t>
  </si>
  <si>
    <t>2001-06</t>
  </si>
  <si>
    <t>2001-07</t>
  </si>
  <si>
    <t>2001-08</t>
  </si>
  <si>
    <t>2001-09</t>
  </si>
  <si>
    <t>2001-10</t>
  </si>
  <si>
    <t>2001-11</t>
  </si>
  <si>
    <t>2001-12</t>
  </si>
  <si>
    <t>2002-01</t>
  </si>
  <si>
    <t>2002-02</t>
  </si>
  <si>
    <t>2002-03</t>
  </si>
  <si>
    <t>2002-04</t>
  </si>
  <si>
    <t>2002-05</t>
  </si>
  <si>
    <t>2002-06</t>
  </si>
  <si>
    <t>2002-07</t>
  </si>
  <si>
    <t>2002-08</t>
  </si>
  <si>
    <t>2002-09</t>
  </si>
  <si>
    <t>2002-10</t>
  </si>
  <si>
    <t>2002-11</t>
  </si>
  <si>
    <t>2002-12</t>
  </si>
  <si>
    <t>2003-01</t>
  </si>
  <si>
    <t>2003-02</t>
  </si>
  <si>
    <t>2003-03</t>
  </si>
  <si>
    <t>2003-04</t>
  </si>
  <si>
    <t>2003-05</t>
  </si>
  <si>
    <t>2003-06</t>
  </si>
  <si>
    <t>2003-07</t>
  </si>
  <si>
    <t>2003-08</t>
  </si>
  <si>
    <t>2003-09</t>
  </si>
  <si>
    <t>2003-10</t>
  </si>
  <si>
    <t>2003-11</t>
  </si>
  <si>
    <t>2003-12</t>
  </si>
  <si>
    <t>2004-01</t>
  </si>
  <si>
    <t>2004-02</t>
  </si>
  <si>
    <t>2004-03</t>
  </si>
  <si>
    <t>2004-04</t>
  </si>
  <si>
    <t>2004-05</t>
  </si>
  <si>
    <t>2004-06</t>
  </si>
  <si>
    <t>2004-07</t>
  </si>
  <si>
    <t>2004-08</t>
  </si>
  <si>
    <t>2004-09</t>
  </si>
  <si>
    <t>2004-10</t>
  </si>
  <si>
    <t>2004-11</t>
  </si>
  <si>
    <t>2004-12</t>
  </si>
  <si>
    <t>2005-01</t>
  </si>
  <si>
    <t>2005-02</t>
  </si>
  <si>
    <t>2005-03</t>
  </si>
  <si>
    <t>2005-04</t>
  </si>
  <si>
    <t>2005-05</t>
  </si>
  <si>
    <t>2005-06</t>
  </si>
  <si>
    <t>2005-07</t>
  </si>
  <si>
    <t>2005-08</t>
  </si>
  <si>
    <t>2005-09</t>
  </si>
  <si>
    <t>2005-10</t>
  </si>
  <si>
    <t>2005-11</t>
  </si>
  <si>
    <t>2005-12</t>
  </si>
  <si>
    <t>2006-01</t>
  </si>
  <si>
    <t>2006-02</t>
  </si>
  <si>
    <t>2006-03</t>
  </si>
  <si>
    <t>2006-04</t>
  </si>
  <si>
    <t>2006-05</t>
  </si>
  <si>
    <t>2006-06</t>
  </si>
  <si>
    <t>2006-07</t>
  </si>
  <si>
    <t>2006-08</t>
  </si>
  <si>
    <t>2006-09</t>
  </si>
  <si>
    <t>2006-10</t>
  </si>
  <si>
    <t>2006-11</t>
  </si>
  <si>
    <t>2006-12</t>
  </si>
  <si>
    <t>2007-01</t>
  </si>
  <si>
    <t>2007-02</t>
  </si>
  <si>
    <t>2007-03</t>
  </si>
  <si>
    <t>2007-04</t>
  </si>
  <si>
    <t>2007-05</t>
  </si>
  <si>
    <t>Source: CRSP</t>
  </si>
  <si>
    <t>Type Legend: 1: T-Bond; 2=T-Note; 4=T-Bill</t>
  </si>
  <si>
    <t>Time to</t>
  </si>
  <si>
    <t>Accrued</t>
  </si>
  <si>
    <t>Quote Data</t>
  </si>
  <si>
    <t>Maturity Date</t>
  </si>
  <si>
    <t>Interest</t>
  </si>
  <si>
    <t>TIME TO CASH FLOWS</t>
  </si>
  <si>
    <t>Next Coupon</t>
  </si>
  <si>
    <t>CASH FLOWS</t>
  </si>
  <si>
    <t>la</t>
  </si>
  <si>
    <t>Price</t>
  </si>
  <si>
    <t>Z</t>
  </si>
  <si>
    <t>Fitted</t>
  </si>
  <si>
    <t>Sum Sqr</t>
  </si>
  <si>
    <t>YY</t>
  </si>
  <si>
    <t>ZZ</t>
  </si>
  <si>
    <t>Y Matrix</t>
  </si>
  <si>
    <t>Z Matrix</t>
  </si>
  <si>
    <t>Fwd</t>
  </si>
  <si>
    <t>Accr Int</t>
  </si>
  <si>
    <t>DataY6</t>
  </si>
  <si>
    <t>P6</t>
  </si>
  <si>
    <t>rr6</t>
  </si>
  <si>
    <t>diff(rr6)</t>
  </si>
  <si>
    <t>ln(rr6)</t>
  </si>
  <si>
    <t>STD</t>
  </si>
  <si>
    <t>Nelson-Seigel</t>
  </si>
  <si>
    <t>Ho-Lee Tree</t>
  </si>
  <si>
    <t>Bond Tree - to create IRTree</t>
  </si>
  <si>
    <t>Non-Callable Bond</t>
  </si>
  <si>
    <t>Freddie Mac Security Assumption</t>
  </si>
  <si>
    <t>Call Option</t>
  </si>
  <si>
    <t>FCT</t>
  </si>
  <si>
    <t>Callable Bond</t>
  </si>
  <si>
    <t>Delta-Up</t>
  </si>
  <si>
    <t>Delta-Dn</t>
  </si>
  <si>
    <t>Convexity calculations</t>
  </si>
  <si>
    <t>Intrest rates</t>
  </si>
  <si>
    <t>Ho-Lee (1), BDT (2)</t>
  </si>
  <si>
    <t>Coupon</t>
  </si>
  <si>
    <t>Bid</t>
  </si>
  <si>
    <t>Ask</t>
  </si>
  <si>
    <t>Do the following:</t>
  </si>
  <si>
    <t>There is no need to make any updates here</t>
  </si>
  <si>
    <t>Enter Standard Deviation formula for Ho-Lee Tree in Cell J596 as highlighted in blue in "HW6_FRB_H15" tab</t>
  </si>
  <si>
    <t>Enter Standard Deviation formula for Simple BDT Tree in Cell H596 as highlighted in blue in "HW6_FRB_H15" tab</t>
  </si>
  <si>
    <t>Enter "1" in cell F1 in "Q2 - IRTree" to run Ho-Lee model</t>
  </si>
  <si>
    <t>Enter "2" in cell F1 in "Q2 - IRTree" to run Simple BDT model</t>
  </si>
  <si>
    <t>To run Macro to create any tree press "Ctrl-Shift-F" while in "Q2 - IRTree" tab</t>
  </si>
  <si>
    <r>
      <t xml:space="preserve">Enter </t>
    </r>
    <r>
      <rPr>
        <b/>
        <u/>
        <sz val="11"/>
        <color rgb="FF0000FF"/>
        <rFont val="Calibri"/>
        <family val="2"/>
        <scheme val="minor"/>
      </rPr>
      <t>Maturity</t>
    </r>
    <r>
      <rPr>
        <b/>
        <sz val="11"/>
        <color rgb="FF0000FF"/>
        <rFont val="Calibri"/>
        <family val="2"/>
        <scheme val="minor"/>
      </rPr>
      <t xml:space="preserve"> (in Years) from term sheet in cell C13 as highlighted in blue</t>
    </r>
  </si>
  <si>
    <r>
      <t xml:space="preserve">Enter </t>
    </r>
    <r>
      <rPr>
        <b/>
        <u/>
        <sz val="11"/>
        <color rgb="FF0000FF"/>
        <rFont val="Calibri"/>
        <family val="2"/>
        <scheme val="minor"/>
      </rPr>
      <t>Coupon Rate</t>
    </r>
    <r>
      <rPr>
        <b/>
        <sz val="11"/>
        <color rgb="FF0000FF"/>
        <rFont val="Calibri"/>
        <family val="2"/>
        <scheme val="minor"/>
      </rPr>
      <t xml:space="preserve"> (in Percentage) from term sheet in cell C14 as highlighted in blue</t>
    </r>
  </si>
  <si>
    <r>
      <t xml:space="preserve">Enter </t>
    </r>
    <r>
      <rPr>
        <b/>
        <u/>
        <sz val="11"/>
        <color rgb="FF0000FF"/>
        <rFont val="Calibri"/>
        <family val="2"/>
        <scheme val="minor"/>
      </rPr>
      <t>First Call Time</t>
    </r>
    <r>
      <rPr>
        <b/>
        <sz val="11"/>
        <color rgb="FF0000FF"/>
        <rFont val="Calibri"/>
        <family val="2"/>
        <scheme val="minor"/>
      </rPr>
      <t xml:space="preserve"> (in Years) from the term sheet in cell C16 as highlighted in blue</t>
    </r>
  </si>
  <si>
    <r>
      <t xml:space="preserve">Enter formulas to value </t>
    </r>
    <r>
      <rPr>
        <b/>
        <u/>
        <sz val="11"/>
        <color rgb="FF0000FF"/>
        <rFont val="Calibri"/>
        <family val="2"/>
        <scheme val="minor"/>
      </rPr>
      <t>Call Option</t>
    </r>
    <r>
      <rPr>
        <b/>
        <sz val="11"/>
        <color rgb="FF0000FF"/>
        <rFont val="Calibri"/>
        <family val="2"/>
        <scheme val="minor"/>
      </rPr>
      <t xml:space="preserve"> on a tree in cells B163:BJ223 as highlighted in blue</t>
    </r>
  </si>
  <si>
    <r>
      <t xml:space="preserve">Enter formulas to value </t>
    </r>
    <r>
      <rPr>
        <b/>
        <u/>
        <sz val="11"/>
        <color rgb="FF0000FF"/>
        <rFont val="Calibri"/>
        <family val="2"/>
        <scheme val="minor"/>
      </rPr>
      <t>Callable Bond</t>
    </r>
    <r>
      <rPr>
        <b/>
        <sz val="11"/>
        <color rgb="FF0000FF"/>
        <rFont val="Calibri"/>
        <family val="2"/>
        <scheme val="minor"/>
      </rPr>
      <t xml:space="preserve"> on a tree in cells B232:BJ292 as highlighted in blue</t>
    </r>
  </si>
  <si>
    <t>Do the following in order to create Ho-Lee or Simple BDT trees:</t>
  </si>
  <si>
    <r>
      <t xml:space="preserve">Enter </t>
    </r>
    <r>
      <rPr>
        <b/>
        <u/>
        <sz val="11"/>
        <color rgb="FF0000FF"/>
        <rFont val="Calibri"/>
        <family val="2"/>
        <scheme val="minor"/>
      </rPr>
      <t>Duration</t>
    </r>
    <r>
      <rPr>
        <b/>
        <sz val="11"/>
        <color rgb="FF0000FF"/>
        <rFont val="Calibri"/>
        <family val="2"/>
        <scheme val="minor"/>
      </rPr>
      <t xml:space="preserve"> formulas for Callable and Non callable bonds in column F as highlighted in blue</t>
    </r>
  </si>
  <si>
    <r>
      <t xml:space="preserve">Enter </t>
    </r>
    <r>
      <rPr>
        <b/>
        <u/>
        <sz val="11"/>
        <color rgb="FF0000FF"/>
        <rFont val="Calibri"/>
        <family val="2"/>
        <scheme val="minor"/>
      </rPr>
      <t>Convexity</t>
    </r>
    <r>
      <rPr>
        <b/>
        <sz val="11"/>
        <color rgb="FF0000FF"/>
        <rFont val="Calibri"/>
        <family val="2"/>
        <scheme val="minor"/>
      </rPr>
      <t xml:space="preserve"> formulas for Callable and Non-Callable bonds in column J as highlighted in blue</t>
    </r>
  </si>
  <si>
    <t>Enter Standard Deviation formula for Simple BDT Tree in Cell H596 as highlighted in blue below (remember it must be annualized)</t>
  </si>
  <si>
    <t>Enter Standard Deviation formula for Ho-Lee Tree in Cell J596 as highlighted in blue below (remember it must be annualized)</t>
  </si>
  <si>
    <t>Note: Entering the numbers in C13 to C16 allow you to use the spreadsheet definitions of those quantities</t>
  </si>
  <si>
    <t>maturity from term sheet ("matur")</t>
  </si>
  <si>
    <t>coupon rate from term sheet ("coupon")</t>
  </si>
  <si>
    <t>("hh")</t>
  </si>
  <si>
    <t>first call time from the term sheet ("FstCT")</t>
  </si>
  <si>
    <t>You still have to construct the binomial tree by inserting the proper formulas and then copy and paste.</t>
  </si>
  <si>
    <t>TIP: To simplify the backward calculation you can:</t>
  </si>
  <si>
    <t>(A) put the final payoff in the proper cells (make sure to insert it for the proper number of nodes)</t>
  </si>
  <si>
    <t>(B) use the function =iserror( backward formula , "") so that when you copy and paste backward, automatically it does not display terms off the "triangle"</t>
  </si>
  <si>
    <r>
      <t xml:space="preserve">Enter formulas to value </t>
    </r>
    <r>
      <rPr>
        <b/>
        <u/>
        <sz val="11"/>
        <color rgb="FF0000FF"/>
        <rFont val="Calibri"/>
        <family val="2"/>
        <scheme val="minor"/>
      </rPr>
      <t>Non-Callable Bond</t>
    </r>
    <r>
      <rPr>
        <b/>
        <sz val="11"/>
        <color rgb="FF0000FF"/>
        <rFont val="Calibri"/>
        <family val="2"/>
        <scheme val="minor"/>
      </rPr>
      <t xml:space="preserve"> on a tree in cells B94:BJ154 as highlighted in blue. Let principal be 1 (not 100)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</si>
</sst>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(* #,##0.00_);_(* \(#,##0.00\);_(* &quot;-&quot;??_);_(@_)"/>
    <numFmt numFmtId="164" formatCode="0.000"/>
    <numFmt numFmtId="165" formatCode="0.0"/>
    <numFmt numFmtId="166" formatCode="0.0000"/>
    <numFmt numFmtId="167" formatCode="_(* #,##0.000_);_(* \(#,##0.000\);_(* &quot;-&quot;??_);_(@_)"/>
    <numFmt numFmtId="168" formatCode="_(* #,##0.0000_);_(* \(#,##0.0000\);_(* &quot;-&quot;??_);_(@_)"/>
    <numFmt numFmtId="169" formatCode="_(* #,##0.000000_);_(* \(#,##0.000000\);_(* &quot;-&quot;??_);_(@_)"/>
    <numFmt numFmtId="170" formatCode="_(* #,##0_);_(* \(#,##0\);_(* &quot;-&quot;??_);_(@_)"/>
    <numFmt numFmtId="171" formatCode="_(* #,##0.00000_);_(* \(#,##0.00000\);_(* &quot;-&quot;??_);_(@_)"/>
    <numFmt numFmtId="172" formatCode="_(* #,##0.0000000_);_(* \(#,##0.0000000\);_(* &quot;-&quot;??_);_(@_)"/>
    <numFmt numFmtId="173" formatCode="_(* #,##0.0_);_(* \(#,##0.0\);_(* &quot;-&quot;??_);_(@_)"/>
    <numFmt numFmtId="174" formatCode="0.0%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u val="singleAccounting"/>
      <sz val="11"/>
      <color theme="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u val="singleAccounting"/>
      <sz val="10"/>
      <name val="Arial"/>
      <family val="2"/>
    </font>
    <font>
      <b/>
      <sz val="10"/>
      <name val="Arial"/>
      <family val="2"/>
    </font>
    <font>
      <b/>
      <u val="singleAccounting"/>
      <sz val="10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color rgb="FF0000FF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4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5">
    <xf numFmtId="0" fontId="0" fillId="0" borderId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</cellStyleXfs>
  <cellXfs count="110">
    <xf numFmtId="0" fontId="0" fillId="0" borderId="0" xfId="0"/>
    <xf numFmtId="0" fontId="0" fillId="0" borderId="2" xfId="0" applyBorder="1"/>
    <xf numFmtId="164" fontId="0" fillId="0" borderId="0" xfId="0" applyNumberFormat="1"/>
    <xf numFmtId="165" fontId="0" fillId="0" borderId="2" xfId="0" applyNumberFormat="1" applyBorder="1"/>
    <xf numFmtId="0" fontId="0" fillId="2" borderId="0" xfId="0" applyFill="1"/>
    <xf numFmtId="164" fontId="0" fillId="3" borderId="0" xfId="0" applyNumberFormat="1" applyFill="1"/>
    <xf numFmtId="0" fontId="0" fillId="3" borderId="0" xfId="0" applyFill="1"/>
    <xf numFmtId="0" fontId="3" fillId="0" borderId="0" xfId="0" applyFont="1"/>
    <xf numFmtId="0" fontId="4" fillId="0" borderId="0" xfId="0" applyFont="1"/>
    <xf numFmtId="0" fontId="4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1" fontId="0" fillId="0" borderId="3" xfId="0" applyNumberFormat="1" applyBorder="1"/>
    <xf numFmtId="15" fontId="0" fillId="0" borderId="0" xfId="0" applyNumberFormat="1"/>
    <xf numFmtId="165" fontId="0" fillId="0" borderId="0" xfId="0" applyNumberFormat="1"/>
    <xf numFmtId="17" fontId="0" fillId="2" borderId="0" xfId="0" applyNumberFormat="1" applyFill="1"/>
    <xf numFmtId="166" fontId="0" fillId="2" borderId="0" xfId="0" applyNumberFormat="1" applyFill="1"/>
    <xf numFmtId="166" fontId="0" fillId="3" borderId="0" xfId="0" applyNumberFormat="1" applyFill="1"/>
    <xf numFmtId="10" fontId="0" fillId="0" borderId="0" xfId="0" applyNumberFormat="1"/>
    <xf numFmtId="0" fontId="0" fillId="0" borderId="0" xfId="0" applyAlignment="1">
      <alignment horizontal="right"/>
    </xf>
    <xf numFmtId="0" fontId="0" fillId="4" borderId="0" xfId="0" applyFill="1"/>
    <xf numFmtId="0" fontId="6" fillId="2" borderId="0" xfId="0" applyFont="1" applyFill="1"/>
    <xf numFmtId="165" fontId="5" fillId="0" borderId="0" xfId="0" applyNumberFormat="1" applyFont="1" applyAlignment="1">
      <alignment horizontal="right"/>
    </xf>
    <xf numFmtId="164" fontId="5" fillId="0" borderId="1" xfId="0" applyNumberFormat="1" applyFont="1" applyBorder="1" applyAlignment="1">
      <alignment horizontal="right"/>
    </xf>
    <xf numFmtId="0" fontId="1" fillId="0" borderId="0" xfId="3"/>
    <xf numFmtId="0" fontId="1" fillId="0" borderId="0" xfId="3" applyFont="1"/>
    <xf numFmtId="0" fontId="5" fillId="0" borderId="0" xfId="3" applyFont="1"/>
    <xf numFmtId="164" fontId="1" fillId="0" borderId="0" xfId="3" applyNumberFormat="1"/>
    <xf numFmtId="167" fontId="0" fillId="0" borderId="0" xfId="4" applyNumberFormat="1" applyFont="1"/>
    <xf numFmtId="43" fontId="0" fillId="0" borderId="0" xfId="4" applyFont="1"/>
    <xf numFmtId="168" fontId="0" fillId="0" borderId="0" xfId="4" applyNumberFormat="1" applyFont="1"/>
    <xf numFmtId="167" fontId="9" fillId="0" borderId="0" xfId="4" applyNumberFormat="1" applyFont="1" applyAlignment="1">
      <alignment horizontal="center"/>
    </xf>
    <xf numFmtId="43" fontId="9" fillId="0" borderId="0" xfId="4" applyFont="1" applyAlignment="1">
      <alignment horizontal="center"/>
    </xf>
    <xf numFmtId="168" fontId="1" fillId="0" borderId="0" xfId="3" applyNumberFormat="1"/>
    <xf numFmtId="43" fontId="1" fillId="0" borderId="0" xfId="3" applyNumberFormat="1"/>
    <xf numFmtId="169" fontId="0" fillId="0" borderId="0" xfId="4" applyNumberFormat="1" applyFont="1"/>
    <xf numFmtId="43" fontId="8" fillId="5" borderId="0" xfId="4" applyFont="1" applyFill="1"/>
    <xf numFmtId="0" fontId="1" fillId="5" borderId="0" xfId="3" applyFill="1"/>
    <xf numFmtId="170" fontId="10" fillId="5" borderId="0" xfId="4" applyNumberFormat="1" applyFont="1" applyFill="1"/>
    <xf numFmtId="43" fontId="0" fillId="5" borderId="0" xfId="4" applyFont="1" applyFill="1"/>
    <xf numFmtId="43" fontId="0" fillId="0" borderId="0" xfId="1" applyFont="1"/>
    <xf numFmtId="168" fontId="0" fillId="0" borderId="0" xfId="1" applyNumberFormat="1" applyFont="1"/>
    <xf numFmtId="0" fontId="1" fillId="0" borderId="0" xfId="3" applyFill="1"/>
    <xf numFmtId="168" fontId="0" fillId="0" borderId="0" xfId="4" applyNumberFormat="1" applyFont="1" applyFill="1"/>
    <xf numFmtId="43" fontId="0" fillId="0" borderId="0" xfId="4" applyFont="1" applyFill="1"/>
    <xf numFmtId="170" fontId="10" fillId="6" borderId="0" xfId="4" applyNumberFormat="1" applyFont="1" applyFill="1"/>
    <xf numFmtId="168" fontId="0" fillId="6" borderId="0" xfId="4" applyNumberFormat="1" applyFont="1" applyFill="1"/>
    <xf numFmtId="167" fontId="0" fillId="0" borderId="0" xfId="4" applyNumberFormat="1" applyFont="1" applyFill="1"/>
    <xf numFmtId="168" fontId="0" fillId="0" borderId="0" xfId="1" applyNumberFormat="1" applyFont="1" applyFill="1"/>
    <xf numFmtId="43" fontId="5" fillId="0" borderId="0" xfId="4" applyFont="1"/>
    <xf numFmtId="168" fontId="1" fillId="0" borderId="0" xfId="1" applyNumberFormat="1" applyFont="1"/>
    <xf numFmtId="171" fontId="1" fillId="0" borderId="0" xfId="1" applyNumberFormat="1" applyFont="1"/>
    <xf numFmtId="171" fontId="0" fillId="0" borderId="0" xfId="1" applyNumberFormat="1" applyFont="1"/>
    <xf numFmtId="172" fontId="1" fillId="0" borderId="0" xfId="1" applyNumberFormat="1" applyFont="1"/>
    <xf numFmtId="43" fontId="10" fillId="0" borderId="0" xfId="1" applyFont="1" applyFill="1" applyAlignment="1">
      <alignment horizontal="center"/>
    </xf>
    <xf numFmtId="43" fontId="10" fillId="0" borderId="0" xfId="1" applyFont="1" applyAlignment="1">
      <alignment horizontal="center"/>
    </xf>
    <xf numFmtId="168" fontId="1" fillId="0" borderId="0" xfId="1" applyNumberFormat="1" applyFont="1" applyFill="1"/>
    <xf numFmtId="168" fontId="10" fillId="0" borderId="0" xfId="1" applyNumberFormat="1" applyFont="1" applyFill="1" applyAlignment="1">
      <alignment horizontal="center"/>
    </xf>
    <xf numFmtId="168" fontId="8" fillId="5" borderId="0" xfId="1" applyNumberFormat="1" applyFont="1" applyFill="1"/>
    <xf numFmtId="0" fontId="5" fillId="0" borderId="1" xfId="0" applyFont="1" applyBorder="1"/>
    <xf numFmtId="168" fontId="0" fillId="5" borderId="0" xfId="1" applyNumberFormat="1" applyFont="1" applyFill="1"/>
    <xf numFmtId="168" fontId="0" fillId="0" borderId="0" xfId="0" applyNumberFormat="1"/>
    <xf numFmtId="169" fontId="0" fillId="0" borderId="0" xfId="0" applyNumberFormat="1"/>
    <xf numFmtId="43" fontId="5" fillId="0" borderId="0" xfId="1" applyFont="1"/>
    <xf numFmtId="43" fontId="11" fillId="0" borderId="0" xfId="1" applyFont="1"/>
    <xf numFmtId="165" fontId="5" fillId="0" borderId="0" xfId="0" applyNumberFormat="1" applyFont="1"/>
    <xf numFmtId="43" fontId="11" fillId="0" borderId="0" xfId="1" applyFont="1" applyAlignment="1">
      <alignment horizontal="center"/>
    </xf>
    <xf numFmtId="43" fontId="0" fillId="0" borderId="0" xfId="0" applyNumberFormat="1"/>
    <xf numFmtId="0" fontId="12" fillId="0" borderId="0" xfId="0" applyFont="1"/>
    <xf numFmtId="43" fontId="12" fillId="0" borderId="0" xfId="1" applyFont="1"/>
    <xf numFmtId="9" fontId="12" fillId="0" borderId="0" xfId="2" applyFont="1"/>
    <xf numFmtId="0" fontId="3" fillId="0" borderId="0" xfId="0" applyFont="1" applyAlignment="1">
      <alignment horizontal="center"/>
    </xf>
    <xf numFmtId="43" fontId="0" fillId="2" borderId="0" xfId="1" applyFont="1" applyFill="1"/>
    <xf numFmtId="43" fontId="13" fillId="0" borderId="0" xfId="1" applyFont="1" applyAlignment="1">
      <alignment horizontal="center"/>
    </xf>
    <xf numFmtId="170" fontId="0" fillId="0" borderId="0" xfId="1" applyNumberFormat="1" applyFont="1"/>
    <xf numFmtId="173" fontId="11" fillId="0" borderId="0" xfId="1" applyNumberFormat="1" applyFont="1"/>
    <xf numFmtId="170" fontId="5" fillId="0" borderId="0" xfId="1" applyNumberFormat="1" applyFont="1" applyAlignment="1">
      <alignment horizontal="right"/>
    </xf>
    <xf numFmtId="170" fontId="5" fillId="0" borderId="1" xfId="1" applyNumberFormat="1" applyFont="1" applyBorder="1" applyAlignment="1">
      <alignment horizontal="right"/>
    </xf>
    <xf numFmtId="170" fontId="0" fillId="0" borderId="3" xfId="1" applyNumberFormat="1" applyFont="1" applyBorder="1"/>
    <xf numFmtId="15" fontId="5" fillId="0" borderId="0" xfId="0" applyNumberFormat="1" applyFont="1"/>
    <xf numFmtId="174" fontId="0" fillId="0" borderId="0" xfId="0" applyNumberFormat="1"/>
    <xf numFmtId="0" fontId="0" fillId="0" borderId="0" xfId="0" applyFill="1"/>
    <xf numFmtId="0" fontId="14" fillId="5" borderId="0" xfId="1" applyNumberFormat="1" applyFont="1" applyFill="1" applyAlignment="1">
      <alignment horizontal="center"/>
    </xf>
    <xf numFmtId="43" fontId="14" fillId="5" borderId="0" xfId="1" quotePrefix="1" applyFont="1" applyFill="1"/>
    <xf numFmtId="0" fontId="15" fillId="5" borderId="0" xfId="0" applyFont="1" applyFill="1"/>
    <xf numFmtId="43" fontId="0" fillId="0" borderId="3" xfId="1" applyFont="1" applyBorder="1"/>
    <xf numFmtId="168" fontId="8" fillId="7" borderId="0" xfId="1" applyNumberFormat="1" applyFont="1" applyFill="1"/>
    <xf numFmtId="9" fontId="0" fillId="7" borderId="0" xfId="2" applyFont="1" applyFill="1"/>
    <xf numFmtId="170" fontId="6" fillId="7" borderId="0" xfId="1" applyNumberFormat="1" applyFont="1" applyFill="1"/>
    <xf numFmtId="168" fontId="0" fillId="7" borderId="0" xfId="1" applyNumberFormat="1" applyFont="1" applyFill="1"/>
    <xf numFmtId="0" fontId="16" fillId="0" borderId="0" xfId="0" applyFont="1"/>
    <xf numFmtId="43" fontId="17" fillId="0" borderId="0" xfId="1" applyFont="1" applyAlignment="1">
      <alignment vertical="center"/>
    </xf>
    <xf numFmtId="0" fontId="16" fillId="0" borderId="0" xfId="0" applyFont="1" applyFill="1" applyBorder="1" applyAlignment="1">
      <alignment horizontal="left"/>
    </xf>
    <xf numFmtId="0" fontId="16" fillId="0" borderId="0" xfId="0" applyFont="1" applyBorder="1"/>
    <xf numFmtId="0" fontId="18" fillId="0" borderId="0" xfId="0" applyFont="1" applyBorder="1"/>
    <xf numFmtId="0" fontId="16" fillId="0" borderId="0" xfId="0" applyFont="1" applyFill="1" applyBorder="1"/>
    <xf numFmtId="0" fontId="16" fillId="0" borderId="0" xfId="0" applyFont="1" applyAlignment="1">
      <alignment horizontal="left"/>
    </xf>
    <xf numFmtId="43" fontId="17" fillId="0" borderId="0" xfId="1" applyFont="1" applyAlignment="1">
      <alignment horizontal="left" vertical="center" indent="2"/>
    </xf>
    <xf numFmtId="43" fontId="17" fillId="0" borderId="0" xfId="1" applyFont="1" applyAlignment="1">
      <alignment horizontal="left" vertical="center" indent="4"/>
    </xf>
    <xf numFmtId="0" fontId="0" fillId="5" borderId="0" xfId="0" applyFill="1"/>
    <xf numFmtId="0" fontId="16" fillId="5" borderId="0" xfId="0" applyFont="1" applyFill="1"/>
    <xf numFmtId="0" fontId="0" fillId="5" borderId="0" xfId="0" applyFill="1" applyBorder="1" applyAlignment="1">
      <alignment horizontal="left"/>
    </xf>
    <xf numFmtId="0" fontId="0" fillId="5" borderId="0" xfId="0" applyFill="1" applyBorder="1"/>
    <xf numFmtId="0" fontId="17" fillId="0" borderId="0" xfId="1" applyNumberFormat="1" applyFont="1" applyAlignment="1">
      <alignment vertical="center"/>
    </xf>
    <xf numFmtId="0" fontId="17" fillId="0" borderId="0" xfId="1" applyNumberFormat="1" applyFont="1" applyAlignment="1">
      <alignment horizontal="left" vertical="center" indent="2"/>
    </xf>
    <xf numFmtId="0" fontId="5" fillId="0" borderId="0" xfId="0" applyFont="1"/>
    <xf numFmtId="0" fontId="5" fillId="0" borderId="0" xfId="0" quotePrefix="1" applyFont="1"/>
    <xf numFmtId="43" fontId="8" fillId="6" borderId="0" xfId="4" applyFont="1" applyFill="1" applyAlignment="1">
      <alignment horizontal="center"/>
    </xf>
    <xf numFmtId="43" fontId="8" fillId="5" borderId="0" xfId="4" applyFont="1" applyFill="1" applyAlignment="1">
      <alignment horizontal="center"/>
    </xf>
    <xf numFmtId="43" fontId="11" fillId="0" borderId="0" xfId="1" applyFont="1" applyAlignment="1">
      <alignment horizontal="center"/>
    </xf>
    <xf numFmtId="43" fontId="13" fillId="0" borderId="0" xfId="1" applyFont="1" applyAlignment="1">
      <alignment horizontal="center"/>
    </xf>
  </cellXfs>
  <cellStyles count="5">
    <cellStyle name="Comma" xfId="1" builtinId="3"/>
    <cellStyle name="Comma 2" xfId="4" xr:uid="{00000000-0005-0000-0000-000001000000}"/>
    <cellStyle name="Normal" xfId="0" builtinId="0"/>
    <cellStyle name="Normal 2" xfId="3" xr:uid="{00000000-0005-0000-0000-000003000000}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Treasuries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38766489694"/>
          <c:y val="9.3410931540253803E-2"/>
          <c:w val="0.83338565578325496"/>
          <c:h val="0.79175747785082895"/>
        </c:manualLayout>
      </c:layout>
      <c:scatterChart>
        <c:scatterStyle val="lineMarker"/>
        <c:varyColors val="0"/>
        <c:ser>
          <c:idx val="1"/>
          <c:order val="0"/>
          <c:tx>
            <c:v>Fitted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pattFill prst="pct5">
                <a:fgClr>
                  <a:schemeClr val="accent1"/>
                </a:fgClr>
                <a:bgClr>
                  <a:schemeClr val="bg1"/>
                </a:bgClr>
              </a:patt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'Q1 - Nelson-Siegel'!$F$12:$F$79</c:f>
              <c:numCache>
                <c:formatCode>_(* #,##0.0000_);_(* \(#,##0.0000\);_(* "-"??_);_(@_)</c:formatCode>
                <c:ptCount val="68"/>
                <c:pt idx="0">
                  <c:v>7.7777777777777779E-2</c:v>
                </c:pt>
                <c:pt idx="1">
                  <c:v>0.17222222222222222</c:v>
                </c:pt>
                <c:pt idx="2">
                  <c:v>0.18888888888888888</c:v>
                </c:pt>
                <c:pt idx="3">
                  <c:v>0.24722222222222223</c:v>
                </c:pt>
                <c:pt idx="4">
                  <c:v>0.32500000000000001</c:v>
                </c:pt>
                <c:pt idx="5">
                  <c:v>0.34444444444444444</c:v>
                </c:pt>
                <c:pt idx="6">
                  <c:v>0.41944444444444445</c:v>
                </c:pt>
                <c:pt idx="7">
                  <c:v>0.43888888888888888</c:v>
                </c:pt>
                <c:pt idx="8">
                  <c:v>0.49722222222222223</c:v>
                </c:pt>
                <c:pt idx="9">
                  <c:v>0.68888888888888888</c:v>
                </c:pt>
                <c:pt idx="10">
                  <c:v>1.1888888888888889</c:v>
                </c:pt>
                <c:pt idx="11">
                  <c:v>1.6888888888888889</c:v>
                </c:pt>
                <c:pt idx="12">
                  <c:v>2.1888888888888891</c:v>
                </c:pt>
                <c:pt idx="13">
                  <c:v>2.6888888888888891</c:v>
                </c:pt>
                <c:pt idx="14">
                  <c:v>3.1888888888888891</c:v>
                </c:pt>
                <c:pt idx="15">
                  <c:v>3.6888888888888891</c:v>
                </c:pt>
                <c:pt idx="16">
                  <c:v>4.1888888888888891</c:v>
                </c:pt>
                <c:pt idx="17">
                  <c:v>4.6888888888888891</c:v>
                </c:pt>
                <c:pt idx="18">
                  <c:v>5.1888888888888891</c:v>
                </c:pt>
                <c:pt idx="19">
                  <c:v>5.6888888888888891</c:v>
                </c:pt>
                <c:pt idx="20">
                  <c:v>6.1888888888888891</c:v>
                </c:pt>
                <c:pt idx="21">
                  <c:v>6.6888888888888891</c:v>
                </c:pt>
                <c:pt idx="22">
                  <c:v>7.1888888888888891</c:v>
                </c:pt>
                <c:pt idx="23">
                  <c:v>7.6888888888888891</c:v>
                </c:pt>
                <c:pt idx="24">
                  <c:v>8.1888888888888882</c:v>
                </c:pt>
                <c:pt idx="25">
                  <c:v>8.6888888888888882</c:v>
                </c:pt>
                <c:pt idx="26">
                  <c:v>9.1888888888888882</c:v>
                </c:pt>
                <c:pt idx="27">
                  <c:v>9.6888888888888882</c:v>
                </c:pt>
                <c:pt idx="28">
                  <c:v>10.188888888888888</c:v>
                </c:pt>
                <c:pt idx="29">
                  <c:v>11.688888888888888</c:v>
                </c:pt>
                <c:pt idx="30">
                  <c:v>12.188888888888888</c:v>
                </c:pt>
                <c:pt idx="31">
                  <c:v>12.688888888888888</c:v>
                </c:pt>
                <c:pt idx="32">
                  <c:v>13.188888888888888</c:v>
                </c:pt>
                <c:pt idx="33">
                  <c:v>13.688888888888888</c:v>
                </c:pt>
                <c:pt idx="34">
                  <c:v>15.188888888888888</c:v>
                </c:pt>
                <c:pt idx="35">
                  <c:v>15.688888888888888</c:v>
                </c:pt>
                <c:pt idx="36">
                  <c:v>16.18888888888889</c:v>
                </c:pt>
                <c:pt idx="37">
                  <c:v>17.68888888888889</c:v>
                </c:pt>
                <c:pt idx="38">
                  <c:v>18.18888888888889</c:v>
                </c:pt>
                <c:pt idx="39">
                  <c:v>18.68888888888889</c:v>
                </c:pt>
                <c:pt idx="40">
                  <c:v>19.18888888888889</c:v>
                </c:pt>
                <c:pt idx="41">
                  <c:v>19.68888888888889</c:v>
                </c:pt>
                <c:pt idx="42">
                  <c:v>20.18888888888889</c:v>
                </c:pt>
                <c:pt idx="43">
                  <c:v>21.18888888888889</c:v>
                </c:pt>
                <c:pt idx="44">
                  <c:v>21.68888888888889</c:v>
                </c:pt>
                <c:pt idx="45">
                  <c:v>22.18888888888889</c:v>
                </c:pt>
                <c:pt idx="46">
                  <c:v>23.68888888888889</c:v>
                </c:pt>
                <c:pt idx="47">
                  <c:v>28.68888888888889</c:v>
                </c:pt>
                <c:pt idx="48">
                  <c:v>29.68888888888889</c:v>
                </c:pt>
              </c:numCache>
            </c:numRef>
          </c:xVal>
          <c:yVal>
            <c:numRef>
              <c:f>'Q1 - Nelson-Siegel'!$DX$12:$DX$79</c:f>
              <c:numCache>
                <c:formatCode>_(* #,##0.00_);_(* \(#,##0.00\);_(* "-"??_);_(@_)</c:formatCode>
                <c:ptCount val="68"/>
                <c:pt idx="0">
                  <c:v>99.596276877169615</c:v>
                </c:pt>
                <c:pt idx="1">
                  <c:v>99.114290350738273</c:v>
                </c:pt>
                <c:pt idx="2">
                  <c:v>100.39175919781449</c:v>
                </c:pt>
                <c:pt idx="3">
                  <c:v>98.737296248199229</c:v>
                </c:pt>
                <c:pt idx="4">
                  <c:v>98.351148123343137</c:v>
                </c:pt>
                <c:pt idx="5">
                  <c:v>98.255317495663135</c:v>
                </c:pt>
                <c:pt idx="6">
                  <c:v>97.88812937172959</c:v>
                </c:pt>
                <c:pt idx="7">
                  <c:v>97.793533566515706</c:v>
                </c:pt>
                <c:pt idx="8">
                  <c:v>97.511129251840686</c:v>
                </c:pt>
                <c:pt idx="9">
                  <c:v>99.897335145357417</c:v>
                </c:pt>
                <c:pt idx="10">
                  <c:v>100.25525853894861</c:v>
                </c:pt>
                <c:pt idx="11">
                  <c:v>100.60641001802227</c:v>
                </c:pt>
                <c:pt idx="12">
                  <c:v>101.28066905396763</c:v>
                </c:pt>
                <c:pt idx="13">
                  <c:v>100.85958660769917</c:v>
                </c:pt>
                <c:pt idx="14">
                  <c:v>98.690825243361033</c:v>
                </c:pt>
                <c:pt idx="15">
                  <c:v>101.43727784771673</c:v>
                </c:pt>
                <c:pt idx="16">
                  <c:v>101.34197674347223</c:v>
                </c:pt>
                <c:pt idx="17">
                  <c:v>100.67547801681938</c:v>
                </c:pt>
                <c:pt idx="18">
                  <c:v>98.091691472508259</c:v>
                </c:pt>
                <c:pt idx="19">
                  <c:v>95.126416519952485</c:v>
                </c:pt>
                <c:pt idx="20">
                  <c:v>96.666807290244606</c:v>
                </c:pt>
                <c:pt idx="21">
                  <c:v>94.781605209939769</c:v>
                </c:pt>
                <c:pt idx="22">
                  <c:v>95.862853328000753</c:v>
                </c:pt>
                <c:pt idx="23">
                  <c:v>93.820214154424121</c:v>
                </c:pt>
                <c:pt idx="24">
                  <c:v>95.087434398644206</c:v>
                </c:pt>
                <c:pt idx="25">
                  <c:v>96.524982237815664</c:v>
                </c:pt>
                <c:pt idx="26">
                  <c:v>99.072045787735249</c:v>
                </c:pt>
                <c:pt idx="27">
                  <c:v>96.937210226931398</c:v>
                </c:pt>
                <c:pt idx="28">
                  <c:v>131.37894379973011</c:v>
                </c:pt>
                <c:pt idx="29">
                  <c:v>134.26209356075492</c:v>
                </c:pt>
                <c:pt idx="30">
                  <c:v>128.22491327407533</c:v>
                </c:pt>
                <c:pt idx="31">
                  <c:v>132.4879966164203</c:v>
                </c:pt>
                <c:pt idx="32">
                  <c:v>135.69939903755343</c:v>
                </c:pt>
                <c:pt idx="33">
                  <c:v>127.74420338637914</c:v>
                </c:pt>
                <c:pt idx="34">
                  <c:v>122.74255836853143</c:v>
                </c:pt>
                <c:pt idx="35">
                  <c:v>121.77370241017461</c:v>
                </c:pt>
                <c:pt idx="36">
                  <c:v>112.382675492608</c:v>
                </c:pt>
                <c:pt idx="37">
                  <c:v>129.03436474763859</c:v>
                </c:pt>
                <c:pt idx="38">
                  <c:v>120.49601052467369</c:v>
                </c:pt>
                <c:pt idx="39">
                  <c:v>110.14997063783574</c:v>
                </c:pt>
                <c:pt idx="40">
                  <c:v>119.48641548759377</c:v>
                </c:pt>
                <c:pt idx="41">
                  <c:v>118.15734949302734</c:v>
                </c:pt>
                <c:pt idx="42">
                  <c:v>115.19629301775439</c:v>
                </c:pt>
                <c:pt idx="43">
                  <c:v>104.13724816729129</c:v>
                </c:pt>
                <c:pt idx="44">
                  <c:v>100.85889031177967</c:v>
                </c:pt>
                <c:pt idx="45">
                  <c:v>112.47331008515926</c:v>
                </c:pt>
                <c:pt idx="46">
                  <c:v>102.46482012719927</c:v>
                </c:pt>
                <c:pt idx="47">
                  <c:v>89.274950640803297</c:v>
                </c:pt>
                <c:pt idx="48">
                  <c:v>92.876261605928022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80-4A4D-8856-9939BF2AB7BF}"/>
            </c:ext>
          </c:extLst>
        </c:ser>
        <c:ser>
          <c:idx val="0"/>
          <c:order val="1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'Q1 - Nelson-Siegel'!$F$12:$F$79</c:f>
              <c:numCache>
                <c:formatCode>_(* #,##0.0000_);_(* \(#,##0.0000\);_(* "-"??_);_(@_)</c:formatCode>
                <c:ptCount val="68"/>
                <c:pt idx="0">
                  <c:v>7.7777777777777779E-2</c:v>
                </c:pt>
                <c:pt idx="1">
                  <c:v>0.17222222222222222</c:v>
                </c:pt>
                <c:pt idx="2">
                  <c:v>0.18888888888888888</c:v>
                </c:pt>
                <c:pt idx="3">
                  <c:v>0.24722222222222223</c:v>
                </c:pt>
                <c:pt idx="4">
                  <c:v>0.32500000000000001</c:v>
                </c:pt>
                <c:pt idx="5">
                  <c:v>0.34444444444444444</c:v>
                </c:pt>
                <c:pt idx="6">
                  <c:v>0.41944444444444445</c:v>
                </c:pt>
                <c:pt idx="7">
                  <c:v>0.43888888888888888</c:v>
                </c:pt>
                <c:pt idx="8">
                  <c:v>0.49722222222222223</c:v>
                </c:pt>
                <c:pt idx="9">
                  <c:v>0.68888888888888888</c:v>
                </c:pt>
                <c:pt idx="10">
                  <c:v>1.1888888888888889</c:v>
                </c:pt>
                <c:pt idx="11">
                  <c:v>1.6888888888888889</c:v>
                </c:pt>
                <c:pt idx="12">
                  <c:v>2.1888888888888891</c:v>
                </c:pt>
                <c:pt idx="13">
                  <c:v>2.6888888888888891</c:v>
                </c:pt>
                <c:pt idx="14">
                  <c:v>3.1888888888888891</c:v>
                </c:pt>
                <c:pt idx="15">
                  <c:v>3.6888888888888891</c:v>
                </c:pt>
                <c:pt idx="16">
                  <c:v>4.1888888888888891</c:v>
                </c:pt>
                <c:pt idx="17">
                  <c:v>4.6888888888888891</c:v>
                </c:pt>
                <c:pt idx="18">
                  <c:v>5.1888888888888891</c:v>
                </c:pt>
                <c:pt idx="19">
                  <c:v>5.6888888888888891</c:v>
                </c:pt>
                <c:pt idx="20">
                  <c:v>6.1888888888888891</c:v>
                </c:pt>
                <c:pt idx="21">
                  <c:v>6.6888888888888891</c:v>
                </c:pt>
                <c:pt idx="22">
                  <c:v>7.1888888888888891</c:v>
                </c:pt>
                <c:pt idx="23">
                  <c:v>7.6888888888888891</c:v>
                </c:pt>
                <c:pt idx="24">
                  <c:v>8.1888888888888882</c:v>
                </c:pt>
                <c:pt idx="25">
                  <c:v>8.6888888888888882</c:v>
                </c:pt>
                <c:pt idx="26">
                  <c:v>9.1888888888888882</c:v>
                </c:pt>
                <c:pt idx="27">
                  <c:v>9.6888888888888882</c:v>
                </c:pt>
                <c:pt idx="28">
                  <c:v>10.188888888888888</c:v>
                </c:pt>
                <c:pt idx="29">
                  <c:v>11.688888888888888</c:v>
                </c:pt>
                <c:pt idx="30">
                  <c:v>12.188888888888888</c:v>
                </c:pt>
                <c:pt idx="31">
                  <c:v>12.688888888888888</c:v>
                </c:pt>
                <c:pt idx="32">
                  <c:v>13.188888888888888</c:v>
                </c:pt>
                <c:pt idx="33">
                  <c:v>13.688888888888888</c:v>
                </c:pt>
                <c:pt idx="34">
                  <c:v>15.188888888888888</c:v>
                </c:pt>
                <c:pt idx="35">
                  <c:v>15.688888888888888</c:v>
                </c:pt>
                <c:pt idx="36">
                  <c:v>16.18888888888889</c:v>
                </c:pt>
                <c:pt idx="37">
                  <c:v>17.68888888888889</c:v>
                </c:pt>
                <c:pt idx="38">
                  <c:v>18.18888888888889</c:v>
                </c:pt>
                <c:pt idx="39">
                  <c:v>18.68888888888889</c:v>
                </c:pt>
                <c:pt idx="40">
                  <c:v>19.18888888888889</c:v>
                </c:pt>
                <c:pt idx="41">
                  <c:v>19.68888888888889</c:v>
                </c:pt>
                <c:pt idx="42">
                  <c:v>20.18888888888889</c:v>
                </c:pt>
                <c:pt idx="43">
                  <c:v>21.18888888888889</c:v>
                </c:pt>
                <c:pt idx="44">
                  <c:v>21.68888888888889</c:v>
                </c:pt>
                <c:pt idx="45">
                  <c:v>22.18888888888889</c:v>
                </c:pt>
                <c:pt idx="46">
                  <c:v>23.68888888888889</c:v>
                </c:pt>
                <c:pt idx="47">
                  <c:v>28.68888888888889</c:v>
                </c:pt>
                <c:pt idx="48">
                  <c:v>29.68888888888889</c:v>
                </c:pt>
              </c:numCache>
            </c:numRef>
          </c:xVal>
          <c:yVal>
            <c:numRef>
              <c:f>'Q1 - Nelson-Siegel'!$G$12:$G$79</c:f>
              <c:numCache>
                <c:formatCode>_(* #,##0.00_);_(* \(#,##0.00\);_(* "-"??_);_(@_)</c:formatCode>
                <c:ptCount val="68"/>
                <c:pt idx="0">
                  <c:v>99.635221999999999</c:v>
                </c:pt>
                <c:pt idx="1">
                  <c:v>99.187999999999988</c:v>
                </c:pt>
                <c:pt idx="2">
                  <c:v>100.45711855555555</c:v>
                </c:pt>
                <c:pt idx="3">
                  <c:v>98.822055500000005</c:v>
                </c:pt>
                <c:pt idx="4">
                  <c:v>98.475312500000001</c:v>
                </c:pt>
                <c:pt idx="5">
                  <c:v>98.376000000000005</c:v>
                </c:pt>
                <c:pt idx="6">
                  <c:v>97.993722000000005</c:v>
                </c:pt>
                <c:pt idx="7">
                  <c:v>97.90252799999999</c:v>
                </c:pt>
                <c:pt idx="8">
                  <c:v>97.593555499999994</c:v>
                </c:pt>
                <c:pt idx="9">
                  <c:v>99.917186999999998</c:v>
                </c:pt>
                <c:pt idx="10">
                  <c:v>100.19739633333333</c:v>
                </c:pt>
                <c:pt idx="11">
                  <c:v>100.501563</c:v>
                </c:pt>
                <c:pt idx="12">
                  <c:v>101.14947966666666</c:v>
                </c:pt>
                <c:pt idx="13">
                  <c:v>100.71215277777777</c:v>
                </c:pt>
                <c:pt idx="14">
                  <c:v>98.580208333333331</c:v>
                </c:pt>
                <c:pt idx="15">
                  <c:v>101.44618055555556</c:v>
                </c:pt>
                <c:pt idx="16">
                  <c:v>101.41493055555556</c:v>
                </c:pt>
                <c:pt idx="17">
                  <c:v>100.76666666666667</c:v>
                </c:pt>
                <c:pt idx="18">
                  <c:v>98.407986111111114</c:v>
                </c:pt>
                <c:pt idx="19">
                  <c:v>95.408680555555549</c:v>
                </c:pt>
                <c:pt idx="20">
                  <c:v>97.040972222222223</c:v>
                </c:pt>
                <c:pt idx="21">
                  <c:v>95.07256944444444</c:v>
                </c:pt>
                <c:pt idx="22">
                  <c:v>96.119097222222223</c:v>
                </c:pt>
                <c:pt idx="23">
                  <c:v>94.10381944444444</c:v>
                </c:pt>
                <c:pt idx="24">
                  <c:v>95.478472222222223</c:v>
                </c:pt>
                <c:pt idx="25">
                  <c:v>97.040625000000006</c:v>
                </c:pt>
                <c:pt idx="26">
                  <c:v>99.485416666666666</c:v>
                </c:pt>
                <c:pt idx="27">
                  <c:v>97.470138888888883</c:v>
                </c:pt>
                <c:pt idx="28">
                  <c:v>131.60486111111112</c:v>
                </c:pt>
                <c:pt idx="29">
                  <c:v>134.16736111111112</c:v>
                </c:pt>
                <c:pt idx="30">
                  <c:v>128.05902777777777</c:v>
                </c:pt>
                <c:pt idx="31">
                  <c:v>132.23819444444445</c:v>
                </c:pt>
                <c:pt idx="32">
                  <c:v>135.30034722222223</c:v>
                </c:pt>
                <c:pt idx="33">
                  <c:v>127.2625</c:v>
                </c:pt>
                <c:pt idx="34">
                  <c:v>122.11493055555556</c:v>
                </c:pt>
                <c:pt idx="35">
                  <c:v>121.10729166666667</c:v>
                </c:pt>
                <c:pt idx="36">
                  <c:v>111.81944444444444</c:v>
                </c:pt>
                <c:pt idx="37">
                  <c:v>128.46597222222223</c:v>
                </c:pt>
                <c:pt idx="38">
                  <c:v>120.01388888888889</c:v>
                </c:pt>
                <c:pt idx="39">
                  <c:v>109.77291666666666</c:v>
                </c:pt>
                <c:pt idx="40">
                  <c:v>119.11562499999999</c:v>
                </c:pt>
                <c:pt idx="41">
                  <c:v>117.84236111111112</c:v>
                </c:pt>
                <c:pt idx="42">
                  <c:v>114.93645833333333</c:v>
                </c:pt>
                <c:pt idx="43">
                  <c:v>104.11736111111111</c:v>
                </c:pt>
                <c:pt idx="44">
                  <c:v>100.97708333333334</c:v>
                </c:pt>
                <c:pt idx="45">
                  <c:v>112.62430555555555</c:v>
                </c:pt>
                <c:pt idx="46">
                  <c:v>102.93784722222222</c:v>
                </c:pt>
                <c:pt idx="47">
                  <c:v>90.446875000000006</c:v>
                </c:pt>
                <c:pt idx="48">
                  <c:v>94.259027777777774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80-4A4D-8856-9939BF2AB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5206040"/>
        <c:axId val="-2097696120"/>
      </c:scatterChart>
      <c:valAx>
        <c:axId val="2045206040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44710365749735798"/>
              <c:y val="0.936592690377313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97696120"/>
        <c:crosses val="autoZero"/>
        <c:crossBetween val="midCat"/>
      </c:valAx>
      <c:valAx>
        <c:axId val="-2097696120"/>
        <c:scaling>
          <c:orientation val="minMax"/>
          <c:max val="170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206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715171967140503"/>
          <c:y val="0.12977321711936299"/>
          <c:w val="0.15871578552680901"/>
          <c:h val="0.14311465109252"/>
        </c:manualLayout>
      </c:layout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rgbClr val="FFC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Nominal Discount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38766489694"/>
          <c:y val="9.3410931540253803E-2"/>
          <c:w val="0.83338565578325496"/>
          <c:h val="0.79175747785082895"/>
        </c:manualLayout>
      </c:layout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'Q1 - Nelson-Siegel'!$EA$12:$EA$71</c:f>
              <c:numCache>
                <c:formatCode>_(* #,##0.00_);_(* \(#,##0.00\);_(* "-"??_);_(@_)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xVal>
          <c:yVal>
            <c:numRef>
              <c:f>'Q1 - Nelson-Siegel'!$EC$12:$EC$71</c:f>
              <c:numCache>
                <c:formatCode>_(* #,##0.0000_);_(* \(#,##0.0000\);_(* "-"??_);_(@_)</c:formatCode>
                <c:ptCount val="60"/>
                <c:pt idx="0">
                  <c:v>0.97497731266327314</c:v>
                </c:pt>
                <c:pt idx="1">
                  <c:v>0.95143614271468302</c:v>
                </c:pt>
                <c:pt idx="2">
                  <c:v>0.92863435870434374</c:v>
                </c:pt>
                <c:pt idx="3">
                  <c:v>0.90622537248910606</c:v>
                </c:pt>
                <c:pt idx="4">
                  <c:v>0.88407549928439599</c:v>
                </c:pt>
                <c:pt idx="5">
                  <c:v>0.86215941784202366</c:v>
                </c:pt>
                <c:pt idx="6">
                  <c:v>0.84050152277086543</c:v>
                </c:pt>
                <c:pt idx="7">
                  <c:v>0.81914418591615434</c:v>
                </c:pt>
                <c:pt idx="8">
                  <c:v>0.79813157389944989</c:v>
                </c:pt>
                <c:pt idx="9">
                  <c:v>0.77750223426618181</c:v>
                </c:pt>
                <c:pt idx="10">
                  <c:v>0.75728643576744492</c:v>
                </c:pt>
                <c:pt idx="11">
                  <c:v>0.73750593360439642</c:v>
                </c:pt>
                <c:pt idx="12">
                  <c:v>0.71817484555370059</c:v>
                </c:pt>
                <c:pt idx="13">
                  <c:v>0.69930092679498346</c:v>
                </c:pt>
                <c:pt idx="14">
                  <c:v>0.68088688049079849</c:v>
                </c:pt>
                <c:pt idx="15">
                  <c:v>0.66293153797680204</c:v>
                </c:pt>
                <c:pt idx="16">
                  <c:v>0.64543084891760771</c:v>
                </c:pt>
                <c:pt idx="17">
                  <c:v>0.62837867597465535</c:v>
                </c:pt>
                <c:pt idx="18">
                  <c:v>0.61176741330540596</c:v>
                </c:pt>
                <c:pt idx="19">
                  <c:v>0.59558845709853192</c:v>
                </c:pt>
                <c:pt idx="20">
                  <c:v>0.57983255716522275</c:v>
                </c:pt>
                <c:pt idx="21">
                  <c:v>0.56449007573912113</c:v>
                </c:pt>
                <c:pt idx="22">
                  <c:v>0.54955117545126075</c:v>
                </c:pt>
                <c:pt idx="23">
                  <c:v>0.53500595414058216</c:v>
                </c:pt>
                <c:pt idx="24">
                  <c:v>0.52084454028137162</c:v>
                </c:pt>
                <c:pt idx="25">
                  <c:v>0.5070571595513691</c:v>
                </c:pt>
                <c:pt idx="26">
                  <c:v>0.49363418044560009</c:v>
                </c:pt>
                <c:pt idx="27">
                  <c:v>0.48056614479766563</c:v>
                </c:pt>
                <c:pt idx="28">
                  <c:v>0.46784378750992545</c:v>
                </c:pt>
                <c:pt idx="29">
                  <c:v>0.4554580486219032</c:v>
                </c:pt>
                <c:pt idx="30">
                  <c:v>0.44340007997701147</c:v>
                </c:pt>
                <c:pt idx="31">
                  <c:v>0.43166124810971279</c:v>
                </c:pt>
                <c:pt idx="32">
                  <c:v>0.4202331345109469</c:v>
                </c:pt>
                <c:pt idx="33">
                  <c:v>0.4091075340941982</c:v>
                </c:pt>
                <c:pt idx="34">
                  <c:v>0.39827645244365489</c:v>
                </c:pt>
                <c:pt idx="35">
                  <c:v>0.38773210225380256</c:v>
                </c:pt>
                <c:pt idx="36">
                  <c:v>0.37746689924740068</c:v>
                </c:pt>
                <c:pt idx="37">
                  <c:v>0.36747345777210588</c:v>
                </c:pt>
                <c:pt idx="38">
                  <c:v>0.35774458621483479</c:v>
                </c:pt>
                <c:pt idx="39">
                  <c:v>0.34827328232993632</c:v>
                </c:pt>
                <c:pt idx="40">
                  <c:v>0.3390527285470748</c:v>
                </c:pt>
                <c:pt idx="41">
                  <c:v>0.33007628730363625</c:v>
                </c:pt>
                <c:pt idx="42">
                  <c:v>0.32133749643176268</c:v>
                </c:pt>
                <c:pt idx="43">
                  <c:v>0.31283006461989971</c:v>
                </c:pt>
                <c:pt idx="44">
                  <c:v>0.30454786696165514</c:v>
                </c:pt>
                <c:pt idx="45">
                  <c:v>0.29648494059987068</c:v>
                </c:pt>
                <c:pt idx="46">
                  <c:v>0.28863548047044202</c:v>
                </c:pt>
                <c:pt idx="47">
                  <c:v>0.28099383514811122</c:v>
                </c:pt>
                <c:pt idx="48">
                  <c:v>0.27355450279488425</c:v>
                </c:pt>
                <c:pt idx="49">
                  <c:v>0.26631212721066527</c:v>
                </c:pt>
                <c:pt idx="50">
                  <c:v>0.25926149398498721</c:v>
                </c:pt>
                <c:pt idx="51">
                  <c:v>0.25239752674825344</c:v>
                </c:pt>
                <c:pt idx="52">
                  <c:v>0.2457152835206016</c:v>
                </c:pt>
                <c:pt idx="53">
                  <c:v>0.23920995315632074</c:v>
                </c:pt>
                <c:pt idx="54">
                  <c:v>0.23287685188164292</c:v>
                </c:pt>
                <c:pt idx="55">
                  <c:v>0.22671141992367622</c:v>
                </c:pt>
                <c:pt idx="56">
                  <c:v>0.22070921822823267</c:v>
                </c:pt>
                <c:pt idx="57">
                  <c:v>0.21486592526431045</c:v>
                </c:pt>
                <c:pt idx="58">
                  <c:v>0.20917733391301133</c:v>
                </c:pt>
                <c:pt idx="59">
                  <c:v>0.20363934843871204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DC-4DBB-BD53-4E7CE56928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8553224"/>
        <c:axId val="-2098576376"/>
      </c:scatterChart>
      <c:valAx>
        <c:axId val="-2098553224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44710365749735798"/>
              <c:y val="0.936592690377313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98576376"/>
        <c:crosses val="autoZero"/>
        <c:crossBetween val="midCat"/>
      </c:valAx>
      <c:valAx>
        <c:axId val="-2098576376"/>
        <c:scaling>
          <c:orientation val="minMax"/>
          <c:max val="1"/>
          <c:min val="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Z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98553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8575" cap="flat" cmpd="sng" algn="ctr">
      <a:solidFill>
        <a:srgbClr val="FFC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Nominal Yield and Forward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38766489694"/>
          <c:y val="9.3410931540253803E-2"/>
          <c:w val="0.83338565578325496"/>
          <c:h val="0.79175747785082895"/>
        </c:manualLayout>
      </c:layout>
      <c:scatterChart>
        <c:scatterStyle val="smoothMarker"/>
        <c:varyColors val="0"/>
        <c:ser>
          <c:idx val="1"/>
          <c:order val="0"/>
          <c:tx>
            <c:v>Yield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'Q1 - Nelson-Siegel'!$EA$12:$EA$71</c:f>
              <c:numCache>
                <c:formatCode>_(* #,##0.00_);_(* \(#,##0.00\);_(* "-"??_);_(@_)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xVal>
          <c:yVal>
            <c:numRef>
              <c:f>'Q1 - Nelson-Siegel'!$EB$12:$EB$71</c:f>
              <c:numCache>
                <c:formatCode>_(* #,##0.0000_);_(* \(#,##0.0000\);_(* "-"??_);_(@_)</c:formatCode>
                <c:ptCount val="60"/>
                <c:pt idx="0">
                  <c:v>5.0682154636656679E-2</c:v>
                </c:pt>
                <c:pt idx="1">
                  <c:v>4.978270672645331E-2</c:v>
                </c:pt>
                <c:pt idx="2">
                  <c:v>4.9360135691797521E-2</c:v>
                </c:pt>
                <c:pt idx="3">
                  <c:v>4.9233624183469583E-2</c:v>
                </c:pt>
                <c:pt idx="4">
                  <c:v>4.9285125424441176E-2</c:v>
                </c:pt>
                <c:pt idx="5">
                  <c:v>4.94383619752456E-2</c:v>
                </c:pt>
                <c:pt idx="6">
                  <c:v>4.9644718397448051E-2</c:v>
                </c:pt>
                <c:pt idx="7">
                  <c:v>4.987378986114558E-2</c:v>
                </c:pt>
                <c:pt idx="8">
                  <c:v>5.010707012227239E-2</c:v>
                </c:pt>
                <c:pt idx="9">
                  <c:v>5.0333752255724729E-2</c:v>
                </c:pt>
                <c:pt idx="10">
                  <c:v>5.0547948059901419E-2</c:v>
                </c:pt>
                <c:pt idx="11">
                  <c:v>5.0746857539207373E-2</c:v>
                </c:pt>
                <c:pt idx="12">
                  <c:v>5.0929572630033858E-2</c:v>
                </c:pt>
                <c:pt idx="13">
                  <c:v>5.1096302707863223E-2</c:v>
                </c:pt>
                <c:pt idx="14">
                  <c:v>5.1247879276413881E-2</c:v>
                </c:pt>
                <c:pt idx="15">
                  <c:v>5.1385444387273521E-2</c:v>
                </c:pt>
                <c:pt idx="16">
                  <c:v>5.1510259102304584E-2</c:v>
                </c:pt>
                <c:pt idx="17">
                  <c:v>5.1623589668544016E-2</c:v>
                </c:pt>
                <c:pt idx="18">
                  <c:v>5.1726643402453365E-2</c:v>
                </c:pt>
                <c:pt idx="19">
                  <c:v>5.1820535865133278E-2</c:v>
                </c:pt>
                <c:pt idx="20">
                  <c:v>5.1906277301398393E-2</c:v>
                </c:pt>
                <c:pt idx="21">
                  <c:v>5.1984770560775988E-2</c:v>
                </c:pt>
                <c:pt idx="22">
                  <c:v>5.2056815524814573E-2</c:v>
                </c:pt>
                <c:pt idx="23">
                  <c:v>5.212311690944392E-2</c:v>
                </c:pt>
                <c:pt idx="24">
                  <c:v>5.2184293514476107E-2</c:v>
                </c:pt>
                <c:pt idx="25">
                  <c:v>5.2240887770248393E-2</c:v>
                </c:pt>
                <c:pt idx="26">
                  <c:v>5.2293374928323075E-2</c:v>
                </c:pt>
                <c:pt idx="27">
                  <c:v>5.2342171555574669E-2</c:v>
                </c:pt>
                <c:pt idx="28">
                  <c:v>5.2387643183161969E-2</c:v>
                </c:pt>
                <c:pt idx="29">
                  <c:v>5.2430111076410685E-2</c:v>
                </c:pt>
                <c:pt idx="30">
                  <c:v>5.246985815663173E-2</c:v>
                </c:pt>
                <c:pt idx="31">
                  <c:v>5.2507134139811604E-2</c:v>
                </c:pt>
                <c:pt idx="32">
                  <c:v>5.2542159971934711E-2</c:v>
                </c:pt>
                <c:pt idx="33">
                  <c:v>5.2575131644170887E-2</c:v>
                </c:pt>
                <c:pt idx="34">
                  <c:v>5.2606223468212011E-2</c:v>
                </c:pt>
                <c:pt idx="35">
                  <c:v>5.2635590885755444E-2</c:v>
                </c:pt>
                <c:pt idx="36">
                  <c:v>5.2663372878398923E-2</c:v>
                </c:pt>
                <c:pt idx="37">
                  <c:v>5.2689694036151473E-2</c:v>
                </c:pt>
                <c:pt idx="38">
                  <c:v>5.2714666335008153E-2</c:v>
                </c:pt>
                <c:pt idx="39">
                  <c:v>5.2738390666908171E-2</c:v>
                </c:pt>
                <c:pt idx="40">
                  <c:v>5.2760958159034296E-2</c:v>
                </c:pt>
                <c:pt idx="41">
                  <c:v>5.2782451313844708E-2</c:v>
                </c:pt>
                <c:pt idx="42">
                  <c:v>5.2802944996424156E-2</c:v>
                </c:pt>
                <c:pt idx="43">
                  <c:v>5.282250729163359E-2</c:v>
                </c:pt>
                <c:pt idx="44">
                  <c:v>5.2841200250050693E-2</c:v>
                </c:pt>
                <c:pt idx="45">
                  <c:v>5.2859080538746502E-2</c:v>
                </c:pt>
                <c:pt idx="46">
                  <c:v>5.2876200010461345E-2</c:v>
                </c:pt>
                <c:pt idx="47">
                  <c:v>5.2892606202656137E-2</c:v>
                </c:pt>
                <c:pt idx="48">
                  <c:v>5.2908342776162687E-2</c:v>
                </c:pt>
                <c:pt idx="49">
                  <c:v>5.2923449901685043E-2</c:v>
                </c:pt>
                <c:pt idx="50">
                  <c:v>5.2937964601168057E-2</c:v>
                </c:pt>
                <c:pt idx="51">
                  <c:v>5.2951921050010689E-2</c:v>
                </c:pt>
                <c:pt idx="52">
                  <c:v>5.2965350845227896E-2</c:v>
                </c:pt>
                <c:pt idx="53">
                  <c:v>5.2978283243927879E-2</c:v>
                </c:pt>
                <c:pt idx="54">
                  <c:v>5.2990745375850468E-2</c:v>
                </c:pt>
                <c:pt idx="55">
                  <c:v>5.3002762433186565E-2</c:v>
                </c:pt>
                <c:pt idx="56">
                  <c:v>5.3014357840453087E-2</c:v>
                </c:pt>
                <c:pt idx="57">
                  <c:v>5.3025553406819782E-2</c:v>
                </c:pt>
                <c:pt idx="58">
                  <c:v>5.3036369462962599E-2</c:v>
                </c:pt>
                <c:pt idx="59">
                  <c:v>5.3046824984243665E-2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07-4B50-8D31-7A41432E0237}"/>
            </c:ext>
          </c:extLst>
        </c:ser>
        <c:ser>
          <c:idx val="0"/>
          <c:order val="1"/>
          <c:tx>
            <c:v>Forward</c:v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'Q1 - Nelson-Siegel'!$EA$12:$EA$71</c:f>
              <c:numCache>
                <c:formatCode>_(* #,##0.00_);_(* \(#,##0.00\);_(* "-"??_);_(@_)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xVal>
          <c:yVal>
            <c:numRef>
              <c:f>'Q1 - Nelson-Siegel'!$ED$12:$ED$71</c:f>
              <c:numCache>
                <c:formatCode>_(* #,##0.0000_);_(* \(#,##0.0000\);_(* "-"??_);_(@_)</c:formatCode>
                <c:ptCount val="60"/>
                <c:pt idx="0">
                  <c:v>5.0682154636656679E-2</c:v>
                </c:pt>
                <c:pt idx="1">
                  <c:v>4.8883258816250011E-2</c:v>
                </c:pt>
                <c:pt idx="2">
                  <c:v>4.851499362248575E-2</c:v>
                </c:pt>
                <c:pt idx="3">
                  <c:v>4.8854089658486019E-2</c:v>
                </c:pt>
                <c:pt idx="4">
                  <c:v>4.9491130388327337E-2</c:v>
                </c:pt>
                <c:pt idx="5">
                  <c:v>5.0204544729267678E-2</c:v>
                </c:pt>
                <c:pt idx="6">
                  <c:v>5.0882856930662718E-2</c:v>
                </c:pt>
                <c:pt idx="7">
                  <c:v>5.147729010702818E-2</c:v>
                </c:pt>
                <c:pt idx="8">
                  <c:v>5.1973312211286787E-2</c:v>
                </c:pt>
                <c:pt idx="9">
                  <c:v>5.2373891456795746E-2</c:v>
                </c:pt>
                <c:pt idx="10">
                  <c:v>5.2689906101668134E-2</c:v>
                </c:pt>
                <c:pt idx="11">
                  <c:v>5.2934861811572947E-2</c:v>
                </c:pt>
                <c:pt idx="12">
                  <c:v>5.3122153719951555E-2</c:v>
                </c:pt>
                <c:pt idx="13">
                  <c:v>5.3263793719644896E-2</c:v>
                </c:pt>
                <c:pt idx="14">
                  <c:v>5.3369951236123404E-2</c:v>
                </c:pt>
                <c:pt idx="15">
                  <c:v>5.3448921050168213E-2</c:v>
                </c:pt>
                <c:pt idx="16">
                  <c:v>5.3507294542801287E-2</c:v>
                </c:pt>
                <c:pt idx="17">
                  <c:v>5.3550209294614438E-2</c:v>
                </c:pt>
                <c:pt idx="18">
                  <c:v>5.3581610612821663E-2</c:v>
                </c:pt>
                <c:pt idx="19">
                  <c:v>5.3604492656051578E-2</c:v>
                </c:pt>
                <c:pt idx="20">
                  <c:v>5.3621106026700623E-2</c:v>
                </c:pt>
                <c:pt idx="21">
                  <c:v>5.3633129007705685E-2</c:v>
                </c:pt>
                <c:pt idx="22">
                  <c:v>5.364180473366352E-2</c:v>
                </c:pt>
                <c:pt idx="23">
                  <c:v>5.3648048755918491E-2</c:v>
                </c:pt>
                <c:pt idx="24">
                  <c:v>5.3652532035248619E-2</c:v>
                </c:pt>
                <c:pt idx="25">
                  <c:v>5.3655744164555708E-2</c:v>
                </c:pt>
                <c:pt idx="26">
                  <c:v>5.3658041038264742E-2</c:v>
                </c:pt>
                <c:pt idx="27">
                  <c:v>5.3659680491367469E-2</c:v>
                </c:pt>
                <c:pt idx="28">
                  <c:v>5.3660848755606554E-2</c:v>
                </c:pt>
                <c:pt idx="29">
                  <c:v>5.3661679980623184E-2</c:v>
                </c:pt>
                <c:pt idx="30">
                  <c:v>5.3662270563263267E-2</c:v>
                </c:pt>
                <c:pt idx="31">
                  <c:v>5.3662689618387632E-2</c:v>
                </c:pt>
                <c:pt idx="32">
                  <c:v>5.3662986599874167E-2</c:v>
                </c:pt>
                <c:pt idx="33">
                  <c:v>5.3663196827964804E-2</c:v>
                </c:pt>
                <c:pt idx="34">
                  <c:v>5.3663345485610137E-2</c:v>
                </c:pt>
                <c:pt idx="35">
                  <c:v>5.3663450499775611E-2</c:v>
                </c:pt>
                <c:pt idx="36">
                  <c:v>5.366352461356421E-2</c:v>
                </c:pt>
                <c:pt idx="37">
                  <c:v>5.3663576872995812E-2</c:v>
                </c:pt>
                <c:pt idx="38">
                  <c:v>5.366361369156214E-2</c:v>
                </c:pt>
                <c:pt idx="39">
                  <c:v>5.3663639611008881E-2</c:v>
                </c:pt>
                <c:pt idx="40">
                  <c:v>5.3663657844079282E-2</c:v>
                </c:pt>
                <c:pt idx="41">
                  <c:v>5.3663670661071444E-2</c:v>
                </c:pt>
                <c:pt idx="42">
                  <c:v>5.3663679664760704E-2</c:v>
                </c:pt>
                <c:pt idx="43">
                  <c:v>5.3663685985639857E-2</c:v>
                </c:pt>
                <c:pt idx="44">
                  <c:v>5.3663690420402761E-2</c:v>
                </c:pt>
                <c:pt idx="45">
                  <c:v>5.3663693530057933E-2</c:v>
                </c:pt>
                <c:pt idx="46">
                  <c:v>5.366369570934449E-2</c:v>
                </c:pt>
                <c:pt idx="47">
                  <c:v>5.3663697235811089E-2</c:v>
                </c:pt>
                <c:pt idx="48">
                  <c:v>5.3663698304476995E-2</c:v>
                </c:pt>
                <c:pt idx="49">
                  <c:v>5.3663699052280356E-2</c:v>
                </c:pt>
                <c:pt idx="50">
                  <c:v>5.3663699575318975E-2</c:v>
                </c:pt>
                <c:pt idx="51">
                  <c:v>5.3663699940985028E-2</c:v>
                </c:pt>
                <c:pt idx="52">
                  <c:v>5.3663700196522057E-2</c:v>
                </c:pt>
                <c:pt idx="53">
                  <c:v>5.3663700375027212E-2</c:v>
                </c:pt>
                <c:pt idx="54">
                  <c:v>5.36637004996703E-2</c:v>
                </c:pt>
                <c:pt idx="55">
                  <c:v>5.366370058667147E-2</c:v>
                </c:pt>
                <c:pt idx="56">
                  <c:v>5.3663700647378527E-2</c:v>
                </c:pt>
                <c:pt idx="57">
                  <c:v>5.3663700689721476E-2</c:v>
                </c:pt>
                <c:pt idx="58">
                  <c:v>5.3663700719245699E-2</c:v>
                </c:pt>
                <c:pt idx="59">
                  <c:v>5.3663700739826778E-2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07-4B50-8D31-7A41432E0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8483928"/>
        <c:axId val="-2098477032"/>
      </c:scatterChart>
      <c:valAx>
        <c:axId val="-2098483928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44710365749735798"/>
              <c:y val="0.936592690377313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98477032"/>
        <c:crossesAt val="-0.02"/>
        <c:crossBetween val="midCat"/>
      </c:valAx>
      <c:valAx>
        <c:axId val="-2098477032"/>
        <c:scaling>
          <c:orientation val="minMax"/>
          <c:min val="4.8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Yield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0_);_(* \(#,##0.000\);_(* &quot;-&quot;???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98483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027030712070099"/>
          <c:y val="0.442955324748043"/>
          <c:w val="0.14747861062821699"/>
          <c:h val="9.7088047171832795E-2"/>
        </c:manualLayout>
      </c:layout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rgbClr val="FFC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Yield: Data versus Tree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38766489694"/>
          <c:y val="9.3410931540253803E-2"/>
          <c:w val="0.83338565578325496"/>
          <c:h val="0.79175747785082895"/>
        </c:manualLayout>
      </c:layout>
      <c:scatterChart>
        <c:scatterStyle val="smoothMarker"/>
        <c:varyColors val="0"/>
        <c:ser>
          <c:idx val="1"/>
          <c:order val="0"/>
          <c:tx>
            <c:v>Nelson-Siegel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'Q3 - Plot'!$B$9:$B$68</c:f>
              <c:numCache>
                <c:formatCode>_(* #,##0.00_);_(* \(#,##0.00\);_(* "-"??_);_(@_)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xVal>
          <c:yVal>
            <c:numRef>
              <c:f>'Q3 - Plot'!$E$9:$E$68</c:f>
              <c:numCache>
                <c:formatCode>_(* #,##0.0000_);_(* \(#,##0.0000\);_(* "-"??_);_(@_)</c:formatCode>
                <c:ptCount val="60"/>
                <c:pt idx="0">
                  <c:v>5.0682154636656679E-2</c:v>
                </c:pt>
                <c:pt idx="1">
                  <c:v>4.978270672645331E-2</c:v>
                </c:pt>
                <c:pt idx="2">
                  <c:v>4.9360135691797521E-2</c:v>
                </c:pt>
                <c:pt idx="3">
                  <c:v>4.9233624183469583E-2</c:v>
                </c:pt>
                <c:pt idx="4">
                  <c:v>4.9285125424441176E-2</c:v>
                </c:pt>
                <c:pt idx="5">
                  <c:v>4.94383619752456E-2</c:v>
                </c:pt>
                <c:pt idx="6">
                  <c:v>4.9644718397448051E-2</c:v>
                </c:pt>
                <c:pt idx="7">
                  <c:v>4.987378986114558E-2</c:v>
                </c:pt>
                <c:pt idx="8">
                  <c:v>5.010707012227239E-2</c:v>
                </c:pt>
                <c:pt idx="9">
                  <c:v>5.0333752255724729E-2</c:v>
                </c:pt>
                <c:pt idx="10">
                  <c:v>5.0547948059901419E-2</c:v>
                </c:pt>
                <c:pt idx="11">
                  <c:v>5.0746857539207373E-2</c:v>
                </c:pt>
                <c:pt idx="12">
                  <c:v>5.0929572630033858E-2</c:v>
                </c:pt>
                <c:pt idx="13">
                  <c:v>5.1096302707863223E-2</c:v>
                </c:pt>
                <c:pt idx="14">
                  <c:v>5.1247879276413881E-2</c:v>
                </c:pt>
                <c:pt idx="15">
                  <c:v>5.1385444387273521E-2</c:v>
                </c:pt>
                <c:pt idx="16">
                  <c:v>5.1510259102304584E-2</c:v>
                </c:pt>
                <c:pt idx="17">
                  <c:v>5.1623589668544016E-2</c:v>
                </c:pt>
                <c:pt idx="18">
                  <c:v>5.1726643402453365E-2</c:v>
                </c:pt>
                <c:pt idx="19">
                  <c:v>5.1820535865133278E-2</c:v>
                </c:pt>
                <c:pt idx="20">
                  <c:v>5.1906277301398393E-2</c:v>
                </c:pt>
                <c:pt idx="21">
                  <c:v>5.1984770560775988E-2</c:v>
                </c:pt>
                <c:pt idx="22">
                  <c:v>5.2056815524814573E-2</c:v>
                </c:pt>
                <c:pt idx="23">
                  <c:v>5.212311690944392E-2</c:v>
                </c:pt>
                <c:pt idx="24">
                  <c:v>5.2184293514476107E-2</c:v>
                </c:pt>
                <c:pt idx="25">
                  <c:v>5.2240887770248393E-2</c:v>
                </c:pt>
                <c:pt idx="26">
                  <c:v>5.2293374928323075E-2</c:v>
                </c:pt>
                <c:pt idx="27">
                  <c:v>5.2342171555574669E-2</c:v>
                </c:pt>
                <c:pt idx="28">
                  <c:v>5.2387643183161969E-2</c:v>
                </c:pt>
                <c:pt idx="29">
                  <c:v>5.2430111076410685E-2</c:v>
                </c:pt>
                <c:pt idx="30">
                  <c:v>5.246985815663173E-2</c:v>
                </c:pt>
                <c:pt idx="31">
                  <c:v>5.2507134139811604E-2</c:v>
                </c:pt>
                <c:pt idx="32">
                  <c:v>5.2542159971934711E-2</c:v>
                </c:pt>
                <c:pt idx="33">
                  <c:v>5.2575131644170887E-2</c:v>
                </c:pt>
                <c:pt idx="34">
                  <c:v>5.2606223468212011E-2</c:v>
                </c:pt>
                <c:pt idx="35">
                  <c:v>5.2635590885755444E-2</c:v>
                </c:pt>
                <c:pt idx="36">
                  <c:v>5.2663372878398923E-2</c:v>
                </c:pt>
                <c:pt idx="37">
                  <c:v>5.2689694036151473E-2</c:v>
                </c:pt>
                <c:pt idx="38">
                  <c:v>5.2714666335008153E-2</c:v>
                </c:pt>
                <c:pt idx="39">
                  <c:v>5.2738390666908171E-2</c:v>
                </c:pt>
                <c:pt idx="40">
                  <c:v>5.2760958159034296E-2</c:v>
                </c:pt>
                <c:pt idx="41">
                  <c:v>5.2782451313844708E-2</c:v>
                </c:pt>
                <c:pt idx="42">
                  <c:v>5.2802944996424156E-2</c:v>
                </c:pt>
                <c:pt idx="43">
                  <c:v>5.282250729163359E-2</c:v>
                </c:pt>
                <c:pt idx="44">
                  <c:v>5.2841200250050693E-2</c:v>
                </c:pt>
                <c:pt idx="45">
                  <c:v>5.2859080538746502E-2</c:v>
                </c:pt>
                <c:pt idx="46">
                  <c:v>5.2876200010461345E-2</c:v>
                </c:pt>
                <c:pt idx="47">
                  <c:v>5.2892606202656137E-2</c:v>
                </c:pt>
                <c:pt idx="48">
                  <c:v>5.2908342776162687E-2</c:v>
                </c:pt>
                <c:pt idx="49">
                  <c:v>5.2923449901685043E-2</c:v>
                </c:pt>
                <c:pt idx="50">
                  <c:v>5.2937964601168057E-2</c:v>
                </c:pt>
                <c:pt idx="51">
                  <c:v>5.2951921050010689E-2</c:v>
                </c:pt>
                <c:pt idx="52">
                  <c:v>5.2965350845227896E-2</c:v>
                </c:pt>
                <c:pt idx="53">
                  <c:v>5.2978283243927879E-2</c:v>
                </c:pt>
                <c:pt idx="54">
                  <c:v>5.2990745375850468E-2</c:v>
                </c:pt>
                <c:pt idx="55">
                  <c:v>5.3002762433186565E-2</c:v>
                </c:pt>
                <c:pt idx="56">
                  <c:v>5.3014357840453087E-2</c:v>
                </c:pt>
                <c:pt idx="57">
                  <c:v>5.3025553406819782E-2</c:v>
                </c:pt>
                <c:pt idx="58">
                  <c:v>5.3036369462962599E-2</c:v>
                </c:pt>
                <c:pt idx="59">
                  <c:v>5.3046824984243665E-2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60-4ECF-8365-D925AB975F4A}"/>
            </c:ext>
          </c:extLst>
        </c:ser>
        <c:ser>
          <c:idx val="0"/>
          <c:order val="1"/>
          <c:tx>
            <c:v>Ho-Lee Tree</c:v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'Q3 - Plot'!$B$9:$B$68</c:f>
              <c:numCache>
                <c:formatCode>_(* #,##0.00_);_(* \(#,##0.00\);_(* "-"??_);_(@_)</c:formatCode>
                <c:ptCount val="6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</c:numCache>
            </c:numRef>
          </c:xVal>
          <c:yVal>
            <c:numRef>
              <c:f>'Q3 - Plot'!$H$9:$H$68</c:f>
              <c:numCache>
                <c:formatCode>_(* #,##0.0000_);_(* \(#,##0.0000\);_(* "-"??_);_(@_)</c:formatCode>
                <c:ptCount val="60"/>
                <c:pt idx="0">
                  <c:v>5.0682154636656679E-2</c:v>
                </c:pt>
                <c:pt idx="1">
                  <c:v>4.9782706734714459E-2</c:v>
                </c:pt>
                <c:pt idx="2">
                  <c:v>4.936013569190157E-2</c:v>
                </c:pt>
                <c:pt idx="3">
                  <c:v>4.9233624183515311E-2</c:v>
                </c:pt>
                <c:pt idx="4">
                  <c:v>4.92851587762409E-2</c:v>
                </c:pt>
                <c:pt idx="5">
                  <c:v>4.9438363642739493E-2</c:v>
                </c:pt>
                <c:pt idx="6">
                  <c:v>4.9644718690792129E-2</c:v>
                </c:pt>
                <c:pt idx="7">
                  <c:v>4.9873790954003877E-2</c:v>
                </c:pt>
                <c:pt idx="8">
                  <c:v>5.010707123404011E-2</c:v>
                </c:pt>
                <c:pt idx="9">
                  <c:v>5.0333753232677095E-2</c:v>
                </c:pt>
                <c:pt idx="10">
                  <c:v>5.0547948859638668E-2</c:v>
                </c:pt>
                <c:pt idx="11">
                  <c:v>5.0746858151088516E-2</c:v>
                </c:pt>
                <c:pt idx="12">
                  <c:v>5.0929573063084543E-2</c:v>
                </c:pt>
                <c:pt idx="13">
                  <c:v>5.1096302983918575E-2</c:v>
                </c:pt>
                <c:pt idx="14">
                  <c:v>5.1247879423179883E-2</c:v>
                </c:pt>
                <c:pt idx="15">
                  <c:v>5.1385444432900891E-2</c:v>
                </c:pt>
                <c:pt idx="16">
                  <c:v>5.1510808093510808E-2</c:v>
                </c:pt>
                <c:pt idx="17">
                  <c:v>5.1623589864072034E-2</c:v>
                </c:pt>
                <c:pt idx="18">
                  <c:v>5.1726643549519273E-2</c:v>
                </c:pt>
                <c:pt idx="19">
                  <c:v>5.1820865530663805E-2</c:v>
                </c:pt>
                <c:pt idx="20">
                  <c:v>5.1906277326199506E-2</c:v>
                </c:pt>
                <c:pt idx="21">
                  <c:v>5.1984770677957884E-2</c:v>
                </c:pt>
                <c:pt idx="22">
                  <c:v>5.2056758895096256E-2</c:v>
                </c:pt>
                <c:pt idx="23">
                  <c:v>5.2122586515445109E-2</c:v>
                </c:pt>
                <c:pt idx="24">
                  <c:v>5.2184293724921366E-2</c:v>
                </c:pt>
                <c:pt idx="25">
                  <c:v>5.2240887872578107E-2</c:v>
                </c:pt>
                <c:pt idx="26">
                  <c:v>5.2293375002488381E-2</c:v>
                </c:pt>
                <c:pt idx="27">
                  <c:v>5.2341793925832839E-2</c:v>
                </c:pt>
                <c:pt idx="28">
                  <c:v>5.2387643358289465E-2</c:v>
                </c:pt>
                <c:pt idx="29">
                  <c:v>5.2430111130278075E-2</c:v>
                </c:pt>
                <c:pt idx="30">
                  <c:v>5.2469858212848351E-2</c:v>
                </c:pt>
                <c:pt idx="31">
                  <c:v>5.2506789039989406E-2</c:v>
                </c:pt>
                <c:pt idx="32">
                  <c:v>5.2542160133362444E-2</c:v>
                </c:pt>
                <c:pt idx="33">
                  <c:v>5.2575779341461897E-2</c:v>
                </c:pt>
                <c:pt idx="34">
                  <c:v>5.2606223618910708E-2</c:v>
                </c:pt>
                <c:pt idx="35">
                  <c:v>5.2635591140397106E-2</c:v>
                </c:pt>
                <c:pt idx="36">
                  <c:v>5.2663666516435878E-2</c:v>
                </c:pt>
                <c:pt idx="37">
                  <c:v>5.2690257147808624E-2</c:v>
                </c:pt>
                <c:pt idx="38">
                  <c:v>5.2715190306901243E-2</c:v>
                </c:pt>
                <c:pt idx="39">
                  <c:v>5.2738310656835673E-2</c:v>
                </c:pt>
                <c:pt idx="40">
                  <c:v>5.2760958340668011E-2</c:v>
                </c:pt>
                <c:pt idx="41">
                  <c:v>5.2782901023001608E-2</c:v>
                </c:pt>
                <c:pt idx="42">
                  <c:v>5.2802945113815072E-2</c:v>
                </c:pt>
                <c:pt idx="43">
                  <c:v>5.2822507478877061E-2</c:v>
                </c:pt>
                <c:pt idx="44">
                  <c:v>5.2841372223121547E-2</c:v>
                </c:pt>
                <c:pt idx="45">
                  <c:v>5.2859342343534545E-2</c:v>
                </c:pt>
                <c:pt idx="46">
                  <c:v>5.2876237721950735E-2</c:v>
                </c:pt>
                <c:pt idx="47">
                  <c:v>5.2891893368745509E-2</c:v>
                </c:pt>
                <c:pt idx="48">
                  <c:v>5.2908343005479037E-2</c:v>
                </c:pt>
                <c:pt idx="49">
                  <c:v>5.2923450110686839E-2</c:v>
                </c:pt>
                <c:pt idx="50">
                  <c:v>5.2937075501715787E-2</c:v>
                </c:pt>
                <c:pt idx="51">
                  <c:v>5.2951921279083686E-2</c:v>
                </c:pt>
                <c:pt idx="52">
                  <c:v>5.2965351068557133E-2</c:v>
                </c:pt>
                <c:pt idx="53">
                  <c:v>5.2977237850795611E-2</c:v>
                </c:pt>
                <c:pt idx="54">
                  <c:v>5.2990745569279553E-2</c:v>
                </c:pt>
                <c:pt idx="55">
                  <c:v>5.3002762641621994E-2</c:v>
                </c:pt>
                <c:pt idx="56">
                  <c:v>5.3013173013584207E-2</c:v>
                </c:pt>
                <c:pt idx="57">
                  <c:v>5.3025554032025475E-2</c:v>
                </c:pt>
                <c:pt idx="58">
                  <c:v>5.3036369629745887E-2</c:v>
                </c:pt>
                <c:pt idx="59">
                  <c:v>5.3045513644720238E-2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60-4ECF-8365-D925AB975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99847832"/>
        <c:axId val="-2099854760"/>
      </c:scatterChart>
      <c:valAx>
        <c:axId val="-209984783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44710365749735798"/>
              <c:y val="0.936592690377313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99854760"/>
        <c:crossesAt val="-0.02"/>
        <c:crossBetween val="midCat"/>
      </c:valAx>
      <c:valAx>
        <c:axId val="-2099854760"/>
        <c:scaling>
          <c:orientation val="minMax"/>
          <c:min val="4.8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Yield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0_);_(* \(#,##0.000\);_(* &quot;-&quot;???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99847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420970106009503"/>
          <c:y val="0.442955324748043"/>
          <c:w val="0.25353921668882301"/>
          <c:h val="0.148867976582606"/>
        </c:manualLayout>
      </c:layout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rgbClr val="FFC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FCD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38766489694"/>
          <c:y val="9.3410931540253803E-2"/>
          <c:w val="0.83338565578325496"/>
          <c:h val="0.79175747785082895"/>
        </c:manualLayout>
      </c:layout>
      <c:scatterChart>
        <c:scatterStyle val="smoothMarker"/>
        <c:varyColors val="0"/>
        <c:ser>
          <c:idx val="1"/>
          <c:order val="0"/>
          <c:tx>
            <c:v>Non-Callable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'Q6 - Plot'!$C$11:$C$71</c:f>
              <c:numCache>
                <c:formatCode>_(* #,##0.0000_);_(* \(#,##0.0000\);_(* "-"??_);_(@_)</c:formatCode>
                <c:ptCount val="61"/>
                <c:pt idx="0">
                  <c:v>5.0682154636656651E-2</c:v>
                </c:pt>
                <c:pt idx="1">
                  <c:v>5.0682154636656651E-2</c:v>
                </c:pt>
                <c:pt idx="2">
                  <c:v>5.0682154636656651E-2</c:v>
                </c:pt>
                <c:pt idx="3">
                  <c:v>5.0682154636656651E-2</c:v>
                </c:pt>
                <c:pt idx="4">
                  <c:v>5.0682154636656651E-2</c:v>
                </c:pt>
                <c:pt idx="5">
                  <c:v>5.0682154636656651E-2</c:v>
                </c:pt>
                <c:pt idx="6">
                  <c:v>5.0682154636656651E-2</c:v>
                </c:pt>
                <c:pt idx="7">
                  <c:v>5.0682154636656651E-2</c:v>
                </c:pt>
                <c:pt idx="8">
                  <c:v>5.0682154636656651E-2</c:v>
                </c:pt>
                <c:pt idx="9">
                  <c:v>5.0682154636656651E-2</c:v>
                </c:pt>
                <c:pt idx="10">
                  <c:v>5.0682154636656651E-2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xVal>
          <c:yVal>
            <c:numRef>
              <c:f>'Q6 - Plot'!$I$11:$I$71</c:f>
              <c:numCache>
                <c:formatCode>_(* #,##0.0000_);_(* \(#,##0.0000\);_(* "-"??_);_(@_)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74-4B65-927C-30E389036F18}"/>
            </c:ext>
          </c:extLst>
        </c:ser>
        <c:ser>
          <c:idx val="0"/>
          <c:order val="1"/>
          <c:tx>
            <c:v>Callable</c:v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'Q6 - Plot'!$C$11:$C$71</c:f>
              <c:numCache>
                <c:formatCode>_(* #,##0.0000_);_(* \(#,##0.0000\);_(* "-"??_);_(@_)</c:formatCode>
                <c:ptCount val="61"/>
                <c:pt idx="0">
                  <c:v>5.0682154636656651E-2</c:v>
                </c:pt>
                <c:pt idx="1">
                  <c:v>5.0682154636656651E-2</c:v>
                </c:pt>
                <c:pt idx="2">
                  <c:v>5.0682154636656651E-2</c:v>
                </c:pt>
                <c:pt idx="3">
                  <c:v>5.0682154636656651E-2</c:v>
                </c:pt>
                <c:pt idx="4">
                  <c:v>5.0682154636656651E-2</c:v>
                </c:pt>
                <c:pt idx="5">
                  <c:v>5.0682154636656651E-2</c:v>
                </c:pt>
                <c:pt idx="6">
                  <c:v>5.0682154636656651E-2</c:v>
                </c:pt>
                <c:pt idx="7">
                  <c:v>5.0682154636656651E-2</c:v>
                </c:pt>
                <c:pt idx="8">
                  <c:v>5.0682154636656651E-2</c:v>
                </c:pt>
                <c:pt idx="9">
                  <c:v>5.0682154636656651E-2</c:v>
                </c:pt>
                <c:pt idx="10">
                  <c:v>5.0682154636656651E-2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xVal>
          <c:yVal>
            <c:numRef>
              <c:f>'Q6 - Plot'!$O$11:$O$71</c:f>
              <c:numCache>
                <c:formatCode>_(* #,##0.0000_);_(* \(#,##0.0000\);_(* "-"??_);_(@_)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974-4B65-927C-30E389036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8279240"/>
        <c:axId val="-2088272248"/>
      </c:scatterChart>
      <c:valAx>
        <c:axId val="-2088279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Interest Rate</a:t>
                </a:r>
              </a:p>
            </c:rich>
          </c:tx>
          <c:layout>
            <c:manualLayout>
              <c:xMode val="edge"/>
              <c:yMode val="edge"/>
              <c:x val="0.44710365749735798"/>
              <c:y val="0.936592690377313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88272248"/>
        <c:crossesAt val="-0.02"/>
        <c:crossBetween val="midCat"/>
      </c:valAx>
      <c:valAx>
        <c:axId val="-2088272248"/>
        <c:scaling>
          <c:orientation val="minMax"/>
          <c:max val="1.5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Bond Prices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88279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4689368374407699"/>
          <c:y val="0.69610164631182403"/>
          <c:w val="0.25353921668882301"/>
          <c:h val="0.148867976582606"/>
        </c:manualLayout>
      </c:layout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rgbClr val="FFC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1 period before</a:t>
            </a:r>
            <a:r>
              <a:rPr lang="en-US" b="1" baseline="0"/>
              <a:t> </a:t>
            </a:r>
            <a:r>
              <a:rPr lang="en-US" b="1"/>
              <a:t>FCD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38766489694"/>
          <c:y val="9.3410931540253803E-2"/>
          <c:w val="0.83338565578325496"/>
          <c:h val="0.79175747785082895"/>
        </c:manualLayout>
      </c:layout>
      <c:scatterChart>
        <c:scatterStyle val="smoothMarker"/>
        <c:varyColors val="0"/>
        <c:ser>
          <c:idx val="1"/>
          <c:order val="0"/>
          <c:tx>
            <c:v>Non-Callable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'Q6 - Plot'!$D$11:$D$71</c:f>
              <c:numCache>
                <c:formatCode>_(* #,##0.0000_);_(* \(#,##0.0000\);_(* "-"??_);_(@_)</c:formatCode>
                <c:ptCount val="61"/>
                <c:pt idx="0">
                  <c:v>5.0682154636656651E-2</c:v>
                </c:pt>
                <c:pt idx="1">
                  <c:v>5.0682154636656651E-2</c:v>
                </c:pt>
                <c:pt idx="2">
                  <c:v>5.0682154636656651E-2</c:v>
                </c:pt>
                <c:pt idx="3">
                  <c:v>5.0682154636656651E-2</c:v>
                </c:pt>
                <c:pt idx="4">
                  <c:v>5.0682154636656651E-2</c:v>
                </c:pt>
                <c:pt idx="5">
                  <c:v>5.0682154636656651E-2</c:v>
                </c:pt>
                <c:pt idx="6">
                  <c:v>5.0682154636656651E-2</c:v>
                </c:pt>
                <c:pt idx="7">
                  <c:v>5.0682154636656651E-2</c:v>
                </c:pt>
                <c:pt idx="8">
                  <c:v>5.0682154636656651E-2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xVal>
          <c:yVal>
            <c:numRef>
              <c:f>'Q6 - Plot'!$J$11:$J$71</c:f>
              <c:numCache>
                <c:formatCode>_(* #,##0.0000_);_(* \(#,##0.0000\);_(* "-"??_);_(@_)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87-4298-8474-95D9B85BF07F}"/>
            </c:ext>
          </c:extLst>
        </c:ser>
        <c:ser>
          <c:idx val="0"/>
          <c:order val="1"/>
          <c:tx>
            <c:v>Callab;e</c:v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'Q6 - Plot'!$D$11:$D$71</c:f>
              <c:numCache>
                <c:formatCode>_(* #,##0.0000_);_(* \(#,##0.0000\);_(* "-"??_);_(@_)</c:formatCode>
                <c:ptCount val="61"/>
                <c:pt idx="0">
                  <c:v>5.0682154636656651E-2</c:v>
                </c:pt>
                <c:pt idx="1">
                  <c:v>5.0682154636656651E-2</c:v>
                </c:pt>
                <c:pt idx="2">
                  <c:v>5.0682154636656651E-2</c:v>
                </c:pt>
                <c:pt idx="3">
                  <c:v>5.0682154636656651E-2</c:v>
                </c:pt>
                <c:pt idx="4">
                  <c:v>5.0682154636656651E-2</c:v>
                </c:pt>
                <c:pt idx="5">
                  <c:v>5.0682154636656651E-2</c:v>
                </c:pt>
                <c:pt idx="6">
                  <c:v>5.0682154636656651E-2</c:v>
                </c:pt>
                <c:pt idx="7">
                  <c:v>5.0682154636656651E-2</c:v>
                </c:pt>
                <c:pt idx="8">
                  <c:v>5.0682154636656651E-2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xVal>
          <c:yVal>
            <c:numRef>
              <c:f>'Q6 - Plot'!$P$11:$P$71</c:f>
              <c:numCache>
                <c:formatCode>_(* #,##0.0000_);_(* \(#,##0.0000\);_(* "-"??_);_(@_)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687-4298-8474-95D9B85BF0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8224520"/>
        <c:axId val="-2088217544"/>
      </c:scatterChart>
      <c:valAx>
        <c:axId val="-2088224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Interest Rate</a:t>
                </a:r>
              </a:p>
            </c:rich>
          </c:tx>
          <c:layout>
            <c:manualLayout>
              <c:xMode val="edge"/>
              <c:yMode val="edge"/>
              <c:x val="0.44710365749735798"/>
              <c:y val="0.936592690377313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88217544"/>
        <c:crossesAt val="-0.02"/>
        <c:crossBetween val="midCat"/>
      </c:valAx>
      <c:valAx>
        <c:axId val="-2088217544"/>
        <c:scaling>
          <c:orientation val="minMax"/>
          <c:max val="1.5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Bond Prices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88224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3906670757064"/>
          <c:y val="0.70473163454695298"/>
          <c:w val="0.25353921668882301"/>
          <c:h val="0.148867976582606"/>
        </c:manualLayout>
      </c:layout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rgbClr val="FFC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2 periods before</a:t>
            </a:r>
            <a:r>
              <a:rPr lang="en-US" b="1" baseline="0"/>
              <a:t> </a:t>
            </a:r>
            <a:r>
              <a:rPr lang="en-US" b="1"/>
              <a:t>FCD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38766489694"/>
          <c:y val="9.3410931540253803E-2"/>
          <c:w val="0.83338565578325496"/>
          <c:h val="0.79175747785082895"/>
        </c:manualLayout>
      </c:layout>
      <c:scatterChart>
        <c:scatterStyle val="smoothMarker"/>
        <c:varyColors val="0"/>
        <c:ser>
          <c:idx val="1"/>
          <c:order val="0"/>
          <c:tx>
            <c:v>Non-Callable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'Q6 - Plot'!$E$11:$E$71</c:f>
              <c:numCache>
                <c:formatCode>_(* #,##0.0000_);_(* \(#,##0.0000\);_(* "-"??_);_(@_)</c:formatCode>
                <c:ptCount val="61"/>
                <c:pt idx="0">
                  <c:v>5.0682154636656651E-2</c:v>
                </c:pt>
                <c:pt idx="1">
                  <c:v>5.0682154636656651E-2</c:v>
                </c:pt>
                <c:pt idx="2">
                  <c:v>5.0682154636656651E-2</c:v>
                </c:pt>
                <c:pt idx="3">
                  <c:v>5.0682154636656651E-2</c:v>
                </c:pt>
                <c:pt idx="4">
                  <c:v>5.0682154636656651E-2</c:v>
                </c:pt>
                <c:pt idx="5">
                  <c:v>5.0682154636656651E-2</c:v>
                </c:pt>
                <c:pt idx="6">
                  <c:v>5.0682154636656651E-2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xVal>
          <c:yVal>
            <c:numRef>
              <c:f>'Q6 - Plot'!$K$11:$K$71</c:f>
              <c:numCache>
                <c:formatCode>_(* #,##0.0000_);_(* \(#,##0.0000\);_(* "-"??_);_(@_)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69-47B9-9943-65D1C41FD196}"/>
            </c:ext>
          </c:extLst>
        </c:ser>
        <c:ser>
          <c:idx val="0"/>
          <c:order val="1"/>
          <c:tx>
            <c:v>Callable</c:v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'Q6 - Plot'!$E$11:$E$71</c:f>
              <c:numCache>
                <c:formatCode>_(* #,##0.0000_);_(* \(#,##0.0000\);_(* "-"??_);_(@_)</c:formatCode>
                <c:ptCount val="61"/>
                <c:pt idx="0">
                  <c:v>5.0682154636656651E-2</c:v>
                </c:pt>
                <c:pt idx="1">
                  <c:v>5.0682154636656651E-2</c:v>
                </c:pt>
                <c:pt idx="2">
                  <c:v>5.0682154636656651E-2</c:v>
                </c:pt>
                <c:pt idx="3">
                  <c:v>5.0682154636656651E-2</c:v>
                </c:pt>
                <c:pt idx="4">
                  <c:v>5.0682154636656651E-2</c:v>
                </c:pt>
                <c:pt idx="5">
                  <c:v>5.0682154636656651E-2</c:v>
                </c:pt>
                <c:pt idx="6">
                  <c:v>5.0682154636656651E-2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xVal>
          <c:yVal>
            <c:numRef>
              <c:f>'Q6 - Plot'!$Q$11:$Q$71</c:f>
              <c:numCache>
                <c:formatCode>_(* #,##0.0000_);_(* \(#,##0.0000\);_(* "-"??_);_(@_)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69-47B9-9943-65D1C41FD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8171240"/>
        <c:axId val="-2088164248"/>
      </c:scatterChart>
      <c:valAx>
        <c:axId val="-2088171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Interest Rate</a:t>
                </a:r>
              </a:p>
            </c:rich>
          </c:tx>
          <c:layout>
            <c:manualLayout>
              <c:xMode val="edge"/>
              <c:yMode val="edge"/>
              <c:x val="0.44710365749735798"/>
              <c:y val="0.936592690377313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88164248"/>
        <c:crossesAt val="-0.02"/>
        <c:crossBetween val="midCat"/>
      </c:valAx>
      <c:valAx>
        <c:axId val="-2088164248"/>
        <c:scaling>
          <c:orientation val="minMax"/>
          <c:max val="1.5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Bond Prices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88171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823567508606899"/>
          <c:y val="0.70473163454695298"/>
          <c:w val="0.25353921668882301"/>
          <c:h val="0.148867976582606"/>
        </c:manualLayout>
      </c:layout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rgbClr val="FFC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3 periods before</a:t>
            </a:r>
            <a:r>
              <a:rPr lang="en-US" b="1" baseline="0"/>
              <a:t> </a:t>
            </a:r>
            <a:r>
              <a:rPr lang="en-US" b="1"/>
              <a:t>FCD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38766489694"/>
          <c:y val="9.3410931540253803E-2"/>
          <c:w val="0.83338565578325496"/>
          <c:h val="0.79175747785082895"/>
        </c:manualLayout>
      </c:layout>
      <c:scatterChart>
        <c:scatterStyle val="smoothMarker"/>
        <c:varyColors val="0"/>
        <c:ser>
          <c:idx val="1"/>
          <c:order val="0"/>
          <c:tx>
            <c:v>Non-Callable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'Q6 - Plot'!$F$11:$F$71</c:f>
              <c:numCache>
                <c:formatCode>_(* #,##0.0000_);_(* \(#,##0.0000\);_(* "-"??_);_(@_)</c:formatCode>
                <c:ptCount val="61"/>
                <c:pt idx="0">
                  <c:v>5.0682154636656651E-2</c:v>
                </c:pt>
                <c:pt idx="1">
                  <c:v>5.0682154636656651E-2</c:v>
                </c:pt>
                <c:pt idx="2">
                  <c:v>5.0682154636656651E-2</c:v>
                </c:pt>
                <c:pt idx="3">
                  <c:v>5.0682154636656651E-2</c:v>
                </c:pt>
                <c:pt idx="4">
                  <c:v>5.0682154636656651E-2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xVal>
          <c:yVal>
            <c:numRef>
              <c:f>'Q6 - Plot'!$L$11:$L$71</c:f>
              <c:numCache>
                <c:formatCode>_(* #,##0.0000_);_(* \(#,##0.0000\);_(* "-"??_);_(@_)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E3E-41A1-900B-BEECCEFE628F}"/>
            </c:ext>
          </c:extLst>
        </c:ser>
        <c:ser>
          <c:idx val="0"/>
          <c:order val="1"/>
          <c:tx>
            <c:v>Callable</c:v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'Q6 - Plot'!$F$11:$F$71</c:f>
              <c:numCache>
                <c:formatCode>_(* #,##0.0000_);_(* \(#,##0.0000\);_(* "-"??_);_(@_)</c:formatCode>
                <c:ptCount val="61"/>
                <c:pt idx="0">
                  <c:v>5.0682154636656651E-2</c:v>
                </c:pt>
                <c:pt idx="1">
                  <c:v>5.0682154636656651E-2</c:v>
                </c:pt>
                <c:pt idx="2">
                  <c:v>5.0682154636656651E-2</c:v>
                </c:pt>
                <c:pt idx="3">
                  <c:v>5.0682154636656651E-2</c:v>
                </c:pt>
                <c:pt idx="4">
                  <c:v>5.0682154636656651E-2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xVal>
          <c:yVal>
            <c:numRef>
              <c:f>'Q6 - Plot'!$R$11:$R$71</c:f>
              <c:numCache>
                <c:formatCode>_(* #,##0.0000_);_(* \(#,##0.0000\);_(* "-"??_);_(@_)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E3E-41A1-900B-BEECCEFE6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8117944"/>
        <c:axId val="-2088110984"/>
      </c:scatterChart>
      <c:valAx>
        <c:axId val="-2088117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Interest Rate</a:t>
                </a:r>
              </a:p>
            </c:rich>
          </c:tx>
          <c:layout>
            <c:manualLayout>
              <c:xMode val="edge"/>
              <c:yMode val="edge"/>
              <c:x val="0.44710365749735798"/>
              <c:y val="0.936592690377313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88110984"/>
        <c:crossesAt val="-0.02"/>
        <c:crossBetween val="midCat"/>
      </c:valAx>
      <c:valAx>
        <c:axId val="-2088110984"/>
        <c:scaling>
          <c:orientation val="minMax"/>
          <c:max val="1.5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Bond Prices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88117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823567508606899"/>
          <c:y val="0.70473163454695298"/>
          <c:w val="0.25353921668882301"/>
          <c:h val="0.148867976582606"/>
        </c:manualLayout>
      </c:layout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28575" cap="flat" cmpd="sng" algn="ctr">
      <a:solidFill>
        <a:srgbClr val="FFC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137</xdr:col>
      <xdr:colOff>333375</xdr:colOff>
      <xdr:row>6</xdr:row>
      <xdr:rowOff>23812</xdr:rowOff>
    </xdr:from>
    <xdr:to>
      <xdr:col>147</xdr:col>
      <xdr:colOff>0</xdr:colOff>
      <xdr:row>29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137</xdr:col>
      <xdr:colOff>304800</xdr:colOff>
      <xdr:row>30</xdr:row>
      <xdr:rowOff>152400</xdr:rowOff>
    </xdr:from>
    <xdr:to>
      <xdr:col>146</xdr:col>
      <xdr:colOff>581025</xdr:colOff>
      <xdr:row>53</xdr:row>
      <xdr:rowOff>185738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137</xdr:col>
      <xdr:colOff>304800</xdr:colOff>
      <xdr:row>55</xdr:row>
      <xdr:rowOff>76200</xdr:rowOff>
    </xdr:from>
    <xdr:to>
      <xdr:col>146</xdr:col>
      <xdr:colOff>581025</xdr:colOff>
      <xdr:row>78</xdr:row>
      <xdr:rowOff>109538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8</xdr:row>
      <xdr:rowOff>0</xdr:rowOff>
    </xdr:from>
    <xdr:to>
      <xdr:col>19</xdr:col>
      <xdr:colOff>381000</xdr:colOff>
      <xdr:row>35</xdr:row>
      <xdr:rowOff>42863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8</xdr:row>
      <xdr:rowOff>0</xdr:rowOff>
    </xdr:from>
    <xdr:to>
      <xdr:col>29</xdr:col>
      <xdr:colOff>381000</xdr:colOff>
      <xdr:row>35</xdr:row>
      <xdr:rowOff>14288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0</xdr:colOff>
      <xdr:row>8</xdr:row>
      <xdr:rowOff>0</xdr:rowOff>
    </xdr:from>
    <xdr:to>
      <xdr:col>39</xdr:col>
      <xdr:colOff>381000</xdr:colOff>
      <xdr:row>35</xdr:row>
      <xdr:rowOff>14288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9525</xdr:colOff>
      <xdr:row>36</xdr:row>
      <xdr:rowOff>57150</xdr:rowOff>
    </xdr:from>
    <xdr:to>
      <xdr:col>29</xdr:col>
      <xdr:colOff>390525</xdr:colOff>
      <xdr:row>63</xdr:row>
      <xdr:rowOff>100013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19050</xdr:colOff>
      <xdr:row>36</xdr:row>
      <xdr:rowOff>57150</xdr:rowOff>
    </xdr:from>
    <xdr:to>
      <xdr:col>39</xdr:col>
      <xdr:colOff>400050</xdr:colOff>
      <xdr:row>63</xdr:row>
      <xdr:rowOff>100013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tabColor theme="8" tint="0.39997558519241921"/>
  </sheetPr>
  <dimension ref="A1:AR597"/>
  <sheetViews>
    <sheetView tabSelected="1" workbookViewId="0">
      <pane ySplit="12" topLeftCell="A580" activePane="bottomLeft" state="frozen"/>
      <selection pane="bottomLeft"/>
    </sheetView>
  </sheetViews>
  <sheetFormatPr baseColWidth="10" defaultColWidth="9.1640625" defaultRowHeight="15"/>
  <cols>
    <col min="1" max="1" width="9.1640625" style="23"/>
    <col min="2" max="6" width="9.1640625" style="41"/>
    <col min="7" max="7" width="9.1640625" style="55"/>
    <col min="8" max="8" width="9.1640625" style="49"/>
    <col min="9" max="9" width="11" style="23" bestFit="1" customWidth="1"/>
    <col min="10" max="16384" width="9.1640625" style="23"/>
  </cols>
  <sheetData>
    <row r="1" spans="1:44" s="89" customFormat="1">
      <c r="B1" s="90" t="s">
        <v>675</v>
      </c>
      <c r="O1" s="91"/>
      <c r="P1" s="92"/>
      <c r="Q1" s="93"/>
      <c r="R1" s="94"/>
      <c r="S1" s="92"/>
      <c r="T1" s="92"/>
      <c r="U1" s="92"/>
      <c r="V1" s="92"/>
      <c r="W1" s="92"/>
      <c r="X1" s="92"/>
      <c r="Y1" s="92"/>
      <c r="Z1" s="92"/>
      <c r="AA1" s="92"/>
      <c r="AB1" s="92"/>
      <c r="AD1" s="95"/>
    </row>
    <row r="2" spans="1:44" s="89" customFormat="1">
      <c r="B2" s="96" t="s">
        <v>690</v>
      </c>
      <c r="O2" s="91"/>
      <c r="P2" s="92"/>
      <c r="Q2" s="93"/>
      <c r="R2" s="94"/>
      <c r="S2" s="92"/>
      <c r="T2" s="92"/>
      <c r="U2" s="92"/>
      <c r="V2" s="92"/>
      <c r="W2" s="92"/>
      <c r="X2" s="92"/>
      <c r="Y2" s="92"/>
      <c r="Z2" s="92"/>
      <c r="AA2" s="92"/>
      <c r="AB2" s="92"/>
      <c r="AD2" s="95"/>
    </row>
    <row r="3" spans="1:44" s="89" customFormat="1">
      <c r="B3" s="96" t="s">
        <v>691</v>
      </c>
      <c r="O3" s="91"/>
      <c r="P3" s="92"/>
      <c r="Q3" s="93"/>
      <c r="R3" s="94"/>
      <c r="S3" s="92"/>
      <c r="T3" s="92"/>
      <c r="U3" s="92"/>
      <c r="V3" s="92"/>
      <c r="W3" s="92"/>
      <c r="X3" s="92"/>
      <c r="Y3" s="92"/>
      <c r="Z3" s="92"/>
      <c r="AA3" s="92"/>
      <c r="AB3" s="92"/>
      <c r="AD3" s="95"/>
    </row>
    <row r="4" spans="1:44" s="89" customFormat="1">
      <c r="B4" s="97"/>
      <c r="O4" s="91"/>
      <c r="P4" s="92"/>
      <c r="Q4" s="93"/>
      <c r="R4" s="94"/>
      <c r="S4" s="92"/>
      <c r="T4" s="92"/>
      <c r="U4" s="92"/>
      <c r="V4" s="92"/>
      <c r="W4" s="92"/>
      <c r="X4" s="92"/>
      <c r="Y4" s="92"/>
      <c r="Z4" s="92"/>
      <c r="AA4" s="92"/>
      <c r="AB4" s="92"/>
      <c r="AD4" s="95"/>
    </row>
    <row r="5" spans="1:44" s="98" customFormat="1">
      <c r="D5" s="59"/>
      <c r="E5" s="59"/>
      <c r="F5" s="59"/>
      <c r="G5" s="59"/>
      <c r="I5" s="59"/>
      <c r="J5" s="59"/>
      <c r="K5" s="99"/>
      <c r="L5" s="100"/>
      <c r="M5" s="100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99"/>
      <c r="AB5" s="101"/>
      <c r="AC5" s="101"/>
      <c r="AD5" s="101"/>
      <c r="AE5" s="101"/>
      <c r="AF5" s="101"/>
      <c r="AG5" s="101"/>
      <c r="AH5" s="101"/>
      <c r="AI5" s="101"/>
      <c r="AJ5" s="101"/>
      <c r="AK5" s="101"/>
      <c r="AL5" s="101"/>
      <c r="AM5" s="101"/>
      <c r="AN5" s="101"/>
      <c r="AO5" s="101"/>
      <c r="AP5" s="101"/>
      <c r="AQ5" s="101"/>
      <c r="AR5" s="101"/>
    </row>
    <row r="7" spans="1:44">
      <c r="A7" s="23" t="s">
        <v>39</v>
      </c>
      <c r="B7" s="41" t="s">
        <v>40</v>
      </c>
    </row>
    <row r="8" spans="1:44">
      <c r="A8" s="23" t="s">
        <v>41</v>
      </c>
      <c r="B8" s="41" t="s">
        <v>42</v>
      </c>
    </row>
    <row r="9" spans="1:44">
      <c r="A9" s="23" t="s">
        <v>43</v>
      </c>
      <c r="B9" s="41">
        <v>1</v>
      </c>
    </row>
    <row r="10" spans="1:44">
      <c r="A10" s="23" t="s">
        <v>44</v>
      </c>
      <c r="B10" s="41" t="s">
        <v>45</v>
      </c>
    </row>
    <row r="11" spans="1:44">
      <c r="A11" s="23" t="s">
        <v>46</v>
      </c>
      <c r="B11" s="41" t="s">
        <v>47</v>
      </c>
    </row>
    <row r="12" spans="1:44" ht="18">
      <c r="A12" s="23" t="s">
        <v>48</v>
      </c>
      <c r="B12" s="41" t="s">
        <v>49</v>
      </c>
      <c r="E12" s="53" t="s">
        <v>653</v>
      </c>
      <c r="F12" s="54" t="s">
        <v>654</v>
      </c>
      <c r="G12" s="56" t="s">
        <v>655</v>
      </c>
      <c r="H12" s="49" t="s">
        <v>656</v>
      </c>
      <c r="I12" s="23" t="s">
        <v>657</v>
      </c>
    </row>
    <row r="13" spans="1:44">
      <c r="A13" s="23" t="s">
        <v>50</v>
      </c>
      <c r="B13" s="41">
        <v>3.01</v>
      </c>
      <c r="E13" s="41">
        <f>B13/100</f>
        <v>3.0099999999999998E-2</v>
      </c>
      <c r="F13" s="49">
        <f>1-180/360*E13</f>
        <v>0.98494999999999999</v>
      </c>
      <c r="G13" s="55">
        <f>-1/0.5*LN(F13)</f>
        <v>3.0328801039545047E-2</v>
      </c>
      <c r="I13" s="49">
        <f>LN(G13)</f>
        <v>-3.4956574885758558</v>
      </c>
    </row>
    <row r="14" spans="1:44">
      <c r="A14" s="23" t="s">
        <v>51</v>
      </c>
      <c r="B14" s="41">
        <v>3.09</v>
      </c>
      <c r="E14" s="41">
        <f t="shared" ref="E14:E77" si="0">B14/100</f>
        <v>3.0899999999999997E-2</v>
      </c>
      <c r="F14" s="49">
        <f t="shared" ref="F14:F77" si="1">1-180/360*E14</f>
        <v>0.98455000000000004</v>
      </c>
      <c r="G14" s="55">
        <f t="shared" ref="G14:G77" si="2">-1/0.5*LN(F14)</f>
        <v>3.1141189981915708E-2</v>
      </c>
      <c r="I14" s="49">
        <f t="shared" ref="I14:I77" si="3">LN(G14)</f>
        <v>-3.469223899372067</v>
      </c>
    </row>
    <row r="15" spans="1:44">
      <c r="A15" s="23" t="s">
        <v>52</v>
      </c>
      <c r="B15" s="41">
        <v>3.13</v>
      </c>
      <c r="E15" s="41">
        <f t="shared" si="0"/>
        <v>3.1300000000000001E-2</v>
      </c>
      <c r="F15" s="49">
        <f t="shared" si="1"/>
        <v>0.98434999999999995</v>
      </c>
      <c r="G15" s="55">
        <f t="shared" si="2"/>
        <v>3.1547508232081758E-2</v>
      </c>
      <c r="I15" s="49">
        <f t="shared" si="3"/>
        <v>-3.4562606714947983</v>
      </c>
    </row>
    <row r="16" spans="1:44">
      <c r="A16" s="23" t="s">
        <v>53</v>
      </c>
      <c r="B16" s="41">
        <v>3.13</v>
      </c>
      <c r="E16" s="41">
        <f t="shared" si="0"/>
        <v>3.1300000000000001E-2</v>
      </c>
      <c r="F16" s="49">
        <f t="shared" si="1"/>
        <v>0.98434999999999995</v>
      </c>
      <c r="G16" s="55">
        <f t="shared" si="2"/>
        <v>3.1547508232081758E-2</v>
      </c>
      <c r="I16" s="49">
        <f t="shared" si="3"/>
        <v>-3.4562606714947983</v>
      </c>
    </row>
    <row r="17" spans="1:9">
      <c r="A17" s="23" t="s">
        <v>54</v>
      </c>
      <c r="B17" s="41">
        <v>3.27</v>
      </c>
      <c r="E17" s="41">
        <f t="shared" si="0"/>
        <v>3.27E-2</v>
      </c>
      <c r="F17" s="49">
        <f t="shared" si="1"/>
        <v>0.98365000000000002</v>
      </c>
      <c r="G17" s="55">
        <f t="shared" si="2"/>
        <v>3.2970272519724751E-2</v>
      </c>
      <c r="I17" s="49">
        <f t="shared" si="3"/>
        <v>-3.412148956244919</v>
      </c>
    </row>
    <row r="18" spans="1:9">
      <c r="A18" s="23" t="s">
        <v>55</v>
      </c>
      <c r="B18" s="41">
        <v>3.33</v>
      </c>
      <c r="E18" s="41">
        <f t="shared" si="0"/>
        <v>3.3300000000000003E-2</v>
      </c>
      <c r="F18" s="49">
        <f t="shared" si="1"/>
        <v>0.98334999999999995</v>
      </c>
      <c r="G18" s="55">
        <f t="shared" si="2"/>
        <v>3.3580338614948357E-2</v>
      </c>
      <c r="I18" s="49">
        <f t="shared" si="3"/>
        <v>-3.393814543555461</v>
      </c>
    </row>
    <row r="19" spans="1:9">
      <c r="A19" s="23" t="s">
        <v>56</v>
      </c>
      <c r="B19" s="41">
        <v>3.52</v>
      </c>
      <c r="E19" s="41">
        <f t="shared" si="0"/>
        <v>3.5200000000000002E-2</v>
      </c>
      <c r="F19" s="49">
        <f t="shared" si="1"/>
        <v>0.98240000000000005</v>
      </c>
      <c r="G19" s="55">
        <f t="shared" si="2"/>
        <v>3.551344317851797E-2</v>
      </c>
      <c r="I19" s="49">
        <f t="shared" si="3"/>
        <v>-3.3378439730973399</v>
      </c>
    </row>
    <row r="20" spans="1:9">
      <c r="A20" s="23" t="s">
        <v>57</v>
      </c>
      <c r="B20" s="41">
        <v>3.82</v>
      </c>
      <c r="E20" s="41">
        <f t="shared" si="0"/>
        <v>3.8199999999999998E-2</v>
      </c>
      <c r="F20" s="49">
        <f t="shared" si="1"/>
        <v>0.98089999999999999</v>
      </c>
      <c r="G20" s="55">
        <f t="shared" si="2"/>
        <v>3.8569522823734201E-2</v>
      </c>
      <c r="I20" s="49">
        <f t="shared" si="3"/>
        <v>-3.2552928785332624</v>
      </c>
    </row>
    <row r="21" spans="1:9">
      <c r="A21" s="23" t="s">
        <v>58</v>
      </c>
      <c r="B21" s="41">
        <v>3.87</v>
      </c>
      <c r="E21" s="41">
        <f t="shared" si="0"/>
        <v>3.8699999999999998E-2</v>
      </c>
      <c r="F21" s="49">
        <f t="shared" si="1"/>
        <v>0.98065000000000002</v>
      </c>
      <c r="G21" s="55">
        <f t="shared" si="2"/>
        <v>3.9079323749234139E-2</v>
      </c>
      <c r="I21" s="49">
        <f t="shared" si="3"/>
        <v>-3.2421617562245699</v>
      </c>
    </row>
    <row r="22" spans="1:9">
      <c r="A22" s="23" t="s">
        <v>59</v>
      </c>
      <c r="B22" s="41">
        <v>4.7</v>
      </c>
      <c r="E22" s="41">
        <f t="shared" si="0"/>
        <v>4.7E-2</v>
      </c>
      <c r="F22" s="49">
        <f t="shared" si="1"/>
        <v>0.97650000000000003</v>
      </c>
      <c r="G22" s="55">
        <f t="shared" si="2"/>
        <v>4.7561057330806782E-2</v>
      </c>
      <c r="I22" s="49">
        <f t="shared" si="3"/>
        <v>-3.0457409758926528</v>
      </c>
    </row>
    <row r="23" spans="1:9">
      <c r="A23" s="23" t="s">
        <v>60</v>
      </c>
      <c r="B23" s="41">
        <v>4.53</v>
      </c>
      <c r="E23" s="41">
        <f t="shared" si="0"/>
        <v>4.53E-2</v>
      </c>
      <c r="F23" s="49">
        <f t="shared" si="1"/>
        <v>0.97735000000000005</v>
      </c>
      <c r="G23" s="55">
        <f t="shared" si="2"/>
        <v>4.5820903166212228E-2</v>
      </c>
      <c r="I23" s="49">
        <f t="shared" si="3"/>
        <v>-3.083014890972259</v>
      </c>
    </row>
    <row r="24" spans="1:9">
      <c r="A24" s="23" t="s">
        <v>61</v>
      </c>
      <c r="B24" s="41">
        <v>4.54</v>
      </c>
      <c r="E24" s="41">
        <f t="shared" si="0"/>
        <v>4.5400000000000003E-2</v>
      </c>
      <c r="F24" s="49">
        <f t="shared" si="1"/>
        <v>0.97729999999999995</v>
      </c>
      <c r="G24" s="55">
        <f t="shared" si="2"/>
        <v>4.5923223274694079E-2</v>
      </c>
      <c r="I24" s="49">
        <f t="shared" si="3"/>
        <v>-3.080784336170014</v>
      </c>
    </row>
    <row r="25" spans="1:9">
      <c r="A25" s="23" t="s">
        <v>62</v>
      </c>
      <c r="B25" s="41">
        <v>4.8499999999999996</v>
      </c>
      <c r="E25" s="41">
        <f t="shared" si="0"/>
        <v>4.8499999999999995E-2</v>
      </c>
      <c r="F25" s="49">
        <f t="shared" si="1"/>
        <v>0.97575000000000001</v>
      </c>
      <c r="G25" s="55">
        <f t="shared" si="2"/>
        <v>4.9097745842825398E-2</v>
      </c>
      <c r="I25" s="49">
        <f t="shared" si="3"/>
        <v>-3.013942154750294</v>
      </c>
    </row>
    <row r="26" spans="1:9">
      <c r="A26" s="23" t="s">
        <v>63</v>
      </c>
      <c r="B26" s="41">
        <v>4.74</v>
      </c>
      <c r="E26" s="41">
        <f t="shared" si="0"/>
        <v>4.7400000000000005E-2</v>
      </c>
      <c r="F26" s="49">
        <f t="shared" si="1"/>
        <v>0.97629999999999995</v>
      </c>
      <c r="G26" s="55">
        <f t="shared" si="2"/>
        <v>4.7970725501022625E-2</v>
      </c>
      <c r="I26" s="49">
        <f t="shared" si="3"/>
        <v>-3.0371643395253582</v>
      </c>
    </row>
    <row r="27" spans="1:9">
      <c r="A27" s="23" t="s">
        <v>64</v>
      </c>
      <c r="B27" s="41">
        <v>4.3</v>
      </c>
      <c r="E27" s="41">
        <f t="shared" si="0"/>
        <v>4.2999999999999997E-2</v>
      </c>
      <c r="F27" s="49">
        <f t="shared" si="1"/>
        <v>0.97850000000000004</v>
      </c>
      <c r="G27" s="55">
        <f t="shared" si="2"/>
        <v>4.3468984292012187E-2</v>
      </c>
      <c r="I27" s="49">
        <f t="shared" si="3"/>
        <v>-3.1357075999776263</v>
      </c>
    </row>
    <row r="28" spans="1:9">
      <c r="A28" s="23" t="s">
        <v>65</v>
      </c>
      <c r="B28" s="41">
        <v>3.61</v>
      </c>
      <c r="E28" s="41">
        <f t="shared" si="0"/>
        <v>3.61E-2</v>
      </c>
      <c r="F28" s="49">
        <f t="shared" si="1"/>
        <v>0.98194999999999999</v>
      </c>
      <c r="G28" s="55">
        <f t="shared" si="2"/>
        <v>3.6429776841810035E-2</v>
      </c>
      <c r="I28" s="49">
        <f t="shared" si="3"/>
        <v>-3.3123687936513013</v>
      </c>
    </row>
    <row r="29" spans="1:9">
      <c r="A29" s="23" t="s">
        <v>66</v>
      </c>
      <c r="B29" s="41">
        <v>3.55</v>
      </c>
      <c r="E29" s="41">
        <f t="shared" si="0"/>
        <v>3.5499999999999997E-2</v>
      </c>
      <c r="F29" s="49">
        <f t="shared" si="1"/>
        <v>0.98224999999999996</v>
      </c>
      <c r="G29" s="55">
        <f t="shared" si="2"/>
        <v>3.58188410871359E-2</v>
      </c>
      <c r="I29" s="49">
        <f t="shared" si="3"/>
        <v>-3.3292812366659343</v>
      </c>
    </row>
    <row r="30" spans="1:9">
      <c r="A30" s="23" t="s">
        <v>67</v>
      </c>
      <c r="B30" s="41">
        <v>3.58</v>
      </c>
      <c r="E30" s="41">
        <f t="shared" si="0"/>
        <v>3.5799999999999998E-2</v>
      </c>
      <c r="F30" s="49">
        <f t="shared" si="1"/>
        <v>0.98209999999999997</v>
      </c>
      <c r="G30" s="55">
        <f t="shared" si="2"/>
        <v>3.6124285636817036E-2</v>
      </c>
      <c r="I30" s="49">
        <f t="shared" si="3"/>
        <v>-3.3207899075044538</v>
      </c>
    </row>
    <row r="31" spans="1:9">
      <c r="A31" s="23" t="s">
        <v>68</v>
      </c>
      <c r="B31" s="41">
        <v>2.74</v>
      </c>
      <c r="E31" s="41">
        <f t="shared" si="0"/>
        <v>2.7400000000000001E-2</v>
      </c>
      <c r="F31" s="49">
        <f t="shared" si="1"/>
        <v>0.98629999999999995</v>
      </c>
      <c r="G31" s="55">
        <f t="shared" si="2"/>
        <v>2.7589422044378521E-2</v>
      </c>
      <c r="I31" s="49">
        <f t="shared" si="3"/>
        <v>-3.590322838983282</v>
      </c>
    </row>
    <row r="32" spans="1:9">
      <c r="A32" s="23" t="s">
        <v>69</v>
      </c>
      <c r="B32" s="41">
        <v>2.71</v>
      </c>
      <c r="E32" s="41">
        <f t="shared" si="0"/>
        <v>2.7099999999999999E-2</v>
      </c>
      <c r="F32" s="49">
        <f t="shared" si="1"/>
        <v>0.98645000000000005</v>
      </c>
      <c r="G32" s="55">
        <f t="shared" si="2"/>
        <v>2.7285278082317097E-2</v>
      </c>
      <c r="I32" s="49">
        <f t="shared" si="3"/>
        <v>-3.6014079866305448</v>
      </c>
    </row>
    <row r="33" spans="1:9">
      <c r="A33" s="23" t="s">
        <v>70</v>
      </c>
      <c r="B33" s="41">
        <v>2.59</v>
      </c>
      <c r="E33" s="41">
        <f t="shared" si="0"/>
        <v>2.5899999999999999E-2</v>
      </c>
      <c r="F33" s="49">
        <f t="shared" si="1"/>
        <v>0.98704999999999998</v>
      </c>
      <c r="G33" s="55">
        <f t="shared" si="2"/>
        <v>2.6069164540920418E-2</v>
      </c>
      <c r="I33" s="49">
        <f t="shared" si="3"/>
        <v>-3.6470020983120142</v>
      </c>
    </row>
    <row r="34" spans="1:9">
      <c r="A34" s="23" t="s">
        <v>71</v>
      </c>
      <c r="B34" s="41">
        <v>2.83</v>
      </c>
      <c r="E34" s="41">
        <f t="shared" si="0"/>
        <v>2.8300000000000002E-2</v>
      </c>
      <c r="F34" s="49">
        <f t="shared" si="1"/>
        <v>0.98585</v>
      </c>
      <c r="G34" s="55">
        <f t="shared" si="2"/>
        <v>2.8502131539720532E-2</v>
      </c>
      <c r="I34" s="49">
        <f t="shared" si="3"/>
        <v>-3.5577764036368427</v>
      </c>
    </row>
    <row r="35" spans="1:9">
      <c r="A35" s="23" t="s">
        <v>72</v>
      </c>
      <c r="B35" s="41">
        <v>2.73</v>
      </c>
      <c r="E35" s="41">
        <f t="shared" si="0"/>
        <v>2.7300000000000001E-2</v>
      </c>
      <c r="F35" s="49">
        <f t="shared" si="1"/>
        <v>0.98634999999999995</v>
      </c>
      <c r="G35" s="55">
        <f t="shared" si="2"/>
        <v>2.7488035584518532E-2</v>
      </c>
      <c r="I35" s="49">
        <f t="shared" si="3"/>
        <v>-3.5940044386337449</v>
      </c>
    </row>
    <row r="36" spans="1:9">
      <c r="A36" s="23" t="s">
        <v>73</v>
      </c>
      <c r="B36" s="41">
        <v>2.66</v>
      </c>
      <c r="E36" s="41">
        <f t="shared" si="0"/>
        <v>2.6600000000000002E-2</v>
      </c>
      <c r="F36" s="49">
        <f t="shared" si="1"/>
        <v>0.98670000000000002</v>
      </c>
      <c r="G36" s="55">
        <f t="shared" si="2"/>
        <v>2.6778474238032104E-2</v>
      </c>
      <c r="I36" s="49">
        <f t="shared" si="3"/>
        <v>-3.6201569142767611</v>
      </c>
    </row>
    <row r="37" spans="1:9">
      <c r="A37" s="23" t="s">
        <v>74</v>
      </c>
      <c r="B37" s="41">
        <v>2.5</v>
      </c>
      <c r="E37" s="41">
        <f t="shared" si="0"/>
        <v>2.5000000000000001E-2</v>
      </c>
      <c r="F37" s="49">
        <f t="shared" si="1"/>
        <v>0.98750000000000004</v>
      </c>
      <c r="G37" s="55">
        <f t="shared" si="2"/>
        <v>2.5157564413720145E-2</v>
      </c>
      <c r="I37" s="49">
        <f t="shared" si="3"/>
        <v>-3.6825966557418925</v>
      </c>
    </row>
    <row r="38" spans="1:9">
      <c r="A38" s="23" t="s">
        <v>75</v>
      </c>
      <c r="B38" s="41">
        <v>2.4700000000000002</v>
      </c>
      <c r="E38" s="41">
        <f t="shared" si="0"/>
        <v>2.4700000000000003E-2</v>
      </c>
      <c r="F38" s="49">
        <f t="shared" si="1"/>
        <v>0.98765000000000003</v>
      </c>
      <c r="G38" s="55">
        <f t="shared" si="2"/>
        <v>2.4853790016254932E-2</v>
      </c>
      <c r="I38" s="49">
        <f t="shared" si="3"/>
        <v>-3.6947450223241778</v>
      </c>
    </row>
    <row r="39" spans="1:9">
      <c r="A39" s="23" t="s">
        <v>76</v>
      </c>
      <c r="B39" s="41">
        <v>2.6</v>
      </c>
      <c r="E39" s="41">
        <f t="shared" si="0"/>
        <v>2.6000000000000002E-2</v>
      </c>
      <c r="F39" s="49">
        <f t="shared" si="1"/>
        <v>0.98699999999999999</v>
      </c>
      <c r="G39" s="55">
        <f t="shared" si="2"/>
        <v>2.6170479097310961E-2</v>
      </c>
      <c r="I39" s="49">
        <f t="shared" si="3"/>
        <v>-3.6431232554883985</v>
      </c>
    </row>
    <row r="40" spans="1:9">
      <c r="A40" s="23" t="s">
        <v>77</v>
      </c>
      <c r="B40" s="41">
        <v>2.54</v>
      </c>
      <c r="E40" s="41">
        <f t="shared" si="0"/>
        <v>2.5399999999999999E-2</v>
      </c>
      <c r="F40" s="49">
        <f t="shared" si="1"/>
        <v>0.98729999999999996</v>
      </c>
      <c r="G40" s="55">
        <f t="shared" si="2"/>
        <v>2.5562668729466304E-2</v>
      </c>
      <c r="I40" s="49">
        <f t="shared" si="3"/>
        <v>-3.6666222445371823</v>
      </c>
    </row>
    <row r="41" spans="1:9">
      <c r="A41" s="23" t="s">
        <v>78</v>
      </c>
      <c r="B41" s="41">
        <v>2.4700000000000002</v>
      </c>
      <c r="E41" s="41">
        <f t="shared" si="0"/>
        <v>2.4700000000000003E-2</v>
      </c>
      <c r="F41" s="49">
        <f t="shared" si="1"/>
        <v>0.98765000000000003</v>
      </c>
      <c r="G41" s="55">
        <f t="shared" si="2"/>
        <v>2.4853790016254932E-2</v>
      </c>
      <c r="I41" s="49">
        <f t="shared" si="3"/>
        <v>-3.6947450223241778</v>
      </c>
    </row>
    <row r="42" spans="1:9">
      <c r="A42" s="23" t="s">
        <v>79</v>
      </c>
      <c r="B42" s="41">
        <v>2.4500000000000002</v>
      </c>
      <c r="E42" s="41">
        <f t="shared" si="0"/>
        <v>2.4500000000000001E-2</v>
      </c>
      <c r="F42" s="49">
        <f t="shared" si="1"/>
        <v>0.98775000000000002</v>
      </c>
      <c r="G42" s="55">
        <f t="shared" si="2"/>
        <v>2.465129938127384E-2</v>
      </c>
      <c r="I42" s="49">
        <f t="shared" si="3"/>
        <v>-3.7029256666464705</v>
      </c>
    </row>
    <row r="43" spans="1:9">
      <c r="A43" s="23" t="s">
        <v>80</v>
      </c>
      <c r="B43" s="41">
        <v>2.54</v>
      </c>
      <c r="E43" s="41">
        <f t="shared" si="0"/>
        <v>2.5399999999999999E-2</v>
      </c>
      <c r="F43" s="49">
        <f t="shared" si="1"/>
        <v>0.98729999999999996</v>
      </c>
      <c r="G43" s="55">
        <f t="shared" si="2"/>
        <v>2.5562668729466304E-2</v>
      </c>
      <c r="I43" s="49">
        <f t="shared" si="3"/>
        <v>-3.6666222445371823</v>
      </c>
    </row>
    <row r="44" spans="1:9">
      <c r="A44" s="23" t="s">
        <v>81</v>
      </c>
      <c r="B44" s="41">
        <v>2.4500000000000002</v>
      </c>
      <c r="E44" s="41">
        <f t="shared" si="0"/>
        <v>2.4500000000000001E-2</v>
      </c>
      <c r="F44" s="49">
        <f t="shared" si="1"/>
        <v>0.98775000000000002</v>
      </c>
      <c r="G44" s="55">
        <f t="shared" si="2"/>
        <v>2.465129938127384E-2</v>
      </c>
      <c r="I44" s="49">
        <f t="shared" si="3"/>
        <v>-3.7029256666464705</v>
      </c>
    </row>
    <row r="45" spans="1:9">
      <c r="A45" s="23" t="s">
        <v>82</v>
      </c>
      <c r="B45" s="41">
        <v>2.66</v>
      </c>
      <c r="E45" s="41">
        <f t="shared" si="0"/>
        <v>2.6600000000000002E-2</v>
      </c>
      <c r="F45" s="49">
        <f t="shared" si="1"/>
        <v>0.98670000000000002</v>
      </c>
      <c r="G45" s="55">
        <f t="shared" si="2"/>
        <v>2.6778474238032104E-2</v>
      </c>
      <c r="I45" s="49">
        <f t="shared" si="3"/>
        <v>-3.6201569142767611</v>
      </c>
    </row>
    <row r="46" spans="1:9">
      <c r="A46" s="23" t="s">
        <v>83</v>
      </c>
      <c r="B46" s="41">
        <v>2.68</v>
      </c>
      <c r="E46" s="41">
        <f t="shared" si="0"/>
        <v>2.6800000000000001E-2</v>
      </c>
      <c r="F46" s="49">
        <f t="shared" si="1"/>
        <v>0.98660000000000003</v>
      </c>
      <c r="G46" s="55">
        <f t="shared" si="2"/>
        <v>2.6981180364998289E-2</v>
      </c>
      <c r="I46" s="49">
        <f t="shared" si="3"/>
        <v>-3.6126156795302227</v>
      </c>
    </row>
    <row r="47" spans="1:9">
      <c r="A47" s="23" t="s">
        <v>84</v>
      </c>
      <c r="B47" s="41">
        <v>2.66</v>
      </c>
      <c r="E47" s="41">
        <f t="shared" si="0"/>
        <v>2.6600000000000002E-2</v>
      </c>
      <c r="F47" s="49">
        <f t="shared" si="1"/>
        <v>0.98670000000000002</v>
      </c>
      <c r="G47" s="55">
        <f t="shared" si="2"/>
        <v>2.6778474238032104E-2</v>
      </c>
      <c r="I47" s="49">
        <f t="shared" si="3"/>
        <v>-3.6201569142767611</v>
      </c>
    </row>
    <row r="48" spans="1:9">
      <c r="A48" s="23" t="s">
        <v>85</v>
      </c>
      <c r="B48" s="41">
        <v>2.7</v>
      </c>
      <c r="E48" s="41">
        <f t="shared" si="0"/>
        <v>2.7000000000000003E-2</v>
      </c>
      <c r="F48" s="49">
        <f t="shared" si="1"/>
        <v>0.98650000000000004</v>
      </c>
      <c r="G48" s="55">
        <f t="shared" si="2"/>
        <v>2.7183907038933943E-2</v>
      </c>
      <c r="I48" s="49">
        <f t="shared" si="3"/>
        <v>-3.6051301337562469</v>
      </c>
    </row>
    <row r="49" spans="1:9">
      <c r="A49" s="23" t="s">
        <v>86</v>
      </c>
      <c r="B49" s="41">
        <v>2.88</v>
      </c>
      <c r="E49" s="41">
        <f t="shared" si="0"/>
        <v>2.8799999999999999E-2</v>
      </c>
      <c r="F49" s="49">
        <f t="shared" si="1"/>
        <v>0.98560000000000003</v>
      </c>
      <c r="G49" s="55">
        <f t="shared" si="2"/>
        <v>2.9009372405763376E-2</v>
      </c>
      <c r="I49" s="49">
        <f t="shared" si="3"/>
        <v>-3.5401363148035063</v>
      </c>
    </row>
    <row r="50" spans="1:9">
      <c r="A50" s="23" t="s">
        <v>87</v>
      </c>
      <c r="B50" s="41">
        <v>2.94</v>
      </c>
      <c r="E50" s="41">
        <f t="shared" si="0"/>
        <v>2.9399999999999999E-2</v>
      </c>
      <c r="F50" s="49">
        <f t="shared" si="1"/>
        <v>0.98529999999999995</v>
      </c>
      <c r="G50" s="55">
        <f t="shared" si="2"/>
        <v>2.9618231307416452E-2</v>
      </c>
      <c r="I50" s="49">
        <f t="shared" si="3"/>
        <v>-3.5193651847067122</v>
      </c>
    </row>
    <row r="51" spans="1:9">
      <c r="A51" s="23" t="s">
        <v>88</v>
      </c>
      <c r="B51" s="41">
        <v>2.93</v>
      </c>
      <c r="E51" s="41">
        <f t="shared" si="0"/>
        <v>2.9300000000000003E-2</v>
      </c>
      <c r="F51" s="49">
        <f t="shared" si="1"/>
        <v>0.98534999999999995</v>
      </c>
      <c r="G51" s="55">
        <f t="shared" si="2"/>
        <v>2.9516741951090927E-2</v>
      </c>
      <c r="I51" s="49">
        <f t="shared" si="3"/>
        <v>-3.5227976528512772</v>
      </c>
    </row>
    <row r="52" spans="1:9">
      <c r="A52" s="23" t="s">
        <v>89</v>
      </c>
      <c r="B52" s="41">
        <v>2.87</v>
      </c>
      <c r="E52" s="41">
        <f t="shared" si="0"/>
        <v>2.87E-2</v>
      </c>
      <c r="F52" s="49">
        <f t="shared" si="1"/>
        <v>0.98565000000000003</v>
      </c>
      <c r="G52" s="55">
        <f t="shared" si="2"/>
        <v>2.8907913940300921E-2</v>
      </c>
      <c r="I52" s="49">
        <f t="shared" si="3"/>
        <v>-3.543639882586004</v>
      </c>
    </row>
    <row r="53" spans="1:9">
      <c r="A53" s="23" t="s">
        <v>90</v>
      </c>
      <c r="B53" s="41">
        <v>2.83</v>
      </c>
      <c r="E53" s="41">
        <f t="shared" si="0"/>
        <v>2.8300000000000002E-2</v>
      </c>
      <c r="F53" s="49">
        <f t="shared" si="1"/>
        <v>0.98585</v>
      </c>
      <c r="G53" s="55">
        <f t="shared" si="2"/>
        <v>2.8502131539720532E-2</v>
      </c>
      <c r="I53" s="49">
        <f t="shared" si="3"/>
        <v>-3.5577764036368427</v>
      </c>
    </row>
    <row r="54" spans="1:9">
      <c r="A54" s="23" t="s">
        <v>91</v>
      </c>
      <c r="B54" s="41">
        <v>2.78</v>
      </c>
      <c r="E54" s="41">
        <f t="shared" si="0"/>
        <v>2.7799999999999998E-2</v>
      </c>
      <c r="F54" s="49">
        <f t="shared" si="1"/>
        <v>0.98609999999999998</v>
      </c>
      <c r="G54" s="55">
        <f t="shared" si="2"/>
        <v>2.7995019287707323E-2</v>
      </c>
      <c r="I54" s="49">
        <f t="shared" si="3"/>
        <v>-3.5757286672117972</v>
      </c>
    </row>
    <row r="55" spans="1:9">
      <c r="A55" s="23" t="s">
        <v>92</v>
      </c>
      <c r="B55" s="41">
        <v>2.8</v>
      </c>
      <c r="E55" s="41">
        <f t="shared" si="0"/>
        <v>2.7999999999999997E-2</v>
      </c>
      <c r="F55" s="49">
        <f t="shared" si="1"/>
        <v>0.98599999999999999</v>
      </c>
      <c r="G55" s="55">
        <f t="shared" si="2"/>
        <v>2.8197848759003295E-2</v>
      </c>
      <c r="I55" s="49">
        <f t="shared" si="3"/>
        <v>-3.5685095890896559</v>
      </c>
    </row>
    <row r="56" spans="1:9">
      <c r="A56" s="23" t="s">
        <v>93</v>
      </c>
      <c r="B56" s="41">
        <v>3.08</v>
      </c>
      <c r="E56" s="41">
        <f t="shared" si="0"/>
        <v>3.0800000000000001E-2</v>
      </c>
      <c r="F56" s="49">
        <f t="shared" si="1"/>
        <v>0.98460000000000003</v>
      </c>
      <c r="G56" s="55">
        <f t="shared" si="2"/>
        <v>3.1039623316073614E-2</v>
      </c>
      <c r="I56" s="49">
        <f t="shared" si="3"/>
        <v>-3.4724907191765269</v>
      </c>
    </row>
    <row r="57" spans="1:9">
      <c r="A57" s="23" t="s">
        <v>94</v>
      </c>
      <c r="B57" s="41">
        <v>2.99</v>
      </c>
      <c r="E57" s="41">
        <f t="shared" si="0"/>
        <v>2.9900000000000003E-2</v>
      </c>
      <c r="F57" s="49">
        <f t="shared" si="1"/>
        <v>0.98504999999999998</v>
      </c>
      <c r="G57" s="55">
        <f t="shared" si="2"/>
        <v>3.0125755354091486E-2</v>
      </c>
      <c r="I57" s="49">
        <f t="shared" si="3"/>
        <v>-3.5023748134909272</v>
      </c>
    </row>
    <row r="58" spans="1:9">
      <c r="A58" s="23" t="s">
        <v>95</v>
      </c>
      <c r="B58" s="41">
        <v>2.93</v>
      </c>
      <c r="E58" s="41">
        <f t="shared" si="0"/>
        <v>2.9300000000000003E-2</v>
      </c>
      <c r="F58" s="49">
        <f t="shared" si="1"/>
        <v>0.98534999999999995</v>
      </c>
      <c r="G58" s="55">
        <f t="shared" si="2"/>
        <v>2.9516741951090927E-2</v>
      </c>
      <c r="I58" s="49">
        <f t="shared" si="3"/>
        <v>-3.5227976528512772</v>
      </c>
    </row>
    <row r="59" spans="1:9">
      <c r="A59" s="23" t="s">
        <v>96</v>
      </c>
      <c r="B59" s="41">
        <v>2.84</v>
      </c>
      <c r="E59" s="41">
        <f t="shared" si="0"/>
        <v>2.8399999999999998E-2</v>
      </c>
      <c r="F59" s="49">
        <f t="shared" si="1"/>
        <v>0.98580000000000001</v>
      </c>
      <c r="G59" s="55">
        <f t="shared" si="2"/>
        <v>2.860356942171929E-2</v>
      </c>
      <c r="I59" s="49">
        <f t="shared" si="3"/>
        <v>-3.5542237639886007</v>
      </c>
    </row>
    <row r="60" spans="1:9">
      <c r="A60" s="23" t="s">
        <v>97</v>
      </c>
      <c r="B60" s="41">
        <v>2.89</v>
      </c>
      <c r="E60" s="41">
        <f t="shared" si="0"/>
        <v>2.8900000000000002E-2</v>
      </c>
      <c r="F60" s="49">
        <f t="shared" si="1"/>
        <v>0.98555000000000004</v>
      </c>
      <c r="G60" s="55">
        <f t="shared" si="2"/>
        <v>2.9110836018397056E-2</v>
      </c>
      <c r="I60" s="49">
        <f t="shared" si="3"/>
        <v>-3.5366448023516281</v>
      </c>
    </row>
    <row r="61" spans="1:9">
      <c r="A61" s="23" t="s">
        <v>98</v>
      </c>
      <c r="B61" s="41">
        <v>2.91</v>
      </c>
      <c r="E61" s="41">
        <f t="shared" si="0"/>
        <v>2.9100000000000001E-2</v>
      </c>
      <c r="F61" s="49">
        <f t="shared" si="1"/>
        <v>0.98545000000000005</v>
      </c>
      <c r="G61" s="55">
        <f t="shared" si="2"/>
        <v>2.9313778687267259E-2</v>
      </c>
      <c r="I61" s="49">
        <f t="shared" si="3"/>
        <v>-3.529697611133737</v>
      </c>
    </row>
    <row r="62" spans="1:9">
      <c r="A62" s="23" t="s">
        <v>99</v>
      </c>
      <c r="B62" s="41">
        <v>2.96</v>
      </c>
      <c r="E62" s="41">
        <f t="shared" si="0"/>
        <v>2.9600000000000001E-2</v>
      </c>
      <c r="F62" s="49">
        <f t="shared" si="1"/>
        <v>0.98519999999999996</v>
      </c>
      <c r="G62" s="55">
        <f t="shared" si="2"/>
        <v>2.9821225471508481E-2</v>
      </c>
      <c r="I62" s="49">
        <f t="shared" si="3"/>
        <v>-3.5125348748659198</v>
      </c>
    </row>
    <row r="63" spans="1:9">
      <c r="A63" s="23" t="s">
        <v>100</v>
      </c>
      <c r="B63" s="41">
        <v>2.98</v>
      </c>
      <c r="E63" s="41">
        <f t="shared" si="0"/>
        <v>2.98E-2</v>
      </c>
      <c r="F63" s="49">
        <f t="shared" si="1"/>
        <v>0.98509999999999998</v>
      </c>
      <c r="G63" s="55">
        <f t="shared" si="2"/>
        <v>3.0024240241007243E-2</v>
      </c>
      <c r="I63" s="49">
        <f t="shared" si="3"/>
        <v>-3.5057502155491611</v>
      </c>
    </row>
    <row r="64" spans="1:9">
      <c r="A64" s="23" t="s">
        <v>101</v>
      </c>
      <c r="B64" s="41">
        <v>2.95</v>
      </c>
      <c r="E64" s="41">
        <f t="shared" si="0"/>
        <v>2.9500000000000002E-2</v>
      </c>
      <c r="F64" s="49">
        <f t="shared" si="1"/>
        <v>0.98524999999999996</v>
      </c>
      <c r="G64" s="55">
        <f t="shared" si="2"/>
        <v>2.971972581404805E-2</v>
      </c>
      <c r="I64" s="49">
        <f t="shared" si="3"/>
        <v>-3.5159442848128184</v>
      </c>
    </row>
    <row r="65" spans="1:9">
      <c r="A65" s="23" t="s">
        <v>102</v>
      </c>
      <c r="B65" s="41">
        <v>2.98</v>
      </c>
      <c r="E65" s="41">
        <f t="shared" si="0"/>
        <v>2.98E-2</v>
      </c>
      <c r="F65" s="49">
        <f t="shared" si="1"/>
        <v>0.98509999999999998</v>
      </c>
      <c r="G65" s="55">
        <f t="shared" si="2"/>
        <v>3.0024240241007243E-2</v>
      </c>
      <c r="I65" s="49">
        <f t="shared" si="3"/>
        <v>-3.5057502155491611</v>
      </c>
    </row>
    <row r="66" spans="1:9">
      <c r="A66" s="23" t="s">
        <v>103</v>
      </c>
      <c r="B66" s="41">
        <v>3.01</v>
      </c>
      <c r="E66" s="41">
        <f t="shared" si="0"/>
        <v>3.0099999999999998E-2</v>
      </c>
      <c r="F66" s="49">
        <f t="shared" si="1"/>
        <v>0.98494999999999999</v>
      </c>
      <c r="G66" s="55">
        <f t="shared" si="2"/>
        <v>3.0328801039545047E-2</v>
      </c>
      <c r="I66" s="49">
        <f t="shared" si="3"/>
        <v>-3.4956574885758558</v>
      </c>
    </row>
    <row r="67" spans="1:9">
      <c r="A67" s="23" t="s">
        <v>104</v>
      </c>
      <c r="B67" s="41">
        <v>3.08</v>
      </c>
      <c r="E67" s="41">
        <f t="shared" si="0"/>
        <v>3.0800000000000001E-2</v>
      </c>
      <c r="F67" s="49">
        <f t="shared" si="1"/>
        <v>0.98460000000000003</v>
      </c>
      <c r="G67" s="55">
        <f t="shared" si="2"/>
        <v>3.1039623316073614E-2</v>
      </c>
      <c r="I67" s="49">
        <f t="shared" si="3"/>
        <v>-3.4724907191765269</v>
      </c>
    </row>
    <row r="68" spans="1:9">
      <c r="A68" s="23" t="s">
        <v>105</v>
      </c>
      <c r="B68" s="41">
        <v>3.31</v>
      </c>
      <c r="E68" s="41">
        <f t="shared" si="0"/>
        <v>3.3099999999999997E-2</v>
      </c>
      <c r="F68" s="49">
        <f t="shared" si="1"/>
        <v>0.98345000000000005</v>
      </c>
      <c r="G68" s="55">
        <f t="shared" si="2"/>
        <v>3.3376962572470685E-2</v>
      </c>
      <c r="I68" s="49">
        <f t="shared" si="3"/>
        <v>-3.3998893603210578</v>
      </c>
    </row>
    <row r="69" spans="1:9">
      <c r="A69" s="23" t="s">
        <v>106</v>
      </c>
      <c r="B69" s="41">
        <v>3.44</v>
      </c>
      <c r="E69" s="41">
        <f t="shared" si="0"/>
        <v>3.44E-2</v>
      </c>
      <c r="F69" s="49">
        <f t="shared" si="1"/>
        <v>0.98280000000000001</v>
      </c>
      <c r="G69" s="55">
        <f t="shared" si="2"/>
        <v>3.4699276670225987E-2</v>
      </c>
      <c r="I69" s="49">
        <f t="shared" si="3"/>
        <v>-3.3610364374850326</v>
      </c>
    </row>
    <row r="70" spans="1:9">
      <c r="A70" s="23" t="s">
        <v>107</v>
      </c>
      <c r="B70" s="41">
        <v>3.5</v>
      </c>
      <c r="E70" s="41">
        <f t="shared" si="0"/>
        <v>3.5000000000000003E-2</v>
      </c>
      <c r="F70" s="49">
        <f t="shared" si="1"/>
        <v>0.98250000000000004</v>
      </c>
      <c r="G70" s="55">
        <f t="shared" si="2"/>
        <v>3.530987047744142E-2</v>
      </c>
      <c r="I70" s="49">
        <f t="shared" si="3"/>
        <v>-3.3435927372037262</v>
      </c>
    </row>
    <row r="71" spans="1:9">
      <c r="A71" s="23" t="s">
        <v>108</v>
      </c>
      <c r="B71" s="41">
        <v>3.58</v>
      </c>
      <c r="E71" s="41">
        <f t="shared" si="0"/>
        <v>3.5799999999999998E-2</v>
      </c>
      <c r="F71" s="49">
        <f t="shared" si="1"/>
        <v>0.98209999999999997</v>
      </c>
      <c r="G71" s="55">
        <f t="shared" si="2"/>
        <v>3.6124285636817036E-2</v>
      </c>
      <c r="I71" s="49">
        <f t="shared" si="3"/>
        <v>-3.3207899075044538</v>
      </c>
    </row>
    <row r="72" spans="1:9">
      <c r="A72" s="23" t="s">
        <v>109</v>
      </c>
      <c r="B72" s="41">
        <v>3.65</v>
      </c>
      <c r="E72" s="41">
        <f t="shared" si="0"/>
        <v>3.6499999999999998E-2</v>
      </c>
      <c r="F72" s="49">
        <f t="shared" si="1"/>
        <v>0.98175000000000001</v>
      </c>
      <c r="G72" s="55">
        <f t="shared" si="2"/>
        <v>3.6837171048036077E-2</v>
      </c>
      <c r="I72" s="49">
        <f t="shared" si="3"/>
        <v>-3.3012478607705851</v>
      </c>
    </row>
    <row r="73" spans="1:9">
      <c r="A73" s="23" t="s">
        <v>110</v>
      </c>
      <c r="B73" s="41">
        <v>3.66</v>
      </c>
      <c r="E73" s="41">
        <f t="shared" si="0"/>
        <v>3.6600000000000001E-2</v>
      </c>
      <c r="F73" s="49">
        <f t="shared" si="1"/>
        <v>0.98170000000000002</v>
      </c>
      <c r="G73" s="55">
        <f t="shared" si="2"/>
        <v>3.6939032567322644E-2</v>
      </c>
      <c r="I73" s="49">
        <f t="shared" si="3"/>
        <v>-3.2984864938522387</v>
      </c>
    </row>
    <row r="74" spans="1:9">
      <c r="A74" s="23" t="s">
        <v>111</v>
      </c>
      <c r="B74" s="41">
        <v>3.64</v>
      </c>
      <c r="E74" s="41">
        <f t="shared" si="0"/>
        <v>3.6400000000000002E-2</v>
      </c>
      <c r="F74" s="49">
        <f t="shared" si="1"/>
        <v>0.98180000000000001</v>
      </c>
      <c r="G74" s="55">
        <f t="shared" si="2"/>
        <v>3.6735314716369857E-2</v>
      </c>
      <c r="I74" s="49">
        <f t="shared" si="3"/>
        <v>-3.3040167327390306</v>
      </c>
    </row>
    <row r="75" spans="1:9">
      <c r="A75" s="23" t="s">
        <v>112</v>
      </c>
      <c r="B75" s="41">
        <v>3.67</v>
      </c>
      <c r="E75" s="41">
        <f t="shared" si="0"/>
        <v>3.6699999999999997E-2</v>
      </c>
      <c r="F75" s="49">
        <f t="shared" si="1"/>
        <v>0.98165000000000002</v>
      </c>
      <c r="G75" s="55">
        <f t="shared" si="2"/>
        <v>3.7040899274758003E-2</v>
      </c>
      <c r="I75" s="49">
        <f t="shared" si="3"/>
        <v>-3.2957325910226878</v>
      </c>
    </row>
    <row r="76" spans="1:9">
      <c r="A76" s="23" t="s">
        <v>113</v>
      </c>
      <c r="B76" s="41">
        <v>3.72</v>
      </c>
      <c r="E76" s="41">
        <f t="shared" si="0"/>
        <v>3.7200000000000004E-2</v>
      </c>
      <c r="F76" s="49">
        <f t="shared" si="1"/>
        <v>0.98140000000000005</v>
      </c>
      <c r="G76" s="55">
        <f t="shared" si="2"/>
        <v>3.7550310652667958E-2</v>
      </c>
      <c r="I76" s="49">
        <f t="shared" si="3"/>
        <v>-3.2820736277657896</v>
      </c>
    </row>
    <row r="77" spans="1:9">
      <c r="A77" s="23" t="s">
        <v>114</v>
      </c>
      <c r="B77" s="41">
        <v>3.66</v>
      </c>
      <c r="E77" s="41">
        <f t="shared" si="0"/>
        <v>3.6600000000000001E-2</v>
      </c>
      <c r="F77" s="49">
        <f t="shared" si="1"/>
        <v>0.98170000000000002</v>
      </c>
      <c r="G77" s="55">
        <f t="shared" si="2"/>
        <v>3.6939032567322644E-2</v>
      </c>
      <c r="I77" s="49">
        <f t="shared" si="3"/>
        <v>-3.2984864938522387</v>
      </c>
    </row>
    <row r="78" spans="1:9">
      <c r="A78" s="23" t="s">
        <v>115</v>
      </c>
      <c r="B78" s="41">
        <v>3.6</v>
      </c>
      <c r="E78" s="41">
        <f t="shared" ref="E78:E141" si="4">B78/100</f>
        <v>3.6000000000000004E-2</v>
      </c>
      <c r="F78" s="49">
        <f t="shared" ref="F78:F141" si="5">1-180/360*E78</f>
        <v>0.98199999999999998</v>
      </c>
      <c r="G78" s="55">
        <f t="shared" ref="G78:G141" si="6">-1/0.5*LN(F78)</f>
        <v>3.6327941255342361E-2</v>
      </c>
      <c r="I78" s="49">
        <f t="shared" ref="I78:I141" si="7">LN(G78)</f>
        <v>-3.3151681022506012</v>
      </c>
    </row>
    <row r="79" spans="1:9">
      <c r="A79" s="23" t="s">
        <v>116</v>
      </c>
      <c r="B79" s="41">
        <v>3.56</v>
      </c>
      <c r="E79" s="41">
        <f t="shared" si="4"/>
        <v>3.56E-2</v>
      </c>
      <c r="F79" s="49">
        <f t="shared" si="5"/>
        <v>0.98219999999999996</v>
      </c>
      <c r="G79" s="55">
        <f t="shared" si="6"/>
        <v>3.592065075398574E-2</v>
      </c>
      <c r="I79" s="49">
        <f t="shared" si="7"/>
        <v>-3.3264429189531763</v>
      </c>
    </row>
    <row r="80" spans="1:9">
      <c r="A80" s="23" t="s">
        <v>117</v>
      </c>
      <c r="B80" s="41">
        <v>3.56</v>
      </c>
      <c r="E80" s="41">
        <f t="shared" si="4"/>
        <v>3.56E-2</v>
      </c>
      <c r="F80" s="49">
        <f t="shared" si="5"/>
        <v>0.98219999999999996</v>
      </c>
      <c r="G80" s="55">
        <f t="shared" si="6"/>
        <v>3.592065075398574E-2</v>
      </c>
      <c r="I80" s="49">
        <f t="shared" si="7"/>
        <v>-3.3264429189531763</v>
      </c>
    </row>
    <row r="81" spans="1:9">
      <c r="A81" s="23" t="s">
        <v>118</v>
      </c>
      <c r="B81" s="41">
        <v>3.61</v>
      </c>
      <c r="E81" s="41">
        <f t="shared" si="4"/>
        <v>3.61E-2</v>
      </c>
      <c r="F81" s="49">
        <f t="shared" si="5"/>
        <v>0.98194999999999999</v>
      </c>
      <c r="G81" s="55">
        <f t="shared" si="6"/>
        <v>3.6429776841810035E-2</v>
      </c>
      <c r="I81" s="49">
        <f t="shared" si="7"/>
        <v>-3.3123687936513013</v>
      </c>
    </row>
    <row r="82" spans="1:9">
      <c r="A82" s="23" t="s">
        <v>119</v>
      </c>
      <c r="B82" s="41">
        <v>3.68</v>
      </c>
      <c r="E82" s="41">
        <f t="shared" si="4"/>
        <v>3.6799999999999999E-2</v>
      </c>
      <c r="F82" s="49">
        <f t="shared" si="5"/>
        <v>0.98160000000000003</v>
      </c>
      <c r="G82" s="55">
        <f t="shared" si="6"/>
        <v>3.7142771170870684E-2</v>
      </c>
      <c r="I82" s="49">
        <f t="shared" si="7"/>
        <v>-3.2929861116550061</v>
      </c>
    </row>
    <row r="83" spans="1:9">
      <c r="A83" s="23" t="s">
        <v>120</v>
      </c>
      <c r="B83" s="41">
        <v>3.72</v>
      </c>
      <c r="E83" s="41">
        <f t="shared" si="4"/>
        <v>3.7200000000000004E-2</v>
      </c>
      <c r="F83" s="49">
        <f t="shared" si="5"/>
        <v>0.98140000000000005</v>
      </c>
      <c r="G83" s="55">
        <f t="shared" si="6"/>
        <v>3.7550310652667958E-2</v>
      </c>
      <c r="I83" s="49">
        <f t="shared" si="7"/>
        <v>-3.2820736277657896</v>
      </c>
    </row>
    <row r="84" spans="1:9">
      <c r="A84" s="23" t="s">
        <v>121</v>
      </c>
      <c r="B84" s="41">
        <v>3.81</v>
      </c>
      <c r="E84" s="41">
        <f t="shared" si="4"/>
        <v>3.8100000000000002E-2</v>
      </c>
      <c r="F84" s="49">
        <f t="shared" si="5"/>
        <v>0.98094999999999999</v>
      </c>
      <c r="G84" s="55">
        <f t="shared" si="6"/>
        <v>3.8467578230598494E-2</v>
      </c>
      <c r="I84" s="49">
        <f t="shared" si="7"/>
        <v>-3.2579395163544684</v>
      </c>
    </row>
    <row r="85" spans="1:9">
      <c r="A85" s="23" t="s">
        <v>122</v>
      </c>
      <c r="B85" s="41">
        <v>3.95</v>
      </c>
      <c r="E85" s="41">
        <f t="shared" si="4"/>
        <v>3.95E-2</v>
      </c>
      <c r="F85" s="49">
        <f t="shared" si="5"/>
        <v>0.98024999999999995</v>
      </c>
      <c r="G85" s="55">
        <f t="shared" si="6"/>
        <v>3.9895275619392156E-2</v>
      </c>
      <c r="I85" s="49">
        <f t="shared" si="7"/>
        <v>-3.2214973676258261</v>
      </c>
    </row>
    <row r="86" spans="1:9">
      <c r="A86" s="23" t="s">
        <v>123</v>
      </c>
      <c r="B86" s="41">
        <v>3.94</v>
      </c>
      <c r="E86" s="41">
        <f t="shared" si="4"/>
        <v>3.9399999999999998E-2</v>
      </c>
      <c r="F86" s="49">
        <f t="shared" si="5"/>
        <v>0.98029999999999995</v>
      </c>
      <c r="G86" s="55">
        <f t="shared" si="6"/>
        <v>3.9793263428913289E-2</v>
      </c>
      <c r="I86" s="49">
        <f t="shared" si="7"/>
        <v>-3.2240576415980016</v>
      </c>
    </row>
    <row r="87" spans="1:9">
      <c r="A87" s="23" t="s">
        <v>124</v>
      </c>
      <c r="B87" s="41">
        <v>4</v>
      </c>
      <c r="E87" s="41">
        <f t="shared" si="4"/>
        <v>0.04</v>
      </c>
      <c r="F87" s="49">
        <f t="shared" si="5"/>
        <v>0.98</v>
      </c>
      <c r="G87" s="55">
        <f t="shared" si="6"/>
        <v>4.0405414635038932E-2</v>
      </c>
      <c r="I87" s="49">
        <f t="shared" si="7"/>
        <v>-3.2087914773758879</v>
      </c>
    </row>
    <row r="88" spans="1:9">
      <c r="A88" s="23" t="s">
        <v>125</v>
      </c>
      <c r="B88" s="41">
        <v>4</v>
      </c>
      <c r="E88" s="41">
        <f t="shared" si="4"/>
        <v>0.04</v>
      </c>
      <c r="F88" s="49">
        <f t="shared" si="5"/>
        <v>0.98</v>
      </c>
      <c r="G88" s="55">
        <f t="shared" si="6"/>
        <v>4.0405414635038932E-2</v>
      </c>
      <c r="I88" s="49">
        <f t="shared" si="7"/>
        <v>-3.2087914773758879</v>
      </c>
    </row>
    <row r="89" spans="1:9">
      <c r="A89" s="23" t="s">
        <v>126</v>
      </c>
      <c r="B89" s="41">
        <v>3.99</v>
      </c>
      <c r="E89" s="41">
        <f t="shared" si="4"/>
        <v>3.9900000000000005E-2</v>
      </c>
      <c r="F89" s="49">
        <f t="shared" si="5"/>
        <v>0.98004999999999998</v>
      </c>
      <c r="G89" s="55">
        <f t="shared" si="6"/>
        <v>4.0303376421705929E-2</v>
      </c>
      <c r="I89" s="49">
        <f t="shared" si="7"/>
        <v>-3.2113200313627046</v>
      </c>
    </row>
    <row r="90" spans="1:9">
      <c r="A90" s="23" t="s">
        <v>127</v>
      </c>
      <c r="B90" s="41">
        <v>3.95</v>
      </c>
      <c r="E90" s="41">
        <f t="shared" si="4"/>
        <v>3.95E-2</v>
      </c>
      <c r="F90" s="49">
        <f t="shared" si="5"/>
        <v>0.98024999999999995</v>
      </c>
      <c r="G90" s="55">
        <f t="shared" si="6"/>
        <v>3.9895275619392156E-2</v>
      </c>
      <c r="I90" s="49">
        <f t="shared" si="7"/>
        <v>-3.2214973676258261</v>
      </c>
    </row>
    <row r="91" spans="1:9">
      <c r="A91" s="23" t="s">
        <v>128</v>
      </c>
      <c r="B91" s="41">
        <v>3.86</v>
      </c>
      <c r="E91" s="41">
        <f t="shared" si="4"/>
        <v>3.8599999999999995E-2</v>
      </c>
      <c r="F91" s="49">
        <f t="shared" si="5"/>
        <v>0.98070000000000002</v>
      </c>
      <c r="G91" s="55">
        <f t="shared" si="6"/>
        <v>3.8977353167724826E-2</v>
      </c>
      <c r="I91" s="49">
        <f t="shared" si="7"/>
        <v>-3.2447744895241248</v>
      </c>
    </row>
    <row r="92" spans="1:9">
      <c r="A92" s="23" t="s">
        <v>129</v>
      </c>
      <c r="B92" s="41">
        <v>3.9</v>
      </c>
      <c r="E92" s="41">
        <f t="shared" si="4"/>
        <v>3.9E-2</v>
      </c>
      <c r="F92" s="49">
        <f t="shared" si="5"/>
        <v>0.98050000000000004</v>
      </c>
      <c r="G92" s="55">
        <f t="shared" si="6"/>
        <v>3.938526669147209E-2</v>
      </c>
      <c r="I92" s="49">
        <f t="shared" si="7"/>
        <v>-3.2343634744527434</v>
      </c>
    </row>
    <row r="93" spans="1:9">
      <c r="A93" s="23" t="s">
        <v>130</v>
      </c>
      <c r="B93" s="41">
        <v>3.95</v>
      </c>
      <c r="E93" s="41">
        <f t="shared" si="4"/>
        <v>3.95E-2</v>
      </c>
      <c r="F93" s="49">
        <f t="shared" si="5"/>
        <v>0.98024999999999995</v>
      </c>
      <c r="G93" s="55">
        <f t="shared" si="6"/>
        <v>3.9895275619392156E-2</v>
      </c>
      <c r="I93" s="49">
        <f t="shared" si="7"/>
        <v>-3.2214973676258261</v>
      </c>
    </row>
    <row r="94" spans="1:9">
      <c r="A94" s="23" t="s">
        <v>131</v>
      </c>
      <c r="B94" s="41">
        <v>4.07</v>
      </c>
      <c r="E94" s="41">
        <f t="shared" si="4"/>
        <v>4.07E-2</v>
      </c>
      <c r="F94" s="49">
        <f t="shared" si="5"/>
        <v>0.97965000000000002</v>
      </c>
      <c r="G94" s="55">
        <f t="shared" si="6"/>
        <v>4.1119827930722407E-2</v>
      </c>
      <c r="I94" s="49">
        <f t="shared" si="7"/>
        <v>-3.1912648424081267</v>
      </c>
    </row>
    <row r="95" spans="1:9">
      <c r="A95" s="23" t="s">
        <v>132</v>
      </c>
      <c r="B95" s="41">
        <v>4.1900000000000004</v>
      </c>
      <c r="E95" s="41">
        <f t="shared" si="4"/>
        <v>4.1900000000000007E-2</v>
      </c>
      <c r="F95" s="49">
        <f t="shared" si="5"/>
        <v>0.97904999999999998</v>
      </c>
      <c r="G95" s="55">
        <f t="shared" si="6"/>
        <v>4.2345130465601913E-2</v>
      </c>
      <c r="I95" s="49">
        <f t="shared" si="7"/>
        <v>-3.1619018475978078</v>
      </c>
    </row>
    <row r="96" spans="1:9">
      <c r="A96" s="23" t="s">
        <v>133</v>
      </c>
      <c r="B96" s="41">
        <v>4.24</v>
      </c>
      <c r="E96" s="41">
        <f t="shared" si="4"/>
        <v>4.24E-2</v>
      </c>
      <c r="F96" s="49">
        <f t="shared" si="5"/>
        <v>0.9788</v>
      </c>
      <c r="G96" s="55">
        <f t="shared" si="6"/>
        <v>4.2855894827240899E-2</v>
      </c>
      <c r="I96" s="49">
        <f t="shared" si="7"/>
        <v>-3.1499120745029776</v>
      </c>
    </row>
    <row r="97" spans="1:9">
      <c r="A97" s="23" t="s">
        <v>134</v>
      </c>
      <c r="B97" s="41">
        <v>4.55</v>
      </c>
      <c r="E97" s="41">
        <f t="shared" si="4"/>
        <v>4.5499999999999999E-2</v>
      </c>
      <c r="F97" s="49">
        <f t="shared" si="5"/>
        <v>0.97724999999999995</v>
      </c>
      <c r="G97" s="55">
        <f t="shared" si="6"/>
        <v>4.6025548618145819E-2</v>
      </c>
      <c r="I97" s="49">
        <f t="shared" si="7"/>
        <v>-3.07855863193087</v>
      </c>
    </row>
    <row r="98" spans="1:9">
      <c r="A98" s="23" t="s">
        <v>135</v>
      </c>
      <c r="B98" s="41">
        <v>4.71</v>
      </c>
      <c r="E98" s="41">
        <f t="shared" si="4"/>
        <v>4.7100000000000003E-2</v>
      </c>
      <c r="F98" s="49">
        <f t="shared" si="5"/>
        <v>0.97645000000000004</v>
      </c>
      <c r="G98" s="55">
        <f t="shared" si="6"/>
        <v>4.7663466506691309E-2</v>
      </c>
      <c r="I98" s="49">
        <f t="shared" si="7"/>
        <v>-3.043590075867336</v>
      </c>
    </row>
    <row r="99" spans="1:9">
      <c r="A99" s="23" t="s">
        <v>136</v>
      </c>
      <c r="B99" s="41">
        <v>4.82</v>
      </c>
      <c r="E99" s="41">
        <f t="shared" si="4"/>
        <v>4.82E-2</v>
      </c>
      <c r="F99" s="49">
        <f t="shared" si="5"/>
        <v>0.97589999999999999</v>
      </c>
      <c r="G99" s="55">
        <f t="shared" si="6"/>
        <v>4.8790313669443197E-2</v>
      </c>
      <c r="I99" s="49">
        <f t="shared" si="7"/>
        <v>-3.0202234762051208</v>
      </c>
    </row>
    <row r="100" spans="1:9">
      <c r="A100" s="23" t="s">
        <v>137</v>
      </c>
      <c r="B100" s="41">
        <v>4.78</v>
      </c>
      <c r="E100" s="41">
        <f t="shared" si="4"/>
        <v>4.7800000000000002E-2</v>
      </c>
      <c r="F100" s="49">
        <f t="shared" si="5"/>
        <v>0.97609999999999997</v>
      </c>
      <c r="G100" s="55">
        <f t="shared" si="6"/>
        <v>4.8380477602435343E-2</v>
      </c>
      <c r="I100" s="49">
        <f t="shared" si="7"/>
        <v>-3.0286589019507737</v>
      </c>
    </row>
    <row r="101" spans="1:9">
      <c r="A101" s="23" t="s">
        <v>138</v>
      </c>
      <c r="B101" s="41">
        <v>4.74</v>
      </c>
      <c r="E101" s="41">
        <f t="shared" si="4"/>
        <v>4.7400000000000005E-2</v>
      </c>
      <c r="F101" s="49">
        <f t="shared" si="5"/>
        <v>0.97629999999999995</v>
      </c>
      <c r="G101" s="55">
        <f t="shared" si="6"/>
        <v>4.7970725501022625E-2</v>
      </c>
      <c r="I101" s="49">
        <f t="shared" si="7"/>
        <v>-3.0371643395253582</v>
      </c>
    </row>
    <row r="102" spans="1:9">
      <c r="A102" s="23" t="s">
        <v>139</v>
      </c>
      <c r="B102" s="41">
        <v>4.8099999999999996</v>
      </c>
      <c r="E102" s="41">
        <f t="shared" si="4"/>
        <v>4.8099999999999997E-2</v>
      </c>
      <c r="F102" s="49">
        <f t="shared" si="5"/>
        <v>0.97594999999999998</v>
      </c>
      <c r="G102" s="55">
        <f t="shared" si="6"/>
        <v>4.8687846779034753E-2</v>
      </c>
      <c r="I102" s="49">
        <f t="shared" si="7"/>
        <v>-3.0223258328289666</v>
      </c>
    </row>
    <row r="103" spans="1:9">
      <c r="A103" s="23" t="s">
        <v>140</v>
      </c>
      <c r="B103" s="41">
        <v>4.6500000000000004</v>
      </c>
      <c r="E103" s="41">
        <f t="shared" si="4"/>
        <v>4.6500000000000007E-2</v>
      </c>
      <c r="F103" s="49">
        <f t="shared" si="5"/>
        <v>0.97675000000000001</v>
      </c>
      <c r="G103" s="55">
        <f t="shared" si="6"/>
        <v>4.7049090093914156E-2</v>
      </c>
      <c r="I103" s="49">
        <f t="shared" si="7"/>
        <v>-3.056563752268163</v>
      </c>
    </row>
    <row r="104" spans="1:9">
      <c r="A104" s="23" t="s">
        <v>141</v>
      </c>
      <c r="B104" s="41">
        <v>4.93</v>
      </c>
      <c r="E104" s="41">
        <f t="shared" si="4"/>
        <v>4.9299999999999997E-2</v>
      </c>
      <c r="F104" s="49">
        <f t="shared" si="5"/>
        <v>0.97535000000000005</v>
      </c>
      <c r="G104" s="55">
        <f t="shared" si="6"/>
        <v>4.991779608239072E-2</v>
      </c>
      <c r="I104" s="49">
        <f t="shared" si="7"/>
        <v>-2.9973777048861305</v>
      </c>
    </row>
    <row r="105" spans="1:9">
      <c r="A105" s="23" t="s">
        <v>142</v>
      </c>
      <c r="B105" s="41">
        <v>5.27</v>
      </c>
      <c r="E105" s="41">
        <f t="shared" si="4"/>
        <v>5.2699999999999997E-2</v>
      </c>
      <c r="F105" s="49">
        <f t="shared" si="5"/>
        <v>0.97365000000000002</v>
      </c>
      <c r="G105" s="55">
        <f t="shared" si="6"/>
        <v>5.3406765669099528E-2</v>
      </c>
      <c r="I105" s="49">
        <f t="shared" si="7"/>
        <v>-2.92981784311828</v>
      </c>
    </row>
    <row r="106" spans="1:9">
      <c r="A106" s="23" t="s">
        <v>143</v>
      </c>
      <c r="B106" s="41">
        <v>5.79</v>
      </c>
      <c r="E106" s="41">
        <f t="shared" si="4"/>
        <v>5.79E-2</v>
      </c>
      <c r="F106" s="49">
        <f t="shared" si="5"/>
        <v>0.97104999999999997</v>
      </c>
      <c r="G106" s="55">
        <f t="shared" si="6"/>
        <v>5.8754637421353402E-2</v>
      </c>
      <c r="I106" s="49">
        <f t="shared" si="7"/>
        <v>-2.8343851942415115</v>
      </c>
    </row>
    <row r="107" spans="1:9">
      <c r="A107" s="23" t="s">
        <v>144</v>
      </c>
      <c r="B107" s="41">
        <v>5.62</v>
      </c>
      <c r="E107" s="41">
        <f t="shared" si="4"/>
        <v>5.62E-2</v>
      </c>
      <c r="F107" s="49">
        <f t="shared" si="5"/>
        <v>0.97189999999999999</v>
      </c>
      <c r="G107" s="55">
        <f t="shared" si="6"/>
        <v>5.7004720945424303E-2</v>
      </c>
      <c r="I107" s="49">
        <f t="shared" si="7"/>
        <v>-2.8646211909733372</v>
      </c>
    </row>
    <row r="108" spans="1:9">
      <c r="A108" s="23" t="s">
        <v>145</v>
      </c>
      <c r="B108" s="41">
        <v>5.54</v>
      </c>
      <c r="E108" s="41">
        <f t="shared" si="4"/>
        <v>5.5399999999999998E-2</v>
      </c>
      <c r="F108" s="49">
        <f t="shared" si="5"/>
        <v>0.97230000000000005</v>
      </c>
      <c r="G108" s="55">
        <f t="shared" si="6"/>
        <v>5.6181760333051223E-2</v>
      </c>
      <c r="I108" s="49">
        <f t="shared" si="7"/>
        <v>-2.8791631239939561</v>
      </c>
    </row>
    <row r="109" spans="1:9">
      <c r="A109" s="23" t="s">
        <v>146</v>
      </c>
      <c r="B109" s="41">
        <v>5.07</v>
      </c>
      <c r="E109" s="41">
        <f t="shared" si="4"/>
        <v>5.0700000000000002E-2</v>
      </c>
      <c r="F109" s="49">
        <f t="shared" si="5"/>
        <v>0.97465000000000002</v>
      </c>
      <c r="G109" s="55">
        <f t="shared" si="6"/>
        <v>5.1353693579966053E-2</v>
      </c>
      <c r="I109" s="49">
        <f t="shared" si="7"/>
        <v>-2.9690184156916257</v>
      </c>
    </row>
    <row r="110" spans="1:9">
      <c r="A110" s="23" t="s">
        <v>147</v>
      </c>
      <c r="B110" s="41">
        <v>4.74</v>
      </c>
      <c r="E110" s="41">
        <f t="shared" si="4"/>
        <v>4.7400000000000005E-2</v>
      </c>
      <c r="F110" s="49">
        <f t="shared" si="5"/>
        <v>0.97629999999999995</v>
      </c>
      <c r="G110" s="55">
        <f t="shared" si="6"/>
        <v>4.7970725501022625E-2</v>
      </c>
      <c r="I110" s="49">
        <f t="shared" si="7"/>
        <v>-3.0371643395253582</v>
      </c>
    </row>
    <row r="111" spans="1:9">
      <c r="A111" s="23" t="s">
        <v>148</v>
      </c>
      <c r="B111" s="41">
        <v>4.59</v>
      </c>
      <c r="E111" s="41">
        <f t="shared" si="4"/>
        <v>4.5899999999999996E-2</v>
      </c>
      <c r="F111" s="49">
        <f t="shared" si="5"/>
        <v>0.97704999999999997</v>
      </c>
      <c r="G111" s="55">
        <f t="shared" si="6"/>
        <v>4.6434902352369203E-2</v>
      </c>
      <c r="I111" s="49">
        <f t="shared" si="7"/>
        <v>-3.0697038966449477</v>
      </c>
    </row>
    <row r="112" spans="1:9">
      <c r="A112" s="23" t="s">
        <v>149</v>
      </c>
      <c r="B112" s="41">
        <v>4.22</v>
      </c>
      <c r="E112" s="41">
        <f t="shared" si="4"/>
        <v>4.2199999999999994E-2</v>
      </c>
      <c r="F112" s="49">
        <f t="shared" si="5"/>
        <v>0.97889999999999999</v>
      </c>
      <c r="G112" s="55">
        <f t="shared" si="6"/>
        <v>4.265157342950486E-2</v>
      </c>
      <c r="I112" s="49">
        <f t="shared" si="7"/>
        <v>-3.1546911140601028</v>
      </c>
    </row>
    <row r="113" spans="1:9">
      <c r="A113" s="23" t="s">
        <v>150</v>
      </c>
      <c r="B113" s="41">
        <v>3.89</v>
      </c>
      <c r="E113" s="41">
        <f t="shared" si="4"/>
        <v>3.8900000000000004E-2</v>
      </c>
      <c r="F113" s="49">
        <f t="shared" si="5"/>
        <v>0.98055000000000003</v>
      </c>
      <c r="G113" s="55">
        <f t="shared" si="6"/>
        <v>3.9283280510577508E-2</v>
      </c>
      <c r="I113" s="49">
        <f t="shared" si="7"/>
        <v>-3.2369562829297447</v>
      </c>
    </row>
    <row r="114" spans="1:9">
      <c r="A114" s="23" t="s">
        <v>151</v>
      </c>
      <c r="B114" s="41">
        <v>3.8</v>
      </c>
      <c r="E114" s="41">
        <f t="shared" si="4"/>
        <v>3.7999999999999999E-2</v>
      </c>
      <c r="F114" s="49">
        <f t="shared" si="5"/>
        <v>0.98099999999999998</v>
      </c>
      <c r="G114" s="55">
        <f t="shared" si="6"/>
        <v>3.8365638833547974E-2</v>
      </c>
      <c r="I114" s="49">
        <f t="shared" si="7"/>
        <v>-3.2605930420237121</v>
      </c>
    </row>
    <row r="115" spans="1:9">
      <c r="A115" s="23" t="s">
        <v>152</v>
      </c>
      <c r="B115" s="41">
        <v>3.89</v>
      </c>
      <c r="E115" s="41">
        <f t="shared" si="4"/>
        <v>3.8900000000000004E-2</v>
      </c>
      <c r="F115" s="49">
        <f t="shared" si="5"/>
        <v>0.98055000000000003</v>
      </c>
      <c r="G115" s="55">
        <f t="shared" si="6"/>
        <v>3.9283280510577508E-2</v>
      </c>
      <c r="I115" s="49">
        <f t="shared" si="7"/>
        <v>-3.2369562829297447</v>
      </c>
    </row>
    <row r="116" spans="1:9">
      <c r="A116" s="23" t="s">
        <v>153</v>
      </c>
      <c r="B116" s="41">
        <v>4.72</v>
      </c>
      <c r="E116" s="41">
        <f t="shared" si="4"/>
        <v>4.7199999999999999E-2</v>
      </c>
      <c r="F116" s="49">
        <f t="shared" si="5"/>
        <v>0.97640000000000005</v>
      </c>
      <c r="G116" s="55">
        <f t="shared" si="6"/>
        <v>4.7765880926664006E-2</v>
      </c>
      <c r="I116" s="49">
        <f t="shared" si="7"/>
        <v>-3.0414436824978779</v>
      </c>
    </row>
    <row r="117" spans="1:9">
      <c r="A117" s="23" t="s">
        <v>154</v>
      </c>
      <c r="B117" s="41">
        <v>4.83</v>
      </c>
      <c r="E117" s="41">
        <f t="shared" si="4"/>
        <v>4.8300000000000003E-2</v>
      </c>
      <c r="F117" s="49">
        <f t="shared" si="5"/>
        <v>0.97585</v>
      </c>
      <c r="G117" s="55">
        <f t="shared" si="6"/>
        <v>4.8892785809852436E-2</v>
      </c>
      <c r="I117" s="49">
        <f t="shared" si="7"/>
        <v>-3.0181254228357211</v>
      </c>
    </row>
    <row r="118" spans="1:9">
      <c r="A118" s="23" t="s">
        <v>155</v>
      </c>
      <c r="B118" s="41">
        <v>4.96</v>
      </c>
      <c r="E118" s="41">
        <f t="shared" si="4"/>
        <v>4.9599999999999998E-2</v>
      </c>
      <c r="F118" s="49">
        <f t="shared" si="5"/>
        <v>0.97519999999999996</v>
      </c>
      <c r="G118" s="55">
        <f t="shared" si="6"/>
        <v>5.0225401630150657E-2</v>
      </c>
      <c r="I118" s="49">
        <f t="shared" si="7"/>
        <v>-2.9912343716948806</v>
      </c>
    </row>
    <row r="119" spans="1:9">
      <c r="A119" s="23" t="s">
        <v>156</v>
      </c>
      <c r="B119" s="41">
        <v>5.07</v>
      </c>
      <c r="E119" s="41">
        <f t="shared" si="4"/>
        <v>5.0700000000000002E-2</v>
      </c>
      <c r="F119" s="49">
        <f t="shared" si="5"/>
        <v>0.97465000000000002</v>
      </c>
      <c r="G119" s="55">
        <f t="shared" si="6"/>
        <v>5.1353693579966053E-2</v>
      </c>
      <c r="I119" s="49">
        <f t="shared" si="7"/>
        <v>-2.9690184156916257</v>
      </c>
    </row>
    <row r="120" spans="1:9">
      <c r="A120" s="23" t="s">
        <v>157</v>
      </c>
      <c r="B120" s="41">
        <v>5.25</v>
      </c>
      <c r="E120" s="41">
        <f t="shared" si="4"/>
        <v>5.2499999999999998E-2</v>
      </c>
      <c r="F120" s="49">
        <f t="shared" si="5"/>
        <v>0.97375</v>
      </c>
      <c r="G120" s="55">
        <f t="shared" si="6"/>
        <v>5.3201363594358057E-2</v>
      </c>
      <c r="I120" s="49">
        <f t="shared" si="7"/>
        <v>-2.9336712514901233</v>
      </c>
    </row>
    <row r="121" spans="1:9">
      <c r="A121" s="23" t="s">
        <v>158</v>
      </c>
      <c r="B121" s="41">
        <v>5.49</v>
      </c>
      <c r="E121" s="41">
        <f t="shared" si="4"/>
        <v>5.4900000000000004E-2</v>
      </c>
      <c r="F121" s="49">
        <f t="shared" si="5"/>
        <v>0.97255000000000003</v>
      </c>
      <c r="G121" s="55">
        <f t="shared" si="6"/>
        <v>5.5667581858871829E-2</v>
      </c>
      <c r="I121" s="49">
        <f t="shared" si="7"/>
        <v>-2.8883573147901007</v>
      </c>
    </row>
    <row r="122" spans="1:9">
      <c r="A122" s="23" t="s">
        <v>159</v>
      </c>
      <c r="B122" s="41">
        <v>5.24</v>
      </c>
      <c r="E122" s="41">
        <f t="shared" si="4"/>
        <v>5.2400000000000002E-2</v>
      </c>
      <c r="F122" s="49">
        <f t="shared" si="5"/>
        <v>0.9738</v>
      </c>
      <c r="G122" s="55">
        <f t="shared" si="6"/>
        <v>5.3098670467073047E-2</v>
      </c>
      <c r="I122" s="49">
        <f t="shared" si="7"/>
        <v>-2.9356033893325835</v>
      </c>
    </row>
    <row r="123" spans="1:9">
      <c r="A123" s="23" t="s">
        <v>160</v>
      </c>
      <c r="B123" s="41">
        <v>5.17</v>
      </c>
      <c r="E123" s="41">
        <f t="shared" si="4"/>
        <v>5.1699999999999996E-2</v>
      </c>
      <c r="F123" s="49">
        <f t="shared" si="5"/>
        <v>0.97414999999999996</v>
      </c>
      <c r="G123" s="55">
        <f t="shared" si="6"/>
        <v>5.2379966180481768E-2</v>
      </c>
      <c r="I123" s="49">
        <f t="shared" si="7"/>
        <v>-2.9492310855598669</v>
      </c>
    </row>
    <row r="124" spans="1:9">
      <c r="A124" s="23" t="s">
        <v>161</v>
      </c>
      <c r="B124" s="41">
        <v>5.33</v>
      </c>
      <c r="E124" s="41">
        <f t="shared" si="4"/>
        <v>5.33E-2</v>
      </c>
      <c r="F124" s="49">
        <f t="shared" si="5"/>
        <v>0.97335000000000005</v>
      </c>
      <c r="G124" s="55">
        <f t="shared" si="6"/>
        <v>5.4023098493699691E-2</v>
      </c>
      <c r="I124" s="49">
        <f t="shared" si="7"/>
        <v>-2.9183435739934365</v>
      </c>
    </row>
    <row r="125" spans="1:9">
      <c r="A125" s="23" t="s">
        <v>162</v>
      </c>
      <c r="B125" s="41">
        <v>5.49</v>
      </c>
      <c r="E125" s="41">
        <f t="shared" si="4"/>
        <v>5.4900000000000004E-2</v>
      </c>
      <c r="F125" s="49">
        <f t="shared" si="5"/>
        <v>0.97255000000000003</v>
      </c>
      <c r="G125" s="55">
        <f t="shared" si="6"/>
        <v>5.5667581858871829E-2</v>
      </c>
      <c r="I125" s="49">
        <f t="shared" si="7"/>
        <v>-2.8883573147901007</v>
      </c>
    </row>
    <row r="126" spans="1:9">
      <c r="A126" s="23" t="s">
        <v>163</v>
      </c>
      <c r="B126" s="41">
        <v>5.83</v>
      </c>
      <c r="E126" s="41">
        <f t="shared" si="4"/>
        <v>5.8299999999999998E-2</v>
      </c>
      <c r="F126" s="49">
        <f t="shared" si="5"/>
        <v>0.97084999999999999</v>
      </c>
      <c r="G126" s="55">
        <f t="shared" si="6"/>
        <v>5.9166605083348631E-2</v>
      </c>
      <c r="I126" s="49">
        <f t="shared" si="7"/>
        <v>-2.8273979995801297</v>
      </c>
    </row>
    <row r="127" spans="1:9">
      <c r="A127" s="23" t="s">
        <v>164</v>
      </c>
      <c r="B127" s="41">
        <v>5.64</v>
      </c>
      <c r="E127" s="41">
        <f t="shared" si="4"/>
        <v>5.6399999999999999E-2</v>
      </c>
      <c r="F127" s="49">
        <f t="shared" si="5"/>
        <v>0.9718</v>
      </c>
      <c r="G127" s="55">
        <f t="shared" si="6"/>
        <v>5.7210514020668873E-2</v>
      </c>
      <c r="I127" s="49">
        <f t="shared" si="7"/>
        <v>-2.8610175859375029</v>
      </c>
    </row>
    <row r="128" spans="1:9">
      <c r="A128" s="23" t="s">
        <v>165</v>
      </c>
      <c r="B128" s="41">
        <v>5.41</v>
      </c>
      <c r="E128" s="41">
        <f t="shared" si="4"/>
        <v>5.4100000000000002E-2</v>
      </c>
      <c r="F128" s="49">
        <f t="shared" si="5"/>
        <v>0.97294999999999998</v>
      </c>
      <c r="G128" s="55">
        <f t="shared" si="6"/>
        <v>5.4845171155944492E-2</v>
      </c>
      <c r="I128" s="49">
        <f t="shared" si="7"/>
        <v>-2.9032411334026862</v>
      </c>
    </row>
    <row r="129" spans="1:9">
      <c r="A129" s="23" t="s">
        <v>166</v>
      </c>
      <c r="B129" s="41">
        <v>5.23</v>
      </c>
      <c r="E129" s="41">
        <f t="shared" si="4"/>
        <v>5.2300000000000006E-2</v>
      </c>
      <c r="F129" s="49">
        <f t="shared" si="5"/>
        <v>0.97384999999999999</v>
      </c>
      <c r="G129" s="55">
        <f t="shared" si="6"/>
        <v>5.2995982612456499E-2</v>
      </c>
      <c r="I129" s="49">
        <f t="shared" si="7"/>
        <v>-2.9375391680679344</v>
      </c>
    </row>
    <row r="130" spans="1:9">
      <c r="A130" s="23" t="s">
        <v>167</v>
      </c>
      <c r="B130" s="41">
        <v>5.25</v>
      </c>
      <c r="E130" s="41">
        <f t="shared" si="4"/>
        <v>5.2499999999999998E-2</v>
      </c>
      <c r="F130" s="49">
        <f t="shared" si="5"/>
        <v>0.97375</v>
      </c>
      <c r="G130" s="55">
        <f t="shared" si="6"/>
        <v>5.3201363594358057E-2</v>
      </c>
      <c r="I130" s="49">
        <f t="shared" si="7"/>
        <v>-2.9336712514901233</v>
      </c>
    </row>
    <row r="131" spans="1:9">
      <c r="A131" s="23" t="s">
        <v>168</v>
      </c>
      <c r="B131" s="41">
        <v>5.41</v>
      </c>
      <c r="E131" s="41">
        <f t="shared" si="4"/>
        <v>5.4100000000000002E-2</v>
      </c>
      <c r="F131" s="49">
        <f t="shared" si="5"/>
        <v>0.97294999999999998</v>
      </c>
      <c r="G131" s="55">
        <f t="shared" si="6"/>
        <v>5.4845171155944492E-2</v>
      </c>
      <c r="I131" s="49">
        <f t="shared" si="7"/>
        <v>-2.9032411334026862</v>
      </c>
    </row>
    <row r="132" spans="1:9">
      <c r="A132" s="23" t="s">
        <v>169</v>
      </c>
      <c r="B132" s="41">
        <v>5.6</v>
      </c>
      <c r="E132" s="41">
        <f t="shared" si="4"/>
        <v>5.5999999999999994E-2</v>
      </c>
      <c r="F132" s="49">
        <f t="shared" si="5"/>
        <v>0.97199999999999998</v>
      </c>
      <c r="G132" s="55">
        <f t="shared" si="6"/>
        <v>5.6798949043396003E-2</v>
      </c>
      <c r="I132" s="49">
        <f t="shared" si="7"/>
        <v>-2.8682374561833219</v>
      </c>
    </row>
    <row r="133" spans="1:9">
      <c r="A133" s="23" t="s">
        <v>170</v>
      </c>
      <c r="B133" s="41">
        <v>6.06</v>
      </c>
      <c r="E133" s="41">
        <f t="shared" si="4"/>
        <v>6.0599999999999994E-2</v>
      </c>
      <c r="F133" s="49">
        <f t="shared" si="5"/>
        <v>0.96970000000000001</v>
      </c>
      <c r="G133" s="55">
        <f t="shared" si="6"/>
        <v>6.1537067343272966E-2</v>
      </c>
      <c r="I133" s="49">
        <f t="shared" si="7"/>
        <v>-2.7881155647042042</v>
      </c>
    </row>
    <row r="134" spans="1:9">
      <c r="A134" s="23" t="s">
        <v>171</v>
      </c>
      <c r="B134" s="41">
        <v>6.28</v>
      </c>
      <c r="E134" s="41">
        <f t="shared" si="4"/>
        <v>6.2800000000000009E-2</v>
      </c>
      <c r="F134" s="49">
        <f t="shared" si="5"/>
        <v>0.96860000000000002</v>
      </c>
      <c r="G134" s="55">
        <f t="shared" si="6"/>
        <v>6.3807098026016557E-2</v>
      </c>
      <c r="I134" s="49">
        <f t="shared" si="7"/>
        <v>-2.7518908404934179</v>
      </c>
    </row>
    <row r="135" spans="1:9">
      <c r="A135" s="23" t="s">
        <v>172</v>
      </c>
      <c r="B135" s="41">
        <v>6.3</v>
      </c>
      <c r="E135" s="41">
        <f t="shared" si="4"/>
        <v>6.3E-2</v>
      </c>
      <c r="F135" s="49">
        <f t="shared" si="5"/>
        <v>0.96850000000000003</v>
      </c>
      <c r="G135" s="55">
        <f t="shared" si="6"/>
        <v>6.4013592270172906E-2</v>
      </c>
      <c r="I135" s="49">
        <f t="shared" si="7"/>
        <v>-2.7486598389502879</v>
      </c>
    </row>
    <row r="136" spans="1:9">
      <c r="A136" s="23" t="s">
        <v>173</v>
      </c>
      <c r="B136" s="41">
        <v>6.16</v>
      </c>
      <c r="E136" s="41">
        <f t="shared" si="4"/>
        <v>6.1600000000000002E-2</v>
      </c>
      <c r="F136" s="49">
        <f t="shared" si="5"/>
        <v>0.96919999999999995</v>
      </c>
      <c r="G136" s="55">
        <f t="shared" si="6"/>
        <v>6.2568580079532879E-2</v>
      </c>
      <c r="I136" s="49">
        <f t="shared" si="7"/>
        <v>-2.7714920425403275</v>
      </c>
    </row>
    <row r="137" spans="1:9">
      <c r="A137" s="23" t="s">
        <v>174</v>
      </c>
      <c r="B137" s="41">
        <v>6.13</v>
      </c>
      <c r="E137" s="41">
        <f t="shared" si="4"/>
        <v>6.13E-2</v>
      </c>
      <c r="F137" s="49">
        <f t="shared" si="5"/>
        <v>0.96935000000000004</v>
      </c>
      <c r="G137" s="55">
        <f t="shared" si="6"/>
        <v>6.2259070393841077E-2</v>
      </c>
      <c r="I137" s="49">
        <f t="shared" si="7"/>
        <v>-2.776451045113856</v>
      </c>
    </row>
    <row r="138" spans="1:9">
      <c r="A138" s="23" t="s">
        <v>175</v>
      </c>
      <c r="B138" s="41">
        <v>6.15</v>
      </c>
      <c r="E138" s="41">
        <f t="shared" si="4"/>
        <v>6.1500000000000006E-2</v>
      </c>
      <c r="F138" s="49">
        <f t="shared" si="5"/>
        <v>0.96924999999999994</v>
      </c>
      <c r="G138" s="55">
        <f t="shared" si="6"/>
        <v>6.2465404862197198E-2</v>
      </c>
      <c r="I138" s="49">
        <f t="shared" si="7"/>
        <v>-2.7731423976945959</v>
      </c>
    </row>
    <row r="139" spans="1:9">
      <c r="A139" s="23" t="s">
        <v>176</v>
      </c>
      <c r="B139" s="41">
        <v>6.75</v>
      </c>
      <c r="E139" s="41">
        <f t="shared" si="4"/>
        <v>6.7500000000000004E-2</v>
      </c>
      <c r="F139" s="49">
        <f t="shared" si="5"/>
        <v>0.96625000000000005</v>
      </c>
      <c r="G139" s="55">
        <f t="shared" si="6"/>
        <v>6.8665358161010562E-2</v>
      </c>
      <c r="I139" s="49">
        <f t="shared" si="7"/>
        <v>-2.6785104549498451</v>
      </c>
    </row>
    <row r="140" spans="1:9">
      <c r="A140" s="23" t="s">
        <v>177</v>
      </c>
      <c r="B140" s="41">
        <v>7.24</v>
      </c>
      <c r="E140" s="41">
        <f t="shared" si="4"/>
        <v>7.2400000000000006E-2</v>
      </c>
      <c r="F140" s="49">
        <f t="shared" si="5"/>
        <v>0.96379999999999999</v>
      </c>
      <c r="G140" s="55">
        <f t="shared" si="6"/>
        <v>7.3742949551809392E-2</v>
      </c>
      <c r="I140" s="49">
        <f t="shared" si="7"/>
        <v>-2.6071698876296119</v>
      </c>
    </row>
    <row r="141" spans="1:9">
      <c r="A141" s="23" t="s">
        <v>178</v>
      </c>
      <c r="B141" s="41">
        <v>7.19</v>
      </c>
      <c r="E141" s="41">
        <f t="shared" si="4"/>
        <v>7.1900000000000006E-2</v>
      </c>
      <c r="F141" s="49">
        <f t="shared" si="5"/>
        <v>0.96404999999999996</v>
      </c>
      <c r="G141" s="55">
        <f t="shared" si="6"/>
        <v>7.3224236993464406E-2</v>
      </c>
      <c r="I141" s="49">
        <f t="shared" si="7"/>
        <v>-2.614228806350428</v>
      </c>
    </row>
    <row r="142" spans="1:9">
      <c r="A142" s="23" t="s">
        <v>179</v>
      </c>
      <c r="B142" s="41">
        <v>7.32</v>
      </c>
      <c r="E142" s="41">
        <f t="shared" ref="E142:E205" si="8">B142/100</f>
        <v>7.3200000000000001E-2</v>
      </c>
      <c r="F142" s="49">
        <f t="shared" ref="F142:F205" si="9">1-180/360*E142</f>
        <v>0.96340000000000003</v>
      </c>
      <c r="G142" s="55">
        <f t="shared" ref="G142:G205" si="10">-1/0.5*LN(F142)</f>
        <v>7.4573169572033207E-2</v>
      </c>
      <c r="I142" s="49">
        <f t="shared" ref="I142:I205" si="11">LN(G142)</f>
        <v>-2.5959744936759397</v>
      </c>
    </row>
    <row r="143" spans="1:9">
      <c r="A143" s="23" t="s">
        <v>180</v>
      </c>
      <c r="B143" s="41">
        <v>7.29</v>
      </c>
      <c r="E143" s="41">
        <f t="shared" si="8"/>
        <v>7.2900000000000006E-2</v>
      </c>
      <c r="F143" s="49">
        <f t="shared" si="9"/>
        <v>0.96355000000000002</v>
      </c>
      <c r="G143" s="55">
        <f t="shared" si="10"/>
        <v>7.4261796676414818E-2</v>
      </c>
      <c r="I143" s="49">
        <f t="shared" si="11"/>
        <v>-2.6001586361222362</v>
      </c>
    </row>
    <row r="144" spans="1:9">
      <c r="A144" s="23" t="s">
        <v>181</v>
      </c>
      <c r="B144" s="41">
        <v>7.62</v>
      </c>
      <c r="E144" s="41">
        <f t="shared" si="8"/>
        <v>7.6200000000000004E-2</v>
      </c>
      <c r="F144" s="49">
        <f t="shared" si="9"/>
        <v>0.96189999999999998</v>
      </c>
      <c r="G144" s="55">
        <f t="shared" si="10"/>
        <v>7.7689567647134375E-2</v>
      </c>
      <c r="I144" s="49">
        <f t="shared" si="11"/>
        <v>-2.5550342951384675</v>
      </c>
    </row>
    <row r="145" spans="1:9">
      <c r="A145" s="23" t="s">
        <v>182</v>
      </c>
      <c r="B145" s="41">
        <v>7.9</v>
      </c>
      <c r="E145" s="41">
        <f t="shared" si="8"/>
        <v>7.9000000000000001E-2</v>
      </c>
      <c r="F145" s="49">
        <f t="shared" si="9"/>
        <v>0.96050000000000002</v>
      </c>
      <c r="G145" s="55">
        <f t="shared" si="10"/>
        <v>8.0602593547051377E-2</v>
      </c>
      <c r="I145" s="49">
        <f t="shared" si="11"/>
        <v>-2.5182244519841364</v>
      </c>
    </row>
    <row r="146" spans="1:9">
      <c r="A146" s="23" t="s">
        <v>183</v>
      </c>
      <c r="B146" s="41">
        <v>7.78</v>
      </c>
      <c r="E146" s="41">
        <f t="shared" si="8"/>
        <v>7.7800000000000008E-2</v>
      </c>
      <c r="F146" s="49">
        <f t="shared" si="9"/>
        <v>0.96109999999999995</v>
      </c>
      <c r="G146" s="55">
        <f t="shared" si="10"/>
        <v>7.9353634305796852E-2</v>
      </c>
      <c r="I146" s="49">
        <f t="shared" si="11"/>
        <v>-2.5338410321033287</v>
      </c>
    </row>
    <row r="147" spans="1:9">
      <c r="A147" s="23" t="s">
        <v>184</v>
      </c>
      <c r="B147" s="41">
        <v>7.22</v>
      </c>
      <c r="E147" s="41">
        <f t="shared" si="8"/>
        <v>7.22E-2</v>
      </c>
      <c r="F147" s="49">
        <f t="shared" si="9"/>
        <v>0.96389999999999998</v>
      </c>
      <c r="G147" s="55">
        <f t="shared" si="10"/>
        <v>7.3535448384429214E-2</v>
      </c>
      <c r="I147" s="49">
        <f t="shared" si="11"/>
        <v>-2.6099876980836276</v>
      </c>
    </row>
    <row r="148" spans="1:9">
      <c r="A148" s="23" t="s">
        <v>185</v>
      </c>
      <c r="B148" s="41">
        <v>6.58</v>
      </c>
      <c r="E148" s="41">
        <f t="shared" si="8"/>
        <v>6.5799999999999997E-2</v>
      </c>
      <c r="F148" s="49">
        <f t="shared" si="9"/>
        <v>0.96709999999999996</v>
      </c>
      <c r="G148" s="55">
        <f t="shared" si="10"/>
        <v>6.6906752518439153E-2</v>
      </c>
      <c r="I148" s="49">
        <f t="shared" si="11"/>
        <v>-2.7044553824356821</v>
      </c>
    </row>
    <row r="149" spans="1:9">
      <c r="A149" s="23" t="s">
        <v>186</v>
      </c>
      <c r="B149" s="41">
        <v>6.6</v>
      </c>
      <c r="E149" s="41">
        <f t="shared" si="8"/>
        <v>6.6000000000000003E-2</v>
      </c>
      <c r="F149" s="49">
        <f t="shared" si="9"/>
        <v>0.96699999999999997</v>
      </c>
      <c r="G149" s="55">
        <f t="shared" si="10"/>
        <v>6.7113567057685508E-2</v>
      </c>
      <c r="I149" s="49">
        <f t="shared" si="11"/>
        <v>-2.7013690638227175</v>
      </c>
    </row>
    <row r="150" spans="1:9">
      <c r="A150" s="23" t="s">
        <v>187</v>
      </c>
      <c r="B150" s="41">
        <v>7.02</v>
      </c>
      <c r="E150" s="41">
        <f t="shared" si="8"/>
        <v>7.0199999999999999E-2</v>
      </c>
      <c r="F150" s="49">
        <f t="shared" si="9"/>
        <v>0.96489999999999998</v>
      </c>
      <c r="G150" s="55">
        <f t="shared" si="10"/>
        <v>7.1461619911597898E-2</v>
      </c>
      <c r="I150" s="49">
        <f t="shared" si="11"/>
        <v>-2.6385947578557025</v>
      </c>
    </row>
    <row r="151" spans="1:9">
      <c r="A151" s="23" t="s">
        <v>188</v>
      </c>
      <c r="B151" s="41">
        <v>6.86</v>
      </c>
      <c r="E151" s="41">
        <f t="shared" si="8"/>
        <v>6.8600000000000008E-2</v>
      </c>
      <c r="F151" s="49">
        <f t="shared" si="9"/>
        <v>0.9657</v>
      </c>
      <c r="G151" s="55">
        <f t="shared" si="10"/>
        <v>6.9804104018529753E-2</v>
      </c>
      <c r="I151" s="49">
        <f t="shared" si="11"/>
        <v>-2.6620624741152019</v>
      </c>
    </row>
    <row r="152" spans="1:9">
      <c r="A152" s="23" t="s">
        <v>189</v>
      </c>
      <c r="B152" s="41">
        <v>6.51</v>
      </c>
      <c r="E152" s="41">
        <f t="shared" si="8"/>
        <v>6.5099999999999991E-2</v>
      </c>
      <c r="F152" s="49">
        <f t="shared" si="9"/>
        <v>0.96745000000000003</v>
      </c>
      <c r="G152" s="55">
        <f t="shared" si="10"/>
        <v>6.6183070000398594E-2</v>
      </c>
      <c r="I152" s="49">
        <f t="shared" si="11"/>
        <v>-2.7153305889215176</v>
      </c>
    </row>
    <row r="153" spans="1:9">
      <c r="A153" s="23" t="s">
        <v>190</v>
      </c>
      <c r="B153" s="41">
        <v>6.55</v>
      </c>
      <c r="E153" s="41">
        <f t="shared" si="8"/>
        <v>6.5500000000000003E-2</v>
      </c>
      <c r="F153" s="49">
        <f t="shared" si="9"/>
        <v>0.96724999999999994</v>
      </c>
      <c r="G153" s="55">
        <f t="shared" si="10"/>
        <v>6.6596570803029539E-2</v>
      </c>
      <c r="I153" s="49">
        <f t="shared" si="11"/>
        <v>-2.7091021922054215</v>
      </c>
    </row>
    <row r="154" spans="1:9">
      <c r="A154" s="23" t="s">
        <v>191</v>
      </c>
      <c r="B154" s="41">
        <v>6.46</v>
      </c>
      <c r="E154" s="41">
        <f t="shared" si="8"/>
        <v>6.4600000000000005E-2</v>
      </c>
      <c r="F154" s="49">
        <f t="shared" si="9"/>
        <v>0.9677</v>
      </c>
      <c r="G154" s="55">
        <f t="shared" si="10"/>
        <v>6.5666314190480427E-2</v>
      </c>
      <c r="I154" s="49">
        <f t="shared" si="11"/>
        <v>-2.7231692065843225</v>
      </c>
    </row>
    <row r="155" spans="1:9">
      <c r="A155" s="23" t="s">
        <v>192</v>
      </c>
      <c r="B155" s="41">
        <v>6.21</v>
      </c>
      <c r="E155" s="41">
        <f t="shared" si="8"/>
        <v>6.2100000000000002E-2</v>
      </c>
      <c r="F155" s="49">
        <f t="shared" si="9"/>
        <v>0.96894999999999998</v>
      </c>
      <c r="G155" s="55">
        <f t="shared" si="10"/>
        <v>6.308453601975729E-2</v>
      </c>
      <c r="I155" s="49">
        <f t="shared" si="11"/>
        <v>-2.7632796104720363</v>
      </c>
    </row>
    <row r="156" spans="1:9">
      <c r="A156" s="23" t="s">
        <v>193</v>
      </c>
      <c r="B156" s="41">
        <v>5.42</v>
      </c>
      <c r="E156" s="41">
        <f t="shared" si="8"/>
        <v>5.4199999999999998E-2</v>
      </c>
      <c r="F156" s="49">
        <f t="shared" si="9"/>
        <v>0.97289999999999999</v>
      </c>
      <c r="G156" s="55">
        <f t="shared" si="10"/>
        <v>5.4947954001510181E-2</v>
      </c>
      <c r="I156" s="49">
        <f t="shared" si="11"/>
        <v>-2.9013688326471736</v>
      </c>
    </row>
    <row r="157" spans="1:9">
      <c r="A157" s="23" t="s">
        <v>194</v>
      </c>
      <c r="B157" s="41">
        <v>4.8899999999999997</v>
      </c>
      <c r="E157" s="41">
        <f t="shared" si="8"/>
        <v>4.8899999999999999E-2</v>
      </c>
      <c r="F157" s="49">
        <f t="shared" si="9"/>
        <v>0.97555000000000003</v>
      </c>
      <c r="G157" s="55">
        <f t="shared" si="10"/>
        <v>4.9507728932458639E-2</v>
      </c>
      <c r="I157" s="49">
        <f t="shared" si="11"/>
        <v>-3.005626481546412</v>
      </c>
    </row>
    <row r="158" spans="1:9">
      <c r="A158" s="23" t="s">
        <v>195</v>
      </c>
      <c r="B158" s="41">
        <v>4.47</v>
      </c>
      <c r="E158" s="41">
        <f t="shared" si="8"/>
        <v>4.4699999999999997E-2</v>
      </c>
      <c r="F158" s="49">
        <f t="shared" si="9"/>
        <v>0.97765000000000002</v>
      </c>
      <c r="G158" s="55">
        <f t="shared" si="10"/>
        <v>4.5207092419706371E-2</v>
      </c>
      <c r="I158" s="49">
        <f t="shared" si="11"/>
        <v>-3.096501292512936</v>
      </c>
    </row>
    <row r="159" spans="1:9">
      <c r="A159" s="23" t="s">
        <v>196</v>
      </c>
      <c r="B159" s="41">
        <v>3.78</v>
      </c>
      <c r="E159" s="41">
        <f t="shared" si="8"/>
        <v>3.78E-2</v>
      </c>
      <c r="F159" s="49">
        <f t="shared" si="9"/>
        <v>0.98109999999999997</v>
      </c>
      <c r="G159" s="55">
        <f t="shared" si="10"/>
        <v>3.8161775625583906E-2</v>
      </c>
      <c r="I159" s="49">
        <f t="shared" si="11"/>
        <v>-3.2659209024158273</v>
      </c>
    </row>
    <row r="160" spans="1:9">
      <c r="A160" s="23" t="s">
        <v>197</v>
      </c>
      <c r="B160" s="41">
        <v>3.5</v>
      </c>
      <c r="E160" s="41">
        <f t="shared" si="8"/>
        <v>3.5000000000000003E-2</v>
      </c>
      <c r="F160" s="49">
        <f t="shared" si="9"/>
        <v>0.98250000000000004</v>
      </c>
      <c r="G160" s="55">
        <f t="shared" si="10"/>
        <v>3.530987047744142E-2</v>
      </c>
      <c r="I160" s="49">
        <f t="shared" si="11"/>
        <v>-3.3435927372037262</v>
      </c>
    </row>
    <row r="161" spans="1:9">
      <c r="A161" s="23" t="s">
        <v>198</v>
      </c>
      <c r="B161" s="41">
        <v>4.03</v>
      </c>
      <c r="E161" s="41">
        <f t="shared" si="8"/>
        <v>4.0300000000000002E-2</v>
      </c>
      <c r="F161" s="49">
        <f t="shared" si="9"/>
        <v>0.97985</v>
      </c>
      <c r="G161" s="55">
        <f t="shared" si="10"/>
        <v>4.0711560514147795E-2</v>
      </c>
      <c r="I161" s="49">
        <f t="shared" si="11"/>
        <v>-3.2012431847492593</v>
      </c>
    </row>
    <row r="162" spans="1:9">
      <c r="A162" s="23" t="s">
        <v>199</v>
      </c>
      <c r="B162" s="41">
        <v>4.3600000000000003</v>
      </c>
      <c r="E162" s="41">
        <f t="shared" si="8"/>
        <v>4.36E-2</v>
      </c>
      <c r="F162" s="49">
        <f t="shared" si="9"/>
        <v>0.97819999999999996</v>
      </c>
      <c r="G162" s="55">
        <f t="shared" si="10"/>
        <v>4.4082261753760558E-2</v>
      </c>
      <c r="I162" s="49">
        <f t="shared" si="11"/>
        <v>-3.121697805250522</v>
      </c>
    </row>
    <row r="163" spans="1:9">
      <c r="A163" s="23" t="s">
        <v>200</v>
      </c>
      <c r="B163" s="41">
        <v>4.97</v>
      </c>
      <c r="E163" s="41">
        <f t="shared" si="8"/>
        <v>4.9699999999999994E-2</v>
      </c>
      <c r="F163" s="49">
        <f t="shared" si="9"/>
        <v>0.97514999999999996</v>
      </c>
      <c r="G163" s="55">
        <f t="shared" si="10"/>
        <v>5.0327947327099304E-2</v>
      </c>
      <c r="I163" s="49">
        <f t="shared" si="11"/>
        <v>-2.989194743307324</v>
      </c>
    </row>
    <row r="164" spans="1:9">
      <c r="A164" s="23" t="s">
        <v>201</v>
      </c>
      <c r="B164" s="41">
        <v>5.63</v>
      </c>
      <c r="E164" s="41">
        <f t="shared" si="8"/>
        <v>5.6299999999999996E-2</v>
      </c>
      <c r="F164" s="49">
        <f t="shared" si="9"/>
        <v>0.97184999999999999</v>
      </c>
      <c r="G164" s="55">
        <f t="shared" si="10"/>
        <v>5.7107614836122228E-2</v>
      </c>
      <c r="I164" s="49">
        <f t="shared" si="11"/>
        <v>-2.8628178115599026</v>
      </c>
    </row>
    <row r="165" spans="1:9">
      <c r="A165" s="23" t="s">
        <v>202</v>
      </c>
      <c r="B165" s="41">
        <v>5.22</v>
      </c>
      <c r="E165" s="41">
        <f t="shared" si="8"/>
        <v>5.2199999999999996E-2</v>
      </c>
      <c r="F165" s="49">
        <f t="shared" si="9"/>
        <v>0.97389999999999999</v>
      </c>
      <c r="G165" s="55">
        <f t="shared" si="10"/>
        <v>5.2893300029967005E-2</v>
      </c>
      <c r="I165" s="49">
        <f t="shared" si="11"/>
        <v>-2.9394786016369032</v>
      </c>
    </row>
    <row r="166" spans="1:9">
      <c r="A166" s="23" t="s">
        <v>203</v>
      </c>
      <c r="B166" s="41">
        <v>4.97</v>
      </c>
      <c r="E166" s="41">
        <f t="shared" si="8"/>
        <v>4.9699999999999994E-2</v>
      </c>
      <c r="F166" s="49">
        <f t="shared" si="9"/>
        <v>0.97514999999999996</v>
      </c>
      <c r="G166" s="55">
        <f t="shared" si="10"/>
        <v>5.0327947327099304E-2</v>
      </c>
      <c r="I166" s="49">
        <f t="shared" si="11"/>
        <v>-2.989194743307324</v>
      </c>
    </row>
    <row r="167" spans="1:9">
      <c r="A167" s="23" t="s">
        <v>204</v>
      </c>
      <c r="B167" s="41">
        <v>4.5999999999999996</v>
      </c>
      <c r="E167" s="41">
        <f t="shared" si="8"/>
        <v>4.5999999999999999E-2</v>
      </c>
      <c r="F167" s="49">
        <f t="shared" si="9"/>
        <v>0.97699999999999998</v>
      </c>
      <c r="G167" s="55">
        <f t="shared" si="10"/>
        <v>4.6537253878708662E-2</v>
      </c>
      <c r="I167" s="49">
        <f t="shared" si="11"/>
        <v>-3.06750212846323</v>
      </c>
    </row>
    <row r="168" spans="1:9">
      <c r="A168" s="23" t="s">
        <v>205</v>
      </c>
      <c r="B168" s="41">
        <v>4.38</v>
      </c>
      <c r="E168" s="41">
        <f t="shared" si="8"/>
        <v>4.3799999999999999E-2</v>
      </c>
      <c r="F168" s="49">
        <f t="shared" si="9"/>
        <v>0.97809999999999997</v>
      </c>
      <c r="G168" s="55">
        <f t="shared" si="10"/>
        <v>4.4286729371379716E-2</v>
      </c>
      <c r="I168" s="49">
        <f t="shared" si="11"/>
        <v>-3.117070209531728</v>
      </c>
    </row>
    <row r="169" spans="1:9">
      <c r="A169" s="23" t="s">
        <v>206</v>
      </c>
      <c r="B169" s="41">
        <v>4.2300000000000004</v>
      </c>
      <c r="E169" s="41">
        <f t="shared" si="8"/>
        <v>4.2300000000000004E-2</v>
      </c>
      <c r="F169" s="49">
        <f t="shared" si="9"/>
        <v>0.97885</v>
      </c>
      <c r="G169" s="55">
        <f t="shared" si="10"/>
        <v>4.2753731519170786E-2</v>
      </c>
      <c r="I169" s="49">
        <f t="shared" si="11"/>
        <v>-3.152298800410509</v>
      </c>
    </row>
    <row r="170" spans="1:9">
      <c r="A170" s="23" t="s">
        <v>207</v>
      </c>
      <c r="B170" s="41">
        <v>3.66</v>
      </c>
      <c r="E170" s="41">
        <f t="shared" si="8"/>
        <v>3.6600000000000001E-2</v>
      </c>
      <c r="F170" s="49">
        <f t="shared" si="9"/>
        <v>0.98170000000000002</v>
      </c>
      <c r="G170" s="55">
        <f t="shared" si="10"/>
        <v>3.6939032567322644E-2</v>
      </c>
      <c r="I170" s="49">
        <f t="shared" si="11"/>
        <v>-3.2984864938522387</v>
      </c>
    </row>
    <row r="171" spans="1:9">
      <c r="A171" s="23" t="s">
        <v>208</v>
      </c>
      <c r="B171" s="41">
        <v>3.63</v>
      </c>
      <c r="E171" s="41">
        <f t="shared" si="8"/>
        <v>3.6299999999999999E-2</v>
      </c>
      <c r="F171" s="49">
        <f t="shared" si="9"/>
        <v>0.98185</v>
      </c>
      <c r="G171" s="55">
        <f t="shared" si="10"/>
        <v>3.6633463571795616E-2</v>
      </c>
      <c r="I171" s="49">
        <f t="shared" si="11"/>
        <v>-3.3067931510569375</v>
      </c>
    </row>
    <row r="172" spans="1:9">
      <c r="A172" s="23" t="s">
        <v>209</v>
      </c>
      <c r="B172" s="41">
        <v>4.12</v>
      </c>
      <c r="E172" s="41">
        <f t="shared" si="8"/>
        <v>4.1200000000000001E-2</v>
      </c>
      <c r="F172" s="49">
        <f t="shared" si="9"/>
        <v>0.97940000000000005</v>
      </c>
      <c r="G172" s="55">
        <f t="shared" si="10"/>
        <v>4.1630279427840006E-2</v>
      </c>
      <c r="I172" s="49">
        <f t="shared" si="11"/>
        <v>-3.1789275056229056</v>
      </c>
    </row>
    <row r="173" spans="1:9">
      <c r="A173" s="23" t="s">
        <v>210</v>
      </c>
      <c r="B173" s="41">
        <v>4.2300000000000004</v>
      </c>
      <c r="E173" s="41">
        <f t="shared" si="8"/>
        <v>4.2300000000000004E-2</v>
      </c>
      <c r="F173" s="49">
        <f t="shared" si="9"/>
        <v>0.97885</v>
      </c>
      <c r="G173" s="55">
        <f t="shared" si="10"/>
        <v>4.2753731519170786E-2</v>
      </c>
      <c r="I173" s="49">
        <f t="shared" si="11"/>
        <v>-3.152298800410509</v>
      </c>
    </row>
    <row r="174" spans="1:9">
      <c r="A174" s="23" t="s">
        <v>211</v>
      </c>
      <c r="B174" s="41">
        <v>4.12</v>
      </c>
      <c r="E174" s="41">
        <f t="shared" si="8"/>
        <v>4.1200000000000001E-2</v>
      </c>
      <c r="F174" s="49">
        <f t="shared" si="9"/>
        <v>0.97940000000000005</v>
      </c>
      <c r="G174" s="55">
        <f t="shared" si="10"/>
        <v>4.1630279427840006E-2</v>
      </c>
      <c r="I174" s="49">
        <f t="shared" si="11"/>
        <v>-3.1789275056229056</v>
      </c>
    </row>
    <row r="175" spans="1:9">
      <c r="A175" s="23" t="s">
        <v>212</v>
      </c>
      <c r="B175" s="41">
        <v>4.3499999999999996</v>
      </c>
      <c r="E175" s="41">
        <f t="shared" si="8"/>
        <v>4.3499999999999997E-2</v>
      </c>
      <c r="F175" s="49">
        <f t="shared" si="9"/>
        <v>0.97824999999999995</v>
      </c>
      <c r="G175" s="55">
        <f t="shared" si="10"/>
        <v>4.3980035783230509E-2</v>
      </c>
      <c r="I175" s="49">
        <f t="shared" si="11"/>
        <v>-3.1240194802307846</v>
      </c>
    </row>
    <row r="176" spans="1:9">
      <c r="A176" s="23" t="s">
        <v>213</v>
      </c>
      <c r="B176" s="41">
        <v>4.5</v>
      </c>
      <c r="E176" s="41">
        <f t="shared" si="8"/>
        <v>4.4999999999999998E-2</v>
      </c>
      <c r="F176" s="49">
        <f t="shared" si="9"/>
        <v>0.97750000000000004</v>
      </c>
      <c r="G176" s="55">
        <f t="shared" si="10"/>
        <v>4.5513974245232361E-2</v>
      </c>
      <c r="I176" s="49">
        <f t="shared" si="11"/>
        <v>-3.0897358739100071</v>
      </c>
    </row>
    <row r="177" spans="1:9">
      <c r="A177" s="23" t="s">
        <v>214</v>
      </c>
      <c r="B177" s="41">
        <v>4.55</v>
      </c>
      <c r="E177" s="41">
        <f t="shared" si="8"/>
        <v>4.5499999999999999E-2</v>
      </c>
      <c r="F177" s="49">
        <f t="shared" si="9"/>
        <v>0.97724999999999995</v>
      </c>
      <c r="G177" s="55">
        <f t="shared" si="10"/>
        <v>4.6025548618145819E-2</v>
      </c>
      <c r="I177" s="49">
        <f t="shared" si="11"/>
        <v>-3.07855863193087</v>
      </c>
    </row>
    <row r="178" spans="1:9">
      <c r="A178" s="23" t="s">
        <v>215</v>
      </c>
      <c r="B178" s="41">
        <v>5.13</v>
      </c>
      <c r="E178" s="41">
        <f t="shared" si="8"/>
        <v>5.1299999999999998E-2</v>
      </c>
      <c r="F178" s="49">
        <f t="shared" si="9"/>
        <v>0.97435000000000005</v>
      </c>
      <c r="G178" s="55">
        <f t="shared" si="10"/>
        <v>5.1969393943987106E-2</v>
      </c>
      <c r="I178" s="49">
        <f t="shared" si="11"/>
        <v>-2.9571003116809846</v>
      </c>
    </row>
    <row r="179" spans="1:9">
      <c r="A179" s="23" t="s">
        <v>216</v>
      </c>
      <c r="B179" s="41">
        <v>5.13</v>
      </c>
      <c r="E179" s="41">
        <f t="shared" si="8"/>
        <v>5.1299999999999998E-2</v>
      </c>
      <c r="F179" s="49">
        <f t="shared" si="9"/>
        <v>0.97435000000000005</v>
      </c>
      <c r="G179" s="55">
        <f t="shared" si="10"/>
        <v>5.1969393943987106E-2</v>
      </c>
      <c r="I179" s="49">
        <f t="shared" si="11"/>
        <v>-2.9571003116809846</v>
      </c>
    </row>
    <row r="180" spans="1:9">
      <c r="A180" s="23" t="s">
        <v>217</v>
      </c>
      <c r="B180" s="41">
        <v>5.09</v>
      </c>
      <c r="E180" s="41">
        <f t="shared" si="8"/>
        <v>5.0900000000000001E-2</v>
      </c>
      <c r="F180" s="49">
        <f t="shared" si="9"/>
        <v>0.97455000000000003</v>
      </c>
      <c r="G180" s="55">
        <f t="shared" si="10"/>
        <v>5.1558905974974714E-2</v>
      </c>
      <c r="I180" s="49">
        <f t="shared" si="11"/>
        <v>-2.9650303196200762</v>
      </c>
    </row>
    <row r="181" spans="1:9">
      <c r="A181" s="23" t="s">
        <v>218</v>
      </c>
      <c r="B181" s="41">
        <v>5.3</v>
      </c>
      <c r="E181" s="41">
        <f t="shared" si="8"/>
        <v>5.2999999999999999E-2</v>
      </c>
      <c r="F181" s="49">
        <f t="shared" si="9"/>
        <v>0.97350000000000003</v>
      </c>
      <c r="G181" s="55">
        <f t="shared" si="10"/>
        <v>5.3714908339765284E-2</v>
      </c>
      <c r="I181" s="49">
        <f t="shared" si="11"/>
        <v>-2.9240646932829355</v>
      </c>
    </row>
    <row r="182" spans="1:9">
      <c r="A182" s="23" t="s">
        <v>219</v>
      </c>
      <c r="B182" s="41">
        <v>5.62</v>
      </c>
      <c r="E182" s="41">
        <f t="shared" si="8"/>
        <v>5.62E-2</v>
      </c>
      <c r="F182" s="49">
        <f t="shared" si="9"/>
        <v>0.97189999999999999</v>
      </c>
      <c r="G182" s="55">
        <f t="shared" si="10"/>
        <v>5.7004720945424303E-2</v>
      </c>
      <c r="I182" s="49">
        <f t="shared" si="11"/>
        <v>-2.8646211909733372</v>
      </c>
    </row>
    <row r="183" spans="1:9">
      <c r="A183" s="23" t="s">
        <v>220</v>
      </c>
      <c r="B183" s="41">
        <v>5.83</v>
      </c>
      <c r="E183" s="41">
        <f t="shared" si="8"/>
        <v>5.8299999999999998E-2</v>
      </c>
      <c r="F183" s="49">
        <f t="shared" si="9"/>
        <v>0.97084999999999999</v>
      </c>
      <c r="G183" s="55">
        <f t="shared" si="10"/>
        <v>5.9166605083348631E-2</v>
      </c>
      <c r="I183" s="49">
        <f t="shared" si="11"/>
        <v>-2.8273979995801297</v>
      </c>
    </row>
    <row r="184" spans="1:9">
      <c r="A184" s="23" t="s">
        <v>221</v>
      </c>
      <c r="B184" s="41">
        <v>6.51</v>
      </c>
      <c r="E184" s="41">
        <f t="shared" si="8"/>
        <v>6.5099999999999991E-2</v>
      </c>
      <c r="F184" s="49">
        <f t="shared" si="9"/>
        <v>0.96745000000000003</v>
      </c>
      <c r="G184" s="55">
        <f t="shared" si="10"/>
        <v>6.6183070000398594E-2</v>
      </c>
      <c r="I184" s="49">
        <f t="shared" si="11"/>
        <v>-2.7153305889215176</v>
      </c>
    </row>
    <row r="185" spans="1:9">
      <c r="A185" s="23" t="s">
        <v>222</v>
      </c>
      <c r="B185" s="41">
        <v>6.52</v>
      </c>
      <c r="E185" s="41">
        <f t="shared" si="8"/>
        <v>6.5199999999999994E-2</v>
      </c>
      <c r="F185" s="49">
        <f t="shared" si="9"/>
        <v>0.96740000000000004</v>
      </c>
      <c r="G185" s="55">
        <f t="shared" si="10"/>
        <v>6.6286437186508368E-2</v>
      </c>
      <c r="I185" s="49">
        <f t="shared" si="11"/>
        <v>-2.713769970039718</v>
      </c>
    </row>
    <row r="186" spans="1:9">
      <c r="A186" s="23" t="s">
        <v>223</v>
      </c>
      <c r="B186" s="41">
        <v>6.62</v>
      </c>
      <c r="E186" s="41">
        <f t="shared" si="8"/>
        <v>6.6199999999999995E-2</v>
      </c>
      <c r="F186" s="49">
        <f t="shared" si="9"/>
        <v>0.96689999999999998</v>
      </c>
      <c r="G186" s="55">
        <f t="shared" si="10"/>
        <v>6.7320402985270422E-2</v>
      </c>
      <c r="I186" s="49">
        <f t="shared" si="11"/>
        <v>-2.6982919235623206</v>
      </c>
    </row>
    <row r="187" spans="1:9">
      <c r="A187" s="23" t="s">
        <v>224</v>
      </c>
      <c r="B187" s="41">
        <v>7.23</v>
      </c>
      <c r="E187" s="41">
        <f t="shared" si="8"/>
        <v>7.2300000000000003E-2</v>
      </c>
      <c r="F187" s="49">
        <f t="shared" si="9"/>
        <v>0.96384999999999998</v>
      </c>
      <c r="G187" s="55">
        <f t="shared" si="10"/>
        <v>7.3639196277073396E-2</v>
      </c>
      <c r="I187" s="49">
        <f t="shared" si="11"/>
        <v>-2.6085778368936401</v>
      </c>
    </row>
    <row r="188" spans="1:9">
      <c r="A188" s="23" t="s">
        <v>225</v>
      </c>
      <c r="B188" s="41">
        <v>8.1199999999999992</v>
      </c>
      <c r="E188" s="41">
        <f t="shared" si="8"/>
        <v>8.1199999999999994E-2</v>
      </c>
      <c r="F188" s="49">
        <f t="shared" si="9"/>
        <v>0.95940000000000003</v>
      </c>
      <c r="G188" s="55">
        <f t="shared" si="10"/>
        <v>8.2894379828346951E-2</v>
      </c>
      <c r="I188" s="49">
        <f t="shared" si="11"/>
        <v>-2.4901880137307586</v>
      </c>
    </row>
    <row r="189" spans="1:9">
      <c r="A189" s="23" t="s">
        <v>226</v>
      </c>
      <c r="B189" s="41">
        <v>8.65</v>
      </c>
      <c r="E189" s="41">
        <f t="shared" si="8"/>
        <v>8.6500000000000007E-2</v>
      </c>
      <c r="F189" s="49">
        <f t="shared" si="9"/>
        <v>0.95674999999999999</v>
      </c>
      <c r="G189" s="55">
        <f t="shared" si="10"/>
        <v>8.8426309352650834E-2</v>
      </c>
      <c r="I189" s="49">
        <f t="shared" si="11"/>
        <v>-2.4255857365062918</v>
      </c>
    </row>
    <row r="190" spans="1:9">
      <c r="A190" s="23" t="s">
        <v>227</v>
      </c>
      <c r="B190" s="41">
        <v>8.4499999999999993</v>
      </c>
      <c r="E190" s="41">
        <f t="shared" si="8"/>
        <v>8.4499999999999992E-2</v>
      </c>
      <c r="F190" s="49">
        <f t="shared" si="9"/>
        <v>0.95774999999999999</v>
      </c>
      <c r="G190" s="55">
        <f t="shared" si="10"/>
        <v>8.6336990802757391E-2</v>
      </c>
      <c r="I190" s="49">
        <f t="shared" si="11"/>
        <v>-2.4494971423373562</v>
      </c>
    </row>
    <row r="191" spans="1:9">
      <c r="A191" s="23" t="s">
        <v>228</v>
      </c>
      <c r="B191" s="41">
        <v>7.32</v>
      </c>
      <c r="E191" s="41">
        <f t="shared" si="8"/>
        <v>7.3200000000000001E-2</v>
      </c>
      <c r="F191" s="49">
        <f t="shared" si="9"/>
        <v>0.96340000000000003</v>
      </c>
      <c r="G191" s="55">
        <f t="shared" si="10"/>
        <v>7.4573169572033207E-2</v>
      </c>
      <c r="I191" s="49">
        <f t="shared" si="11"/>
        <v>-2.5959744936759397</v>
      </c>
    </row>
    <row r="192" spans="1:9">
      <c r="A192" s="23" t="s">
        <v>229</v>
      </c>
      <c r="B192" s="41">
        <v>7.96</v>
      </c>
      <c r="E192" s="41">
        <f t="shared" si="8"/>
        <v>7.9600000000000004E-2</v>
      </c>
      <c r="F192" s="49">
        <f t="shared" si="9"/>
        <v>0.96019999999999994</v>
      </c>
      <c r="G192" s="55">
        <f t="shared" si="10"/>
        <v>8.1227365770594265E-2</v>
      </c>
      <c r="I192" s="49">
        <f t="shared" si="11"/>
        <v>-2.510503071712697</v>
      </c>
    </row>
    <row r="193" spans="1:9">
      <c r="A193" s="23" t="s">
        <v>230</v>
      </c>
      <c r="B193" s="41">
        <v>7.56</v>
      </c>
      <c r="E193" s="41">
        <f t="shared" si="8"/>
        <v>7.5600000000000001E-2</v>
      </c>
      <c r="F193" s="49">
        <f t="shared" si="9"/>
        <v>0.96219999999999994</v>
      </c>
      <c r="G193" s="55">
        <f t="shared" si="10"/>
        <v>7.7065899433567564E-2</v>
      </c>
      <c r="I193" s="49">
        <f t="shared" si="11"/>
        <v>-2.5630943863483679</v>
      </c>
    </row>
    <row r="194" spans="1:9">
      <c r="A194" s="23" t="s">
        <v>231</v>
      </c>
      <c r="B194" s="41">
        <v>7.65</v>
      </c>
      <c r="E194" s="41">
        <f t="shared" si="8"/>
        <v>7.6499999999999999E-2</v>
      </c>
      <c r="F194" s="49">
        <f t="shared" si="9"/>
        <v>0.96174999999999999</v>
      </c>
      <c r="G194" s="55">
        <f t="shared" si="10"/>
        <v>7.8001474699465112E-2</v>
      </c>
      <c r="I194" s="49">
        <f t="shared" si="11"/>
        <v>-2.5510275460678704</v>
      </c>
    </row>
    <row r="195" spans="1:9">
      <c r="A195" s="23" t="s">
        <v>232</v>
      </c>
      <c r="B195" s="41">
        <v>6.96</v>
      </c>
      <c r="E195" s="41">
        <f t="shared" si="8"/>
        <v>6.9599999999999995E-2</v>
      </c>
      <c r="F195" s="49">
        <f t="shared" si="9"/>
        <v>0.96520000000000006</v>
      </c>
      <c r="G195" s="55">
        <f t="shared" si="10"/>
        <v>7.0839890462520649E-2</v>
      </c>
      <c r="I195" s="49">
        <f t="shared" si="11"/>
        <v>-2.6473330123346419</v>
      </c>
    </row>
    <row r="196" spans="1:9">
      <c r="A196" s="23" t="s">
        <v>233</v>
      </c>
      <c r="B196" s="41">
        <v>7.83</v>
      </c>
      <c r="E196" s="41">
        <f t="shared" si="8"/>
        <v>7.8299999999999995E-2</v>
      </c>
      <c r="F196" s="49">
        <f t="shared" si="9"/>
        <v>0.96084999999999998</v>
      </c>
      <c r="G196" s="55">
        <f t="shared" si="10"/>
        <v>7.9873939207401906E-2</v>
      </c>
      <c r="I196" s="49">
        <f t="shared" si="11"/>
        <v>-2.5273056470311319</v>
      </c>
    </row>
    <row r="197" spans="1:9">
      <c r="A197" s="23" t="s">
        <v>234</v>
      </c>
      <c r="B197" s="41">
        <v>8.32</v>
      </c>
      <c r="E197" s="41">
        <f t="shared" si="8"/>
        <v>8.3199999999999996E-2</v>
      </c>
      <c r="F197" s="49">
        <f t="shared" si="9"/>
        <v>0.95840000000000003</v>
      </c>
      <c r="G197" s="55">
        <f t="shared" si="10"/>
        <v>8.4980103241904234E-2</v>
      </c>
      <c r="I197" s="49">
        <f t="shared" si="11"/>
        <v>-2.4653381293997136</v>
      </c>
    </row>
    <row r="198" spans="1:9">
      <c r="A198" s="23" t="s">
        <v>235</v>
      </c>
      <c r="B198" s="41">
        <v>8.4</v>
      </c>
      <c r="E198" s="41">
        <f t="shared" si="8"/>
        <v>8.4000000000000005E-2</v>
      </c>
      <c r="F198" s="49">
        <f t="shared" si="9"/>
        <v>0.95799999999999996</v>
      </c>
      <c r="G198" s="55">
        <f t="shared" si="10"/>
        <v>8.58150020225531E-2</v>
      </c>
      <c r="I198" s="49">
        <f t="shared" si="11"/>
        <v>-2.455561439024776</v>
      </c>
    </row>
    <row r="199" spans="1:9">
      <c r="A199" s="23" t="s">
        <v>236</v>
      </c>
      <c r="B199" s="41">
        <v>8.1199999999999992</v>
      </c>
      <c r="E199" s="41">
        <f t="shared" si="8"/>
        <v>8.1199999999999994E-2</v>
      </c>
      <c r="F199" s="49">
        <f t="shared" si="9"/>
        <v>0.95940000000000003</v>
      </c>
      <c r="G199" s="55">
        <f t="shared" si="10"/>
        <v>8.2894379828346951E-2</v>
      </c>
      <c r="I199" s="49">
        <f t="shared" si="11"/>
        <v>-2.4901880137307586</v>
      </c>
    </row>
    <row r="200" spans="1:9">
      <c r="A200" s="23" t="s">
        <v>237</v>
      </c>
      <c r="B200" s="41">
        <v>7.94</v>
      </c>
      <c r="E200" s="41">
        <f t="shared" si="8"/>
        <v>7.9399999999999998E-2</v>
      </c>
      <c r="F200" s="49">
        <f t="shared" si="9"/>
        <v>0.96030000000000004</v>
      </c>
      <c r="G200" s="55">
        <f t="shared" si="10"/>
        <v>8.1019086676419882E-2</v>
      </c>
      <c r="I200" s="49">
        <f t="shared" si="11"/>
        <v>-2.5130705140874743</v>
      </c>
    </row>
    <row r="201" spans="1:9">
      <c r="A201" s="23" t="s">
        <v>238</v>
      </c>
      <c r="B201" s="41">
        <v>9.11</v>
      </c>
      <c r="E201" s="41">
        <f t="shared" si="8"/>
        <v>9.11E-2</v>
      </c>
      <c r="F201" s="49">
        <f t="shared" si="9"/>
        <v>0.95445000000000002</v>
      </c>
      <c r="G201" s="55">
        <f t="shared" si="10"/>
        <v>9.3240041270452392E-2</v>
      </c>
      <c r="I201" s="49">
        <f t="shared" si="11"/>
        <v>-2.3725780221886339</v>
      </c>
    </row>
    <row r="202" spans="1:9">
      <c r="A202" s="23" t="s">
        <v>239</v>
      </c>
      <c r="B202" s="41">
        <v>8.5299999999999994</v>
      </c>
      <c r="E202" s="41">
        <f t="shared" si="8"/>
        <v>8.5299999999999987E-2</v>
      </c>
      <c r="F202" s="49">
        <f t="shared" si="9"/>
        <v>0.95735000000000003</v>
      </c>
      <c r="G202" s="55">
        <f t="shared" si="10"/>
        <v>8.717245632584579E-2</v>
      </c>
      <c r="I202" s="49">
        <f t="shared" si="11"/>
        <v>-2.4398668657868208</v>
      </c>
    </row>
    <row r="203" spans="1:9">
      <c r="A203" s="23" t="s">
        <v>240</v>
      </c>
      <c r="B203" s="41">
        <v>7.74</v>
      </c>
      <c r="E203" s="41">
        <f t="shared" si="8"/>
        <v>7.7399999999999997E-2</v>
      </c>
      <c r="F203" s="49">
        <f t="shared" si="9"/>
        <v>0.96130000000000004</v>
      </c>
      <c r="G203" s="55">
        <f t="shared" si="10"/>
        <v>7.8937487820733052E-2</v>
      </c>
      <c r="I203" s="49">
        <f t="shared" si="11"/>
        <v>-2.53909903316144</v>
      </c>
    </row>
    <row r="204" spans="1:9">
      <c r="A204" s="23" t="s">
        <v>241</v>
      </c>
      <c r="B204" s="41">
        <v>7.52</v>
      </c>
      <c r="E204" s="41">
        <f t="shared" si="8"/>
        <v>7.5199999999999989E-2</v>
      </c>
      <c r="F204" s="49">
        <f t="shared" si="9"/>
        <v>0.96240000000000003</v>
      </c>
      <c r="G204" s="55">
        <f t="shared" si="10"/>
        <v>7.6650228643335788E-2</v>
      </c>
      <c r="I204" s="49">
        <f t="shared" si="11"/>
        <v>-2.5685026907159152</v>
      </c>
    </row>
    <row r="205" spans="1:9">
      <c r="A205" s="23" t="s">
        <v>242</v>
      </c>
      <c r="B205" s="41">
        <v>7.11</v>
      </c>
      <c r="E205" s="41">
        <f t="shared" si="8"/>
        <v>7.1099999999999997E-2</v>
      </c>
      <c r="F205" s="49">
        <f t="shared" si="9"/>
        <v>0.96445000000000003</v>
      </c>
      <c r="G205" s="55">
        <f t="shared" si="10"/>
        <v>7.2394576623775631E-2</v>
      </c>
      <c r="I205" s="49">
        <f t="shared" si="11"/>
        <v>-2.6256238909076353</v>
      </c>
    </row>
    <row r="206" spans="1:9">
      <c r="A206" s="23" t="s">
        <v>243</v>
      </c>
      <c r="B206" s="41">
        <v>6.36</v>
      </c>
      <c r="E206" s="41">
        <f t="shared" ref="E206:E269" si="12">B206/100</f>
        <v>6.3600000000000004E-2</v>
      </c>
      <c r="F206" s="49">
        <f t="shared" ref="F206:F269" si="13">1-180/360*E206</f>
        <v>0.96819999999999995</v>
      </c>
      <c r="G206" s="55">
        <f t="shared" ref="G206:G269" si="14">-1/0.5*LN(F206)</f>
        <v>6.4633202953086236E-2</v>
      </c>
      <c r="I206" s="49">
        <f t="shared" ref="I206:I269" si="15">LN(G206)</f>
        <v>-2.7390270226328721</v>
      </c>
    </row>
    <row r="207" spans="1:9">
      <c r="A207" s="23" t="s">
        <v>244</v>
      </c>
      <c r="B207" s="41">
        <v>5.62</v>
      </c>
      <c r="E207" s="41">
        <f t="shared" si="12"/>
        <v>5.62E-2</v>
      </c>
      <c r="F207" s="49">
        <f t="shared" si="13"/>
        <v>0.97189999999999999</v>
      </c>
      <c r="G207" s="55">
        <f t="shared" si="14"/>
        <v>5.7004720945424303E-2</v>
      </c>
      <c r="I207" s="49">
        <f t="shared" si="15"/>
        <v>-2.8646211909733372</v>
      </c>
    </row>
    <row r="208" spans="1:9">
      <c r="A208" s="23" t="s">
        <v>245</v>
      </c>
      <c r="B208" s="41">
        <v>5.62</v>
      </c>
      <c r="E208" s="41">
        <f t="shared" si="12"/>
        <v>5.62E-2</v>
      </c>
      <c r="F208" s="49">
        <f t="shared" si="13"/>
        <v>0.97189999999999999</v>
      </c>
      <c r="G208" s="55">
        <f t="shared" si="14"/>
        <v>5.7004720945424303E-2</v>
      </c>
      <c r="I208" s="49">
        <f t="shared" si="15"/>
        <v>-2.8646211909733372</v>
      </c>
    </row>
    <row r="209" spans="1:9">
      <c r="A209" s="23" t="s">
        <v>246</v>
      </c>
      <c r="B209" s="41">
        <v>6</v>
      </c>
      <c r="E209" s="41">
        <f t="shared" si="12"/>
        <v>0.06</v>
      </c>
      <c r="F209" s="49">
        <f t="shared" si="13"/>
        <v>0.97</v>
      </c>
      <c r="G209" s="55">
        <f t="shared" si="14"/>
        <v>6.0918414969417148E-2</v>
      </c>
      <c r="I209" s="49">
        <f t="shared" si="15"/>
        <v>-2.7982197695238407</v>
      </c>
    </row>
    <row r="210" spans="1:9">
      <c r="A210" s="23" t="s">
        <v>247</v>
      </c>
      <c r="B210" s="41">
        <v>5.59</v>
      </c>
      <c r="E210" s="41">
        <f t="shared" si="12"/>
        <v>5.5899999999999998E-2</v>
      </c>
      <c r="F210" s="49">
        <f t="shared" si="13"/>
        <v>0.97204999999999997</v>
      </c>
      <c r="G210" s="55">
        <f t="shared" si="14"/>
        <v>5.6696071030976528E-2</v>
      </c>
      <c r="I210" s="49">
        <f t="shared" si="15"/>
        <v>-2.8700503646356745</v>
      </c>
    </row>
    <row r="211" spans="1:9">
      <c r="A211" s="23" t="s">
        <v>248</v>
      </c>
      <c r="B211" s="41">
        <v>5.61</v>
      </c>
      <c r="E211" s="41">
        <f t="shared" si="12"/>
        <v>5.6100000000000004E-2</v>
      </c>
      <c r="F211" s="49">
        <f t="shared" si="13"/>
        <v>0.97194999999999998</v>
      </c>
      <c r="G211" s="55">
        <f t="shared" si="14"/>
        <v>5.6901832348030423E-2</v>
      </c>
      <c r="I211" s="49">
        <f t="shared" si="15"/>
        <v>-2.866427735415273</v>
      </c>
    </row>
    <row r="212" spans="1:9">
      <c r="A212" s="23" t="s">
        <v>249</v>
      </c>
      <c r="B212" s="41">
        <v>6.5</v>
      </c>
      <c r="E212" s="41">
        <f t="shared" si="12"/>
        <v>6.5000000000000002E-2</v>
      </c>
      <c r="F212" s="49">
        <f t="shared" si="13"/>
        <v>0.96750000000000003</v>
      </c>
      <c r="G212" s="55">
        <f t="shared" si="14"/>
        <v>6.607970815640031E-2</v>
      </c>
      <c r="I212" s="49">
        <f t="shared" si="15"/>
        <v>-2.7168935662985332</v>
      </c>
    </row>
    <row r="213" spans="1:9">
      <c r="A213" s="23" t="s">
        <v>250</v>
      </c>
      <c r="B213" s="41">
        <v>6.94</v>
      </c>
      <c r="E213" s="41">
        <f t="shared" si="12"/>
        <v>6.9400000000000003E-2</v>
      </c>
      <c r="F213" s="49">
        <f t="shared" si="13"/>
        <v>0.96530000000000005</v>
      </c>
      <c r="G213" s="55">
        <f t="shared" si="14"/>
        <v>7.0632690255135147E-2</v>
      </c>
      <c r="I213" s="49">
        <f t="shared" si="15"/>
        <v>-2.6502622068751767</v>
      </c>
    </row>
    <row r="214" spans="1:9">
      <c r="A214" s="23" t="s">
        <v>251</v>
      </c>
      <c r="B214" s="41">
        <v>6.92</v>
      </c>
      <c r="E214" s="41">
        <f t="shared" si="12"/>
        <v>6.9199999999999998E-2</v>
      </c>
      <c r="F214" s="49">
        <f t="shared" si="13"/>
        <v>0.96540000000000004</v>
      </c>
      <c r="G214" s="55">
        <f t="shared" si="14"/>
        <v>7.0425511511488972E-2</v>
      </c>
      <c r="I214" s="49">
        <f t="shared" si="15"/>
        <v>-2.6531997020371465</v>
      </c>
    </row>
    <row r="215" spans="1:9">
      <c r="A215" s="23" t="s">
        <v>252</v>
      </c>
      <c r="B215" s="41">
        <v>6.25</v>
      </c>
      <c r="E215" s="41">
        <f t="shared" si="12"/>
        <v>6.25E-2</v>
      </c>
      <c r="F215" s="49">
        <f t="shared" si="13"/>
        <v>0.96875</v>
      </c>
      <c r="G215" s="55">
        <f t="shared" si="14"/>
        <v>6.3497396629160596E-2</v>
      </c>
      <c r="I215" s="49">
        <f t="shared" si="15"/>
        <v>-2.7567563718899057</v>
      </c>
    </row>
    <row r="216" spans="1:9">
      <c r="A216" s="23" t="s">
        <v>253</v>
      </c>
      <c r="B216" s="41">
        <v>5.8</v>
      </c>
      <c r="E216" s="41">
        <f t="shared" si="12"/>
        <v>5.7999999999999996E-2</v>
      </c>
      <c r="F216" s="49">
        <f t="shared" si="13"/>
        <v>0.97099999999999997</v>
      </c>
      <c r="G216" s="55">
        <f t="shared" si="14"/>
        <v>5.8857621381624335E-2</v>
      </c>
      <c r="I216" s="49">
        <f t="shared" si="15"/>
        <v>-2.832633948450658</v>
      </c>
    </row>
    <row r="217" spans="1:9">
      <c r="A217" s="23" t="s">
        <v>254</v>
      </c>
      <c r="B217" s="41">
        <v>5.85</v>
      </c>
      <c r="E217" s="41">
        <f t="shared" si="12"/>
        <v>5.8499999999999996E-2</v>
      </c>
      <c r="F217" s="49">
        <f t="shared" si="13"/>
        <v>0.97075</v>
      </c>
      <c r="G217" s="55">
        <f t="shared" si="14"/>
        <v>5.9372620740720715E-2</v>
      </c>
      <c r="I217" s="49">
        <f t="shared" si="15"/>
        <v>-2.8239220891654551</v>
      </c>
    </row>
    <row r="218" spans="1:9">
      <c r="A218" s="23" t="s">
        <v>255</v>
      </c>
      <c r="B218" s="41">
        <v>5.14</v>
      </c>
      <c r="E218" s="41">
        <f t="shared" si="12"/>
        <v>5.1399999999999994E-2</v>
      </c>
      <c r="F218" s="49">
        <f t="shared" si="13"/>
        <v>0.97430000000000005</v>
      </c>
      <c r="G218" s="55">
        <f t="shared" si="14"/>
        <v>5.2072029101682883E-2</v>
      </c>
      <c r="I218" s="49">
        <f t="shared" si="15"/>
        <v>-2.9551273438382846</v>
      </c>
    </row>
    <row r="219" spans="1:9">
      <c r="A219" s="23" t="s">
        <v>256</v>
      </c>
      <c r="B219" s="41">
        <v>5.2</v>
      </c>
      <c r="E219" s="41">
        <f t="shared" si="12"/>
        <v>5.2000000000000005E-2</v>
      </c>
      <c r="F219" s="49">
        <f t="shared" si="13"/>
        <v>0.97399999999999998</v>
      </c>
      <c r="G219" s="55">
        <f t="shared" si="14"/>
        <v>5.2687950679203954E-2</v>
      </c>
      <c r="I219" s="49">
        <f t="shared" si="15"/>
        <v>-2.9433684894402012</v>
      </c>
    </row>
    <row r="220" spans="1:9">
      <c r="A220" s="23" t="s">
        <v>257</v>
      </c>
      <c r="B220" s="41">
        <v>5.44</v>
      </c>
      <c r="E220" s="41">
        <f t="shared" si="12"/>
        <v>5.4400000000000004E-2</v>
      </c>
      <c r="F220" s="49">
        <f t="shared" si="13"/>
        <v>0.9728</v>
      </c>
      <c r="G220" s="55">
        <f t="shared" si="14"/>
        <v>5.5153535540468986E-2</v>
      </c>
      <c r="I220" s="49">
        <f t="shared" si="15"/>
        <v>-2.8976344276226778</v>
      </c>
    </row>
    <row r="221" spans="1:9">
      <c r="A221" s="23" t="s">
        <v>258</v>
      </c>
      <c r="B221" s="41">
        <v>5.18</v>
      </c>
      <c r="E221" s="41">
        <f t="shared" si="12"/>
        <v>5.1799999999999999E-2</v>
      </c>
      <c r="F221" s="49">
        <f t="shared" si="13"/>
        <v>0.97409999999999997</v>
      </c>
      <c r="G221" s="55">
        <f t="shared" si="14"/>
        <v>5.2482622410454254E-2</v>
      </c>
      <c r="I221" s="49">
        <f t="shared" si="15"/>
        <v>-2.9472731658833484</v>
      </c>
    </row>
    <row r="222" spans="1:9">
      <c r="A222" s="23" t="s">
        <v>259</v>
      </c>
      <c r="B222" s="41">
        <v>5.62</v>
      </c>
      <c r="E222" s="41">
        <f t="shared" si="12"/>
        <v>5.62E-2</v>
      </c>
      <c r="F222" s="49">
        <f t="shared" si="13"/>
        <v>0.97189999999999999</v>
      </c>
      <c r="G222" s="55">
        <f t="shared" si="14"/>
        <v>5.7004720945424303E-2</v>
      </c>
      <c r="I222" s="49">
        <f t="shared" si="15"/>
        <v>-2.8646211909733372</v>
      </c>
    </row>
    <row r="223" spans="1:9">
      <c r="A223" s="23" t="s">
        <v>260</v>
      </c>
      <c r="B223" s="41">
        <v>5.77</v>
      </c>
      <c r="E223" s="41">
        <f t="shared" si="12"/>
        <v>5.7699999999999994E-2</v>
      </c>
      <c r="F223" s="49">
        <f t="shared" si="13"/>
        <v>0.97114999999999996</v>
      </c>
      <c r="G223" s="55">
        <f t="shared" si="14"/>
        <v>5.8548685407990499E-2</v>
      </c>
      <c r="I223" s="49">
        <f t="shared" si="15"/>
        <v>-2.8378966416586096</v>
      </c>
    </row>
    <row r="224" spans="1:9">
      <c r="A224" s="23" t="s">
        <v>261</v>
      </c>
      <c r="B224" s="41">
        <v>5.53</v>
      </c>
      <c r="E224" s="41">
        <f t="shared" si="12"/>
        <v>5.5300000000000002E-2</v>
      </c>
      <c r="F224" s="49">
        <f t="shared" si="13"/>
        <v>0.97235000000000005</v>
      </c>
      <c r="G224" s="55">
        <f t="shared" si="14"/>
        <v>5.6078914062491457E-2</v>
      </c>
      <c r="I224" s="49">
        <f t="shared" si="15"/>
        <v>-2.8809954005215435</v>
      </c>
    </row>
    <row r="225" spans="1:9">
      <c r="A225" s="23" t="s">
        <v>262</v>
      </c>
      <c r="B225" s="41">
        <v>5.4</v>
      </c>
      <c r="E225" s="41">
        <f t="shared" si="12"/>
        <v>5.4000000000000006E-2</v>
      </c>
      <c r="F225" s="49">
        <f t="shared" si="13"/>
        <v>0.97299999999999998</v>
      </c>
      <c r="G225" s="55">
        <f t="shared" si="14"/>
        <v>5.474239359226403E-2</v>
      </c>
      <c r="I225" s="49">
        <f t="shared" si="15"/>
        <v>-2.90511684975883</v>
      </c>
    </row>
    <row r="226" spans="1:9">
      <c r="A226" s="23" t="s">
        <v>263</v>
      </c>
      <c r="B226" s="41">
        <v>5.3</v>
      </c>
      <c r="E226" s="41">
        <f t="shared" si="12"/>
        <v>5.2999999999999999E-2</v>
      </c>
      <c r="F226" s="49">
        <f t="shared" si="13"/>
        <v>0.97350000000000003</v>
      </c>
      <c r="G226" s="55">
        <f t="shared" si="14"/>
        <v>5.3714908339765284E-2</v>
      </c>
      <c r="I226" s="49">
        <f t="shared" si="15"/>
        <v>-2.9240646932829355</v>
      </c>
    </row>
    <row r="227" spans="1:9">
      <c r="A227" s="23" t="s">
        <v>264</v>
      </c>
      <c r="B227" s="41">
        <v>5.0599999999999996</v>
      </c>
      <c r="E227" s="41">
        <f t="shared" si="12"/>
        <v>5.0599999999999999E-2</v>
      </c>
      <c r="F227" s="49">
        <f t="shared" si="13"/>
        <v>0.97470000000000001</v>
      </c>
      <c r="G227" s="55">
        <f t="shared" si="14"/>
        <v>5.1251095277945462E-2</v>
      </c>
      <c r="I227" s="49">
        <f t="shared" si="15"/>
        <v>-2.9710182899149973</v>
      </c>
    </row>
    <row r="228" spans="1:9">
      <c r="A228" s="23" t="s">
        <v>265</v>
      </c>
      <c r="B228" s="41">
        <v>4.88</v>
      </c>
      <c r="E228" s="41">
        <f t="shared" si="12"/>
        <v>4.8799999999999996E-2</v>
      </c>
      <c r="F228" s="49">
        <f t="shared" si="13"/>
        <v>0.97560000000000002</v>
      </c>
      <c r="G228" s="55">
        <f t="shared" si="14"/>
        <v>4.940522528074362E-2</v>
      </c>
      <c r="I228" s="49">
        <f t="shared" si="15"/>
        <v>-3.0076990854681935</v>
      </c>
    </row>
    <row r="229" spans="1:9">
      <c r="A229" s="23" t="s">
        <v>266</v>
      </c>
      <c r="B229" s="41">
        <v>4.51</v>
      </c>
      <c r="E229" s="41">
        <f t="shared" si="12"/>
        <v>4.5100000000000001E-2</v>
      </c>
      <c r="F229" s="49">
        <f t="shared" si="13"/>
        <v>0.97745000000000004</v>
      </c>
      <c r="G229" s="55">
        <f t="shared" si="14"/>
        <v>4.5616278652016978E-2</v>
      </c>
      <c r="I229" s="49">
        <f t="shared" si="15"/>
        <v>-3.0874906381840175</v>
      </c>
    </row>
    <row r="230" spans="1:9">
      <c r="A230" s="23" t="s">
        <v>267</v>
      </c>
      <c r="B230" s="41">
        <v>4.83</v>
      </c>
      <c r="E230" s="41">
        <f t="shared" si="12"/>
        <v>4.8300000000000003E-2</v>
      </c>
      <c r="F230" s="49">
        <f t="shared" si="13"/>
        <v>0.97585</v>
      </c>
      <c r="G230" s="55">
        <f t="shared" si="14"/>
        <v>4.8892785809852436E-2</v>
      </c>
      <c r="I230" s="49">
        <f t="shared" si="15"/>
        <v>-3.0181254228357211</v>
      </c>
    </row>
    <row r="231" spans="1:9">
      <c r="A231" s="23" t="s">
        <v>268</v>
      </c>
      <c r="B231" s="41">
        <v>4.9000000000000004</v>
      </c>
      <c r="E231" s="41">
        <f t="shared" si="12"/>
        <v>4.9000000000000002E-2</v>
      </c>
      <c r="F231" s="49">
        <f t="shared" si="13"/>
        <v>0.97550000000000003</v>
      </c>
      <c r="G231" s="55">
        <f t="shared" si="14"/>
        <v>4.9610237837942231E-2</v>
      </c>
      <c r="I231" s="49">
        <f t="shared" si="15"/>
        <v>-3.0035580585274317</v>
      </c>
    </row>
    <row r="232" spans="1:9">
      <c r="A232" s="23" t="s">
        <v>269</v>
      </c>
      <c r="B232" s="41">
        <v>4.88</v>
      </c>
      <c r="E232" s="41">
        <f t="shared" si="12"/>
        <v>4.8799999999999996E-2</v>
      </c>
      <c r="F232" s="49">
        <f t="shared" si="13"/>
        <v>0.97560000000000002</v>
      </c>
      <c r="G232" s="55">
        <f t="shared" si="14"/>
        <v>4.940522528074362E-2</v>
      </c>
      <c r="I232" s="49">
        <f t="shared" si="15"/>
        <v>-3.0076990854681935</v>
      </c>
    </row>
    <row r="233" spans="1:9">
      <c r="A233" s="23" t="s">
        <v>270</v>
      </c>
      <c r="B233" s="41">
        <v>4.8</v>
      </c>
      <c r="E233" s="41">
        <f t="shared" si="12"/>
        <v>4.8000000000000001E-2</v>
      </c>
      <c r="F233" s="49">
        <f t="shared" si="13"/>
        <v>0.97599999999999998</v>
      </c>
      <c r="G233" s="55">
        <f t="shared" si="14"/>
        <v>4.8585385138089174E-2</v>
      </c>
      <c r="I233" s="49">
        <f t="shared" si="15"/>
        <v>-3.0244325106234782</v>
      </c>
    </row>
    <row r="234" spans="1:9">
      <c r="A234" s="23" t="s">
        <v>271</v>
      </c>
      <c r="B234" s="41">
        <v>5.2</v>
      </c>
      <c r="E234" s="41">
        <f t="shared" si="12"/>
        <v>5.2000000000000005E-2</v>
      </c>
      <c r="F234" s="49">
        <f t="shared" si="13"/>
        <v>0.97399999999999998</v>
      </c>
      <c r="G234" s="55">
        <f t="shared" si="14"/>
        <v>5.2687950679203954E-2</v>
      </c>
      <c r="I234" s="49">
        <f t="shared" si="15"/>
        <v>-2.9433684894402012</v>
      </c>
    </row>
    <row r="235" spans="1:9">
      <c r="A235" s="23" t="s">
        <v>272</v>
      </c>
      <c r="B235" s="41">
        <v>5.21</v>
      </c>
      <c r="E235" s="41">
        <f t="shared" si="12"/>
        <v>5.21E-2</v>
      </c>
      <c r="F235" s="49">
        <f t="shared" si="13"/>
        <v>0.97394999999999998</v>
      </c>
      <c r="G235" s="55">
        <f t="shared" si="14"/>
        <v>5.2790622719063242E-2</v>
      </c>
      <c r="I235" s="49">
        <f t="shared" si="15"/>
        <v>-2.9414217040604136</v>
      </c>
    </row>
    <row r="236" spans="1:9">
      <c r="A236" s="23" t="s">
        <v>273</v>
      </c>
      <c r="B236" s="41">
        <v>5.4</v>
      </c>
      <c r="E236" s="41">
        <f t="shared" si="12"/>
        <v>5.4000000000000006E-2</v>
      </c>
      <c r="F236" s="49">
        <f t="shared" si="13"/>
        <v>0.97299999999999998</v>
      </c>
      <c r="G236" s="55">
        <f t="shared" si="14"/>
        <v>5.474239359226403E-2</v>
      </c>
      <c r="I236" s="49">
        <f t="shared" si="15"/>
        <v>-2.90511684975883</v>
      </c>
    </row>
    <row r="237" spans="1:9">
      <c r="A237" s="23" t="s">
        <v>274</v>
      </c>
      <c r="B237" s="41">
        <v>5.83</v>
      </c>
      <c r="E237" s="41">
        <f t="shared" si="12"/>
        <v>5.8299999999999998E-2</v>
      </c>
      <c r="F237" s="49">
        <f t="shared" si="13"/>
        <v>0.97084999999999999</v>
      </c>
      <c r="G237" s="55">
        <f t="shared" si="14"/>
        <v>5.9166605083348631E-2</v>
      </c>
      <c r="I237" s="49">
        <f t="shared" si="15"/>
        <v>-2.8273979995801297</v>
      </c>
    </row>
    <row r="238" spans="1:9">
      <c r="A238" s="23" t="s">
        <v>275</v>
      </c>
      <c r="B238" s="41">
        <v>6.04</v>
      </c>
      <c r="E238" s="41">
        <f t="shared" si="12"/>
        <v>6.0400000000000002E-2</v>
      </c>
      <c r="F238" s="49">
        <f t="shared" si="13"/>
        <v>0.9698</v>
      </c>
      <c r="G238" s="55">
        <f t="shared" si="14"/>
        <v>6.1330828621770306E-2</v>
      </c>
      <c r="I238" s="49">
        <f t="shared" si="15"/>
        <v>-2.7914726485636701</v>
      </c>
    </row>
    <row r="239" spans="1:9">
      <c r="A239" s="23" t="s">
        <v>276</v>
      </c>
      <c r="B239" s="41">
        <v>6.43</v>
      </c>
      <c r="E239" s="41">
        <f t="shared" si="12"/>
        <v>6.4299999999999996E-2</v>
      </c>
      <c r="F239" s="49">
        <f t="shared" si="13"/>
        <v>0.96784999999999999</v>
      </c>
      <c r="G239" s="55">
        <f t="shared" si="14"/>
        <v>6.5356324781164668E-2</v>
      </c>
      <c r="I239" s="49">
        <f t="shared" si="15"/>
        <v>-2.7279010604097151</v>
      </c>
    </row>
    <row r="240" spans="1:9">
      <c r="A240" s="23" t="s">
        <v>277</v>
      </c>
      <c r="B240" s="41">
        <v>6.41</v>
      </c>
      <c r="E240" s="41">
        <f t="shared" si="12"/>
        <v>6.4100000000000004E-2</v>
      </c>
      <c r="F240" s="49">
        <f t="shared" si="13"/>
        <v>0.96794999999999998</v>
      </c>
      <c r="G240" s="55">
        <f t="shared" si="14"/>
        <v>6.5149691864357276E-2</v>
      </c>
      <c r="I240" s="49">
        <f t="shared" si="15"/>
        <v>-2.7310677050562777</v>
      </c>
    </row>
    <row r="241" spans="1:9">
      <c r="A241" s="23" t="s">
        <v>278</v>
      </c>
      <c r="B241" s="41">
        <v>6.4</v>
      </c>
      <c r="E241" s="41">
        <f t="shared" si="12"/>
        <v>6.4000000000000001E-2</v>
      </c>
      <c r="F241" s="49">
        <f t="shared" si="13"/>
        <v>0.96799999999999997</v>
      </c>
      <c r="G241" s="55">
        <f t="shared" si="14"/>
        <v>6.5046383411120123E-2</v>
      </c>
      <c r="I241" s="49">
        <f t="shared" si="15"/>
        <v>-2.7326546726311474</v>
      </c>
    </row>
    <row r="242" spans="1:9">
      <c r="A242" s="23" t="s">
        <v>279</v>
      </c>
      <c r="B242" s="41">
        <v>6.7</v>
      </c>
      <c r="E242" s="41">
        <f t="shared" si="12"/>
        <v>6.7000000000000004E-2</v>
      </c>
      <c r="F242" s="49">
        <f t="shared" si="13"/>
        <v>0.96650000000000003</v>
      </c>
      <c r="G242" s="55">
        <f t="shared" si="14"/>
        <v>6.814796066750288E-2</v>
      </c>
      <c r="I242" s="49">
        <f t="shared" si="15"/>
        <v>-2.686074045461905</v>
      </c>
    </row>
    <row r="243" spans="1:9">
      <c r="A243" s="23" t="s">
        <v>280</v>
      </c>
      <c r="B243" s="41">
        <v>6.74</v>
      </c>
      <c r="E243" s="41">
        <f t="shared" si="12"/>
        <v>6.7400000000000002E-2</v>
      </c>
      <c r="F243" s="49">
        <f t="shared" si="13"/>
        <v>0.96630000000000005</v>
      </c>
      <c r="G243" s="55">
        <f t="shared" si="14"/>
        <v>6.8561867953748343E-2</v>
      </c>
      <c r="I243" s="49">
        <f t="shared" si="15"/>
        <v>-2.6800187595306801</v>
      </c>
    </row>
    <row r="244" spans="1:9">
      <c r="A244" s="23" t="s">
        <v>281</v>
      </c>
      <c r="B244" s="41">
        <v>6.63</v>
      </c>
      <c r="E244" s="41">
        <f t="shared" si="12"/>
        <v>6.6299999999999998E-2</v>
      </c>
      <c r="F244" s="49">
        <f t="shared" si="13"/>
        <v>0.96684999999999999</v>
      </c>
      <c r="G244" s="55">
        <f t="shared" si="14"/>
        <v>6.7423828971072394E-2</v>
      </c>
      <c r="I244" s="49">
        <f t="shared" si="15"/>
        <v>-2.69675677798151</v>
      </c>
    </row>
    <row r="245" spans="1:9">
      <c r="A245" s="23" t="s">
        <v>282</v>
      </c>
      <c r="B245" s="41">
        <v>6.73</v>
      </c>
      <c r="E245" s="41">
        <f t="shared" si="12"/>
        <v>6.7299999999999999E-2</v>
      </c>
      <c r="F245" s="49">
        <f t="shared" si="13"/>
        <v>0.96635000000000004</v>
      </c>
      <c r="G245" s="55">
        <f t="shared" si="14"/>
        <v>6.8458383101320533E-2</v>
      </c>
      <c r="I245" s="49">
        <f t="shared" si="15"/>
        <v>-2.6815292643109165</v>
      </c>
    </row>
    <row r="246" spans="1:9">
      <c r="A246" s="23" t="s">
        <v>283</v>
      </c>
      <c r="B246" s="41">
        <v>7.02</v>
      </c>
      <c r="E246" s="41">
        <f t="shared" si="12"/>
        <v>7.0199999999999999E-2</v>
      </c>
      <c r="F246" s="49">
        <f t="shared" si="13"/>
        <v>0.96489999999999998</v>
      </c>
      <c r="G246" s="55">
        <f t="shared" si="14"/>
        <v>7.1461619911597898E-2</v>
      </c>
      <c r="I246" s="49">
        <f t="shared" si="15"/>
        <v>-2.6385947578557025</v>
      </c>
    </row>
    <row r="247" spans="1:9">
      <c r="A247" s="23" t="s">
        <v>284</v>
      </c>
      <c r="B247" s="41">
        <v>7.23</v>
      </c>
      <c r="E247" s="41">
        <f t="shared" si="12"/>
        <v>7.2300000000000003E-2</v>
      </c>
      <c r="F247" s="49">
        <f t="shared" si="13"/>
        <v>0.96384999999999998</v>
      </c>
      <c r="G247" s="55">
        <f t="shared" si="14"/>
        <v>7.3639196277073396E-2</v>
      </c>
      <c r="I247" s="49">
        <f t="shared" si="15"/>
        <v>-2.6085778368936401</v>
      </c>
    </row>
    <row r="248" spans="1:9">
      <c r="A248" s="23" t="s">
        <v>285</v>
      </c>
      <c r="B248" s="41">
        <v>7.44</v>
      </c>
      <c r="E248" s="41">
        <f t="shared" si="12"/>
        <v>7.4400000000000008E-2</v>
      </c>
      <c r="F248" s="49">
        <f t="shared" si="13"/>
        <v>0.96279999999999999</v>
      </c>
      <c r="G248" s="55">
        <f t="shared" si="14"/>
        <v>7.581914614644035E-2</v>
      </c>
      <c r="I248" s="49">
        <f t="shared" si="15"/>
        <v>-2.5794044305447996</v>
      </c>
    </row>
    <row r="249" spans="1:9">
      <c r="A249" s="23" t="s">
        <v>286</v>
      </c>
      <c r="B249" s="41">
        <v>7.37</v>
      </c>
      <c r="E249" s="41">
        <f t="shared" si="12"/>
        <v>7.3700000000000002E-2</v>
      </c>
      <c r="F249" s="49">
        <f t="shared" si="13"/>
        <v>0.96314999999999995</v>
      </c>
      <c r="G249" s="55">
        <f t="shared" si="14"/>
        <v>7.5092232147940072E-2</v>
      </c>
      <c r="I249" s="49">
        <f t="shared" si="15"/>
        <v>-2.5890381590111891</v>
      </c>
    </row>
    <row r="250" spans="1:9">
      <c r="A250" s="23" t="s">
        <v>287</v>
      </c>
      <c r="B250" s="41">
        <v>7.99</v>
      </c>
      <c r="E250" s="41">
        <f t="shared" si="12"/>
        <v>7.9899999999999999E-2</v>
      </c>
      <c r="F250" s="49">
        <f t="shared" si="13"/>
        <v>0.96004999999999996</v>
      </c>
      <c r="G250" s="55">
        <f t="shared" si="14"/>
        <v>8.1539825086423101E-2</v>
      </c>
      <c r="I250" s="49">
        <f t="shared" si="15"/>
        <v>-2.5066637267193657</v>
      </c>
    </row>
    <row r="251" spans="1:9">
      <c r="A251" s="23" t="s">
        <v>288</v>
      </c>
      <c r="B251" s="41">
        <v>8.5500000000000007</v>
      </c>
      <c r="E251" s="41">
        <f t="shared" si="12"/>
        <v>8.5500000000000007E-2</v>
      </c>
      <c r="F251" s="49">
        <f t="shared" si="13"/>
        <v>0.95725000000000005</v>
      </c>
      <c r="G251" s="55">
        <f t="shared" si="14"/>
        <v>8.7381377249466222E-2</v>
      </c>
      <c r="I251" s="49">
        <f t="shared" si="15"/>
        <v>-2.4374730939732383</v>
      </c>
    </row>
    <row r="252" spans="1:9">
      <c r="A252" s="23" t="s">
        <v>289</v>
      </c>
      <c r="B252" s="41">
        <v>9.24</v>
      </c>
      <c r="E252" s="41">
        <f t="shared" si="12"/>
        <v>9.2399999999999996E-2</v>
      </c>
      <c r="F252" s="49">
        <f t="shared" si="13"/>
        <v>0.95379999999999998</v>
      </c>
      <c r="G252" s="55">
        <f t="shared" si="14"/>
        <v>9.4602546236026194E-2</v>
      </c>
      <c r="I252" s="49">
        <f t="shared" si="15"/>
        <v>-2.358070887472298</v>
      </c>
    </row>
    <row r="253" spans="1:9">
      <c r="A253" s="23" t="s">
        <v>290</v>
      </c>
      <c r="B253" s="41">
        <v>9.36</v>
      </c>
      <c r="E253" s="41">
        <f t="shared" si="12"/>
        <v>9.3599999999999989E-2</v>
      </c>
      <c r="F253" s="49">
        <f t="shared" si="13"/>
        <v>0.95320000000000005</v>
      </c>
      <c r="G253" s="55">
        <f t="shared" si="14"/>
        <v>9.5861067515099888E-2</v>
      </c>
      <c r="I253" s="49">
        <f t="shared" si="15"/>
        <v>-2.3448553491234256</v>
      </c>
    </row>
    <row r="254" spans="1:9">
      <c r="A254" s="23" t="s">
        <v>291</v>
      </c>
      <c r="B254" s="41">
        <v>9.4700000000000006</v>
      </c>
      <c r="E254" s="41">
        <f t="shared" si="12"/>
        <v>9.4700000000000006E-2</v>
      </c>
      <c r="F254" s="49">
        <f t="shared" si="13"/>
        <v>0.95265</v>
      </c>
      <c r="G254" s="55">
        <f t="shared" si="14"/>
        <v>9.7015408130087022E-2</v>
      </c>
      <c r="I254" s="49">
        <f t="shared" si="15"/>
        <v>-2.3328854663916276</v>
      </c>
    </row>
    <row r="255" spans="1:9">
      <c r="A255" s="23" t="s">
        <v>292</v>
      </c>
      <c r="B255" s="41">
        <v>9.41</v>
      </c>
      <c r="E255" s="41">
        <f t="shared" si="12"/>
        <v>9.4100000000000003E-2</v>
      </c>
      <c r="F255" s="49">
        <f t="shared" si="13"/>
        <v>0.95294999999999996</v>
      </c>
      <c r="G255" s="55">
        <f t="shared" si="14"/>
        <v>9.6385685202970292E-2</v>
      </c>
      <c r="I255" s="49">
        <f t="shared" si="15"/>
        <v>-2.3393975821370465</v>
      </c>
    </row>
    <row r="256" spans="1:9">
      <c r="A256" s="23" t="s">
        <v>293</v>
      </c>
      <c r="B256" s="41">
        <v>9.4700000000000006</v>
      </c>
      <c r="E256" s="41">
        <f t="shared" si="12"/>
        <v>9.4700000000000006E-2</v>
      </c>
      <c r="F256" s="49">
        <f t="shared" si="13"/>
        <v>0.95265</v>
      </c>
      <c r="G256" s="55">
        <f t="shared" si="14"/>
        <v>9.7015408130087022E-2</v>
      </c>
      <c r="I256" s="49">
        <f t="shared" si="15"/>
        <v>-2.3328854663916276</v>
      </c>
    </row>
    <row r="257" spans="1:9">
      <c r="A257" s="23" t="s">
        <v>294</v>
      </c>
      <c r="B257" s="41">
        <v>9.49</v>
      </c>
      <c r="E257" s="41">
        <f t="shared" si="12"/>
        <v>9.4899999999999998E-2</v>
      </c>
      <c r="F257" s="49">
        <f t="shared" si="13"/>
        <v>0.95255000000000001</v>
      </c>
      <c r="G257" s="55">
        <f t="shared" si="14"/>
        <v>9.722535984138625E-2</v>
      </c>
      <c r="I257" s="49">
        <f t="shared" si="15"/>
        <v>-2.3307236978272345</v>
      </c>
    </row>
    <row r="258" spans="1:9">
      <c r="A258" s="23" t="s">
        <v>295</v>
      </c>
      <c r="B258" s="41">
        <v>9.5399999999999991</v>
      </c>
      <c r="E258" s="41">
        <f t="shared" si="12"/>
        <v>9.5399999999999985E-2</v>
      </c>
      <c r="F258" s="49">
        <f t="shared" si="13"/>
        <v>0.95230000000000004</v>
      </c>
      <c r="G258" s="55">
        <f t="shared" si="14"/>
        <v>9.7750335564273372E-2</v>
      </c>
      <c r="I258" s="49">
        <f t="shared" si="15"/>
        <v>-2.325338647239962</v>
      </c>
    </row>
    <row r="259" spans="1:9">
      <c r="A259" s="23" t="s">
        <v>296</v>
      </c>
      <c r="B259" s="41">
        <v>9.06</v>
      </c>
      <c r="E259" s="41">
        <f t="shared" si="12"/>
        <v>9.06E-2</v>
      </c>
      <c r="F259" s="49">
        <f t="shared" si="13"/>
        <v>0.95469999999999999</v>
      </c>
      <c r="G259" s="55">
        <f t="shared" si="14"/>
        <v>9.2716247956299125E-2</v>
      </c>
      <c r="I259" s="49">
        <f t="shared" si="15"/>
        <v>-2.3782115471596437</v>
      </c>
    </row>
    <row r="260" spans="1:9">
      <c r="A260" s="23" t="s">
        <v>297</v>
      </c>
      <c r="B260" s="41">
        <v>9.24</v>
      </c>
      <c r="E260" s="41">
        <f t="shared" si="12"/>
        <v>9.2399999999999996E-2</v>
      </c>
      <c r="F260" s="49">
        <f t="shared" si="13"/>
        <v>0.95379999999999998</v>
      </c>
      <c r="G260" s="55">
        <f t="shared" si="14"/>
        <v>9.4602546236026194E-2</v>
      </c>
      <c r="I260" s="49">
        <f t="shared" si="15"/>
        <v>-2.358070887472298</v>
      </c>
    </row>
    <row r="261" spans="1:9">
      <c r="A261" s="23" t="s">
        <v>298</v>
      </c>
      <c r="B261" s="41">
        <v>9.49</v>
      </c>
      <c r="E261" s="41">
        <f t="shared" si="12"/>
        <v>9.4899999999999998E-2</v>
      </c>
      <c r="F261" s="49">
        <f t="shared" si="13"/>
        <v>0.95255000000000001</v>
      </c>
      <c r="G261" s="55">
        <f t="shared" si="14"/>
        <v>9.722535984138625E-2</v>
      </c>
      <c r="I261" s="49">
        <f t="shared" si="15"/>
        <v>-2.3307236978272345</v>
      </c>
    </row>
    <row r="262" spans="1:9">
      <c r="A262" s="23" t="s">
        <v>299</v>
      </c>
      <c r="B262" s="41">
        <v>10.199999999999999</v>
      </c>
      <c r="E262" s="41">
        <f t="shared" si="12"/>
        <v>0.10199999999999999</v>
      </c>
      <c r="F262" s="49">
        <f t="shared" si="13"/>
        <v>0.94899999999999995</v>
      </c>
      <c r="G262" s="55">
        <f t="shared" si="14"/>
        <v>0.10469296074441847</v>
      </c>
      <c r="I262" s="49">
        <f t="shared" si="15"/>
        <v>-2.256723395988415</v>
      </c>
    </row>
    <row r="263" spans="1:9">
      <c r="A263" s="23" t="s">
        <v>300</v>
      </c>
      <c r="B263" s="41">
        <v>11.66</v>
      </c>
      <c r="E263" s="41">
        <f t="shared" si="12"/>
        <v>0.1166</v>
      </c>
      <c r="F263" s="49">
        <f t="shared" si="13"/>
        <v>0.94169999999999998</v>
      </c>
      <c r="G263" s="55">
        <f t="shared" si="14"/>
        <v>0.12013705293223903</v>
      </c>
      <c r="I263" s="49">
        <f t="shared" si="15"/>
        <v>-2.1191220801403428</v>
      </c>
    </row>
    <row r="264" spans="1:9">
      <c r="A264" s="23" t="s">
        <v>301</v>
      </c>
      <c r="B264" s="41">
        <v>11.82</v>
      </c>
      <c r="E264" s="41">
        <f t="shared" si="12"/>
        <v>0.1182</v>
      </c>
      <c r="F264" s="49">
        <f t="shared" si="13"/>
        <v>0.94089999999999996</v>
      </c>
      <c r="G264" s="55">
        <f t="shared" si="14"/>
        <v>0.12183682993883427</v>
      </c>
      <c r="I264" s="49">
        <f t="shared" si="15"/>
        <v>-2.1050725889638957</v>
      </c>
    </row>
    <row r="265" spans="1:9">
      <c r="A265" s="23" t="s">
        <v>302</v>
      </c>
      <c r="B265" s="41">
        <v>11.84</v>
      </c>
      <c r="E265" s="41">
        <f t="shared" si="12"/>
        <v>0.11840000000000001</v>
      </c>
      <c r="F265" s="49">
        <f t="shared" si="13"/>
        <v>0.94079999999999997</v>
      </c>
      <c r="G265" s="55">
        <f t="shared" si="14"/>
        <v>0.12204940367554921</v>
      </c>
      <c r="I265" s="49">
        <f t="shared" si="15"/>
        <v>-2.1033293680580192</v>
      </c>
    </row>
    <row r="266" spans="1:9">
      <c r="A266" s="23" t="s">
        <v>303</v>
      </c>
      <c r="B266" s="41">
        <v>11.84</v>
      </c>
      <c r="E266" s="41">
        <f t="shared" si="12"/>
        <v>0.11840000000000001</v>
      </c>
      <c r="F266" s="49">
        <f t="shared" si="13"/>
        <v>0.94079999999999997</v>
      </c>
      <c r="G266" s="55">
        <f t="shared" si="14"/>
        <v>0.12204940367554921</v>
      </c>
      <c r="I266" s="49">
        <f t="shared" si="15"/>
        <v>-2.1033293680580192</v>
      </c>
    </row>
    <row r="267" spans="1:9">
      <c r="A267" s="23" t="s">
        <v>304</v>
      </c>
      <c r="B267" s="41">
        <v>12.86</v>
      </c>
      <c r="E267" s="41">
        <f t="shared" si="12"/>
        <v>0.12859999999999999</v>
      </c>
      <c r="F267" s="49">
        <f t="shared" si="13"/>
        <v>0.93569999999999998</v>
      </c>
      <c r="G267" s="55">
        <f t="shared" si="14"/>
        <v>0.13292073340053961</v>
      </c>
      <c r="I267" s="49">
        <f t="shared" si="15"/>
        <v>-2.0180023179023316</v>
      </c>
    </row>
    <row r="268" spans="1:9">
      <c r="A268" s="23" t="s">
        <v>305</v>
      </c>
      <c r="B268" s="41">
        <v>15.03</v>
      </c>
      <c r="E268" s="41">
        <f t="shared" si="12"/>
        <v>0.15029999999999999</v>
      </c>
      <c r="F268" s="49">
        <f t="shared" si="13"/>
        <v>0.92484999999999995</v>
      </c>
      <c r="G268" s="55">
        <f t="shared" si="14"/>
        <v>0.15624743356315821</v>
      </c>
      <c r="I268" s="49">
        <f t="shared" si="15"/>
        <v>-1.8563144156963087</v>
      </c>
    </row>
    <row r="269" spans="1:9">
      <c r="A269" s="23" t="s">
        <v>306</v>
      </c>
      <c r="B269" s="41">
        <v>12.88</v>
      </c>
      <c r="E269" s="41">
        <f t="shared" si="12"/>
        <v>0.1288</v>
      </c>
      <c r="F269" s="49">
        <f t="shared" si="13"/>
        <v>0.93559999999999999</v>
      </c>
      <c r="G269" s="55">
        <f t="shared" si="14"/>
        <v>0.13313448854422621</v>
      </c>
      <c r="I269" s="49">
        <f t="shared" si="15"/>
        <v>-2.0163954696088351</v>
      </c>
    </row>
    <row r="270" spans="1:9">
      <c r="A270" s="23" t="s">
        <v>307</v>
      </c>
      <c r="B270" s="41">
        <v>8.65</v>
      </c>
      <c r="E270" s="41">
        <f t="shared" ref="E270:E333" si="16">B270/100</f>
        <v>8.6500000000000007E-2</v>
      </c>
      <c r="F270" s="49">
        <f t="shared" ref="F270:F333" si="17">1-180/360*E270</f>
        <v>0.95674999999999999</v>
      </c>
      <c r="G270" s="55">
        <f t="shared" ref="G270:G333" si="18">-1/0.5*LN(F270)</f>
        <v>8.8426309352650834E-2</v>
      </c>
      <c r="I270" s="49">
        <f t="shared" ref="I270:I333" si="19">LN(G270)</f>
        <v>-2.4255857365062918</v>
      </c>
    </row>
    <row r="271" spans="1:9">
      <c r="A271" s="23" t="s">
        <v>308</v>
      </c>
      <c r="B271" s="41">
        <v>7.3</v>
      </c>
      <c r="E271" s="41">
        <f t="shared" si="16"/>
        <v>7.2999999999999995E-2</v>
      </c>
      <c r="F271" s="49">
        <f t="shared" si="17"/>
        <v>0.96350000000000002</v>
      </c>
      <c r="G271" s="55">
        <f t="shared" si="18"/>
        <v>7.4365582255431897E-2</v>
      </c>
      <c r="I271" s="49">
        <f t="shared" si="19"/>
        <v>-2.5987620482710327</v>
      </c>
    </row>
    <row r="272" spans="1:9">
      <c r="A272" s="23" t="s">
        <v>309</v>
      </c>
      <c r="B272" s="41">
        <v>8.06</v>
      </c>
      <c r="E272" s="41">
        <f t="shared" si="16"/>
        <v>8.0600000000000005E-2</v>
      </c>
      <c r="F272" s="49">
        <f t="shared" si="17"/>
        <v>0.9597</v>
      </c>
      <c r="G272" s="55">
        <f t="shared" si="18"/>
        <v>8.2269086717110085E-2</v>
      </c>
      <c r="I272" s="49">
        <f t="shared" si="19"/>
        <v>-2.4977598589069157</v>
      </c>
    </row>
    <row r="273" spans="1:9">
      <c r="A273" s="23" t="s">
        <v>310</v>
      </c>
      <c r="B273" s="41">
        <v>9.41</v>
      </c>
      <c r="E273" s="41">
        <f t="shared" si="16"/>
        <v>9.4100000000000003E-2</v>
      </c>
      <c r="F273" s="49">
        <f t="shared" si="17"/>
        <v>0.95294999999999996</v>
      </c>
      <c r="G273" s="55">
        <f t="shared" si="18"/>
        <v>9.6385685202970292E-2</v>
      </c>
      <c r="I273" s="49">
        <f t="shared" si="19"/>
        <v>-2.3393975821370465</v>
      </c>
    </row>
    <row r="274" spans="1:9">
      <c r="A274" s="23" t="s">
        <v>311</v>
      </c>
      <c r="B274" s="41">
        <v>10.57</v>
      </c>
      <c r="E274" s="41">
        <f t="shared" si="16"/>
        <v>0.1057</v>
      </c>
      <c r="F274" s="49">
        <f t="shared" si="17"/>
        <v>0.94715000000000005</v>
      </c>
      <c r="G274" s="55">
        <f t="shared" si="18"/>
        <v>0.10859560681569841</v>
      </c>
      <c r="I274" s="49">
        <f t="shared" si="19"/>
        <v>-2.2201243251946639</v>
      </c>
    </row>
    <row r="275" spans="1:9">
      <c r="A275" s="23" t="s">
        <v>312</v>
      </c>
      <c r="B275" s="41">
        <v>11.63</v>
      </c>
      <c r="E275" s="41">
        <f t="shared" si="16"/>
        <v>0.11630000000000001</v>
      </c>
      <c r="F275" s="49">
        <f t="shared" si="17"/>
        <v>0.94184999999999997</v>
      </c>
      <c r="G275" s="55">
        <f t="shared" si="18"/>
        <v>0.11981850550781793</v>
      </c>
      <c r="I275" s="49">
        <f t="shared" si="19"/>
        <v>-2.1217771352148778</v>
      </c>
    </row>
    <row r="276" spans="1:9">
      <c r="A276" s="23" t="s">
        <v>313</v>
      </c>
      <c r="B276" s="41">
        <v>13.5</v>
      </c>
      <c r="E276" s="41">
        <f t="shared" si="16"/>
        <v>0.13500000000000001</v>
      </c>
      <c r="F276" s="49">
        <f t="shared" si="17"/>
        <v>0.9325</v>
      </c>
      <c r="G276" s="55">
        <f t="shared" si="18"/>
        <v>0.1397722549283329</v>
      </c>
      <c r="I276" s="49">
        <f t="shared" si="19"/>
        <v>-1.9677409314800736</v>
      </c>
    </row>
    <row r="277" spans="1:9">
      <c r="A277" s="23" t="s">
        <v>314</v>
      </c>
      <c r="B277" s="41">
        <v>14.64</v>
      </c>
      <c r="E277" s="41">
        <f t="shared" si="16"/>
        <v>0.1464</v>
      </c>
      <c r="F277" s="49">
        <f t="shared" si="17"/>
        <v>0.92679999999999996</v>
      </c>
      <c r="G277" s="55">
        <f t="shared" si="18"/>
        <v>0.15203497284783191</v>
      </c>
      <c r="I277" s="49">
        <f t="shared" si="19"/>
        <v>-1.8836447000760357</v>
      </c>
    </row>
    <row r="278" spans="1:9">
      <c r="A278" s="23" t="s">
        <v>315</v>
      </c>
      <c r="B278" s="41">
        <v>14.08</v>
      </c>
      <c r="E278" s="41">
        <f t="shared" si="16"/>
        <v>0.14080000000000001</v>
      </c>
      <c r="F278" s="49">
        <f t="shared" si="17"/>
        <v>0.92959999999999998</v>
      </c>
      <c r="G278" s="55">
        <f t="shared" si="18"/>
        <v>0.14600178576898057</v>
      </c>
      <c r="I278" s="49">
        <f t="shared" si="19"/>
        <v>-1.9241364260542149</v>
      </c>
    </row>
    <row r="279" spans="1:9">
      <c r="A279" s="23" t="s">
        <v>316</v>
      </c>
      <c r="B279" s="41">
        <v>14.05</v>
      </c>
      <c r="E279" s="41">
        <f t="shared" si="16"/>
        <v>0.14050000000000001</v>
      </c>
      <c r="F279" s="49">
        <f t="shared" si="17"/>
        <v>0.92974999999999997</v>
      </c>
      <c r="G279" s="55">
        <f t="shared" si="18"/>
        <v>0.14567909235391532</v>
      </c>
      <c r="I279" s="49">
        <f t="shared" si="19"/>
        <v>-1.9263490739918907</v>
      </c>
    </row>
    <row r="280" spans="1:9">
      <c r="A280" s="23" t="s">
        <v>317</v>
      </c>
      <c r="B280" s="41">
        <v>12.81</v>
      </c>
      <c r="E280" s="41">
        <f t="shared" si="16"/>
        <v>0.12809999999999999</v>
      </c>
      <c r="F280" s="49">
        <f t="shared" si="17"/>
        <v>0.93595000000000006</v>
      </c>
      <c r="G280" s="55">
        <f t="shared" si="18"/>
        <v>0.13238644546959769</v>
      </c>
      <c r="I280" s="49">
        <f t="shared" si="19"/>
        <v>-2.0220300163272378</v>
      </c>
    </row>
    <row r="281" spans="1:9">
      <c r="A281" s="23" t="s">
        <v>318</v>
      </c>
      <c r="B281" s="41">
        <v>13.45</v>
      </c>
      <c r="E281" s="41">
        <f t="shared" si="16"/>
        <v>0.13449999999999998</v>
      </c>
      <c r="F281" s="49">
        <f t="shared" si="17"/>
        <v>0.93274999999999997</v>
      </c>
      <c r="G281" s="55">
        <f t="shared" si="18"/>
        <v>0.13923613376173971</v>
      </c>
      <c r="I281" s="49">
        <f t="shared" si="19"/>
        <v>-1.9715839831456043</v>
      </c>
    </row>
    <row r="282" spans="1:9">
      <c r="A282" s="23" t="s">
        <v>319</v>
      </c>
      <c r="B282" s="41">
        <v>15.29</v>
      </c>
      <c r="E282" s="41">
        <f t="shared" si="16"/>
        <v>0.15289999999999998</v>
      </c>
      <c r="F282" s="49">
        <f t="shared" si="17"/>
        <v>0.92354999999999998</v>
      </c>
      <c r="G282" s="55">
        <f t="shared" si="18"/>
        <v>0.15906067791361647</v>
      </c>
      <c r="I282" s="49">
        <f t="shared" si="19"/>
        <v>-1.8384695274628811</v>
      </c>
    </row>
    <row r="283" spans="1:9">
      <c r="A283" s="23" t="s">
        <v>320</v>
      </c>
      <c r="B283" s="41">
        <v>14.09</v>
      </c>
      <c r="E283" s="41">
        <f t="shared" si="16"/>
        <v>0.1409</v>
      </c>
      <c r="F283" s="49">
        <f t="shared" si="17"/>
        <v>0.92954999999999999</v>
      </c>
      <c r="G283" s="55">
        <f t="shared" si="18"/>
        <v>0.14610936181182177</v>
      </c>
      <c r="I283" s="49">
        <f t="shared" si="19"/>
        <v>-1.9233998841687345</v>
      </c>
    </row>
    <row r="284" spans="1:9">
      <c r="A284" s="23" t="s">
        <v>321</v>
      </c>
      <c r="B284" s="41">
        <v>14.74</v>
      </c>
      <c r="E284" s="41">
        <f t="shared" si="16"/>
        <v>0.1474</v>
      </c>
      <c r="F284" s="49">
        <f t="shared" si="17"/>
        <v>0.92630000000000001</v>
      </c>
      <c r="G284" s="55">
        <f t="shared" si="18"/>
        <v>0.15311424544431043</v>
      </c>
      <c r="I284" s="49">
        <f t="shared" si="19"/>
        <v>-1.8765709339827314</v>
      </c>
    </row>
    <row r="285" spans="1:9">
      <c r="A285" s="23" t="s">
        <v>322</v>
      </c>
      <c r="B285" s="41">
        <v>15.52</v>
      </c>
      <c r="E285" s="41">
        <f t="shared" si="16"/>
        <v>0.1552</v>
      </c>
      <c r="F285" s="49">
        <f t="shared" si="17"/>
        <v>0.9224</v>
      </c>
      <c r="G285" s="55">
        <f t="shared" si="18"/>
        <v>0.16155262005457557</v>
      </c>
      <c r="I285" s="49">
        <f t="shared" si="19"/>
        <v>-1.8229243686161207</v>
      </c>
    </row>
    <row r="286" spans="1:9">
      <c r="A286" s="23" t="s">
        <v>323</v>
      </c>
      <c r="B286" s="41">
        <v>14.92</v>
      </c>
      <c r="E286" s="41">
        <f t="shared" si="16"/>
        <v>0.1492</v>
      </c>
      <c r="F286" s="49">
        <f t="shared" si="17"/>
        <v>0.9254</v>
      </c>
      <c r="G286" s="55">
        <f t="shared" si="18"/>
        <v>0.15505840501847568</v>
      </c>
      <c r="I286" s="49">
        <f t="shared" si="19"/>
        <v>-1.8639534264658471</v>
      </c>
    </row>
    <row r="287" spans="1:9">
      <c r="A287" s="23" t="s">
        <v>324</v>
      </c>
      <c r="B287" s="41">
        <v>13.82</v>
      </c>
      <c r="E287" s="41">
        <f t="shared" si="16"/>
        <v>0.13819999999999999</v>
      </c>
      <c r="F287" s="49">
        <f t="shared" si="17"/>
        <v>0.93090000000000006</v>
      </c>
      <c r="G287" s="55">
        <f t="shared" si="18"/>
        <v>0.14320683771938555</v>
      </c>
      <c r="I287" s="49">
        <f t="shared" si="19"/>
        <v>-1.9434652761585098</v>
      </c>
    </row>
    <row r="288" spans="1:9">
      <c r="A288" s="23" t="s">
        <v>325</v>
      </c>
      <c r="B288" s="41">
        <v>11.3</v>
      </c>
      <c r="E288" s="41">
        <f t="shared" si="16"/>
        <v>0.113</v>
      </c>
      <c r="F288" s="49">
        <f t="shared" si="17"/>
        <v>0.94350000000000001</v>
      </c>
      <c r="G288" s="55">
        <f t="shared" si="18"/>
        <v>0.11631782834706428</v>
      </c>
      <c r="I288" s="49">
        <f t="shared" si="19"/>
        <v>-2.1514289350147404</v>
      </c>
    </row>
    <row r="289" spans="1:9">
      <c r="A289" s="23" t="s">
        <v>326</v>
      </c>
      <c r="B289" s="41">
        <v>11.52</v>
      </c>
      <c r="E289" s="41">
        <f t="shared" si="16"/>
        <v>0.1152</v>
      </c>
      <c r="F289" s="49">
        <f t="shared" si="17"/>
        <v>0.94240000000000002</v>
      </c>
      <c r="G289" s="55">
        <f t="shared" si="18"/>
        <v>0.11865093216962955</v>
      </c>
      <c r="I289" s="49">
        <f t="shared" si="19"/>
        <v>-2.1315694396657436</v>
      </c>
    </row>
    <row r="290" spans="1:9">
      <c r="A290" s="23" t="s">
        <v>327</v>
      </c>
      <c r="B290" s="41">
        <v>12.83</v>
      </c>
      <c r="E290" s="41">
        <f t="shared" si="16"/>
        <v>0.1283</v>
      </c>
      <c r="F290" s="49">
        <f t="shared" si="17"/>
        <v>0.93584999999999996</v>
      </c>
      <c r="G290" s="55">
        <f t="shared" si="18"/>
        <v>0.13260014351446409</v>
      </c>
      <c r="I290" s="49">
        <f t="shared" si="19"/>
        <v>-2.0204171189197684</v>
      </c>
    </row>
    <row r="291" spans="1:9">
      <c r="A291" s="23" t="s">
        <v>328</v>
      </c>
      <c r="B291" s="41">
        <v>13.61</v>
      </c>
      <c r="E291" s="41">
        <f t="shared" si="16"/>
        <v>0.1361</v>
      </c>
      <c r="F291" s="49">
        <f t="shared" si="17"/>
        <v>0.93195000000000006</v>
      </c>
      <c r="G291" s="55">
        <f t="shared" si="18"/>
        <v>0.14095222760864889</v>
      </c>
      <c r="I291" s="49">
        <f t="shared" si="19"/>
        <v>-1.9593342572996584</v>
      </c>
    </row>
    <row r="292" spans="1:9">
      <c r="A292" s="23" t="s">
        <v>329</v>
      </c>
      <c r="B292" s="41">
        <v>12.77</v>
      </c>
      <c r="E292" s="41">
        <f t="shared" si="16"/>
        <v>0.12770000000000001</v>
      </c>
      <c r="F292" s="49">
        <f t="shared" si="17"/>
        <v>0.93615000000000004</v>
      </c>
      <c r="G292" s="55">
        <f t="shared" si="18"/>
        <v>0.13195911786795064</v>
      </c>
      <c r="I292" s="49">
        <f t="shared" si="19"/>
        <v>-2.025263117488366</v>
      </c>
    </row>
    <row r="293" spans="1:9">
      <c r="A293" s="23" t="s">
        <v>330</v>
      </c>
      <c r="B293" s="41">
        <v>12.8</v>
      </c>
      <c r="E293" s="41">
        <f t="shared" si="16"/>
        <v>0.128</v>
      </c>
      <c r="F293" s="49">
        <f t="shared" si="17"/>
        <v>0.93599999999999994</v>
      </c>
      <c r="G293" s="55">
        <f t="shared" si="18"/>
        <v>0.13227960500909014</v>
      </c>
      <c r="I293" s="49">
        <f t="shared" si="19"/>
        <v>-2.0228373768943961</v>
      </c>
    </row>
    <row r="294" spans="1:9">
      <c r="A294" s="23" t="s">
        <v>331</v>
      </c>
      <c r="B294" s="41">
        <v>12.16</v>
      </c>
      <c r="E294" s="41">
        <f t="shared" si="16"/>
        <v>0.1216</v>
      </c>
      <c r="F294" s="49">
        <f t="shared" si="17"/>
        <v>0.93920000000000003</v>
      </c>
      <c r="G294" s="55">
        <f t="shared" si="18"/>
        <v>0.12545365981661002</v>
      </c>
      <c r="I294" s="49">
        <f t="shared" si="19"/>
        <v>-2.075818833086994</v>
      </c>
    </row>
    <row r="295" spans="1:9">
      <c r="A295" s="23" t="s">
        <v>332</v>
      </c>
      <c r="B295" s="41">
        <v>12.7</v>
      </c>
      <c r="E295" s="41">
        <f t="shared" si="16"/>
        <v>0.127</v>
      </c>
      <c r="F295" s="49">
        <f t="shared" si="17"/>
        <v>0.9365</v>
      </c>
      <c r="G295" s="55">
        <f t="shared" si="18"/>
        <v>0.1312115141959877</v>
      </c>
      <c r="I295" s="49">
        <f t="shared" si="19"/>
        <v>-2.0309446456827378</v>
      </c>
    </row>
    <row r="296" spans="1:9">
      <c r="A296" s="23" t="s">
        <v>333</v>
      </c>
      <c r="B296" s="41">
        <v>11.88</v>
      </c>
      <c r="E296" s="41">
        <f t="shared" si="16"/>
        <v>0.1188</v>
      </c>
      <c r="F296" s="49">
        <f t="shared" si="17"/>
        <v>0.94059999999999999</v>
      </c>
      <c r="G296" s="55">
        <f t="shared" si="18"/>
        <v>0.1224746189423789</v>
      </c>
      <c r="I296" s="49">
        <f t="shared" si="19"/>
        <v>-2.0998514627717575</v>
      </c>
    </row>
    <row r="297" spans="1:9">
      <c r="A297" s="23" t="s">
        <v>334</v>
      </c>
      <c r="B297" s="41">
        <v>9.8800000000000008</v>
      </c>
      <c r="E297" s="41">
        <f t="shared" si="16"/>
        <v>9.8800000000000013E-2</v>
      </c>
      <c r="F297" s="49">
        <f t="shared" si="17"/>
        <v>0.9506</v>
      </c>
      <c r="G297" s="55">
        <f t="shared" si="18"/>
        <v>0.10132382960445599</v>
      </c>
      <c r="I297" s="49">
        <f t="shared" si="19"/>
        <v>-2.2894336574404135</v>
      </c>
    </row>
    <row r="298" spans="1:9">
      <c r="A298" s="23" t="s">
        <v>335</v>
      </c>
      <c r="B298" s="41">
        <v>9.3699999999999992</v>
      </c>
      <c r="E298" s="41">
        <f t="shared" si="16"/>
        <v>9.3699999999999992E-2</v>
      </c>
      <c r="F298" s="49">
        <f t="shared" si="17"/>
        <v>0.95315000000000005</v>
      </c>
      <c r="G298" s="55">
        <f t="shared" si="18"/>
        <v>9.5965980044302734E-2</v>
      </c>
      <c r="I298" s="49">
        <f t="shared" si="19"/>
        <v>-2.343761524858309</v>
      </c>
    </row>
    <row r="299" spans="1:9">
      <c r="A299" s="23" t="s">
        <v>336</v>
      </c>
      <c r="B299" s="41">
        <v>8.2899999999999991</v>
      </c>
      <c r="E299" s="41">
        <f t="shared" si="16"/>
        <v>8.2899999999999988E-2</v>
      </c>
      <c r="F299" s="49">
        <f t="shared" si="17"/>
        <v>0.95855000000000001</v>
      </c>
      <c r="G299" s="55">
        <f t="shared" si="18"/>
        <v>8.4667106032157227E-2</v>
      </c>
      <c r="I299" s="49">
        <f t="shared" si="19"/>
        <v>-2.4690281112889871</v>
      </c>
    </row>
    <row r="300" spans="1:9">
      <c r="A300" s="23" t="s">
        <v>337</v>
      </c>
      <c r="B300" s="41">
        <v>8.34</v>
      </c>
      <c r="E300" s="41">
        <f t="shared" si="16"/>
        <v>8.3400000000000002E-2</v>
      </c>
      <c r="F300" s="49">
        <f t="shared" si="17"/>
        <v>0.95830000000000004</v>
      </c>
      <c r="G300" s="55">
        <f t="shared" si="18"/>
        <v>8.5188795264840994E-2</v>
      </c>
      <c r="I300" s="49">
        <f t="shared" si="19"/>
        <v>-2.4628853647712385</v>
      </c>
    </row>
    <row r="301" spans="1:9">
      <c r="A301" s="23" t="s">
        <v>338</v>
      </c>
      <c r="B301" s="41">
        <v>8.16</v>
      </c>
      <c r="E301" s="41">
        <f t="shared" si="16"/>
        <v>8.1600000000000006E-2</v>
      </c>
      <c r="F301" s="49">
        <f t="shared" si="17"/>
        <v>0.95920000000000005</v>
      </c>
      <c r="G301" s="55">
        <f t="shared" si="18"/>
        <v>8.3311350537665016E-2</v>
      </c>
      <c r="I301" s="49">
        <f t="shared" si="19"/>
        <v>-2.4851704781356583</v>
      </c>
    </row>
    <row r="302" spans="1:9">
      <c r="A302" s="23" t="s">
        <v>339</v>
      </c>
      <c r="B302" s="41">
        <v>7.93</v>
      </c>
      <c r="E302" s="41">
        <f t="shared" si="16"/>
        <v>7.9299999999999995E-2</v>
      </c>
      <c r="F302" s="49">
        <f t="shared" si="17"/>
        <v>0.96035000000000004</v>
      </c>
      <c r="G302" s="55">
        <f t="shared" si="18"/>
        <v>8.0914955262552102E-2</v>
      </c>
      <c r="I302" s="49">
        <f t="shared" si="19"/>
        <v>-2.5143566109078104</v>
      </c>
    </row>
    <row r="303" spans="1:9">
      <c r="A303" s="23" t="s">
        <v>340</v>
      </c>
      <c r="B303" s="41">
        <v>8.23</v>
      </c>
      <c r="E303" s="41">
        <f t="shared" si="16"/>
        <v>8.2299999999999998E-2</v>
      </c>
      <c r="F303" s="49">
        <f t="shared" si="17"/>
        <v>0.95884999999999998</v>
      </c>
      <c r="G303" s="55">
        <f t="shared" si="18"/>
        <v>8.4041258525224927E-2</v>
      </c>
      <c r="I303" s="49">
        <f t="shared" si="19"/>
        <v>-2.4764474278054132</v>
      </c>
    </row>
    <row r="304" spans="1:9">
      <c r="A304" s="23" t="s">
        <v>341</v>
      </c>
      <c r="B304" s="41">
        <v>8.3699999999999992</v>
      </c>
      <c r="E304" s="41">
        <f t="shared" si="16"/>
        <v>8.3699999999999997E-2</v>
      </c>
      <c r="F304" s="49">
        <f t="shared" si="17"/>
        <v>0.95815000000000006</v>
      </c>
      <c r="G304" s="55">
        <f t="shared" si="18"/>
        <v>8.5501874135265568E-2</v>
      </c>
      <c r="I304" s="49">
        <f t="shared" si="19"/>
        <v>-2.4592169835689477</v>
      </c>
    </row>
    <row r="305" spans="1:9">
      <c r="A305" s="23" t="s">
        <v>342</v>
      </c>
      <c r="B305" s="41">
        <v>8.3000000000000007</v>
      </c>
      <c r="E305" s="41">
        <f t="shared" si="16"/>
        <v>8.3000000000000004E-2</v>
      </c>
      <c r="F305" s="49">
        <f t="shared" si="17"/>
        <v>0.95850000000000002</v>
      </c>
      <c r="G305" s="55">
        <f t="shared" si="18"/>
        <v>8.4771432992875692E-2</v>
      </c>
      <c r="I305" s="49">
        <f t="shared" si="19"/>
        <v>-2.4677966680234507</v>
      </c>
    </row>
    <row r="306" spans="1:9">
      <c r="A306" s="23" t="s">
        <v>343</v>
      </c>
      <c r="B306" s="41">
        <v>8.2200000000000006</v>
      </c>
      <c r="E306" s="41">
        <f t="shared" si="16"/>
        <v>8.2200000000000009E-2</v>
      </c>
      <c r="F306" s="49">
        <f t="shared" si="17"/>
        <v>0.95889999999999997</v>
      </c>
      <c r="G306" s="55">
        <f t="shared" si="18"/>
        <v>8.3936969645003162E-2</v>
      </c>
      <c r="I306" s="49">
        <f t="shared" si="19"/>
        <v>-2.4776891231698333</v>
      </c>
    </row>
    <row r="307" spans="1:9">
      <c r="A307" s="23" t="s">
        <v>344</v>
      </c>
      <c r="B307" s="41">
        <v>8.89</v>
      </c>
      <c r="E307" s="41">
        <f t="shared" si="16"/>
        <v>8.8900000000000007E-2</v>
      </c>
      <c r="F307" s="49">
        <f t="shared" si="17"/>
        <v>0.95555000000000001</v>
      </c>
      <c r="G307" s="55">
        <f t="shared" si="18"/>
        <v>9.0936376094293572E-2</v>
      </c>
      <c r="I307" s="49">
        <f t="shared" si="19"/>
        <v>-2.3975951807932514</v>
      </c>
    </row>
    <row r="308" spans="1:9">
      <c r="A308" s="23" t="s">
        <v>345</v>
      </c>
      <c r="B308" s="41">
        <v>9.26</v>
      </c>
      <c r="E308" s="41">
        <f t="shared" si="16"/>
        <v>9.2600000000000002E-2</v>
      </c>
      <c r="F308" s="49">
        <f t="shared" si="17"/>
        <v>0.95369999999999999</v>
      </c>
      <c r="G308" s="55">
        <f t="shared" si="18"/>
        <v>9.4812244794540701E-2</v>
      </c>
      <c r="I308" s="49">
        <f t="shared" si="19"/>
        <v>-2.3558567135628024</v>
      </c>
    </row>
    <row r="309" spans="1:9">
      <c r="A309" s="23" t="s">
        <v>346</v>
      </c>
      <c r="B309" s="41">
        <v>9.51</v>
      </c>
      <c r="E309" s="41">
        <f t="shared" si="16"/>
        <v>9.5100000000000004E-2</v>
      </c>
      <c r="F309" s="49">
        <f t="shared" si="17"/>
        <v>0.95245000000000002</v>
      </c>
      <c r="G309" s="55">
        <f t="shared" si="18"/>
        <v>9.7435333594859924E-2</v>
      </c>
      <c r="I309" s="49">
        <f t="shared" si="19"/>
        <v>-2.3285663662036455</v>
      </c>
    </row>
    <row r="310" spans="1:9">
      <c r="A310" s="23" t="s">
        <v>347</v>
      </c>
      <c r="B310" s="41">
        <v>9.15</v>
      </c>
      <c r="E310" s="41">
        <f t="shared" si="16"/>
        <v>9.1499999999999998E-2</v>
      </c>
      <c r="F310" s="49">
        <f t="shared" si="17"/>
        <v>0.95425000000000004</v>
      </c>
      <c r="G310" s="55">
        <f t="shared" si="18"/>
        <v>9.3659174713595778E-2</v>
      </c>
      <c r="I310" s="49">
        <f t="shared" si="19"/>
        <v>-2.368092886779595</v>
      </c>
    </row>
    <row r="311" spans="1:9">
      <c r="A311" s="23" t="s">
        <v>348</v>
      </c>
      <c r="B311" s="41">
        <v>8.83</v>
      </c>
      <c r="E311" s="41">
        <f t="shared" si="16"/>
        <v>8.8300000000000003E-2</v>
      </c>
      <c r="F311" s="49">
        <f t="shared" si="17"/>
        <v>0.95584999999999998</v>
      </c>
      <c r="G311" s="55">
        <f t="shared" si="18"/>
        <v>9.0308564014219508E-2</v>
      </c>
      <c r="I311" s="49">
        <f t="shared" si="19"/>
        <v>-2.4045229834745747</v>
      </c>
    </row>
    <row r="312" spans="1:9">
      <c r="A312" s="23" t="s">
        <v>349</v>
      </c>
      <c r="B312" s="41">
        <v>8.93</v>
      </c>
      <c r="E312" s="41">
        <f t="shared" si="16"/>
        <v>8.929999999999999E-2</v>
      </c>
      <c r="F312" s="49">
        <f t="shared" si="17"/>
        <v>0.95535000000000003</v>
      </c>
      <c r="G312" s="55">
        <f t="shared" si="18"/>
        <v>9.1355026993305069E-2</v>
      </c>
      <c r="I312" s="49">
        <f t="shared" si="19"/>
        <v>-2.3930019676415113</v>
      </c>
    </row>
    <row r="313" spans="1:9">
      <c r="A313" s="23" t="s">
        <v>350</v>
      </c>
      <c r="B313" s="41">
        <v>9.17</v>
      </c>
      <c r="E313" s="41">
        <f t="shared" si="16"/>
        <v>9.1700000000000004E-2</v>
      </c>
      <c r="F313" s="49">
        <f t="shared" si="17"/>
        <v>0.95415000000000005</v>
      </c>
      <c r="G313" s="55">
        <f t="shared" si="18"/>
        <v>9.3868774378428124E-2</v>
      </c>
      <c r="I313" s="49">
        <f t="shared" si="19"/>
        <v>-2.365857489302813</v>
      </c>
    </row>
    <row r="314" spans="1:9">
      <c r="A314" s="23" t="s">
        <v>351</v>
      </c>
      <c r="B314" s="41">
        <v>9.01</v>
      </c>
      <c r="E314" s="41">
        <f t="shared" si="16"/>
        <v>9.01E-2</v>
      </c>
      <c r="F314" s="49">
        <f t="shared" si="17"/>
        <v>0.95494999999999997</v>
      </c>
      <c r="G314" s="55">
        <f t="shared" si="18"/>
        <v>9.2192591785947103E-2</v>
      </c>
      <c r="I314" s="49">
        <f t="shared" si="19"/>
        <v>-2.3838755010409729</v>
      </c>
    </row>
    <row r="315" spans="1:9">
      <c r="A315" s="23" t="s">
        <v>352</v>
      </c>
      <c r="B315" s="41">
        <v>9.18</v>
      </c>
      <c r="E315" s="41">
        <f t="shared" si="16"/>
        <v>9.1799999999999993E-2</v>
      </c>
      <c r="F315" s="49">
        <f t="shared" si="17"/>
        <v>0.95409999999999995</v>
      </c>
      <c r="G315" s="55">
        <f t="shared" si="18"/>
        <v>9.3973582448673737E-2</v>
      </c>
      <c r="I315" s="49">
        <f t="shared" si="19"/>
        <v>-2.3647415739907172</v>
      </c>
    </row>
    <row r="316" spans="1:9">
      <c r="A316" s="23" t="s">
        <v>353</v>
      </c>
      <c r="B316" s="41">
        <v>9.66</v>
      </c>
      <c r="E316" s="41">
        <f t="shared" si="16"/>
        <v>9.6600000000000005E-2</v>
      </c>
      <c r="F316" s="49">
        <f t="shared" si="17"/>
        <v>0.95169999999999999</v>
      </c>
      <c r="G316" s="55">
        <f t="shared" si="18"/>
        <v>9.9010839807678691E-2</v>
      </c>
      <c r="I316" s="49">
        <f t="shared" si="19"/>
        <v>-2.3125259418346134</v>
      </c>
    </row>
    <row r="317" spans="1:9">
      <c r="A317" s="23" t="s">
        <v>354</v>
      </c>
      <c r="B317" s="41">
        <v>9.84</v>
      </c>
      <c r="E317" s="41">
        <f t="shared" si="16"/>
        <v>9.8400000000000001E-2</v>
      </c>
      <c r="F317" s="49">
        <f t="shared" si="17"/>
        <v>0.95079999999999998</v>
      </c>
      <c r="G317" s="55">
        <f t="shared" si="18"/>
        <v>0.10090308699219644</v>
      </c>
      <c r="I317" s="49">
        <f t="shared" si="19"/>
        <v>-2.2935947575197511</v>
      </c>
    </row>
    <row r="318" spans="1:9">
      <c r="A318" s="23" t="s">
        <v>355</v>
      </c>
      <c r="B318" s="41">
        <v>10.31</v>
      </c>
      <c r="E318" s="41">
        <f t="shared" si="16"/>
        <v>0.10310000000000001</v>
      </c>
      <c r="F318" s="49">
        <f t="shared" si="17"/>
        <v>0.94845000000000002</v>
      </c>
      <c r="G318" s="55">
        <f t="shared" si="18"/>
        <v>0.10585241161881026</v>
      </c>
      <c r="I318" s="49">
        <f t="shared" si="19"/>
        <v>-2.2457094982993424</v>
      </c>
    </row>
    <row r="319" spans="1:9">
      <c r="A319" s="23" t="s">
        <v>356</v>
      </c>
      <c r="B319" s="41">
        <v>10.51</v>
      </c>
      <c r="E319" s="41">
        <f t="shared" si="16"/>
        <v>0.1051</v>
      </c>
      <c r="F319" s="49">
        <f t="shared" si="17"/>
        <v>0.94745000000000001</v>
      </c>
      <c r="G319" s="55">
        <f t="shared" si="18"/>
        <v>0.10796222773302708</v>
      </c>
      <c r="I319" s="49">
        <f t="shared" si="19"/>
        <v>-2.2259738562450511</v>
      </c>
    </row>
    <row r="320" spans="1:9">
      <c r="A320" s="23" t="s">
        <v>357</v>
      </c>
      <c r="B320" s="41">
        <v>10.52</v>
      </c>
      <c r="E320" s="41">
        <f t="shared" si="16"/>
        <v>0.1052</v>
      </c>
      <c r="F320" s="49">
        <f t="shared" si="17"/>
        <v>0.94740000000000002</v>
      </c>
      <c r="G320" s="55">
        <f t="shared" si="18"/>
        <v>0.10806777698497125</v>
      </c>
      <c r="I320" s="49">
        <f t="shared" si="19"/>
        <v>-2.2249966840186213</v>
      </c>
    </row>
    <row r="321" spans="1:9">
      <c r="A321" s="23" t="s">
        <v>358</v>
      </c>
      <c r="B321" s="41">
        <v>10.61</v>
      </c>
      <c r="E321" s="41">
        <f t="shared" si="16"/>
        <v>0.1061</v>
      </c>
      <c r="F321" s="49">
        <f t="shared" si="17"/>
        <v>0.94694999999999996</v>
      </c>
      <c r="G321" s="55">
        <f t="shared" si="18"/>
        <v>0.10901797100078554</v>
      </c>
      <c r="I321" s="49">
        <f t="shared" si="19"/>
        <v>-2.2162425387759765</v>
      </c>
    </row>
    <row r="322" spans="1:9">
      <c r="A322" s="23" t="s">
        <v>359</v>
      </c>
      <c r="B322" s="41">
        <v>10.47</v>
      </c>
      <c r="E322" s="41">
        <f t="shared" si="16"/>
        <v>0.1047</v>
      </c>
      <c r="F322" s="49">
        <f t="shared" si="17"/>
        <v>0.94764999999999999</v>
      </c>
      <c r="G322" s="55">
        <f t="shared" si="18"/>
        <v>0.10754008641965578</v>
      </c>
      <c r="I322" s="49">
        <f t="shared" si="19"/>
        <v>-2.2298916039961689</v>
      </c>
    </row>
    <row r="323" spans="1:9">
      <c r="A323" s="23" t="s">
        <v>360</v>
      </c>
      <c r="B323" s="41">
        <v>9.8699999999999992</v>
      </c>
      <c r="E323" s="41">
        <f t="shared" si="16"/>
        <v>9.8699999999999996E-2</v>
      </c>
      <c r="F323" s="49">
        <f t="shared" si="17"/>
        <v>0.95065</v>
      </c>
      <c r="G323" s="55">
        <f t="shared" si="18"/>
        <v>0.10121863565308395</v>
      </c>
      <c r="I323" s="49">
        <f t="shared" si="19"/>
        <v>-2.2904723923121026</v>
      </c>
    </row>
    <row r="324" spans="1:9">
      <c r="A324" s="23" t="s">
        <v>361</v>
      </c>
      <c r="B324" s="41">
        <v>8.81</v>
      </c>
      <c r="E324" s="41">
        <f t="shared" si="16"/>
        <v>8.8100000000000012E-2</v>
      </c>
      <c r="F324" s="49">
        <f t="shared" si="17"/>
        <v>0.95594999999999997</v>
      </c>
      <c r="G324" s="55">
        <f t="shared" si="18"/>
        <v>9.0099337107448538E-2</v>
      </c>
      <c r="I324" s="49">
        <f t="shared" si="19"/>
        <v>-2.4068424716929284</v>
      </c>
    </row>
    <row r="325" spans="1:9">
      <c r="A325" s="23" t="s">
        <v>362</v>
      </c>
      <c r="B325" s="41">
        <v>8.2799999999999994</v>
      </c>
      <c r="E325" s="41">
        <f t="shared" si="16"/>
        <v>8.2799999999999999E-2</v>
      </c>
      <c r="F325" s="49">
        <f t="shared" si="17"/>
        <v>0.95860000000000001</v>
      </c>
      <c r="G325" s="55">
        <f t="shared" si="18"/>
        <v>8.456278451321228E-2</v>
      </c>
      <c r="I325" s="49">
        <f t="shared" si="19"/>
        <v>-2.4702610085250853</v>
      </c>
    </row>
    <row r="326" spans="1:9">
      <c r="A326" s="23" t="s">
        <v>363</v>
      </c>
      <c r="B326" s="41">
        <v>8</v>
      </c>
      <c r="E326" s="41">
        <f t="shared" si="16"/>
        <v>0.08</v>
      </c>
      <c r="F326" s="49">
        <f t="shared" si="17"/>
        <v>0.96</v>
      </c>
      <c r="G326" s="55">
        <f t="shared" si="18"/>
        <v>8.1643989040510331E-2</v>
      </c>
      <c r="I326" s="49">
        <f t="shared" si="19"/>
        <v>-2.5053870808854395</v>
      </c>
    </row>
    <row r="327" spans="1:9">
      <c r="A327" s="23" t="s">
        <v>364</v>
      </c>
      <c r="B327" s="41">
        <v>8.39</v>
      </c>
      <c r="E327" s="41">
        <f t="shared" si="16"/>
        <v>8.3900000000000002E-2</v>
      </c>
      <c r="F327" s="49">
        <f t="shared" si="17"/>
        <v>0.95804999999999996</v>
      </c>
      <c r="G327" s="55">
        <f t="shared" si="18"/>
        <v>8.5710620612858474E-2</v>
      </c>
      <c r="I327" s="49">
        <f t="shared" si="19"/>
        <v>-2.4567785332521694</v>
      </c>
    </row>
    <row r="328" spans="1:9">
      <c r="A328" s="23" t="s">
        <v>365</v>
      </c>
      <c r="B328" s="41">
        <v>8.9</v>
      </c>
      <c r="E328" s="41">
        <f t="shared" si="16"/>
        <v>8.900000000000001E-2</v>
      </c>
      <c r="F328" s="49">
        <f t="shared" si="17"/>
        <v>0.95550000000000002</v>
      </c>
      <c r="G328" s="55">
        <f t="shared" si="18"/>
        <v>9.1041030603618608E-2</v>
      </c>
      <c r="I328" s="49">
        <f t="shared" si="19"/>
        <v>-2.3964449883296735</v>
      </c>
    </row>
    <row r="329" spans="1:9">
      <c r="A329" s="23" t="s">
        <v>366</v>
      </c>
      <c r="B329" s="41">
        <v>8.23</v>
      </c>
      <c r="E329" s="41">
        <f t="shared" si="16"/>
        <v>8.2299999999999998E-2</v>
      </c>
      <c r="F329" s="49">
        <f t="shared" si="17"/>
        <v>0.95884999999999998</v>
      </c>
      <c r="G329" s="55">
        <f t="shared" si="18"/>
        <v>8.4041258525224927E-2</v>
      </c>
      <c r="I329" s="49">
        <f t="shared" si="19"/>
        <v>-2.4764474278054132</v>
      </c>
    </row>
    <row r="330" spans="1:9">
      <c r="A330" s="23" t="s">
        <v>367</v>
      </c>
      <c r="B330" s="41">
        <v>7.65</v>
      </c>
      <c r="E330" s="41">
        <f t="shared" si="16"/>
        <v>7.6499999999999999E-2</v>
      </c>
      <c r="F330" s="49">
        <f t="shared" si="17"/>
        <v>0.96174999999999999</v>
      </c>
      <c r="G330" s="55">
        <f t="shared" si="18"/>
        <v>7.8001474699465112E-2</v>
      </c>
      <c r="I330" s="49">
        <f t="shared" si="19"/>
        <v>-2.5510275460678704</v>
      </c>
    </row>
    <row r="331" spans="1:9">
      <c r="A331" s="23" t="s">
        <v>368</v>
      </c>
      <c r="B331" s="41">
        <v>7.09</v>
      </c>
      <c r="E331" s="41">
        <f t="shared" si="16"/>
        <v>7.0900000000000005E-2</v>
      </c>
      <c r="F331" s="49">
        <f t="shared" si="17"/>
        <v>0.96455000000000002</v>
      </c>
      <c r="G331" s="55">
        <f t="shared" si="18"/>
        <v>7.2187215296477411E-2</v>
      </c>
      <c r="I331" s="49">
        <f t="shared" si="19"/>
        <v>-2.6284923222187033</v>
      </c>
    </row>
    <row r="332" spans="1:9">
      <c r="A332" s="23" t="s">
        <v>369</v>
      </c>
      <c r="B332" s="41">
        <v>7.2</v>
      </c>
      <c r="E332" s="41">
        <f t="shared" si="16"/>
        <v>7.2000000000000008E-2</v>
      </c>
      <c r="F332" s="49">
        <f t="shared" si="17"/>
        <v>0.96399999999999997</v>
      </c>
      <c r="G332" s="55">
        <f t="shared" si="18"/>
        <v>7.3327968743182939E-2</v>
      </c>
      <c r="I332" s="49">
        <f t="shared" si="19"/>
        <v>-2.6128131774757839</v>
      </c>
    </row>
    <row r="333" spans="1:9">
      <c r="A333" s="23" t="s">
        <v>370</v>
      </c>
      <c r="B333" s="41">
        <v>7.32</v>
      </c>
      <c r="E333" s="41">
        <f t="shared" si="16"/>
        <v>7.3200000000000001E-2</v>
      </c>
      <c r="F333" s="49">
        <f t="shared" si="17"/>
        <v>0.96340000000000003</v>
      </c>
      <c r="G333" s="55">
        <f t="shared" si="18"/>
        <v>7.4573169572033207E-2</v>
      </c>
      <c r="I333" s="49">
        <f t="shared" si="19"/>
        <v>-2.5959744936759397</v>
      </c>
    </row>
    <row r="334" spans="1:9">
      <c r="A334" s="23" t="s">
        <v>371</v>
      </c>
      <c r="B334" s="41">
        <v>7.27</v>
      </c>
      <c r="E334" s="41">
        <f t="shared" ref="E334:E397" si="20">B334/100</f>
        <v>7.2700000000000001E-2</v>
      </c>
      <c r="F334" s="49">
        <f t="shared" ref="F334:F397" si="21">1-180/360*E334</f>
        <v>0.96365000000000001</v>
      </c>
      <c r="G334" s="55">
        <f t="shared" ref="G334:G397" si="22">-1/0.5*LN(F334)</f>
        <v>7.4054241674153018E-2</v>
      </c>
      <c r="I334" s="49">
        <f t="shared" ref="I334:I397" si="23">LN(G334)</f>
        <v>-2.6029574586913742</v>
      </c>
    </row>
    <row r="335" spans="1:9">
      <c r="A335" s="23" t="s">
        <v>372</v>
      </c>
      <c r="B335" s="41">
        <v>7.33</v>
      </c>
      <c r="E335" s="41">
        <f t="shared" si="20"/>
        <v>7.3300000000000004E-2</v>
      </c>
      <c r="F335" s="49">
        <f t="shared" si="21"/>
        <v>0.96335000000000004</v>
      </c>
      <c r="G335" s="55">
        <f t="shared" si="22"/>
        <v>7.4676971310735613E-2</v>
      </c>
      <c r="I335" s="49">
        <f t="shared" si="23"/>
        <v>-2.594583516691598</v>
      </c>
    </row>
    <row r="336" spans="1:9">
      <c r="A336" s="23" t="s">
        <v>373</v>
      </c>
      <c r="B336" s="41">
        <v>7.3</v>
      </c>
      <c r="E336" s="41">
        <f t="shared" si="20"/>
        <v>7.2999999999999995E-2</v>
      </c>
      <c r="F336" s="49">
        <f t="shared" si="21"/>
        <v>0.96350000000000002</v>
      </c>
      <c r="G336" s="55">
        <f t="shared" si="22"/>
        <v>7.4365582255431897E-2</v>
      </c>
      <c r="I336" s="49">
        <f t="shared" si="23"/>
        <v>-2.5987620482710327</v>
      </c>
    </row>
    <row r="337" spans="1:9">
      <c r="A337" s="23" t="s">
        <v>374</v>
      </c>
      <c r="B337" s="41">
        <v>7.14</v>
      </c>
      <c r="E337" s="41">
        <f t="shared" si="20"/>
        <v>7.1399999999999991E-2</v>
      </c>
      <c r="F337" s="49">
        <f t="shared" si="21"/>
        <v>0.96430000000000005</v>
      </c>
      <c r="G337" s="55">
        <f t="shared" si="22"/>
        <v>7.2705658931596542E-2</v>
      </c>
      <c r="I337" s="49">
        <f t="shared" si="23"/>
        <v>-2.6213360579727354</v>
      </c>
    </row>
    <row r="338" spans="1:9">
      <c r="A338" s="23" t="s">
        <v>375</v>
      </c>
      <c r="B338" s="41">
        <v>7.16</v>
      </c>
      <c r="E338" s="41">
        <f t="shared" si="20"/>
        <v>7.1599999999999997E-2</v>
      </c>
      <c r="F338" s="49">
        <f t="shared" si="21"/>
        <v>0.96419999999999995</v>
      </c>
      <c r="G338" s="55">
        <f t="shared" si="22"/>
        <v>7.2913074021230415E-2</v>
      </c>
      <c r="I338" s="49">
        <f t="shared" si="23"/>
        <v>-2.6184873141923402</v>
      </c>
    </row>
    <row r="339" spans="1:9">
      <c r="A339" s="23" t="s">
        <v>376</v>
      </c>
      <c r="B339" s="41">
        <v>7.11</v>
      </c>
      <c r="E339" s="41">
        <f t="shared" si="20"/>
        <v>7.1099999999999997E-2</v>
      </c>
      <c r="F339" s="49">
        <f t="shared" si="21"/>
        <v>0.96445000000000003</v>
      </c>
      <c r="G339" s="55">
        <f t="shared" si="22"/>
        <v>7.2394576623775631E-2</v>
      </c>
      <c r="I339" s="49">
        <f t="shared" si="23"/>
        <v>-2.6256238909076353</v>
      </c>
    </row>
    <row r="340" spans="1:9">
      <c r="A340" s="23" t="s">
        <v>377</v>
      </c>
      <c r="B340" s="41">
        <v>6.57</v>
      </c>
      <c r="E340" s="41">
        <f t="shared" si="20"/>
        <v>6.5700000000000008E-2</v>
      </c>
      <c r="F340" s="49">
        <f t="shared" si="21"/>
        <v>0.96714999999999995</v>
      </c>
      <c r="G340" s="55">
        <f t="shared" si="22"/>
        <v>6.6803353268060695E-2</v>
      </c>
      <c r="I340" s="49">
        <f t="shared" si="23"/>
        <v>-2.7060020010757828</v>
      </c>
    </row>
    <row r="341" spans="1:9">
      <c r="A341" s="23" t="s">
        <v>378</v>
      </c>
      <c r="B341" s="41">
        <v>6.08</v>
      </c>
      <c r="E341" s="41">
        <f t="shared" si="20"/>
        <v>6.08E-2</v>
      </c>
      <c r="F341" s="49">
        <f t="shared" si="21"/>
        <v>0.96960000000000002</v>
      </c>
      <c r="G341" s="55">
        <f t="shared" si="22"/>
        <v>6.1743327334174057E-2</v>
      </c>
      <c r="I341" s="49">
        <f t="shared" si="23"/>
        <v>-2.7847693686784867</v>
      </c>
    </row>
    <row r="342" spans="1:9">
      <c r="A342" s="23" t="s">
        <v>379</v>
      </c>
      <c r="B342" s="41">
        <v>6.19</v>
      </c>
      <c r="E342" s="41">
        <f t="shared" si="20"/>
        <v>6.1900000000000004E-2</v>
      </c>
      <c r="F342" s="49">
        <f t="shared" si="21"/>
        <v>0.96904999999999997</v>
      </c>
      <c r="G342" s="55">
        <f t="shared" si="22"/>
        <v>6.287813767076092E-2</v>
      </c>
      <c r="I342" s="49">
        <f t="shared" si="23"/>
        <v>-2.7665567484950619</v>
      </c>
    </row>
    <row r="343" spans="1:9">
      <c r="A343" s="23" t="s">
        <v>380</v>
      </c>
      <c r="B343" s="41">
        <v>6.27</v>
      </c>
      <c r="E343" s="41">
        <f t="shared" si="20"/>
        <v>6.2699999999999992E-2</v>
      </c>
      <c r="F343" s="49">
        <f t="shared" si="21"/>
        <v>0.96865000000000001</v>
      </c>
      <c r="G343" s="55">
        <f t="shared" si="22"/>
        <v>6.370385889836426E-2</v>
      </c>
      <c r="I343" s="49">
        <f t="shared" si="23"/>
        <v>-2.7535101389866821</v>
      </c>
    </row>
    <row r="344" spans="1:9">
      <c r="A344" s="23" t="s">
        <v>381</v>
      </c>
      <c r="B344" s="41">
        <v>5.86</v>
      </c>
      <c r="E344" s="41">
        <f t="shared" si="20"/>
        <v>5.8600000000000006E-2</v>
      </c>
      <c r="F344" s="49">
        <f t="shared" si="21"/>
        <v>0.97070000000000001</v>
      </c>
      <c r="G344" s="55">
        <f t="shared" si="22"/>
        <v>5.9475636527912865E-2</v>
      </c>
      <c r="I344" s="49">
        <f t="shared" si="23"/>
        <v>-2.8221885204054455</v>
      </c>
    </row>
    <row r="345" spans="1:9">
      <c r="A345" s="23" t="s">
        <v>382</v>
      </c>
      <c r="B345" s="41">
        <v>5.55</v>
      </c>
      <c r="E345" s="41">
        <f t="shared" si="20"/>
        <v>5.5500000000000001E-2</v>
      </c>
      <c r="F345" s="49">
        <f t="shared" si="21"/>
        <v>0.97224999999999995</v>
      </c>
      <c r="G345" s="55">
        <f t="shared" si="22"/>
        <v>5.6284611892560878E-2</v>
      </c>
      <c r="I345" s="49">
        <f t="shared" si="23"/>
        <v>-2.8773341045964802</v>
      </c>
    </row>
    <row r="346" spans="1:9">
      <c r="A346" s="23" t="s">
        <v>383</v>
      </c>
      <c r="B346" s="41">
        <v>5.35</v>
      </c>
      <c r="E346" s="41">
        <f t="shared" si="20"/>
        <v>5.3499999999999999E-2</v>
      </c>
      <c r="F346" s="49">
        <f t="shared" si="21"/>
        <v>0.97324999999999995</v>
      </c>
      <c r="G346" s="55">
        <f t="shared" si="22"/>
        <v>5.4228584983143993E-2</v>
      </c>
      <c r="I346" s="49">
        <f t="shared" si="23"/>
        <v>-2.9145471113491062</v>
      </c>
    </row>
    <row r="347" spans="1:9">
      <c r="A347" s="23" t="s">
        <v>384</v>
      </c>
      <c r="B347" s="41">
        <v>5.26</v>
      </c>
      <c r="E347" s="41">
        <f t="shared" si="20"/>
        <v>5.2600000000000001E-2</v>
      </c>
      <c r="F347" s="49">
        <f t="shared" si="21"/>
        <v>0.97370000000000001</v>
      </c>
      <c r="G347" s="55">
        <f t="shared" si="22"/>
        <v>5.3304061994853026E-2</v>
      </c>
      <c r="I347" s="49">
        <f t="shared" si="23"/>
        <v>-2.9317427406794092</v>
      </c>
    </row>
    <row r="348" spans="1:9">
      <c r="A348" s="23" t="s">
        <v>385</v>
      </c>
      <c r="B348" s="41">
        <v>5.41</v>
      </c>
      <c r="E348" s="41">
        <f t="shared" si="20"/>
        <v>5.4100000000000002E-2</v>
      </c>
      <c r="F348" s="49">
        <f t="shared" si="21"/>
        <v>0.97294999999999998</v>
      </c>
      <c r="G348" s="55">
        <f t="shared" si="22"/>
        <v>5.4845171155944492E-2</v>
      </c>
      <c r="I348" s="49">
        <f t="shared" si="23"/>
        <v>-2.9032411334026862</v>
      </c>
    </row>
    <row r="349" spans="1:9">
      <c r="A349" s="23" t="s">
        <v>386</v>
      </c>
      <c r="B349" s="41">
        <v>5.55</v>
      </c>
      <c r="E349" s="41">
        <f t="shared" si="20"/>
        <v>5.5500000000000001E-2</v>
      </c>
      <c r="F349" s="49">
        <f t="shared" si="21"/>
        <v>0.97224999999999995</v>
      </c>
      <c r="G349" s="55">
        <f t="shared" si="22"/>
        <v>5.6284611892560878E-2</v>
      </c>
      <c r="I349" s="49">
        <f t="shared" si="23"/>
        <v>-2.8773341045964802</v>
      </c>
    </row>
    <row r="350" spans="1:9">
      <c r="A350" s="23" t="s">
        <v>387</v>
      </c>
      <c r="B350" s="41">
        <v>5.44</v>
      </c>
      <c r="E350" s="41">
        <f t="shared" si="20"/>
        <v>5.4400000000000004E-2</v>
      </c>
      <c r="F350" s="49">
        <f t="shared" si="21"/>
        <v>0.9728</v>
      </c>
      <c r="G350" s="55">
        <f t="shared" si="22"/>
        <v>5.5153535540468986E-2</v>
      </c>
      <c r="I350" s="49">
        <f t="shared" si="23"/>
        <v>-2.8976344276226778</v>
      </c>
    </row>
    <row r="351" spans="1:9">
      <c r="A351" s="23" t="s">
        <v>388</v>
      </c>
      <c r="B351" s="41">
        <v>5.59</v>
      </c>
      <c r="E351" s="41">
        <f t="shared" si="20"/>
        <v>5.5899999999999998E-2</v>
      </c>
      <c r="F351" s="49">
        <f t="shared" si="21"/>
        <v>0.97204999999999997</v>
      </c>
      <c r="G351" s="55">
        <f t="shared" si="22"/>
        <v>5.6696071030976528E-2</v>
      </c>
      <c r="I351" s="49">
        <f t="shared" si="23"/>
        <v>-2.8700503646356745</v>
      </c>
    </row>
    <row r="352" spans="1:9">
      <c r="A352" s="23" t="s">
        <v>389</v>
      </c>
      <c r="B352" s="41">
        <v>5.6</v>
      </c>
      <c r="E352" s="41">
        <f t="shared" si="20"/>
        <v>5.5999999999999994E-2</v>
      </c>
      <c r="F352" s="49">
        <f t="shared" si="21"/>
        <v>0.97199999999999998</v>
      </c>
      <c r="G352" s="55">
        <f t="shared" si="22"/>
        <v>5.6798949043396003E-2</v>
      </c>
      <c r="I352" s="49">
        <f t="shared" si="23"/>
        <v>-2.8682374561833219</v>
      </c>
    </row>
    <row r="353" spans="1:9">
      <c r="A353" s="23" t="s">
        <v>390</v>
      </c>
      <c r="B353" s="41">
        <v>5.9</v>
      </c>
      <c r="E353" s="41">
        <f t="shared" si="20"/>
        <v>5.9000000000000004E-2</v>
      </c>
      <c r="F353" s="49">
        <f t="shared" si="21"/>
        <v>0.97050000000000003</v>
      </c>
      <c r="G353" s="55">
        <f t="shared" si="22"/>
        <v>5.9887752746144149E-2</v>
      </c>
      <c r="I353" s="49">
        <f t="shared" si="23"/>
        <v>-2.8152832564329122</v>
      </c>
    </row>
    <row r="354" spans="1:9">
      <c r="A354" s="23" t="s">
        <v>391</v>
      </c>
      <c r="B354" s="41">
        <v>6.05</v>
      </c>
      <c r="E354" s="41">
        <f t="shared" si="20"/>
        <v>6.0499999999999998E-2</v>
      </c>
      <c r="F354" s="49">
        <f t="shared" si="21"/>
        <v>0.96975</v>
      </c>
      <c r="G354" s="55">
        <f t="shared" si="22"/>
        <v>6.1433945324120998E-2</v>
      </c>
      <c r="I354" s="49">
        <f t="shared" si="23"/>
        <v>-2.7897927411555967</v>
      </c>
    </row>
    <row r="355" spans="1:9">
      <c r="A355" s="23" t="s">
        <v>392</v>
      </c>
      <c r="B355" s="41">
        <v>5.99</v>
      </c>
      <c r="E355" s="41">
        <f t="shared" si="20"/>
        <v>5.9900000000000002E-2</v>
      </c>
      <c r="F355" s="49">
        <f t="shared" si="21"/>
        <v>0.97004999999999997</v>
      </c>
      <c r="G355" s="55">
        <f t="shared" si="22"/>
        <v>6.0815324842851202E-2</v>
      </c>
      <c r="I355" s="49">
        <f t="shared" si="23"/>
        <v>-2.7999134684337528</v>
      </c>
    </row>
    <row r="356" spans="1:9">
      <c r="A356" s="23" t="s">
        <v>393</v>
      </c>
      <c r="B356" s="41">
        <v>5.76</v>
      </c>
      <c r="E356" s="41">
        <f t="shared" si="20"/>
        <v>5.7599999999999998E-2</v>
      </c>
      <c r="F356" s="49">
        <f t="shared" si="21"/>
        <v>0.97119999999999995</v>
      </c>
      <c r="G356" s="55">
        <f t="shared" si="22"/>
        <v>5.8445717353806569E-2</v>
      </c>
      <c r="I356" s="49">
        <f t="shared" si="23"/>
        <v>-2.8396568639998403</v>
      </c>
    </row>
    <row r="357" spans="1:9">
      <c r="A357" s="23" t="s">
        <v>394</v>
      </c>
      <c r="B357" s="41">
        <v>6.15</v>
      </c>
      <c r="E357" s="41">
        <f t="shared" si="20"/>
        <v>6.1500000000000006E-2</v>
      </c>
      <c r="F357" s="49">
        <f t="shared" si="21"/>
        <v>0.96924999999999994</v>
      </c>
      <c r="G357" s="55">
        <f t="shared" si="22"/>
        <v>6.2465404862197198E-2</v>
      </c>
      <c r="I357" s="49">
        <f t="shared" si="23"/>
        <v>-2.7731423976945959</v>
      </c>
    </row>
    <row r="358" spans="1:9">
      <c r="A358" s="23" t="s">
        <v>395</v>
      </c>
      <c r="B358" s="41">
        <v>6.64</v>
      </c>
      <c r="E358" s="41">
        <f t="shared" si="20"/>
        <v>6.6400000000000001E-2</v>
      </c>
      <c r="F358" s="49">
        <f t="shared" si="21"/>
        <v>0.96679999999999999</v>
      </c>
      <c r="G358" s="55">
        <f t="shared" si="22"/>
        <v>6.7527260305618231E-2</v>
      </c>
      <c r="I358" s="49">
        <f t="shared" si="23"/>
        <v>-2.6952239062521617</v>
      </c>
    </row>
    <row r="359" spans="1:9">
      <c r="A359" s="23" t="s">
        <v>396</v>
      </c>
      <c r="B359" s="41">
        <v>6.69</v>
      </c>
      <c r="E359" s="41">
        <f t="shared" si="20"/>
        <v>6.6900000000000001E-2</v>
      </c>
      <c r="F359" s="49">
        <f t="shared" si="21"/>
        <v>0.96655000000000002</v>
      </c>
      <c r="G359" s="55">
        <f t="shared" si="22"/>
        <v>6.804449722887243E-2</v>
      </c>
      <c r="I359" s="49">
        <f t="shared" si="23"/>
        <v>-2.6875934168005569</v>
      </c>
    </row>
    <row r="360" spans="1:9">
      <c r="A360" s="23" t="s">
        <v>397</v>
      </c>
      <c r="B360" s="41">
        <v>6.19</v>
      </c>
      <c r="E360" s="41">
        <f t="shared" si="20"/>
        <v>6.1900000000000004E-2</v>
      </c>
      <c r="F360" s="49">
        <f t="shared" si="21"/>
        <v>0.96904999999999997</v>
      </c>
      <c r="G360" s="55">
        <f t="shared" si="22"/>
        <v>6.287813767076092E-2</v>
      </c>
      <c r="I360" s="49">
        <f t="shared" si="23"/>
        <v>-2.7665567484950619</v>
      </c>
    </row>
    <row r="361" spans="1:9">
      <c r="A361" s="23" t="s">
        <v>398</v>
      </c>
      <c r="B361" s="41">
        <v>6.36</v>
      </c>
      <c r="E361" s="41">
        <f t="shared" si="20"/>
        <v>6.3600000000000004E-2</v>
      </c>
      <c r="F361" s="49">
        <f t="shared" si="21"/>
        <v>0.96819999999999995</v>
      </c>
      <c r="G361" s="55">
        <f t="shared" si="22"/>
        <v>6.4633202953086236E-2</v>
      </c>
      <c r="I361" s="49">
        <f t="shared" si="23"/>
        <v>-2.7390270226328721</v>
      </c>
    </row>
    <row r="362" spans="1:9">
      <c r="A362" s="23" t="s">
        <v>399</v>
      </c>
      <c r="B362" s="41">
        <v>6.25</v>
      </c>
      <c r="E362" s="41">
        <f t="shared" si="20"/>
        <v>6.25E-2</v>
      </c>
      <c r="F362" s="49">
        <f t="shared" si="21"/>
        <v>0.96875</v>
      </c>
      <c r="G362" s="55">
        <f t="shared" si="22"/>
        <v>6.3497396629160596E-2</v>
      </c>
      <c r="I362" s="49">
        <f t="shared" si="23"/>
        <v>-2.7567563718899057</v>
      </c>
    </row>
    <row r="363" spans="1:9">
      <c r="A363" s="23" t="s">
        <v>400</v>
      </c>
      <c r="B363" s="41">
        <v>5.93</v>
      </c>
      <c r="E363" s="41">
        <f t="shared" si="20"/>
        <v>5.9299999999999999E-2</v>
      </c>
      <c r="F363" s="49">
        <f t="shared" si="21"/>
        <v>0.97035000000000005</v>
      </c>
      <c r="G363" s="55">
        <f t="shared" si="22"/>
        <v>6.0196895648065754E-2</v>
      </c>
      <c r="I363" s="49">
        <f t="shared" si="23"/>
        <v>-2.810134495304879</v>
      </c>
    </row>
    <row r="364" spans="1:9">
      <c r="A364" s="23" t="s">
        <v>401</v>
      </c>
      <c r="B364" s="41">
        <v>5.91</v>
      </c>
      <c r="E364" s="41">
        <f t="shared" si="20"/>
        <v>5.91E-2</v>
      </c>
      <c r="F364" s="49">
        <f t="shared" si="21"/>
        <v>0.97045000000000003</v>
      </c>
      <c r="G364" s="55">
        <f t="shared" si="22"/>
        <v>5.9990795070801774E-2</v>
      </c>
      <c r="I364" s="49">
        <f t="shared" si="23"/>
        <v>-2.8135641440160328</v>
      </c>
    </row>
    <row r="365" spans="1:9">
      <c r="A365" s="23" t="s">
        <v>402</v>
      </c>
      <c r="B365" s="41">
        <v>6.21</v>
      </c>
      <c r="E365" s="41">
        <f t="shared" si="20"/>
        <v>6.2100000000000002E-2</v>
      </c>
      <c r="F365" s="49">
        <f t="shared" si="21"/>
        <v>0.96894999999999998</v>
      </c>
      <c r="G365" s="55">
        <f t="shared" si="22"/>
        <v>6.308453601975729E-2</v>
      </c>
      <c r="I365" s="49">
        <f t="shared" si="23"/>
        <v>-2.7632796104720363</v>
      </c>
    </row>
    <row r="366" spans="1:9">
      <c r="A366" s="23" t="s">
        <v>403</v>
      </c>
      <c r="B366" s="41">
        <v>6.56</v>
      </c>
      <c r="E366" s="41">
        <f t="shared" si="20"/>
        <v>6.5599999999999992E-2</v>
      </c>
      <c r="F366" s="49">
        <f t="shared" si="21"/>
        <v>0.96720000000000006</v>
      </c>
      <c r="G366" s="55">
        <f t="shared" si="22"/>
        <v>6.6699959363108144E-2</v>
      </c>
      <c r="I366" s="49">
        <f t="shared" si="23"/>
        <v>-2.7075509353094982</v>
      </c>
    </row>
    <row r="367" spans="1:9">
      <c r="A367" s="23" t="s">
        <v>404</v>
      </c>
      <c r="B367" s="41">
        <v>6.71</v>
      </c>
      <c r="E367" s="41">
        <f t="shared" si="20"/>
        <v>6.7099999999999993E-2</v>
      </c>
      <c r="F367" s="49">
        <f t="shared" si="21"/>
        <v>0.96645000000000003</v>
      </c>
      <c r="G367" s="55">
        <f t="shared" si="22"/>
        <v>6.8251429458751789E-2</v>
      </c>
      <c r="I367" s="49">
        <f t="shared" si="23"/>
        <v>-2.6845569006858243</v>
      </c>
    </row>
    <row r="368" spans="1:9">
      <c r="A368" s="23" t="s">
        <v>405</v>
      </c>
      <c r="B368" s="41">
        <v>6.99</v>
      </c>
      <c r="E368" s="41">
        <f t="shared" si="20"/>
        <v>6.9900000000000004E-2</v>
      </c>
      <c r="F368" s="49">
        <f t="shared" si="21"/>
        <v>0.96504999999999996</v>
      </c>
      <c r="G368" s="55">
        <f t="shared" si="22"/>
        <v>7.1150731027840239E-2</v>
      </c>
      <c r="I368" s="49">
        <f t="shared" si="23"/>
        <v>-2.6429546800388994</v>
      </c>
    </row>
    <row r="369" spans="1:9">
      <c r="A369" s="23" t="s">
        <v>406</v>
      </c>
      <c r="B369" s="41">
        <v>7.39</v>
      </c>
      <c r="E369" s="41">
        <f t="shared" si="20"/>
        <v>7.3899999999999993E-2</v>
      </c>
      <c r="F369" s="49">
        <f t="shared" si="21"/>
        <v>0.96304999999999996</v>
      </c>
      <c r="G369" s="55">
        <f t="shared" si="22"/>
        <v>7.5299894903811379E-2</v>
      </c>
      <c r="I369" s="49">
        <f t="shared" si="23"/>
        <v>-2.5862765398769794</v>
      </c>
    </row>
    <row r="370" spans="1:9">
      <c r="A370" s="23" t="s">
        <v>407</v>
      </c>
      <c r="B370" s="41">
        <v>7.43</v>
      </c>
      <c r="E370" s="41">
        <f t="shared" si="20"/>
        <v>7.4299999999999991E-2</v>
      </c>
      <c r="F370" s="49">
        <f t="shared" si="21"/>
        <v>0.96284999999999998</v>
      </c>
      <c r="G370" s="55">
        <f t="shared" si="22"/>
        <v>7.5715285112480435E-2</v>
      </c>
      <c r="I370" s="49">
        <f t="shared" si="23"/>
        <v>-2.5807752219795987</v>
      </c>
    </row>
    <row r="371" spans="1:9">
      <c r="A371" s="23" t="s">
        <v>408</v>
      </c>
      <c r="B371" s="41">
        <v>7.5</v>
      </c>
      <c r="E371" s="41">
        <f t="shared" si="20"/>
        <v>7.4999999999999997E-2</v>
      </c>
      <c r="F371" s="49">
        <f t="shared" si="21"/>
        <v>0.96250000000000002</v>
      </c>
      <c r="G371" s="55">
        <f t="shared" si="22"/>
        <v>7.6442425640395481E-2</v>
      </c>
      <c r="I371" s="49">
        <f t="shared" si="23"/>
        <v>-2.5712174275076269</v>
      </c>
    </row>
    <row r="372" spans="1:9">
      <c r="A372" s="23" t="s">
        <v>409</v>
      </c>
      <c r="B372" s="41">
        <v>7.86</v>
      </c>
      <c r="E372" s="41">
        <f t="shared" si="20"/>
        <v>7.8600000000000003E-2</v>
      </c>
      <c r="F372" s="49">
        <f t="shared" si="21"/>
        <v>0.9607</v>
      </c>
      <c r="G372" s="55">
        <f t="shared" si="22"/>
        <v>8.0186187132888456E-2</v>
      </c>
      <c r="I372" s="49">
        <f t="shared" si="23"/>
        <v>-2.5234040092062395</v>
      </c>
    </row>
    <row r="373" spans="1:9">
      <c r="A373" s="23" t="s">
        <v>410</v>
      </c>
      <c r="B373" s="41">
        <v>8.2200000000000006</v>
      </c>
      <c r="E373" s="41">
        <f t="shared" si="20"/>
        <v>8.2200000000000009E-2</v>
      </c>
      <c r="F373" s="49">
        <f t="shared" si="21"/>
        <v>0.95889999999999997</v>
      </c>
      <c r="G373" s="55">
        <f t="shared" si="22"/>
        <v>8.3936969645003162E-2</v>
      </c>
      <c r="I373" s="49">
        <f t="shared" si="23"/>
        <v>-2.4776891231698333</v>
      </c>
    </row>
    <row r="374" spans="1:9">
      <c r="A374" s="23" t="s">
        <v>411</v>
      </c>
      <c r="B374" s="41">
        <v>8.36</v>
      </c>
      <c r="E374" s="41">
        <f t="shared" si="20"/>
        <v>8.3599999999999994E-2</v>
      </c>
      <c r="F374" s="49">
        <f t="shared" si="21"/>
        <v>0.95820000000000005</v>
      </c>
      <c r="G374" s="55">
        <f t="shared" si="22"/>
        <v>8.539750906623049E-2</v>
      </c>
      <c r="I374" s="49">
        <f t="shared" si="23"/>
        <v>-2.4604383464557369</v>
      </c>
    </row>
    <row r="375" spans="1:9">
      <c r="A375" s="23" t="s">
        <v>412</v>
      </c>
      <c r="B375" s="41">
        <v>8.5500000000000007</v>
      </c>
      <c r="E375" s="41">
        <f t="shared" si="20"/>
        <v>8.5500000000000007E-2</v>
      </c>
      <c r="F375" s="49">
        <f t="shared" si="21"/>
        <v>0.95725000000000005</v>
      </c>
      <c r="G375" s="55">
        <f t="shared" si="22"/>
        <v>8.7381377249466222E-2</v>
      </c>
      <c r="I375" s="49">
        <f t="shared" si="23"/>
        <v>-2.4374730939732383</v>
      </c>
    </row>
    <row r="376" spans="1:9">
      <c r="A376" s="23" t="s">
        <v>413</v>
      </c>
      <c r="B376" s="41">
        <v>8.85</v>
      </c>
      <c r="E376" s="41">
        <f t="shared" si="20"/>
        <v>8.8499999999999995E-2</v>
      </c>
      <c r="F376" s="49">
        <f t="shared" si="21"/>
        <v>0.95574999999999999</v>
      </c>
      <c r="G376" s="55">
        <f t="shared" si="22"/>
        <v>9.0517812811229781E-2</v>
      </c>
      <c r="I376" s="49">
        <f t="shared" si="23"/>
        <v>-2.4022086210006561</v>
      </c>
    </row>
    <row r="377" spans="1:9">
      <c r="A377" s="23" t="s">
        <v>414</v>
      </c>
      <c r="B377" s="41">
        <v>8.65</v>
      </c>
      <c r="E377" s="41">
        <f t="shared" si="20"/>
        <v>8.6500000000000007E-2</v>
      </c>
      <c r="F377" s="49">
        <f t="shared" si="21"/>
        <v>0.95674999999999999</v>
      </c>
      <c r="G377" s="55">
        <f t="shared" si="22"/>
        <v>8.8426309352650834E-2</v>
      </c>
      <c r="I377" s="49">
        <f t="shared" si="23"/>
        <v>-2.4255857365062918</v>
      </c>
    </row>
    <row r="378" spans="1:9">
      <c r="A378" s="23" t="s">
        <v>415</v>
      </c>
      <c r="B378" s="41">
        <v>8.41</v>
      </c>
      <c r="E378" s="41">
        <f t="shared" si="20"/>
        <v>8.4100000000000008E-2</v>
      </c>
      <c r="F378" s="49">
        <f t="shared" si="21"/>
        <v>0.95794999999999997</v>
      </c>
      <c r="G378" s="55">
        <f t="shared" si="22"/>
        <v>8.5919388880271397E-2</v>
      </c>
      <c r="I378" s="49">
        <f t="shared" si="23"/>
        <v>-2.4543457609066612</v>
      </c>
    </row>
    <row r="379" spans="1:9">
      <c r="A379" s="23" t="s">
        <v>416</v>
      </c>
      <c r="B379" s="41">
        <v>7.93</v>
      </c>
      <c r="E379" s="41">
        <f t="shared" si="20"/>
        <v>7.9299999999999995E-2</v>
      </c>
      <c r="F379" s="49">
        <f t="shared" si="21"/>
        <v>0.96035000000000004</v>
      </c>
      <c r="G379" s="55">
        <f t="shared" si="22"/>
        <v>8.0914955262552102E-2</v>
      </c>
      <c r="I379" s="49">
        <f t="shared" si="23"/>
        <v>-2.5143566109078104</v>
      </c>
    </row>
    <row r="380" spans="1:9">
      <c r="A380" s="23" t="s">
        <v>417</v>
      </c>
      <c r="B380" s="41">
        <v>7.61</v>
      </c>
      <c r="E380" s="41">
        <f t="shared" si="20"/>
        <v>7.6100000000000001E-2</v>
      </c>
      <c r="F380" s="49">
        <f t="shared" si="21"/>
        <v>0.96194999999999997</v>
      </c>
      <c r="G380" s="55">
        <f t="shared" si="22"/>
        <v>7.7585609438310929E-2</v>
      </c>
      <c r="I380" s="49">
        <f t="shared" si="23"/>
        <v>-2.5563733143726761</v>
      </c>
    </row>
    <row r="381" spans="1:9">
      <c r="A381" s="23" t="s">
        <v>418</v>
      </c>
      <c r="B381" s="41">
        <v>7.74</v>
      </c>
      <c r="E381" s="41">
        <f t="shared" si="20"/>
        <v>7.7399999999999997E-2</v>
      </c>
      <c r="F381" s="49">
        <f t="shared" si="21"/>
        <v>0.96130000000000004</v>
      </c>
      <c r="G381" s="55">
        <f t="shared" si="22"/>
        <v>7.8937487820733052E-2</v>
      </c>
      <c r="I381" s="49">
        <f t="shared" si="23"/>
        <v>-2.53909903316144</v>
      </c>
    </row>
    <row r="382" spans="1:9">
      <c r="A382" s="23" t="s">
        <v>419</v>
      </c>
      <c r="B382" s="41">
        <v>7.74</v>
      </c>
      <c r="E382" s="41">
        <f t="shared" si="20"/>
        <v>7.7399999999999997E-2</v>
      </c>
      <c r="F382" s="49">
        <f t="shared" si="21"/>
        <v>0.96130000000000004</v>
      </c>
      <c r="G382" s="55">
        <f t="shared" si="22"/>
        <v>7.8937487820733052E-2</v>
      </c>
      <c r="I382" s="49">
        <f t="shared" si="23"/>
        <v>-2.53909903316144</v>
      </c>
    </row>
    <row r="383" spans="1:9">
      <c r="A383" s="23" t="s">
        <v>420</v>
      </c>
      <c r="B383" s="41">
        <v>7.62</v>
      </c>
      <c r="E383" s="41">
        <f t="shared" si="20"/>
        <v>7.6200000000000004E-2</v>
      </c>
      <c r="F383" s="49">
        <f t="shared" si="21"/>
        <v>0.96189999999999998</v>
      </c>
      <c r="G383" s="55">
        <f t="shared" si="22"/>
        <v>7.7689567647134375E-2</v>
      </c>
      <c r="I383" s="49">
        <f t="shared" si="23"/>
        <v>-2.5550342951384675</v>
      </c>
    </row>
    <row r="384" spans="1:9">
      <c r="A384" s="23" t="s">
        <v>421</v>
      </c>
      <c r="B384" s="41">
        <v>7.49</v>
      </c>
      <c r="E384" s="41">
        <f t="shared" si="20"/>
        <v>7.4900000000000008E-2</v>
      </c>
      <c r="F384" s="49">
        <f t="shared" si="21"/>
        <v>0.96255000000000002</v>
      </c>
      <c r="G384" s="55">
        <f t="shared" si="22"/>
        <v>7.6338532235006029E-2</v>
      </c>
      <c r="I384" s="49">
        <f t="shared" si="23"/>
        <v>-2.5725774585330687</v>
      </c>
    </row>
    <row r="385" spans="1:9">
      <c r="A385" s="23" t="s">
        <v>422</v>
      </c>
      <c r="B385" s="41">
        <v>7.42</v>
      </c>
      <c r="E385" s="41">
        <f t="shared" si="20"/>
        <v>7.4200000000000002E-2</v>
      </c>
      <c r="F385" s="49">
        <f t="shared" si="21"/>
        <v>0.96289999999999998</v>
      </c>
      <c r="G385" s="55">
        <f t="shared" si="22"/>
        <v>7.5611429471797623E-2</v>
      </c>
      <c r="I385" s="49">
        <f t="shared" si="23"/>
        <v>-2.5821478237343354</v>
      </c>
    </row>
    <row r="386" spans="1:9">
      <c r="A386" s="23" t="s">
        <v>423</v>
      </c>
      <c r="B386" s="41">
        <v>7.55</v>
      </c>
      <c r="E386" s="41">
        <f t="shared" si="20"/>
        <v>7.5499999999999998E-2</v>
      </c>
      <c r="F386" s="49">
        <f t="shared" si="21"/>
        <v>0.96225000000000005</v>
      </c>
      <c r="G386" s="55">
        <f t="shared" si="22"/>
        <v>7.6961973636563E-2</v>
      </c>
      <c r="I386" s="49">
        <f t="shared" si="23"/>
        <v>-2.5644438279877773</v>
      </c>
    </row>
    <row r="387" spans="1:9">
      <c r="A387" s="23" t="s">
        <v>424</v>
      </c>
      <c r="B387" s="41">
        <v>7.7</v>
      </c>
      <c r="E387" s="41">
        <f t="shared" si="20"/>
        <v>7.6999999999999999E-2</v>
      </c>
      <c r="F387" s="49">
        <f t="shared" si="21"/>
        <v>0.96150000000000002</v>
      </c>
      <c r="G387" s="55">
        <f t="shared" si="22"/>
        <v>7.8521427906605212E-2</v>
      </c>
      <c r="I387" s="49">
        <f t="shared" si="23"/>
        <v>-2.5443837244793537</v>
      </c>
    </row>
    <row r="388" spans="1:9">
      <c r="A388" s="23" t="s">
        <v>425</v>
      </c>
      <c r="B388" s="41">
        <v>7.85</v>
      </c>
      <c r="E388" s="41">
        <f t="shared" si="20"/>
        <v>7.85E-2</v>
      </c>
      <c r="F388" s="49">
        <f t="shared" si="21"/>
        <v>0.96074999999999999</v>
      </c>
      <c r="G388" s="55">
        <f t="shared" si="22"/>
        <v>8.0082099074367488E-2</v>
      </c>
      <c r="I388" s="49">
        <f t="shared" si="23"/>
        <v>-2.5247029321013299</v>
      </c>
    </row>
    <row r="389" spans="1:9">
      <c r="A389" s="23" t="s">
        <v>426</v>
      </c>
      <c r="B389" s="41">
        <v>7.84</v>
      </c>
      <c r="E389" s="41">
        <f t="shared" si="20"/>
        <v>7.8399999999999997E-2</v>
      </c>
      <c r="F389" s="49">
        <f t="shared" si="21"/>
        <v>0.96079999999999999</v>
      </c>
      <c r="G389" s="55">
        <f t="shared" si="22"/>
        <v>7.9978016432726562E-2</v>
      </c>
      <c r="I389" s="49">
        <f t="shared" si="23"/>
        <v>-2.5260034766621251</v>
      </c>
    </row>
    <row r="390" spans="1:9">
      <c r="A390" s="23" t="s">
        <v>427</v>
      </c>
      <c r="B390" s="41">
        <v>7.76</v>
      </c>
      <c r="E390" s="41">
        <f t="shared" si="20"/>
        <v>7.7600000000000002E-2</v>
      </c>
      <c r="F390" s="49">
        <f t="shared" si="21"/>
        <v>0.96120000000000005</v>
      </c>
      <c r="G390" s="55">
        <f t="shared" si="22"/>
        <v>7.9145550239646298E-2</v>
      </c>
      <c r="I390" s="49">
        <f t="shared" si="23"/>
        <v>-2.536466713570336</v>
      </c>
    </row>
    <row r="391" spans="1:9">
      <c r="A391" s="23" t="s">
        <v>428</v>
      </c>
      <c r="B391" s="41">
        <v>7.63</v>
      </c>
      <c r="E391" s="41">
        <f t="shared" si="20"/>
        <v>7.6299999999999993E-2</v>
      </c>
      <c r="F391" s="49">
        <f t="shared" si="21"/>
        <v>0.96184999999999998</v>
      </c>
      <c r="G391" s="55">
        <f t="shared" si="22"/>
        <v>7.7793531259893314E-2</v>
      </c>
      <c r="I391" s="49">
        <f t="shared" si="23"/>
        <v>-2.5536969970143173</v>
      </c>
    </row>
    <row r="392" spans="1:9">
      <c r="A392" s="23" t="s">
        <v>429</v>
      </c>
      <c r="B392" s="41">
        <v>7.52</v>
      </c>
      <c r="E392" s="41">
        <f t="shared" si="20"/>
        <v>7.5199999999999989E-2</v>
      </c>
      <c r="F392" s="49">
        <f t="shared" si="21"/>
        <v>0.96240000000000003</v>
      </c>
      <c r="G392" s="55">
        <f t="shared" si="22"/>
        <v>7.6650228643335788E-2</v>
      </c>
      <c r="I392" s="49">
        <f t="shared" si="23"/>
        <v>-2.5685026907159152</v>
      </c>
    </row>
    <row r="393" spans="1:9">
      <c r="A393" s="23" t="s">
        <v>430</v>
      </c>
      <c r="B393" s="41">
        <v>7.38</v>
      </c>
      <c r="E393" s="41">
        <f t="shared" si="20"/>
        <v>7.3800000000000004E-2</v>
      </c>
      <c r="F393" s="49">
        <f t="shared" si="21"/>
        <v>0.96309999999999996</v>
      </c>
      <c r="G393" s="55">
        <f t="shared" si="22"/>
        <v>7.5196060830636971E-2</v>
      </c>
      <c r="I393" s="49">
        <f t="shared" si="23"/>
        <v>-2.5876564319696747</v>
      </c>
    </row>
    <row r="394" spans="1:9">
      <c r="A394" s="23" t="s">
        <v>431</v>
      </c>
      <c r="B394" s="41">
        <v>7.32</v>
      </c>
      <c r="E394" s="41">
        <f t="shared" si="20"/>
        <v>7.3200000000000001E-2</v>
      </c>
      <c r="F394" s="49">
        <f t="shared" si="21"/>
        <v>0.96340000000000003</v>
      </c>
      <c r="G394" s="55">
        <f t="shared" si="22"/>
        <v>7.4573169572033207E-2</v>
      </c>
      <c r="I394" s="49">
        <f t="shared" si="23"/>
        <v>-2.5959744936759397</v>
      </c>
    </row>
    <row r="395" spans="1:9">
      <c r="A395" s="23" t="s">
        <v>432</v>
      </c>
      <c r="B395" s="41">
        <v>7.16</v>
      </c>
      <c r="E395" s="41">
        <f t="shared" si="20"/>
        <v>7.1599999999999997E-2</v>
      </c>
      <c r="F395" s="49">
        <f t="shared" si="21"/>
        <v>0.96419999999999995</v>
      </c>
      <c r="G395" s="55">
        <f t="shared" si="22"/>
        <v>7.2913074021230415E-2</v>
      </c>
      <c r="I395" s="49">
        <f t="shared" si="23"/>
        <v>-2.6184873141923402</v>
      </c>
    </row>
    <row r="396" spans="1:9">
      <c r="A396" s="23" t="s">
        <v>433</v>
      </c>
      <c r="B396" s="41">
        <v>7.03</v>
      </c>
      <c r="E396" s="41">
        <f t="shared" si="20"/>
        <v>7.0300000000000001E-2</v>
      </c>
      <c r="F396" s="49">
        <f t="shared" si="21"/>
        <v>0.96484999999999999</v>
      </c>
      <c r="G396" s="55">
        <f t="shared" si="22"/>
        <v>7.1565260279544379E-2</v>
      </c>
      <c r="I396" s="49">
        <f t="shared" si="23"/>
        <v>-2.6371455143855567</v>
      </c>
    </row>
    <row r="397" spans="1:9">
      <c r="A397" s="23" t="s">
        <v>434</v>
      </c>
      <c r="B397" s="41">
        <v>6.7</v>
      </c>
      <c r="E397" s="41">
        <f t="shared" si="20"/>
        <v>6.7000000000000004E-2</v>
      </c>
      <c r="F397" s="49">
        <f t="shared" si="21"/>
        <v>0.96650000000000003</v>
      </c>
      <c r="G397" s="55">
        <f t="shared" si="22"/>
        <v>6.814796066750288E-2</v>
      </c>
      <c r="I397" s="49">
        <f t="shared" si="23"/>
        <v>-2.686074045461905</v>
      </c>
    </row>
    <row r="398" spans="1:9">
      <c r="A398" s="23" t="s">
        <v>435</v>
      </c>
      <c r="B398" s="41">
        <v>6.28</v>
      </c>
      <c r="E398" s="41">
        <f t="shared" ref="E398:E461" si="24">B398/100</f>
        <v>6.2800000000000009E-2</v>
      </c>
      <c r="F398" s="49">
        <f t="shared" ref="F398:F461" si="25">1-180/360*E398</f>
        <v>0.96860000000000002</v>
      </c>
      <c r="G398" s="55">
        <f t="shared" ref="G398:G461" si="26">-1/0.5*LN(F398)</f>
        <v>6.3807098026016557E-2</v>
      </c>
      <c r="I398" s="49">
        <f t="shared" ref="I398:I461" si="27">LN(G398)</f>
        <v>-2.7518908404934179</v>
      </c>
    </row>
    <row r="399" spans="1:9">
      <c r="A399" s="23" t="s">
        <v>436</v>
      </c>
      <c r="B399" s="41">
        <v>5.93</v>
      </c>
      <c r="E399" s="41">
        <f t="shared" si="24"/>
        <v>5.9299999999999999E-2</v>
      </c>
      <c r="F399" s="49">
        <f t="shared" si="25"/>
        <v>0.97035000000000005</v>
      </c>
      <c r="G399" s="55">
        <f t="shared" si="26"/>
        <v>6.0196895648065754E-2</v>
      </c>
      <c r="I399" s="49">
        <f t="shared" si="27"/>
        <v>-2.810134495304879</v>
      </c>
    </row>
    <row r="400" spans="1:9">
      <c r="A400" s="23" t="s">
        <v>437</v>
      </c>
      <c r="B400" s="41">
        <v>5.92</v>
      </c>
      <c r="E400" s="41">
        <f t="shared" si="24"/>
        <v>5.9200000000000003E-2</v>
      </c>
      <c r="F400" s="49">
        <f t="shared" si="25"/>
        <v>0.97040000000000004</v>
      </c>
      <c r="G400" s="55">
        <f t="shared" si="26"/>
        <v>6.0093842704593274E-2</v>
      </c>
      <c r="I400" s="49">
        <f t="shared" si="27"/>
        <v>-2.8118478935281352</v>
      </c>
    </row>
    <row r="401" spans="1:9">
      <c r="A401" s="23" t="s">
        <v>438</v>
      </c>
      <c r="B401" s="41">
        <v>5.71</v>
      </c>
      <c r="E401" s="41">
        <f t="shared" si="24"/>
        <v>5.7099999999999998E-2</v>
      </c>
      <c r="F401" s="49">
        <f t="shared" si="25"/>
        <v>0.97145000000000004</v>
      </c>
      <c r="G401" s="55">
        <f t="shared" si="26"/>
        <v>5.7930956586030223E-2</v>
      </c>
      <c r="I401" s="49">
        <f t="shared" si="27"/>
        <v>-2.8485033812181175</v>
      </c>
    </row>
    <row r="402" spans="1:9">
      <c r="A402" s="23" t="s">
        <v>439</v>
      </c>
      <c r="B402" s="41">
        <v>5.61</v>
      </c>
      <c r="E402" s="41">
        <f t="shared" si="24"/>
        <v>5.6100000000000004E-2</v>
      </c>
      <c r="F402" s="49">
        <f t="shared" si="25"/>
        <v>0.97194999999999998</v>
      </c>
      <c r="G402" s="55">
        <f t="shared" si="26"/>
        <v>5.6901832348030423E-2</v>
      </c>
      <c r="I402" s="49">
        <f t="shared" si="27"/>
        <v>-2.866427735415273</v>
      </c>
    </row>
    <row r="403" spans="1:9">
      <c r="A403" s="23" t="s">
        <v>440</v>
      </c>
      <c r="B403" s="41">
        <v>5.75</v>
      </c>
      <c r="E403" s="41">
        <f t="shared" si="24"/>
        <v>5.7500000000000002E-2</v>
      </c>
      <c r="F403" s="49">
        <f t="shared" si="25"/>
        <v>0.97124999999999995</v>
      </c>
      <c r="G403" s="55">
        <f t="shared" si="26"/>
        <v>5.8342754600559821E-2</v>
      </c>
      <c r="I403" s="49">
        <f t="shared" si="27"/>
        <v>-2.8414200993294867</v>
      </c>
    </row>
    <row r="404" spans="1:9">
      <c r="A404" s="23" t="s">
        <v>441</v>
      </c>
      <c r="B404" s="41">
        <v>5.7</v>
      </c>
      <c r="E404" s="41">
        <f t="shared" si="24"/>
        <v>5.7000000000000002E-2</v>
      </c>
      <c r="F404" s="49">
        <f t="shared" si="25"/>
        <v>0.97150000000000003</v>
      </c>
      <c r="G404" s="55">
        <f t="shared" si="26"/>
        <v>5.7828020329284489E-2</v>
      </c>
      <c r="I404" s="49">
        <f t="shared" si="27"/>
        <v>-2.8502818399885781</v>
      </c>
    </row>
    <row r="405" spans="1:9">
      <c r="A405" s="23" t="s">
        <v>442</v>
      </c>
      <c r="B405" s="41">
        <v>5.39</v>
      </c>
      <c r="E405" s="41">
        <f t="shared" si="24"/>
        <v>5.3899999999999997E-2</v>
      </c>
      <c r="F405" s="49">
        <f t="shared" si="25"/>
        <v>0.97304999999999997</v>
      </c>
      <c r="G405" s="55">
        <f t="shared" si="26"/>
        <v>5.4639621309925966E-2</v>
      </c>
      <c r="I405" s="49">
        <f t="shared" si="27"/>
        <v>-2.9069959943818704</v>
      </c>
    </row>
    <row r="406" spans="1:9">
      <c r="A406" s="23" t="s">
        <v>443</v>
      </c>
      <c r="B406" s="41">
        <v>5.25</v>
      </c>
      <c r="E406" s="41">
        <f t="shared" si="24"/>
        <v>5.2499999999999998E-2</v>
      </c>
      <c r="F406" s="49">
        <f t="shared" si="25"/>
        <v>0.97375</v>
      </c>
      <c r="G406" s="55">
        <f t="shared" si="26"/>
        <v>5.3201363594358057E-2</v>
      </c>
      <c r="I406" s="49">
        <f t="shared" si="27"/>
        <v>-2.9336712514901233</v>
      </c>
    </row>
    <row r="407" spans="1:9">
      <c r="A407" s="23" t="s">
        <v>444</v>
      </c>
      <c r="B407" s="41">
        <v>5.04</v>
      </c>
      <c r="E407" s="41">
        <f t="shared" si="24"/>
        <v>5.04E-2</v>
      </c>
      <c r="F407" s="49">
        <f t="shared" si="25"/>
        <v>0.9748</v>
      </c>
      <c r="G407" s="55">
        <f t="shared" si="26"/>
        <v>5.1045914462171785E-2</v>
      </c>
      <c r="I407" s="49">
        <f t="shared" si="27"/>
        <v>-2.9750297676980049</v>
      </c>
    </row>
    <row r="408" spans="1:9">
      <c r="A408" s="23" t="s">
        <v>445</v>
      </c>
      <c r="B408" s="41">
        <v>4.6100000000000003</v>
      </c>
      <c r="E408" s="41">
        <f t="shared" si="24"/>
        <v>4.6100000000000002E-2</v>
      </c>
      <c r="F408" s="49">
        <f t="shared" si="25"/>
        <v>0.97694999999999999</v>
      </c>
      <c r="G408" s="55">
        <f t="shared" si="26"/>
        <v>4.6639610643233673E-2</v>
      </c>
      <c r="I408" s="49">
        <f t="shared" si="27"/>
        <v>-3.0653050851043844</v>
      </c>
    </row>
    <row r="409" spans="1:9">
      <c r="A409" s="23" t="s">
        <v>446</v>
      </c>
      <c r="B409" s="41">
        <v>4.0999999999999996</v>
      </c>
      <c r="E409" s="41">
        <f t="shared" si="24"/>
        <v>4.0999999999999995E-2</v>
      </c>
      <c r="F409" s="49">
        <f t="shared" si="25"/>
        <v>0.97950000000000004</v>
      </c>
      <c r="G409" s="55">
        <f t="shared" si="26"/>
        <v>4.142608319508314E-2</v>
      </c>
      <c r="I409" s="49">
        <f t="shared" si="27"/>
        <v>-3.183844567668991</v>
      </c>
    </row>
    <row r="410" spans="1:9">
      <c r="A410" s="23" t="s">
        <v>447</v>
      </c>
      <c r="B410" s="41">
        <v>3.87</v>
      </c>
      <c r="E410" s="41">
        <f t="shared" si="24"/>
        <v>3.8699999999999998E-2</v>
      </c>
      <c r="F410" s="49">
        <f t="shared" si="25"/>
        <v>0.98065000000000002</v>
      </c>
      <c r="G410" s="55">
        <f t="shared" si="26"/>
        <v>3.9079323749234139E-2</v>
      </c>
      <c r="I410" s="49">
        <f t="shared" si="27"/>
        <v>-3.2421617562245699</v>
      </c>
    </row>
    <row r="411" spans="1:9">
      <c r="A411" s="23" t="s">
        <v>448</v>
      </c>
      <c r="B411" s="41">
        <v>3.93</v>
      </c>
      <c r="E411" s="41">
        <f t="shared" si="24"/>
        <v>3.9300000000000002E-2</v>
      </c>
      <c r="F411" s="49">
        <f t="shared" si="25"/>
        <v>0.98035000000000005</v>
      </c>
      <c r="G411" s="55">
        <f t="shared" si="26"/>
        <v>3.9691256441412318E-2</v>
      </c>
      <c r="I411" s="49">
        <f t="shared" si="27"/>
        <v>-3.2266243563160231</v>
      </c>
    </row>
    <row r="412" spans="1:9">
      <c r="A412" s="23" t="s">
        <v>449</v>
      </c>
      <c r="B412" s="41">
        <v>4.18</v>
      </c>
      <c r="E412" s="41">
        <f t="shared" si="24"/>
        <v>4.1799999999999997E-2</v>
      </c>
      <c r="F412" s="49">
        <f t="shared" si="25"/>
        <v>0.97909999999999997</v>
      </c>
      <c r="G412" s="55">
        <f t="shared" si="26"/>
        <v>4.2242993244222836E-2</v>
      </c>
      <c r="I412" s="49">
        <f t="shared" si="27"/>
        <v>-3.1643167793054134</v>
      </c>
    </row>
    <row r="413" spans="1:9">
      <c r="A413" s="23" t="s">
        <v>450</v>
      </c>
      <c r="B413" s="41">
        <v>3.87</v>
      </c>
      <c r="E413" s="41">
        <f t="shared" si="24"/>
        <v>3.8699999999999998E-2</v>
      </c>
      <c r="F413" s="49">
        <f t="shared" si="25"/>
        <v>0.98065000000000002</v>
      </c>
      <c r="G413" s="55">
        <f t="shared" si="26"/>
        <v>3.9079323749234139E-2</v>
      </c>
      <c r="I413" s="49">
        <f t="shared" si="27"/>
        <v>-3.2421617562245699</v>
      </c>
    </row>
    <row r="414" spans="1:9">
      <c r="A414" s="23" t="s">
        <v>451</v>
      </c>
      <c r="B414" s="41">
        <v>3.75</v>
      </c>
      <c r="E414" s="41">
        <f t="shared" si="24"/>
        <v>3.7499999999999999E-2</v>
      </c>
      <c r="F414" s="49">
        <f t="shared" si="25"/>
        <v>0.98124999999999996</v>
      </c>
      <c r="G414" s="55">
        <f t="shared" si="26"/>
        <v>3.7856019771037822E-2</v>
      </c>
      <c r="I414" s="49">
        <f t="shared" si="27"/>
        <v>-3.2739652689167014</v>
      </c>
    </row>
    <row r="415" spans="1:9">
      <c r="A415" s="23" t="s">
        <v>452</v>
      </c>
      <c r="B415" s="41">
        <v>3.77</v>
      </c>
      <c r="E415" s="41">
        <f t="shared" si="24"/>
        <v>3.7699999999999997E-2</v>
      </c>
      <c r="F415" s="49">
        <f t="shared" si="25"/>
        <v>0.98114999999999997</v>
      </c>
      <c r="G415" s="55">
        <f t="shared" si="26"/>
        <v>3.8059851813611295E-2</v>
      </c>
      <c r="I415" s="49">
        <f t="shared" si="27"/>
        <v>-3.2685953106158987</v>
      </c>
    </row>
    <row r="416" spans="1:9">
      <c r="A416" s="23" t="s">
        <v>453</v>
      </c>
      <c r="B416" s="41">
        <v>3.28</v>
      </c>
      <c r="E416" s="41">
        <f t="shared" si="24"/>
        <v>3.2799999999999996E-2</v>
      </c>
      <c r="F416" s="49">
        <f t="shared" si="25"/>
        <v>0.98360000000000003</v>
      </c>
      <c r="G416" s="55">
        <f t="shared" si="26"/>
        <v>3.307193728019904E-2</v>
      </c>
      <c r="I416" s="49">
        <f t="shared" si="27"/>
        <v>-3.4090701725068162</v>
      </c>
    </row>
    <row r="417" spans="1:9">
      <c r="A417" s="23" t="s">
        <v>454</v>
      </c>
      <c r="B417" s="41">
        <v>3.21</v>
      </c>
      <c r="E417" s="41">
        <f t="shared" si="24"/>
        <v>3.2099999999999997E-2</v>
      </c>
      <c r="F417" s="49">
        <f t="shared" si="25"/>
        <v>0.98394999999999999</v>
      </c>
      <c r="G417" s="55">
        <f t="shared" si="26"/>
        <v>3.2360392458076703E-2</v>
      </c>
      <c r="I417" s="49">
        <f t="shared" si="27"/>
        <v>-3.4308200589890996</v>
      </c>
    </row>
    <row r="418" spans="1:9">
      <c r="A418" s="23" t="s">
        <v>455</v>
      </c>
      <c r="B418" s="41">
        <v>2.96</v>
      </c>
      <c r="E418" s="41">
        <f t="shared" si="24"/>
        <v>2.9600000000000001E-2</v>
      </c>
      <c r="F418" s="49">
        <f t="shared" si="25"/>
        <v>0.98519999999999996</v>
      </c>
      <c r="G418" s="55">
        <f t="shared" si="26"/>
        <v>2.9821225471508481E-2</v>
      </c>
      <c r="I418" s="49">
        <f t="shared" si="27"/>
        <v>-3.5125348748659198</v>
      </c>
    </row>
    <row r="419" spans="1:9">
      <c r="A419" s="23" t="s">
        <v>456</v>
      </c>
      <c r="B419" s="41">
        <v>3.04</v>
      </c>
      <c r="E419" s="41">
        <f t="shared" si="24"/>
        <v>3.04E-2</v>
      </c>
      <c r="F419" s="49">
        <f t="shared" si="25"/>
        <v>0.98480000000000001</v>
      </c>
      <c r="G419" s="55">
        <f t="shared" si="26"/>
        <v>3.0633408223786577E-2</v>
      </c>
      <c r="I419" s="49">
        <f t="shared" si="27"/>
        <v>-3.4856640935542735</v>
      </c>
    </row>
    <row r="420" spans="1:9">
      <c r="A420" s="23" t="s">
        <v>457</v>
      </c>
      <c r="B420" s="41">
        <v>3.34</v>
      </c>
      <c r="E420" s="41">
        <f t="shared" si="24"/>
        <v>3.3399999999999999E-2</v>
      </c>
      <c r="F420" s="49">
        <f t="shared" si="25"/>
        <v>0.98329999999999995</v>
      </c>
      <c r="G420" s="55">
        <f t="shared" si="26"/>
        <v>3.3682034392053112E-2</v>
      </c>
      <c r="I420" s="49">
        <f t="shared" si="27"/>
        <v>-3.3907906878677108</v>
      </c>
    </row>
    <row r="421" spans="1:9">
      <c r="A421" s="23" t="s">
        <v>458</v>
      </c>
      <c r="B421" s="41">
        <v>3.36</v>
      </c>
      <c r="E421" s="41">
        <f t="shared" si="24"/>
        <v>3.3599999999999998E-2</v>
      </c>
      <c r="F421" s="49">
        <f t="shared" si="25"/>
        <v>0.98319999999999996</v>
      </c>
      <c r="G421" s="55">
        <f t="shared" si="26"/>
        <v>3.3885441460624048E-2</v>
      </c>
      <c r="I421" s="49">
        <f t="shared" si="27"/>
        <v>-3.3847698122769483</v>
      </c>
    </row>
    <row r="422" spans="1:9">
      <c r="A422" s="23" t="s">
        <v>459</v>
      </c>
      <c r="B422" s="41">
        <v>3.14</v>
      </c>
      <c r="E422" s="41">
        <f t="shared" si="24"/>
        <v>3.1400000000000004E-2</v>
      </c>
      <c r="F422" s="49">
        <f t="shared" si="25"/>
        <v>0.98429999999999995</v>
      </c>
      <c r="G422" s="55">
        <f t="shared" si="26"/>
        <v>3.1649100693942923E-2</v>
      </c>
      <c r="I422" s="49">
        <f t="shared" si="27"/>
        <v>-3.4530455448890702</v>
      </c>
    </row>
    <row r="423" spans="1:9">
      <c r="A423" s="23" t="s">
        <v>460</v>
      </c>
      <c r="B423" s="41">
        <v>3.07</v>
      </c>
      <c r="E423" s="41">
        <f t="shared" si="24"/>
        <v>3.0699999999999998E-2</v>
      </c>
      <c r="F423" s="49">
        <f t="shared" si="25"/>
        <v>0.98465000000000003</v>
      </c>
      <c r="G423" s="55">
        <f t="shared" si="26"/>
        <v>3.0938061807863404E-2</v>
      </c>
      <c r="I423" s="49">
        <f t="shared" si="27"/>
        <v>-3.4757680793720187</v>
      </c>
    </row>
    <row r="424" spans="1:9">
      <c r="A424" s="23" t="s">
        <v>461</v>
      </c>
      <c r="B424" s="41">
        <v>3.05</v>
      </c>
      <c r="E424" s="41">
        <f t="shared" si="24"/>
        <v>3.0499999999999999E-2</v>
      </c>
      <c r="F424" s="49">
        <f t="shared" si="25"/>
        <v>0.98475000000000001</v>
      </c>
      <c r="G424" s="55">
        <f t="shared" si="26"/>
        <v>3.0734954262243555E-2</v>
      </c>
      <c r="I424" s="49">
        <f t="shared" si="27"/>
        <v>-3.4823546967569037</v>
      </c>
    </row>
    <row r="425" spans="1:9">
      <c r="A425" s="23" t="s">
        <v>462</v>
      </c>
      <c r="B425" s="41">
        <v>2.97</v>
      </c>
      <c r="E425" s="41">
        <f t="shared" si="24"/>
        <v>2.9700000000000001E-2</v>
      </c>
      <c r="F425" s="49">
        <f t="shared" si="25"/>
        <v>0.98514999999999997</v>
      </c>
      <c r="G425" s="55">
        <f t="shared" si="26"/>
        <v>2.9922730280320574E-2</v>
      </c>
      <c r="I425" s="49">
        <f t="shared" si="27"/>
        <v>-3.5091368773546225</v>
      </c>
    </row>
    <row r="426" spans="1:9">
      <c r="A426" s="23" t="s">
        <v>463</v>
      </c>
      <c r="B426" s="41">
        <v>3.07</v>
      </c>
      <c r="E426" s="41">
        <f t="shared" si="24"/>
        <v>3.0699999999999998E-2</v>
      </c>
      <c r="F426" s="49">
        <f t="shared" si="25"/>
        <v>0.98465000000000003</v>
      </c>
      <c r="G426" s="55">
        <f t="shared" si="26"/>
        <v>3.0938061807863404E-2</v>
      </c>
      <c r="I426" s="49">
        <f t="shared" si="27"/>
        <v>-3.4757680793720187</v>
      </c>
    </row>
    <row r="427" spans="1:9">
      <c r="A427" s="23" t="s">
        <v>464</v>
      </c>
      <c r="B427" s="41">
        <v>3.2</v>
      </c>
      <c r="E427" s="41">
        <f t="shared" si="24"/>
        <v>3.2000000000000001E-2</v>
      </c>
      <c r="F427" s="49">
        <f t="shared" si="25"/>
        <v>0.98399999999999999</v>
      </c>
      <c r="G427" s="55">
        <f t="shared" si="26"/>
        <v>3.2258763859767288E-2</v>
      </c>
      <c r="I427" s="49">
        <f t="shared" si="27"/>
        <v>-3.4339655250673604</v>
      </c>
    </row>
    <row r="428" spans="1:9">
      <c r="A428" s="23" t="s">
        <v>465</v>
      </c>
      <c r="B428" s="41">
        <v>3.16</v>
      </c>
      <c r="E428" s="41">
        <f t="shared" si="24"/>
        <v>3.1600000000000003E-2</v>
      </c>
      <c r="F428" s="49">
        <f t="shared" si="25"/>
        <v>0.98419999999999996</v>
      </c>
      <c r="G428" s="55">
        <f t="shared" si="26"/>
        <v>3.185230110051851E-2</v>
      </c>
      <c r="I428" s="49">
        <f t="shared" si="27"/>
        <v>-3.4466456515197734</v>
      </c>
    </row>
    <row r="429" spans="1:9">
      <c r="A429" s="23" t="s">
        <v>466</v>
      </c>
      <c r="B429" s="41">
        <v>3.14</v>
      </c>
      <c r="E429" s="41">
        <f t="shared" si="24"/>
        <v>3.1400000000000004E-2</v>
      </c>
      <c r="F429" s="49">
        <f t="shared" si="25"/>
        <v>0.98429999999999995</v>
      </c>
      <c r="G429" s="55">
        <f t="shared" si="26"/>
        <v>3.1649100693942923E-2</v>
      </c>
      <c r="I429" s="49">
        <f t="shared" si="27"/>
        <v>-3.4530455448890702</v>
      </c>
    </row>
    <row r="430" spans="1:9">
      <c r="A430" s="23" t="s">
        <v>467</v>
      </c>
      <c r="B430" s="41">
        <v>3.06</v>
      </c>
      <c r="E430" s="41">
        <f t="shared" si="24"/>
        <v>3.0600000000000002E-2</v>
      </c>
      <c r="F430" s="49">
        <f t="shared" si="25"/>
        <v>0.98470000000000002</v>
      </c>
      <c r="G430" s="55">
        <f t="shared" si="26"/>
        <v>3.0836505456761289E-2</v>
      </c>
      <c r="I430" s="49">
        <f t="shared" si="27"/>
        <v>-3.4790560487448738</v>
      </c>
    </row>
    <row r="431" spans="1:9">
      <c r="A431" s="23" t="s">
        <v>468</v>
      </c>
      <c r="B431" s="41">
        <v>3.12</v>
      </c>
      <c r="E431" s="41">
        <f t="shared" si="24"/>
        <v>3.1200000000000002E-2</v>
      </c>
      <c r="F431" s="49">
        <f t="shared" si="25"/>
        <v>0.98440000000000005</v>
      </c>
      <c r="G431" s="55">
        <f t="shared" si="26"/>
        <v>3.1445920930472396E-2</v>
      </c>
      <c r="I431" s="49">
        <f t="shared" si="27"/>
        <v>-3.4594860043914406</v>
      </c>
    </row>
    <row r="432" spans="1:9">
      <c r="A432" s="23" t="s">
        <v>469</v>
      </c>
      <c r="B432" s="41">
        <v>3.26</v>
      </c>
      <c r="E432" s="41">
        <f t="shared" si="24"/>
        <v>3.2599999999999997E-2</v>
      </c>
      <c r="F432" s="49">
        <f t="shared" si="25"/>
        <v>0.98370000000000002</v>
      </c>
      <c r="G432" s="55">
        <f t="shared" si="26"/>
        <v>3.2868612926849547E-2</v>
      </c>
      <c r="I432" s="49">
        <f t="shared" si="27"/>
        <v>-3.4152370909536409</v>
      </c>
    </row>
    <row r="433" spans="1:9">
      <c r="A433" s="23" t="s">
        <v>470</v>
      </c>
      <c r="B433" s="41">
        <v>3.23</v>
      </c>
      <c r="E433" s="41">
        <f t="shared" si="24"/>
        <v>3.2300000000000002E-2</v>
      </c>
      <c r="F433" s="49">
        <f t="shared" si="25"/>
        <v>0.98385</v>
      </c>
      <c r="G433" s="55">
        <f t="shared" si="26"/>
        <v>3.2563665148565721E-2</v>
      </c>
      <c r="I433" s="49">
        <f t="shared" si="27"/>
        <v>-3.4245581781949821</v>
      </c>
    </row>
    <row r="434" spans="1:9">
      <c r="A434" s="23" t="s">
        <v>471</v>
      </c>
      <c r="B434" s="41">
        <v>3.15</v>
      </c>
      <c r="E434" s="41">
        <f t="shared" si="24"/>
        <v>3.15E-2</v>
      </c>
      <c r="F434" s="49">
        <f t="shared" si="25"/>
        <v>0.98424999999999996</v>
      </c>
      <c r="G434" s="55">
        <f t="shared" si="26"/>
        <v>3.1750698316580388E-2</v>
      </c>
      <c r="I434" s="49">
        <f t="shared" si="27"/>
        <v>-3.4498405596623014</v>
      </c>
    </row>
    <row r="435" spans="1:9">
      <c r="A435" s="23" t="s">
        <v>472</v>
      </c>
      <c r="B435" s="41">
        <v>3.43</v>
      </c>
      <c r="E435" s="41">
        <f t="shared" si="24"/>
        <v>3.4300000000000004E-2</v>
      </c>
      <c r="F435" s="49">
        <f t="shared" si="25"/>
        <v>0.98285</v>
      </c>
      <c r="G435" s="55">
        <f t="shared" si="26"/>
        <v>3.4597529156658917E-2</v>
      </c>
      <c r="I435" s="49">
        <f t="shared" si="27"/>
        <v>-3.3639730111256489</v>
      </c>
    </row>
    <row r="436" spans="1:9">
      <c r="A436" s="23" t="s">
        <v>473</v>
      </c>
      <c r="B436" s="41">
        <v>3.78</v>
      </c>
      <c r="E436" s="41">
        <f t="shared" si="24"/>
        <v>3.78E-2</v>
      </c>
      <c r="F436" s="49">
        <f t="shared" si="25"/>
        <v>0.98109999999999997</v>
      </c>
      <c r="G436" s="55">
        <f t="shared" si="26"/>
        <v>3.8161775625583906E-2</v>
      </c>
      <c r="I436" s="49">
        <f t="shared" si="27"/>
        <v>-3.2659209024158273</v>
      </c>
    </row>
    <row r="437" spans="1:9">
      <c r="A437" s="23" t="s">
        <v>474</v>
      </c>
      <c r="B437" s="41">
        <v>4.09</v>
      </c>
      <c r="E437" s="41">
        <f t="shared" si="24"/>
        <v>4.0899999999999999E-2</v>
      </c>
      <c r="F437" s="49">
        <f t="shared" si="25"/>
        <v>0.97955000000000003</v>
      </c>
      <c r="G437" s="55">
        <f t="shared" si="26"/>
        <v>4.1323992896191639E-2</v>
      </c>
      <c r="I437" s="49">
        <f t="shared" si="27"/>
        <v>-3.1863120059001013</v>
      </c>
    </row>
    <row r="438" spans="1:9">
      <c r="A438" s="23" t="s">
        <v>475</v>
      </c>
      <c r="B438" s="41">
        <v>4.5999999999999996</v>
      </c>
      <c r="E438" s="41">
        <f t="shared" si="24"/>
        <v>4.5999999999999999E-2</v>
      </c>
      <c r="F438" s="49">
        <f t="shared" si="25"/>
        <v>0.97699999999999998</v>
      </c>
      <c r="G438" s="55">
        <f t="shared" si="26"/>
        <v>4.6537253878708662E-2</v>
      </c>
      <c r="I438" s="49">
        <f t="shared" si="27"/>
        <v>-3.06750212846323</v>
      </c>
    </row>
    <row r="439" spans="1:9">
      <c r="A439" s="23" t="s">
        <v>476</v>
      </c>
      <c r="B439" s="41">
        <v>4.55</v>
      </c>
      <c r="E439" s="41">
        <f t="shared" si="24"/>
        <v>4.5499999999999999E-2</v>
      </c>
      <c r="F439" s="49">
        <f t="shared" si="25"/>
        <v>0.97724999999999995</v>
      </c>
      <c r="G439" s="55">
        <f t="shared" si="26"/>
        <v>4.6025548618145819E-2</v>
      </c>
      <c r="I439" s="49">
        <f t="shared" si="27"/>
        <v>-3.07855863193087</v>
      </c>
    </row>
    <row r="440" spans="1:9">
      <c r="A440" s="23" t="s">
        <v>477</v>
      </c>
      <c r="B440" s="41">
        <v>4.75</v>
      </c>
      <c r="E440" s="41">
        <f t="shared" si="24"/>
        <v>4.7500000000000001E-2</v>
      </c>
      <c r="F440" s="49">
        <f t="shared" si="25"/>
        <v>0.97624999999999995</v>
      </c>
      <c r="G440" s="55">
        <f t="shared" si="26"/>
        <v>4.8073155656482763E-2</v>
      </c>
      <c r="I440" s="49">
        <f t="shared" si="27"/>
        <v>-3.0350313521229197</v>
      </c>
    </row>
    <row r="441" spans="1:9">
      <c r="A441" s="23" t="s">
        <v>478</v>
      </c>
      <c r="B441" s="41">
        <v>4.88</v>
      </c>
      <c r="E441" s="41">
        <f t="shared" si="24"/>
        <v>4.8799999999999996E-2</v>
      </c>
      <c r="F441" s="49">
        <f t="shared" si="25"/>
        <v>0.97560000000000002</v>
      </c>
      <c r="G441" s="55">
        <f t="shared" si="26"/>
        <v>4.940522528074362E-2</v>
      </c>
      <c r="I441" s="49">
        <f t="shared" si="27"/>
        <v>-3.0076990854681935</v>
      </c>
    </row>
    <row r="442" spans="1:9">
      <c r="A442" s="23" t="s">
        <v>479</v>
      </c>
      <c r="B442" s="41">
        <v>5.04</v>
      </c>
      <c r="E442" s="41">
        <f t="shared" si="24"/>
        <v>5.04E-2</v>
      </c>
      <c r="F442" s="49">
        <f t="shared" si="25"/>
        <v>0.9748</v>
      </c>
      <c r="G442" s="55">
        <f t="shared" si="26"/>
        <v>5.1045914462171785E-2</v>
      </c>
      <c r="I442" s="49">
        <f t="shared" si="27"/>
        <v>-2.9750297676980049</v>
      </c>
    </row>
    <row r="443" spans="1:9">
      <c r="A443" s="23" t="s">
        <v>480</v>
      </c>
      <c r="B443" s="41">
        <v>5.39</v>
      </c>
      <c r="E443" s="41">
        <f t="shared" si="24"/>
        <v>5.3899999999999997E-2</v>
      </c>
      <c r="F443" s="49">
        <f t="shared" si="25"/>
        <v>0.97304999999999997</v>
      </c>
      <c r="G443" s="55">
        <f t="shared" si="26"/>
        <v>5.4639621309925966E-2</v>
      </c>
      <c r="I443" s="49">
        <f t="shared" si="27"/>
        <v>-2.9069959943818704</v>
      </c>
    </row>
    <row r="444" spans="1:9">
      <c r="A444" s="23" t="s">
        <v>481</v>
      </c>
      <c r="B444" s="41">
        <v>5.72</v>
      </c>
      <c r="E444" s="41">
        <f t="shared" si="24"/>
        <v>5.7200000000000001E-2</v>
      </c>
      <c r="F444" s="49">
        <f t="shared" si="25"/>
        <v>0.97140000000000004</v>
      </c>
      <c r="G444" s="55">
        <f t="shared" si="26"/>
        <v>5.8033898140985127E-2</v>
      </c>
      <c r="I444" s="49">
        <f t="shared" si="27"/>
        <v>-2.8467279884538748</v>
      </c>
    </row>
    <row r="445" spans="1:9">
      <c r="A445" s="23" t="s">
        <v>482</v>
      </c>
      <c r="B445" s="41">
        <v>6.21</v>
      </c>
      <c r="E445" s="41">
        <f t="shared" si="24"/>
        <v>6.2100000000000002E-2</v>
      </c>
      <c r="F445" s="49">
        <f t="shared" si="25"/>
        <v>0.96894999999999998</v>
      </c>
      <c r="G445" s="55">
        <f t="shared" si="26"/>
        <v>6.308453601975729E-2</v>
      </c>
      <c r="I445" s="49">
        <f t="shared" si="27"/>
        <v>-2.7632796104720363</v>
      </c>
    </row>
    <row r="446" spans="1:9">
      <c r="A446" s="23" t="s">
        <v>483</v>
      </c>
      <c r="B446" s="41">
        <v>6.21</v>
      </c>
      <c r="E446" s="41">
        <f t="shared" si="24"/>
        <v>6.2100000000000002E-2</v>
      </c>
      <c r="F446" s="49">
        <f t="shared" si="25"/>
        <v>0.96894999999999998</v>
      </c>
      <c r="G446" s="55">
        <f t="shared" si="26"/>
        <v>6.308453601975729E-2</v>
      </c>
      <c r="I446" s="49">
        <f t="shared" si="27"/>
        <v>-2.7632796104720363</v>
      </c>
    </row>
    <row r="447" spans="1:9">
      <c r="A447" s="23" t="s">
        <v>484</v>
      </c>
      <c r="B447" s="41">
        <v>6.03</v>
      </c>
      <c r="E447" s="41">
        <f t="shared" si="24"/>
        <v>6.0299999999999999E-2</v>
      </c>
      <c r="F447" s="49">
        <f t="shared" si="25"/>
        <v>0.96984999999999999</v>
      </c>
      <c r="G447" s="55">
        <f t="shared" si="26"/>
        <v>6.122771723567267E-2</v>
      </c>
      <c r="I447" s="49">
        <f t="shared" si="27"/>
        <v>-2.7931552959825754</v>
      </c>
    </row>
    <row r="448" spans="1:9">
      <c r="A448" s="23" t="s">
        <v>485</v>
      </c>
      <c r="B448" s="41">
        <v>5.89</v>
      </c>
      <c r="E448" s="41">
        <f t="shared" si="24"/>
        <v>5.8899999999999994E-2</v>
      </c>
      <c r="F448" s="49">
        <f t="shared" si="25"/>
        <v>0.97055000000000002</v>
      </c>
      <c r="G448" s="55">
        <f t="shared" si="26"/>
        <v>5.9784715730073358E-2</v>
      </c>
      <c r="I448" s="49">
        <f t="shared" si="27"/>
        <v>-2.8170052404922945</v>
      </c>
    </row>
    <row r="449" spans="1:9">
      <c r="A449" s="23" t="s">
        <v>486</v>
      </c>
      <c r="B449" s="41">
        <v>5.77</v>
      </c>
      <c r="E449" s="41">
        <f t="shared" si="24"/>
        <v>5.7699999999999994E-2</v>
      </c>
      <c r="F449" s="49">
        <f t="shared" si="25"/>
        <v>0.97114999999999996</v>
      </c>
      <c r="G449" s="55">
        <f t="shared" si="26"/>
        <v>5.8548685407990499E-2</v>
      </c>
      <c r="I449" s="49">
        <f t="shared" si="27"/>
        <v>-2.8378966416586096</v>
      </c>
    </row>
    <row r="450" spans="1:9">
      <c r="A450" s="23" t="s">
        <v>487</v>
      </c>
      <c r="B450" s="41">
        <v>5.67</v>
      </c>
      <c r="E450" s="41">
        <f t="shared" si="24"/>
        <v>5.67E-2</v>
      </c>
      <c r="F450" s="49">
        <f t="shared" si="25"/>
        <v>0.97165000000000001</v>
      </c>
      <c r="G450" s="55">
        <f t="shared" si="26"/>
        <v>5.7519243342849205E-2</v>
      </c>
      <c r="I450" s="49">
        <f t="shared" si="27"/>
        <v>-2.8556357203351252</v>
      </c>
    </row>
    <row r="451" spans="1:9">
      <c r="A451" s="23" t="s">
        <v>488</v>
      </c>
      <c r="B451" s="41">
        <v>5.42</v>
      </c>
      <c r="E451" s="41">
        <f t="shared" si="24"/>
        <v>5.4199999999999998E-2</v>
      </c>
      <c r="F451" s="49">
        <f t="shared" si="25"/>
        <v>0.97289999999999999</v>
      </c>
      <c r="G451" s="55">
        <f t="shared" si="26"/>
        <v>5.4947954001510181E-2</v>
      </c>
      <c r="I451" s="49">
        <f t="shared" si="27"/>
        <v>-2.9013688326471736</v>
      </c>
    </row>
    <row r="452" spans="1:9">
      <c r="A452" s="23" t="s">
        <v>489</v>
      </c>
      <c r="B452" s="41">
        <v>5.37</v>
      </c>
      <c r="E452" s="41">
        <f t="shared" si="24"/>
        <v>5.3699999999999998E-2</v>
      </c>
      <c r="F452" s="49">
        <f t="shared" si="25"/>
        <v>0.97314999999999996</v>
      </c>
      <c r="G452" s="55">
        <f t="shared" si="26"/>
        <v>5.4434092587106124E-2</v>
      </c>
      <c r="I452" s="49">
        <f t="shared" si="27"/>
        <v>-2.9107646194470482</v>
      </c>
    </row>
    <row r="453" spans="1:9">
      <c r="A453" s="23" t="s">
        <v>490</v>
      </c>
      <c r="B453" s="41">
        <v>5.41</v>
      </c>
      <c r="E453" s="41">
        <f t="shared" si="24"/>
        <v>5.4100000000000002E-2</v>
      </c>
      <c r="F453" s="49">
        <f t="shared" si="25"/>
        <v>0.97294999999999998</v>
      </c>
      <c r="G453" s="55">
        <f t="shared" si="26"/>
        <v>5.4845171155944492E-2</v>
      </c>
      <c r="I453" s="49">
        <f t="shared" si="27"/>
        <v>-2.9032411334026862</v>
      </c>
    </row>
    <row r="454" spans="1:9">
      <c r="A454" s="23" t="s">
        <v>491</v>
      </c>
      <c r="B454" s="41">
        <v>5.3</v>
      </c>
      <c r="E454" s="41">
        <f t="shared" si="24"/>
        <v>5.2999999999999999E-2</v>
      </c>
      <c r="F454" s="49">
        <f t="shared" si="25"/>
        <v>0.97350000000000003</v>
      </c>
      <c r="G454" s="55">
        <f t="shared" si="26"/>
        <v>5.3714908339765284E-2</v>
      </c>
      <c r="I454" s="49">
        <f t="shared" si="27"/>
        <v>-2.9240646932829355</v>
      </c>
    </row>
    <row r="455" spans="1:9">
      <c r="A455" s="23" t="s">
        <v>492</v>
      </c>
      <c r="B455" s="41">
        <v>5.32</v>
      </c>
      <c r="E455" s="41">
        <f t="shared" si="24"/>
        <v>5.3200000000000004E-2</v>
      </c>
      <c r="F455" s="49">
        <f t="shared" si="25"/>
        <v>0.97340000000000004</v>
      </c>
      <c r="G455" s="55">
        <f t="shared" si="26"/>
        <v>5.3920363165566157E-2</v>
      </c>
      <c r="I455" s="49">
        <f t="shared" si="27"/>
        <v>-2.9202470771343325</v>
      </c>
    </row>
    <row r="456" spans="1:9">
      <c r="A456" s="23" t="s">
        <v>493</v>
      </c>
      <c r="B456" s="41">
        <v>5.27</v>
      </c>
      <c r="E456" s="41">
        <f t="shared" si="24"/>
        <v>5.2699999999999997E-2</v>
      </c>
      <c r="F456" s="49">
        <f t="shared" si="25"/>
        <v>0.97365000000000002</v>
      </c>
      <c r="G456" s="55">
        <f t="shared" si="26"/>
        <v>5.3406765669099528E-2</v>
      </c>
      <c r="I456" s="49">
        <f t="shared" si="27"/>
        <v>-2.92981784311828</v>
      </c>
    </row>
    <row r="457" spans="1:9">
      <c r="A457" s="23" t="s">
        <v>494</v>
      </c>
      <c r="B457" s="41">
        <v>5.13</v>
      </c>
      <c r="E457" s="41">
        <f t="shared" si="24"/>
        <v>5.1299999999999998E-2</v>
      </c>
      <c r="F457" s="49">
        <f t="shared" si="25"/>
        <v>0.97435000000000005</v>
      </c>
      <c r="G457" s="55">
        <f t="shared" si="26"/>
        <v>5.1969393943987106E-2</v>
      </c>
      <c r="I457" s="49">
        <f t="shared" si="27"/>
        <v>-2.9571003116809846</v>
      </c>
    </row>
    <row r="458" spans="1:9">
      <c r="A458" s="23" t="s">
        <v>495</v>
      </c>
      <c r="B458" s="41">
        <v>4.92</v>
      </c>
      <c r="E458" s="41">
        <f t="shared" si="24"/>
        <v>4.9200000000000001E-2</v>
      </c>
      <c r="F458" s="49">
        <f t="shared" si="25"/>
        <v>0.97540000000000004</v>
      </c>
      <c r="G458" s="55">
        <f t="shared" si="26"/>
        <v>4.9815271412369563E-2</v>
      </c>
      <c r="I458" s="49">
        <f t="shared" si="27"/>
        <v>-2.9994336870936649</v>
      </c>
    </row>
    <row r="459" spans="1:9">
      <c r="A459" s="23" t="s">
        <v>496</v>
      </c>
      <c r="B459" s="41">
        <v>4.7699999999999996</v>
      </c>
      <c r="E459" s="41">
        <f t="shared" si="24"/>
        <v>4.7699999999999992E-2</v>
      </c>
      <c r="F459" s="49">
        <f t="shared" si="25"/>
        <v>0.97614999999999996</v>
      </c>
      <c r="G459" s="55">
        <f t="shared" si="26"/>
        <v>4.8278031706651653E-2</v>
      </c>
      <c r="I459" s="49">
        <f t="shared" si="27"/>
        <v>-3.0307786518802176</v>
      </c>
    </row>
    <row r="460" spans="1:9">
      <c r="A460" s="23" t="s">
        <v>497</v>
      </c>
      <c r="B460" s="41">
        <v>4.96</v>
      </c>
      <c r="E460" s="41">
        <f t="shared" si="24"/>
        <v>4.9599999999999998E-2</v>
      </c>
      <c r="F460" s="49">
        <f t="shared" si="25"/>
        <v>0.97519999999999996</v>
      </c>
      <c r="G460" s="55">
        <f t="shared" si="26"/>
        <v>5.0225401630150657E-2</v>
      </c>
      <c r="I460" s="49">
        <f t="shared" si="27"/>
        <v>-2.9912343716948806</v>
      </c>
    </row>
    <row r="461" spans="1:9">
      <c r="A461" s="23" t="s">
        <v>498</v>
      </c>
      <c r="B461" s="41">
        <v>5.0599999999999996</v>
      </c>
      <c r="E461" s="41">
        <f t="shared" si="24"/>
        <v>5.0599999999999999E-2</v>
      </c>
      <c r="F461" s="49">
        <f t="shared" si="25"/>
        <v>0.97470000000000001</v>
      </c>
      <c r="G461" s="55">
        <f t="shared" si="26"/>
        <v>5.1251095277945462E-2</v>
      </c>
      <c r="I461" s="49">
        <f t="shared" si="27"/>
        <v>-2.9710182899149973</v>
      </c>
    </row>
    <row r="462" spans="1:9">
      <c r="A462" s="23" t="s">
        <v>499</v>
      </c>
      <c r="B462" s="41">
        <v>5.12</v>
      </c>
      <c r="E462" s="41">
        <f t="shared" ref="E462:E525" si="28">B462/100</f>
        <v>5.1200000000000002E-2</v>
      </c>
      <c r="F462" s="49">
        <f t="shared" ref="F462:F525" si="29">1-180/360*E462</f>
        <v>0.97440000000000004</v>
      </c>
      <c r="G462" s="55">
        <f t="shared" ref="G462:G525" si="30">-1/0.5*LN(F462)</f>
        <v>5.1866764053008857E-2</v>
      </c>
      <c r="I462" s="49">
        <f t="shared" ref="I462:I525" si="31">LN(G462)</f>
        <v>-2.9590770782790128</v>
      </c>
    </row>
    <row r="463" spans="1:9">
      <c r="A463" s="23" t="s">
        <v>500</v>
      </c>
      <c r="B463" s="41">
        <v>5.25</v>
      </c>
      <c r="E463" s="41">
        <f t="shared" si="28"/>
        <v>5.2499999999999998E-2</v>
      </c>
      <c r="F463" s="49">
        <f t="shared" si="29"/>
        <v>0.97375</v>
      </c>
      <c r="G463" s="55">
        <f t="shared" si="30"/>
        <v>5.3201363594358057E-2</v>
      </c>
      <c r="I463" s="49">
        <f t="shared" si="31"/>
        <v>-2.9336712514901233</v>
      </c>
    </row>
    <row r="464" spans="1:9">
      <c r="A464" s="23" t="s">
        <v>501</v>
      </c>
      <c r="B464" s="41">
        <v>5.3</v>
      </c>
      <c r="E464" s="41">
        <f t="shared" si="28"/>
        <v>5.2999999999999999E-2</v>
      </c>
      <c r="F464" s="49">
        <f t="shared" si="29"/>
        <v>0.97350000000000003</v>
      </c>
      <c r="G464" s="55">
        <f t="shared" si="30"/>
        <v>5.3714908339765284E-2</v>
      </c>
      <c r="I464" s="49">
        <f t="shared" si="31"/>
        <v>-2.9240646932829355</v>
      </c>
    </row>
    <row r="465" spans="1:10">
      <c r="A465" s="23" t="s">
        <v>502</v>
      </c>
      <c r="B465" s="41">
        <v>5.13</v>
      </c>
      <c r="E465" s="41">
        <f t="shared" si="28"/>
        <v>5.1299999999999998E-2</v>
      </c>
      <c r="F465" s="49">
        <f t="shared" si="29"/>
        <v>0.97435000000000005</v>
      </c>
      <c r="G465" s="55">
        <f t="shared" si="30"/>
        <v>5.1969393943987106E-2</v>
      </c>
      <c r="I465" s="49">
        <f t="shared" si="31"/>
        <v>-2.9571003116809846</v>
      </c>
    </row>
    <row r="466" spans="1:10">
      <c r="A466" s="23" t="s">
        <v>503</v>
      </c>
      <c r="B466" s="41">
        <v>5.24</v>
      </c>
      <c r="E466" s="41">
        <f t="shared" si="28"/>
        <v>5.2400000000000002E-2</v>
      </c>
      <c r="F466" s="49">
        <f t="shared" si="29"/>
        <v>0.9738</v>
      </c>
      <c r="G466" s="55">
        <f t="shared" si="30"/>
        <v>5.3098670467073047E-2</v>
      </c>
      <c r="I466" s="49">
        <f t="shared" si="31"/>
        <v>-2.9356033893325835</v>
      </c>
    </row>
    <row r="467" spans="1:10">
      <c r="A467" s="23" t="s">
        <v>504</v>
      </c>
      <c r="B467" s="41">
        <v>5.1100000000000003</v>
      </c>
      <c r="E467" s="41">
        <f t="shared" si="28"/>
        <v>5.1100000000000007E-2</v>
      </c>
      <c r="F467" s="49">
        <f t="shared" si="29"/>
        <v>0.97445000000000004</v>
      </c>
      <c r="G467" s="55">
        <f t="shared" si="30"/>
        <v>5.1764139428207637E-2</v>
      </c>
      <c r="I467" s="49">
        <f t="shared" si="31"/>
        <v>-2.9610576584901454</v>
      </c>
    </row>
    <row r="468" spans="1:10">
      <c r="A468" s="23" t="s">
        <v>505</v>
      </c>
      <c r="B468" s="41">
        <v>5.07</v>
      </c>
      <c r="E468" s="41">
        <f t="shared" si="28"/>
        <v>5.0700000000000002E-2</v>
      </c>
      <c r="F468" s="49">
        <f t="shared" si="29"/>
        <v>0.97465000000000002</v>
      </c>
      <c r="G468" s="55">
        <f t="shared" si="30"/>
        <v>5.1353693579966053E-2</v>
      </c>
      <c r="I468" s="49">
        <f t="shared" si="31"/>
        <v>-2.9690184156916257</v>
      </c>
    </row>
    <row r="469" spans="1:10">
      <c r="A469" s="23" t="s">
        <v>506</v>
      </c>
      <c r="B469" s="41">
        <v>5.04</v>
      </c>
      <c r="E469" s="41">
        <f t="shared" si="28"/>
        <v>5.04E-2</v>
      </c>
      <c r="F469" s="49">
        <f t="shared" si="29"/>
        <v>0.9748</v>
      </c>
      <c r="G469" s="55">
        <f t="shared" si="30"/>
        <v>5.1045914462171785E-2</v>
      </c>
      <c r="I469" s="49">
        <f t="shared" si="31"/>
        <v>-2.9750297676980049</v>
      </c>
    </row>
    <row r="470" spans="1:10">
      <c r="A470" s="23" t="s">
        <v>507</v>
      </c>
      <c r="B470" s="41">
        <v>5.0999999999999996</v>
      </c>
      <c r="E470" s="41">
        <f t="shared" si="28"/>
        <v>5.0999999999999997E-2</v>
      </c>
      <c r="F470" s="49">
        <f t="shared" si="29"/>
        <v>0.97450000000000003</v>
      </c>
      <c r="G470" s="55">
        <f t="shared" si="30"/>
        <v>5.1661520069043031E-2</v>
      </c>
      <c r="I470" s="49">
        <f t="shared" si="31"/>
        <v>-2.9630420672594706</v>
      </c>
    </row>
    <row r="471" spans="1:10">
      <c r="A471" s="23" t="s">
        <v>508</v>
      </c>
      <c r="B471" s="41">
        <v>5.0599999999999996</v>
      </c>
      <c r="E471" s="41">
        <f t="shared" si="28"/>
        <v>5.0599999999999999E-2</v>
      </c>
      <c r="F471" s="49">
        <f t="shared" si="29"/>
        <v>0.97470000000000001</v>
      </c>
      <c r="G471" s="55">
        <f t="shared" si="30"/>
        <v>5.1251095277945462E-2</v>
      </c>
      <c r="I471" s="49">
        <f t="shared" si="31"/>
        <v>-2.9710182899149973</v>
      </c>
    </row>
    <row r="472" spans="1:10">
      <c r="A472" s="23" t="s">
        <v>509</v>
      </c>
      <c r="B472" s="41">
        <v>5.26</v>
      </c>
      <c r="E472" s="41">
        <f t="shared" si="28"/>
        <v>5.2600000000000001E-2</v>
      </c>
      <c r="F472" s="49">
        <f t="shared" si="29"/>
        <v>0.97370000000000001</v>
      </c>
      <c r="G472" s="55">
        <f t="shared" si="30"/>
        <v>5.3304061994853026E-2</v>
      </c>
      <c r="I472" s="49">
        <f t="shared" si="31"/>
        <v>-2.9317427406794092</v>
      </c>
    </row>
    <row r="473" spans="1:10">
      <c r="A473" s="23" t="s">
        <v>510</v>
      </c>
      <c r="B473" s="41">
        <v>5.37</v>
      </c>
      <c r="E473" s="41">
        <f t="shared" si="28"/>
        <v>5.3699999999999998E-2</v>
      </c>
      <c r="F473" s="49">
        <f t="shared" si="29"/>
        <v>0.97314999999999996</v>
      </c>
      <c r="G473" s="55">
        <f t="shared" si="30"/>
        <v>5.4434092587106124E-2</v>
      </c>
      <c r="I473" s="49">
        <f t="shared" si="31"/>
        <v>-2.9107646194470482</v>
      </c>
    </row>
    <row r="474" spans="1:10">
      <c r="A474" s="23" t="s">
        <v>511</v>
      </c>
      <c r="B474" s="41">
        <v>5.3</v>
      </c>
      <c r="E474" s="41">
        <f t="shared" si="28"/>
        <v>5.2999999999999999E-2</v>
      </c>
      <c r="F474" s="49">
        <f t="shared" si="29"/>
        <v>0.97350000000000003</v>
      </c>
      <c r="G474" s="55">
        <f t="shared" si="30"/>
        <v>5.3714908339765284E-2</v>
      </c>
      <c r="I474" s="49">
        <f t="shared" si="31"/>
        <v>-2.9240646932829355</v>
      </c>
    </row>
    <row r="475" spans="1:10">
      <c r="A475" s="23" t="s">
        <v>512</v>
      </c>
      <c r="B475" s="41">
        <v>5.13</v>
      </c>
      <c r="E475" s="41">
        <f t="shared" si="28"/>
        <v>5.1299999999999998E-2</v>
      </c>
      <c r="F475" s="49">
        <f t="shared" si="29"/>
        <v>0.97435000000000005</v>
      </c>
      <c r="G475" s="55">
        <f t="shared" si="30"/>
        <v>5.1969393943987106E-2</v>
      </c>
      <c r="H475" s="49">
        <f>G475-G474</f>
        <v>-1.7455143957781777E-3</v>
      </c>
      <c r="I475" s="49">
        <f t="shared" si="31"/>
        <v>-2.9571003116809846</v>
      </c>
      <c r="J475" s="49">
        <f>I475-I474</f>
        <v>-3.3035618398049138E-2</v>
      </c>
    </row>
    <row r="476" spans="1:10">
      <c r="A476" s="23" t="s">
        <v>513</v>
      </c>
      <c r="B476" s="41">
        <v>5.12</v>
      </c>
      <c r="E476" s="41">
        <f t="shared" si="28"/>
        <v>5.1200000000000002E-2</v>
      </c>
      <c r="F476" s="49">
        <f t="shared" si="29"/>
        <v>0.97440000000000004</v>
      </c>
      <c r="G476" s="55">
        <f t="shared" si="30"/>
        <v>5.1866764053008857E-2</v>
      </c>
      <c r="H476" s="49">
        <f t="shared" ref="H476:H539" si="32">G476-G475</f>
        <v>-1.0262989097824943E-4</v>
      </c>
      <c r="I476" s="49">
        <f t="shared" si="31"/>
        <v>-2.9590770782790128</v>
      </c>
      <c r="J476" s="49">
        <f t="shared" ref="J476:J539" si="33">I476-I475</f>
        <v>-1.9767665980281457E-3</v>
      </c>
    </row>
    <row r="477" spans="1:10">
      <c r="A477" s="23" t="s">
        <v>514</v>
      </c>
      <c r="B477" s="41">
        <v>5.19</v>
      </c>
      <c r="E477" s="41">
        <f t="shared" si="28"/>
        <v>5.1900000000000002E-2</v>
      </c>
      <c r="F477" s="49">
        <f t="shared" si="29"/>
        <v>0.97404999999999997</v>
      </c>
      <c r="G477" s="55">
        <f t="shared" si="30"/>
        <v>5.2585283909847978E-2</v>
      </c>
      <c r="H477" s="49">
        <f t="shared" si="32"/>
        <v>7.1851985683912128E-4</v>
      </c>
      <c r="I477" s="49">
        <f t="shared" si="31"/>
        <v>-2.9453189719594359</v>
      </c>
      <c r="J477" s="49">
        <f t="shared" si="33"/>
        <v>1.3758106319576857E-2</v>
      </c>
    </row>
    <row r="478" spans="1:10">
      <c r="A478" s="23" t="s">
        <v>515</v>
      </c>
      <c r="B478" s="41">
        <v>5.09</v>
      </c>
      <c r="E478" s="41">
        <f t="shared" si="28"/>
        <v>5.0900000000000001E-2</v>
      </c>
      <c r="F478" s="49">
        <f t="shared" si="29"/>
        <v>0.97455000000000003</v>
      </c>
      <c r="G478" s="55">
        <f t="shared" si="30"/>
        <v>5.1558905974974714E-2</v>
      </c>
      <c r="H478" s="49">
        <f t="shared" si="32"/>
        <v>-1.0263779348732641E-3</v>
      </c>
      <c r="I478" s="49">
        <f t="shared" si="31"/>
        <v>-2.9650303196200762</v>
      </c>
      <c r="J478" s="49">
        <f t="shared" si="33"/>
        <v>-1.971134766064031E-2</v>
      </c>
    </row>
    <row r="479" spans="1:10">
      <c r="A479" s="23" t="s">
        <v>516</v>
      </c>
      <c r="B479" s="41">
        <v>5.09</v>
      </c>
      <c r="E479" s="41">
        <f t="shared" si="28"/>
        <v>5.0900000000000001E-2</v>
      </c>
      <c r="F479" s="49">
        <f t="shared" si="29"/>
        <v>0.97455000000000003</v>
      </c>
      <c r="G479" s="55">
        <f t="shared" si="30"/>
        <v>5.1558905974974714E-2</v>
      </c>
      <c r="H479" s="49">
        <f t="shared" si="32"/>
        <v>0</v>
      </c>
      <c r="I479" s="49">
        <f t="shared" si="31"/>
        <v>-2.9650303196200762</v>
      </c>
      <c r="J479" s="49">
        <f t="shared" si="33"/>
        <v>0</v>
      </c>
    </row>
    <row r="480" spans="1:10">
      <c r="A480" s="23" t="s">
        <v>517</v>
      </c>
      <c r="B480" s="41">
        <v>5.17</v>
      </c>
      <c r="E480" s="41">
        <f t="shared" si="28"/>
        <v>5.1699999999999996E-2</v>
      </c>
      <c r="F480" s="49">
        <f t="shared" si="29"/>
        <v>0.97414999999999996</v>
      </c>
      <c r="G480" s="55">
        <f t="shared" si="30"/>
        <v>5.2379966180481768E-2</v>
      </c>
      <c r="H480" s="49">
        <f t="shared" si="32"/>
        <v>8.2106020550705427E-4</v>
      </c>
      <c r="I480" s="49">
        <f t="shared" si="31"/>
        <v>-2.9492310855598669</v>
      </c>
      <c r="J480" s="49">
        <f t="shared" si="33"/>
        <v>1.5799234060209333E-2</v>
      </c>
    </row>
    <row r="481" spans="1:10">
      <c r="A481" s="23" t="s">
        <v>518</v>
      </c>
      <c r="B481" s="41">
        <v>5.24</v>
      </c>
      <c r="E481" s="41">
        <f t="shared" si="28"/>
        <v>5.2400000000000002E-2</v>
      </c>
      <c r="F481" s="49">
        <f t="shared" si="29"/>
        <v>0.9738</v>
      </c>
      <c r="G481" s="55">
        <f t="shared" si="30"/>
        <v>5.3098670467073047E-2</v>
      </c>
      <c r="H481" s="49">
        <f t="shared" si="32"/>
        <v>7.1870428659127905E-4</v>
      </c>
      <c r="I481" s="49">
        <f t="shared" si="31"/>
        <v>-2.9356033893325835</v>
      </c>
      <c r="J481" s="49">
        <f t="shared" si="33"/>
        <v>1.3627696227283437E-2</v>
      </c>
    </row>
    <row r="482" spans="1:10">
      <c r="A482" s="23" t="s">
        <v>519</v>
      </c>
      <c r="B482" s="41">
        <v>5.03</v>
      </c>
      <c r="E482" s="41">
        <f t="shared" si="28"/>
        <v>5.0300000000000004E-2</v>
      </c>
      <c r="F482" s="49">
        <f t="shared" si="29"/>
        <v>0.97484999999999999</v>
      </c>
      <c r="G482" s="55">
        <f t="shared" si="30"/>
        <v>5.0943331947338959E-2</v>
      </c>
      <c r="H482" s="49">
        <f t="shared" si="32"/>
        <v>-2.1553385197340888E-3</v>
      </c>
      <c r="I482" s="49">
        <f t="shared" si="31"/>
        <v>-2.9770414023170919</v>
      </c>
      <c r="J482" s="49">
        <f t="shared" si="33"/>
        <v>-4.1438012984508443E-2</v>
      </c>
    </row>
    <row r="483" spans="1:10">
      <c r="A483" s="23" t="s">
        <v>520</v>
      </c>
      <c r="B483" s="41">
        <v>5.07</v>
      </c>
      <c r="E483" s="41">
        <f t="shared" si="28"/>
        <v>5.0700000000000002E-2</v>
      </c>
      <c r="F483" s="49">
        <f t="shared" si="29"/>
        <v>0.97465000000000002</v>
      </c>
      <c r="G483" s="55">
        <f t="shared" si="30"/>
        <v>5.1353693579966053E-2</v>
      </c>
      <c r="H483" s="49">
        <f t="shared" si="32"/>
        <v>4.1036163262709452E-4</v>
      </c>
      <c r="I483" s="49">
        <f t="shared" si="31"/>
        <v>-2.9690184156916257</v>
      </c>
      <c r="J483" s="49">
        <f t="shared" si="33"/>
        <v>8.0229866254661886E-3</v>
      </c>
    </row>
    <row r="484" spans="1:10">
      <c r="A484" s="23" t="s">
        <v>521</v>
      </c>
      <c r="B484" s="41">
        <v>5.04</v>
      </c>
      <c r="E484" s="41">
        <f t="shared" si="28"/>
        <v>5.04E-2</v>
      </c>
      <c r="F484" s="49">
        <f t="shared" si="29"/>
        <v>0.9748</v>
      </c>
      <c r="G484" s="55">
        <f t="shared" si="30"/>
        <v>5.1045914462171785E-2</v>
      </c>
      <c r="H484" s="49">
        <f t="shared" si="32"/>
        <v>-3.0777911779426848E-4</v>
      </c>
      <c r="I484" s="49">
        <f t="shared" si="31"/>
        <v>-2.9750297676980049</v>
      </c>
      <c r="J484" s="49">
        <f t="shared" si="33"/>
        <v>-6.0113520063791448E-3</v>
      </c>
    </row>
    <row r="485" spans="1:10">
      <c r="A485" s="23" t="s">
        <v>522</v>
      </c>
      <c r="B485" s="41">
        <v>5.0599999999999996</v>
      </c>
      <c r="E485" s="41">
        <f t="shared" si="28"/>
        <v>5.0599999999999999E-2</v>
      </c>
      <c r="F485" s="49">
        <f t="shared" si="29"/>
        <v>0.97470000000000001</v>
      </c>
      <c r="G485" s="55">
        <f t="shared" si="30"/>
        <v>5.1251095277945462E-2</v>
      </c>
      <c r="H485" s="49">
        <f t="shared" si="32"/>
        <v>2.0518081577367703E-4</v>
      </c>
      <c r="I485" s="49">
        <f t="shared" si="31"/>
        <v>-2.9710182899149973</v>
      </c>
      <c r="J485" s="49">
        <f t="shared" si="33"/>
        <v>4.0114777830075887E-3</v>
      </c>
    </row>
    <row r="486" spans="1:10">
      <c r="A486" s="23" t="s">
        <v>523</v>
      </c>
      <c r="B486" s="41">
        <v>5.14</v>
      </c>
      <c r="E486" s="41">
        <f t="shared" si="28"/>
        <v>5.1399999999999994E-2</v>
      </c>
      <c r="F486" s="49">
        <f t="shared" si="29"/>
        <v>0.97430000000000005</v>
      </c>
      <c r="G486" s="55">
        <f t="shared" si="30"/>
        <v>5.2072029101682883E-2</v>
      </c>
      <c r="H486" s="49">
        <f t="shared" si="32"/>
        <v>8.2093382373742141E-4</v>
      </c>
      <c r="I486" s="49">
        <f t="shared" si="31"/>
        <v>-2.9551273438382846</v>
      </c>
      <c r="J486" s="49">
        <f t="shared" si="33"/>
        <v>1.5890946076712709E-2</v>
      </c>
    </row>
    <row r="487" spans="1:10">
      <c r="A487" s="23" t="s">
        <v>524</v>
      </c>
      <c r="B487" s="41">
        <v>5.12</v>
      </c>
      <c r="E487" s="41">
        <f t="shared" si="28"/>
        <v>5.1200000000000002E-2</v>
      </c>
      <c r="F487" s="49">
        <f t="shared" si="29"/>
        <v>0.97440000000000004</v>
      </c>
      <c r="G487" s="55">
        <f t="shared" si="30"/>
        <v>5.1866764053008857E-2</v>
      </c>
      <c r="H487" s="49">
        <f t="shared" si="32"/>
        <v>-2.0526504867402623E-4</v>
      </c>
      <c r="I487" s="49">
        <f t="shared" si="31"/>
        <v>-2.9590770782790128</v>
      </c>
      <c r="J487" s="49">
        <f t="shared" si="33"/>
        <v>-3.9497344407282142E-3</v>
      </c>
    </row>
    <row r="488" spans="1:10">
      <c r="A488" s="23" t="s">
        <v>525</v>
      </c>
      <c r="B488" s="41">
        <v>5.03</v>
      </c>
      <c r="E488" s="41">
        <f t="shared" si="28"/>
        <v>5.0300000000000004E-2</v>
      </c>
      <c r="F488" s="49">
        <f t="shared" si="29"/>
        <v>0.97484999999999999</v>
      </c>
      <c r="G488" s="55">
        <f t="shared" si="30"/>
        <v>5.0943331947338959E-2</v>
      </c>
      <c r="H488" s="49">
        <f t="shared" si="32"/>
        <v>-9.2343210566989825E-4</v>
      </c>
      <c r="I488" s="49">
        <f t="shared" si="31"/>
        <v>-2.9770414023170919</v>
      </c>
      <c r="J488" s="49">
        <f t="shared" si="33"/>
        <v>-1.7964324038079127E-2</v>
      </c>
    </row>
    <row r="489" spans="1:10">
      <c r="A489" s="23" t="s">
        <v>526</v>
      </c>
      <c r="B489" s="41">
        <v>4.95</v>
      </c>
      <c r="E489" s="41">
        <f t="shared" si="28"/>
        <v>4.9500000000000002E-2</v>
      </c>
      <c r="F489" s="49">
        <f t="shared" si="29"/>
        <v>0.97524999999999995</v>
      </c>
      <c r="G489" s="55">
        <f t="shared" si="30"/>
        <v>5.0122861190742427E-2</v>
      </c>
      <c r="H489" s="49">
        <f t="shared" si="32"/>
        <v>-8.2047075659653218E-4</v>
      </c>
      <c r="I489" s="49">
        <f t="shared" si="31"/>
        <v>-2.9932780637771463</v>
      </c>
      <c r="J489" s="49">
        <f t="shared" si="33"/>
        <v>-1.6236661460054425E-2</v>
      </c>
    </row>
    <row r="490" spans="1:10">
      <c r="A490" s="23" t="s">
        <v>527</v>
      </c>
      <c r="B490" s="41">
        <v>4.63</v>
      </c>
      <c r="E490" s="41">
        <f t="shared" si="28"/>
        <v>4.6300000000000001E-2</v>
      </c>
      <c r="F490" s="49">
        <f t="shared" si="29"/>
        <v>0.97685</v>
      </c>
      <c r="G490" s="55">
        <f t="shared" si="30"/>
        <v>4.6844339888985148E-2</v>
      </c>
      <c r="H490" s="49">
        <f t="shared" si="32"/>
        <v>-3.2785213017572784E-3</v>
      </c>
      <c r="I490" s="49">
        <f t="shared" si="31"/>
        <v>-3.0609250910650743</v>
      </c>
      <c r="J490" s="49">
        <f t="shared" si="33"/>
        <v>-6.764702728792793E-2</v>
      </c>
    </row>
    <row r="491" spans="1:10">
      <c r="A491" s="23" t="s">
        <v>528</v>
      </c>
      <c r="B491" s="41">
        <v>4.05</v>
      </c>
      <c r="E491" s="41">
        <f t="shared" si="28"/>
        <v>4.0500000000000001E-2</v>
      </c>
      <c r="F491" s="49">
        <f t="shared" si="29"/>
        <v>0.97975000000000001</v>
      </c>
      <c r="G491" s="55">
        <f t="shared" si="30"/>
        <v>4.0915683804792401E-2</v>
      </c>
      <c r="H491" s="49">
        <f t="shared" si="32"/>
        <v>-5.9286560841927474E-3</v>
      </c>
      <c r="I491" s="49">
        <f t="shared" si="31"/>
        <v>-3.1962418223282638</v>
      </c>
      <c r="J491" s="49">
        <f t="shared" si="33"/>
        <v>-0.13531673126318955</v>
      </c>
    </row>
    <row r="492" spans="1:10">
      <c r="A492" s="23" t="s">
        <v>529</v>
      </c>
      <c r="B492" s="41">
        <v>4.42</v>
      </c>
      <c r="E492" s="41">
        <f t="shared" si="28"/>
        <v>4.4199999999999996E-2</v>
      </c>
      <c r="F492" s="49">
        <f t="shared" si="29"/>
        <v>0.97789999999999999</v>
      </c>
      <c r="G492" s="55">
        <f t="shared" si="30"/>
        <v>4.4695727327815245E-2</v>
      </c>
      <c r="H492" s="49">
        <f t="shared" si="32"/>
        <v>3.7800435230228441E-3</v>
      </c>
      <c r="I492" s="49">
        <f t="shared" si="31"/>
        <v>-3.1078773674386886</v>
      </c>
      <c r="J492" s="49">
        <f t="shared" si="33"/>
        <v>8.8364454889575228E-2</v>
      </c>
    </row>
    <row r="493" spans="1:10">
      <c r="A493" s="23" t="s">
        <v>530</v>
      </c>
      <c r="B493" s="41">
        <v>4.4000000000000004</v>
      </c>
      <c r="E493" s="41">
        <f t="shared" si="28"/>
        <v>4.4000000000000004E-2</v>
      </c>
      <c r="F493" s="49">
        <f t="shared" si="29"/>
        <v>0.97799999999999998</v>
      </c>
      <c r="G493" s="55">
        <f t="shared" si="30"/>
        <v>4.4491217894639473E-2</v>
      </c>
      <c r="H493" s="49">
        <f t="shared" si="32"/>
        <v>-2.0450943317577158E-4</v>
      </c>
      <c r="I493" s="49">
        <f t="shared" si="31"/>
        <v>-3.11246345996841</v>
      </c>
      <c r="J493" s="49">
        <f t="shared" si="33"/>
        <v>-4.5860925297214195E-3</v>
      </c>
    </row>
    <row r="494" spans="1:10">
      <c r="A494" s="23" t="s">
        <v>531</v>
      </c>
      <c r="B494" s="41">
        <v>4.33</v>
      </c>
      <c r="E494" s="41">
        <f t="shared" si="28"/>
        <v>4.3299999999999998E-2</v>
      </c>
      <c r="F494" s="49">
        <f t="shared" si="29"/>
        <v>0.97835000000000005</v>
      </c>
      <c r="G494" s="55">
        <f t="shared" si="30"/>
        <v>4.3775599516058535E-2</v>
      </c>
      <c r="H494" s="49">
        <f t="shared" si="32"/>
        <v>-7.1561837858093863E-4</v>
      </c>
      <c r="I494" s="49">
        <f t="shared" si="31"/>
        <v>-3.1286787055057492</v>
      </c>
      <c r="J494" s="49">
        <f t="shared" si="33"/>
        <v>-1.6215245537339218E-2</v>
      </c>
    </row>
    <row r="495" spans="1:10">
      <c r="A495" s="23" t="s">
        <v>532</v>
      </c>
      <c r="B495" s="41">
        <v>4.4400000000000004</v>
      </c>
      <c r="E495" s="41">
        <f t="shared" si="28"/>
        <v>4.4400000000000002E-2</v>
      </c>
      <c r="F495" s="49">
        <f t="shared" si="29"/>
        <v>0.9778</v>
      </c>
      <c r="G495" s="55">
        <f t="shared" si="30"/>
        <v>4.4900257675183741E-2</v>
      </c>
      <c r="H495" s="49">
        <f t="shared" si="32"/>
        <v>1.1246581591252067E-3</v>
      </c>
      <c r="I495" s="49">
        <f t="shared" si="31"/>
        <v>-3.103311745382161</v>
      </c>
      <c r="J495" s="49">
        <f t="shared" si="33"/>
        <v>2.5366960123588189E-2</v>
      </c>
    </row>
    <row r="496" spans="1:10">
      <c r="A496" s="23" t="s">
        <v>533</v>
      </c>
      <c r="B496" s="41">
        <v>4.47</v>
      </c>
      <c r="E496" s="41">
        <f t="shared" si="28"/>
        <v>4.4699999999999997E-2</v>
      </c>
      <c r="F496" s="49">
        <f t="shared" si="29"/>
        <v>0.97765000000000002</v>
      </c>
      <c r="G496" s="55">
        <f t="shared" si="30"/>
        <v>4.5207092419706371E-2</v>
      </c>
      <c r="H496" s="49">
        <f t="shared" si="32"/>
        <v>3.0683474452262993E-4</v>
      </c>
      <c r="I496" s="49">
        <f t="shared" si="31"/>
        <v>-3.096501292512936</v>
      </c>
      <c r="J496" s="49">
        <f t="shared" si="33"/>
        <v>6.8104528692249922E-3</v>
      </c>
    </row>
    <row r="497" spans="1:10">
      <c r="A497" s="23" t="s">
        <v>534</v>
      </c>
      <c r="B497" s="41">
        <v>4.37</v>
      </c>
      <c r="E497" s="41">
        <f t="shared" si="28"/>
        <v>4.3700000000000003E-2</v>
      </c>
      <c r="F497" s="49">
        <f t="shared" si="29"/>
        <v>0.97814999999999996</v>
      </c>
      <c r="G497" s="55">
        <f t="shared" si="30"/>
        <v>4.4184492949632219E-2</v>
      </c>
      <c r="H497" s="49">
        <f t="shared" si="32"/>
        <v>-1.0225994700741523E-3</v>
      </c>
      <c r="I497" s="49">
        <f t="shared" si="31"/>
        <v>-3.1193813897002345</v>
      </c>
      <c r="J497" s="49">
        <f t="shared" si="33"/>
        <v>-2.2880097187298443E-2</v>
      </c>
    </row>
    <row r="498" spans="1:10">
      <c r="A498" s="23" t="s">
        <v>535</v>
      </c>
      <c r="B498" s="41">
        <v>4.5599999999999996</v>
      </c>
      <c r="E498" s="41">
        <f t="shared" si="28"/>
        <v>4.5599999999999995E-2</v>
      </c>
      <c r="F498" s="49">
        <f t="shared" si="29"/>
        <v>0.97719999999999996</v>
      </c>
      <c r="G498" s="55">
        <f t="shared" si="30"/>
        <v>4.6127879197103386E-2</v>
      </c>
      <c r="H498" s="49">
        <f t="shared" si="32"/>
        <v>1.9433862474711669E-3</v>
      </c>
      <c r="I498" s="49">
        <f t="shared" si="31"/>
        <v>-3.0763377569521762</v>
      </c>
      <c r="J498" s="49">
        <f t="shared" si="33"/>
        <v>4.3043632748058336E-2</v>
      </c>
    </row>
    <row r="499" spans="1:10">
      <c r="A499" s="23" t="s">
        <v>536</v>
      </c>
      <c r="B499" s="41">
        <v>4.82</v>
      </c>
      <c r="E499" s="41">
        <f t="shared" si="28"/>
        <v>4.82E-2</v>
      </c>
      <c r="F499" s="49">
        <f t="shared" si="29"/>
        <v>0.97589999999999999</v>
      </c>
      <c r="G499" s="55">
        <f t="shared" si="30"/>
        <v>4.8790313669443197E-2</v>
      </c>
      <c r="H499" s="49">
        <f t="shared" si="32"/>
        <v>2.6624344723398113E-3</v>
      </c>
      <c r="I499" s="49">
        <f t="shared" si="31"/>
        <v>-3.0202234762051208</v>
      </c>
      <c r="J499" s="49">
        <f t="shared" si="33"/>
        <v>5.6114280747055378E-2</v>
      </c>
    </row>
    <row r="500" spans="1:10">
      <c r="A500" s="23" t="s">
        <v>537</v>
      </c>
      <c r="B500" s="41">
        <v>4.58</v>
      </c>
      <c r="E500" s="41">
        <f t="shared" si="28"/>
        <v>4.58E-2</v>
      </c>
      <c r="F500" s="49">
        <f t="shared" si="29"/>
        <v>0.97709999999999997</v>
      </c>
      <c r="G500" s="55">
        <f t="shared" si="30"/>
        <v>4.633255606367917E-2</v>
      </c>
      <c r="H500" s="49">
        <f t="shared" si="32"/>
        <v>-2.4577576057640271E-3</v>
      </c>
      <c r="I500" s="49">
        <f t="shared" si="31"/>
        <v>-3.0719104102643136</v>
      </c>
      <c r="J500" s="49">
        <f t="shared" si="33"/>
        <v>-5.168693405919278E-2</v>
      </c>
    </row>
    <row r="501" spans="1:10">
      <c r="A501" s="23" t="s">
        <v>538</v>
      </c>
      <c r="B501" s="41">
        <v>4.87</v>
      </c>
      <c r="E501" s="41">
        <f t="shared" si="28"/>
        <v>4.87E-2</v>
      </c>
      <c r="F501" s="49">
        <f t="shared" si="29"/>
        <v>0.97565000000000002</v>
      </c>
      <c r="G501" s="55">
        <f t="shared" si="30"/>
        <v>4.9302726882258674E-2</v>
      </c>
      <c r="H501" s="49">
        <f t="shared" si="32"/>
        <v>2.9701708185795039E-3</v>
      </c>
      <c r="I501" s="49">
        <f t="shared" si="31"/>
        <v>-3.0097758874497851</v>
      </c>
      <c r="J501" s="49">
        <f t="shared" si="33"/>
        <v>6.213452281452847E-2</v>
      </c>
    </row>
    <row r="502" spans="1:10">
      <c r="A502" s="23" t="s">
        <v>539</v>
      </c>
      <c r="B502" s="41">
        <v>4.88</v>
      </c>
      <c r="E502" s="41">
        <f t="shared" si="28"/>
        <v>4.8799999999999996E-2</v>
      </c>
      <c r="F502" s="49">
        <f t="shared" si="29"/>
        <v>0.97560000000000002</v>
      </c>
      <c r="G502" s="55">
        <f t="shared" si="30"/>
        <v>4.940522528074362E-2</v>
      </c>
      <c r="H502" s="49">
        <f t="shared" si="32"/>
        <v>1.0249839848494591E-4</v>
      </c>
      <c r="I502" s="49">
        <f t="shared" si="31"/>
        <v>-3.0076990854681935</v>
      </c>
      <c r="J502" s="49">
        <f t="shared" si="33"/>
        <v>2.0768019815915473E-3</v>
      </c>
    </row>
    <row r="503" spans="1:10">
      <c r="A503" s="23" t="s">
        <v>540</v>
      </c>
      <c r="B503" s="41">
        <v>4.9800000000000004</v>
      </c>
      <c r="E503" s="41">
        <f t="shared" si="28"/>
        <v>4.9800000000000004E-2</v>
      </c>
      <c r="F503" s="49">
        <f t="shared" si="29"/>
        <v>0.97509999999999997</v>
      </c>
      <c r="G503" s="55">
        <f t="shared" si="30"/>
        <v>5.0430498282127527E-2</v>
      </c>
      <c r="H503" s="49">
        <f t="shared" si="32"/>
        <v>1.025273001383907E-3</v>
      </c>
      <c r="I503" s="49">
        <f t="shared" si="31"/>
        <v>-2.9871591622735179</v>
      </c>
      <c r="J503" s="49">
        <f t="shared" si="33"/>
        <v>2.053992319467568E-2</v>
      </c>
    </row>
    <row r="504" spans="1:10">
      <c r="A504" s="23" t="s">
        <v>541</v>
      </c>
      <c r="B504" s="41">
        <v>5.2</v>
      </c>
      <c r="E504" s="41">
        <f t="shared" si="28"/>
        <v>5.2000000000000005E-2</v>
      </c>
      <c r="F504" s="49">
        <f t="shared" si="29"/>
        <v>0.97399999999999998</v>
      </c>
      <c r="G504" s="55">
        <f t="shared" si="30"/>
        <v>5.2687950679203954E-2</v>
      </c>
      <c r="H504" s="49">
        <f t="shared" si="32"/>
        <v>2.2574523970764274E-3</v>
      </c>
      <c r="I504" s="49">
        <f t="shared" si="31"/>
        <v>-2.9433684894402012</v>
      </c>
      <c r="J504" s="49">
        <f t="shared" si="33"/>
        <v>4.3790672833316613E-2</v>
      </c>
    </row>
    <row r="505" spans="1:10">
      <c r="A505" s="23" t="s">
        <v>542</v>
      </c>
      <c r="B505" s="41">
        <v>5.44</v>
      </c>
      <c r="E505" s="41">
        <f t="shared" si="28"/>
        <v>5.4400000000000004E-2</v>
      </c>
      <c r="F505" s="49">
        <f t="shared" si="29"/>
        <v>0.9728</v>
      </c>
      <c r="G505" s="55">
        <f t="shared" si="30"/>
        <v>5.5153535540468986E-2</v>
      </c>
      <c r="H505" s="49">
        <f t="shared" si="32"/>
        <v>2.4655848612650313E-3</v>
      </c>
      <c r="I505" s="49">
        <f t="shared" si="31"/>
        <v>-2.8976344276226778</v>
      </c>
      <c r="J505" s="49">
        <f t="shared" si="33"/>
        <v>4.5734061817523486E-2</v>
      </c>
    </row>
    <row r="506" spans="1:10">
      <c r="A506" s="23" t="s">
        <v>543</v>
      </c>
      <c r="B506" s="41">
        <v>5.5</v>
      </c>
      <c r="E506" s="41">
        <f t="shared" si="28"/>
        <v>5.5E-2</v>
      </c>
      <c r="F506" s="49">
        <f t="shared" si="29"/>
        <v>0.97250000000000003</v>
      </c>
      <c r="G506" s="55">
        <f t="shared" si="30"/>
        <v>5.5770406979071326E-2</v>
      </c>
      <c r="H506" s="49">
        <f t="shared" si="32"/>
        <v>6.1687143860233995E-4</v>
      </c>
      <c r="I506" s="49">
        <f t="shared" si="31"/>
        <v>-2.8865118911521939</v>
      </c>
      <c r="J506" s="49">
        <f t="shared" si="33"/>
        <v>1.112253647048389E-2</v>
      </c>
    </row>
    <row r="507" spans="1:10">
      <c r="A507" s="23" t="s">
        <v>544</v>
      </c>
      <c r="B507" s="41">
        <v>5.72</v>
      </c>
      <c r="E507" s="41">
        <f t="shared" si="28"/>
        <v>5.7200000000000001E-2</v>
      </c>
      <c r="F507" s="49">
        <f t="shared" si="29"/>
        <v>0.97140000000000004</v>
      </c>
      <c r="G507" s="55">
        <f t="shared" si="30"/>
        <v>5.8033898140985127E-2</v>
      </c>
      <c r="H507" s="49">
        <f t="shared" si="32"/>
        <v>2.2634911619138012E-3</v>
      </c>
      <c r="I507" s="49">
        <f t="shared" si="31"/>
        <v>-2.8467279884538748</v>
      </c>
      <c r="J507" s="49">
        <f t="shared" si="33"/>
        <v>3.9783902698319107E-2</v>
      </c>
    </row>
    <row r="508" spans="1:10">
      <c r="A508" s="23" t="s">
        <v>545</v>
      </c>
      <c r="B508" s="41">
        <v>5.85</v>
      </c>
      <c r="E508" s="41">
        <f t="shared" si="28"/>
        <v>5.8499999999999996E-2</v>
      </c>
      <c r="F508" s="49">
        <f t="shared" si="29"/>
        <v>0.97075</v>
      </c>
      <c r="G508" s="55">
        <f t="shared" si="30"/>
        <v>5.9372620740720715E-2</v>
      </c>
      <c r="H508" s="49">
        <f t="shared" si="32"/>
        <v>1.3387225997355881E-3</v>
      </c>
      <c r="I508" s="49">
        <f t="shared" si="31"/>
        <v>-2.8239220891654551</v>
      </c>
      <c r="J508" s="49">
        <f t="shared" si="33"/>
        <v>2.2805899288419695E-2</v>
      </c>
    </row>
    <row r="509" spans="1:10">
      <c r="A509" s="23" t="s">
        <v>546</v>
      </c>
      <c r="B509" s="41">
        <v>5.81</v>
      </c>
      <c r="E509" s="41">
        <f t="shared" si="28"/>
        <v>5.8099999999999999E-2</v>
      </c>
      <c r="F509" s="49">
        <f t="shared" si="29"/>
        <v>0.97094999999999998</v>
      </c>
      <c r="G509" s="55">
        <f t="shared" si="30"/>
        <v>5.8960610645016377E-2</v>
      </c>
      <c r="H509" s="49">
        <f t="shared" si="32"/>
        <v>-4.1201009570433766E-4</v>
      </c>
      <c r="I509" s="49">
        <f t="shared" si="31"/>
        <v>-2.8308856742175044</v>
      </c>
      <c r="J509" s="49">
        <f t="shared" si="33"/>
        <v>-6.9635850520493037E-3</v>
      </c>
    </row>
    <row r="510" spans="1:10">
      <c r="A510" s="23" t="s">
        <v>547</v>
      </c>
      <c r="B510" s="41">
        <v>6.1</v>
      </c>
      <c r="E510" s="41">
        <f t="shared" si="28"/>
        <v>6.0999999999999999E-2</v>
      </c>
      <c r="F510" s="49">
        <f t="shared" si="29"/>
        <v>0.96950000000000003</v>
      </c>
      <c r="G510" s="55">
        <f t="shared" si="30"/>
        <v>6.1949608598861054E-2</v>
      </c>
      <c r="H510" s="49">
        <f t="shared" si="32"/>
        <v>2.988997953844677E-3</v>
      </c>
      <c r="I510" s="49">
        <f t="shared" si="31"/>
        <v>-2.7814339889437152</v>
      </c>
      <c r="J510" s="49">
        <f t="shared" si="33"/>
        <v>4.9451685273789181E-2</v>
      </c>
    </row>
    <row r="511" spans="1:10">
      <c r="A511" s="23" t="s">
        <v>548</v>
      </c>
      <c r="B511" s="41">
        <v>5.97</v>
      </c>
      <c r="E511" s="41">
        <f t="shared" si="28"/>
        <v>5.9699999999999996E-2</v>
      </c>
      <c r="F511" s="49">
        <f t="shared" si="29"/>
        <v>0.97014999999999996</v>
      </c>
      <c r="G511" s="55">
        <f t="shared" si="30"/>
        <v>6.0609160529711242E-2</v>
      </c>
      <c r="H511" s="49">
        <f t="shared" si="32"/>
        <v>-1.3404480691498119E-3</v>
      </c>
      <c r="I511" s="49">
        <f t="shared" si="31"/>
        <v>-2.8033092334743515</v>
      </c>
      <c r="J511" s="49">
        <f t="shared" si="33"/>
        <v>-2.1875244530636273E-2</v>
      </c>
    </row>
    <row r="512" spans="1:10">
      <c r="A512" s="23" t="s">
        <v>549</v>
      </c>
      <c r="B512" s="41">
        <v>6</v>
      </c>
      <c r="E512" s="41">
        <f t="shared" si="28"/>
        <v>0.06</v>
      </c>
      <c r="F512" s="49">
        <f t="shared" si="29"/>
        <v>0.97</v>
      </c>
      <c r="G512" s="55">
        <f t="shared" si="30"/>
        <v>6.0918414969417148E-2</v>
      </c>
      <c r="H512" s="49">
        <f t="shared" si="32"/>
        <v>3.0925443970590549E-4</v>
      </c>
      <c r="I512" s="49">
        <f t="shared" si="31"/>
        <v>-2.7982197695238407</v>
      </c>
      <c r="J512" s="49">
        <f t="shared" si="33"/>
        <v>5.0894639505107975E-3</v>
      </c>
    </row>
    <row r="513" spans="1:10">
      <c r="A513" s="23" t="s">
        <v>550</v>
      </c>
      <c r="B513" s="41">
        <v>6.07</v>
      </c>
      <c r="E513" s="41">
        <f t="shared" si="28"/>
        <v>6.0700000000000004E-2</v>
      </c>
      <c r="F513" s="49">
        <f t="shared" si="29"/>
        <v>0.96965000000000001</v>
      </c>
      <c r="G513" s="55">
        <f t="shared" si="30"/>
        <v>6.1640194679774524E-2</v>
      </c>
      <c r="H513" s="49">
        <f t="shared" si="32"/>
        <v>7.2177971035737587E-4</v>
      </c>
      <c r="I513" s="49">
        <f t="shared" si="31"/>
        <v>-2.7864411102001263</v>
      </c>
      <c r="J513" s="49">
        <f t="shared" si="33"/>
        <v>1.1778659323714358E-2</v>
      </c>
    </row>
    <row r="514" spans="1:10">
      <c r="A514" s="23" t="s">
        <v>551</v>
      </c>
      <c r="B514" s="41">
        <v>5.98</v>
      </c>
      <c r="E514" s="41">
        <f t="shared" si="28"/>
        <v>5.9800000000000006E-2</v>
      </c>
      <c r="F514" s="49">
        <f t="shared" si="29"/>
        <v>0.97009999999999996</v>
      </c>
      <c r="G514" s="55">
        <f t="shared" si="30"/>
        <v>6.071224002979847E-2</v>
      </c>
      <c r="H514" s="49">
        <f t="shared" si="32"/>
        <v>-9.2795464997605381E-4</v>
      </c>
      <c r="I514" s="49">
        <f t="shared" si="31"/>
        <v>-2.8016099533075254</v>
      </c>
      <c r="J514" s="49">
        <f t="shared" si="33"/>
        <v>-1.5168843107399077E-2</v>
      </c>
    </row>
    <row r="515" spans="1:10">
      <c r="A515" s="23" t="s">
        <v>552</v>
      </c>
      <c r="B515" s="41">
        <v>6.04</v>
      </c>
      <c r="E515" s="41">
        <f t="shared" si="28"/>
        <v>6.0400000000000002E-2</v>
      </c>
      <c r="F515" s="49">
        <f t="shared" si="29"/>
        <v>0.9698</v>
      </c>
      <c r="G515" s="55">
        <f t="shared" si="30"/>
        <v>6.1330828621770306E-2</v>
      </c>
      <c r="H515" s="49">
        <f t="shared" si="32"/>
        <v>6.1858859197183591E-4</v>
      </c>
      <c r="I515" s="49">
        <f t="shared" si="31"/>
        <v>-2.7914726485636701</v>
      </c>
      <c r="J515" s="49">
        <f t="shared" si="33"/>
        <v>1.0137304743855324E-2</v>
      </c>
    </row>
    <row r="516" spans="1:10">
      <c r="A516" s="23" t="s">
        <v>553</v>
      </c>
      <c r="B516" s="41">
        <v>6.06</v>
      </c>
      <c r="E516" s="41">
        <f t="shared" si="28"/>
        <v>6.0599999999999994E-2</v>
      </c>
      <c r="F516" s="49">
        <f t="shared" si="29"/>
        <v>0.96970000000000001</v>
      </c>
      <c r="G516" s="55">
        <f t="shared" si="30"/>
        <v>6.1537067343272966E-2</v>
      </c>
      <c r="H516" s="49">
        <f t="shared" si="32"/>
        <v>2.0623872150266065E-4</v>
      </c>
      <c r="I516" s="49">
        <f t="shared" si="31"/>
        <v>-2.7881155647042042</v>
      </c>
      <c r="J516" s="49">
        <f t="shared" si="33"/>
        <v>3.3570838594658703E-3</v>
      </c>
    </row>
    <row r="517" spans="1:10">
      <c r="A517" s="23" t="s">
        <v>554</v>
      </c>
      <c r="B517" s="41">
        <v>5.68</v>
      </c>
      <c r="E517" s="41">
        <f t="shared" si="28"/>
        <v>5.6799999999999996E-2</v>
      </c>
      <c r="F517" s="49">
        <f t="shared" si="29"/>
        <v>0.97160000000000002</v>
      </c>
      <c r="G517" s="55">
        <f t="shared" si="30"/>
        <v>5.76221637082392E-2</v>
      </c>
      <c r="H517" s="49">
        <f t="shared" si="32"/>
        <v>-3.914903635033766E-3</v>
      </c>
      <c r="I517" s="49">
        <f t="shared" si="31"/>
        <v>-2.8538479986902958</v>
      </c>
      <c r="J517" s="49">
        <f t="shared" si="33"/>
        <v>-6.5732433986091632E-2</v>
      </c>
    </row>
    <row r="518" spans="1:10">
      <c r="A518" s="23" t="s">
        <v>555</v>
      </c>
      <c r="B518" s="41">
        <v>4.95</v>
      </c>
      <c r="E518" s="41">
        <f t="shared" si="28"/>
        <v>4.9500000000000002E-2</v>
      </c>
      <c r="F518" s="49">
        <f t="shared" si="29"/>
        <v>0.97524999999999995</v>
      </c>
      <c r="G518" s="55">
        <f t="shared" si="30"/>
        <v>5.0122861190742427E-2</v>
      </c>
      <c r="H518" s="49">
        <f t="shared" si="32"/>
        <v>-7.499302517496774E-3</v>
      </c>
      <c r="I518" s="49">
        <f t="shared" si="31"/>
        <v>-2.9932780637771463</v>
      </c>
      <c r="J518" s="49">
        <f t="shared" si="33"/>
        <v>-0.13943006508685052</v>
      </c>
    </row>
    <row r="519" spans="1:10">
      <c r="A519" s="23" t="s">
        <v>556</v>
      </c>
      <c r="B519" s="41">
        <v>4.71</v>
      </c>
      <c r="E519" s="41">
        <f t="shared" si="28"/>
        <v>4.7100000000000003E-2</v>
      </c>
      <c r="F519" s="49">
        <f t="shared" si="29"/>
        <v>0.97645000000000004</v>
      </c>
      <c r="G519" s="55">
        <f t="shared" si="30"/>
        <v>4.7663466506691309E-2</v>
      </c>
      <c r="H519" s="49">
        <f t="shared" si="32"/>
        <v>-2.459394684051118E-3</v>
      </c>
      <c r="I519" s="49">
        <f t="shared" si="31"/>
        <v>-3.043590075867336</v>
      </c>
      <c r="J519" s="49">
        <f t="shared" si="33"/>
        <v>-5.0312012090189651E-2</v>
      </c>
    </row>
    <row r="520" spans="1:10">
      <c r="A520" s="23" t="s">
        <v>557</v>
      </c>
      <c r="B520" s="41">
        <v>4.28</v>
      </c>
      <c r="E520" s="41">
        <f t="shared" si="28"/>
        <v>4.2800000000000005E-2</v>
      </c>
      <c r="F520" s="49">
        <f t="shared" si="29"/>
        <v>0.97860000000000003</v>
      </c>
      <c r="G520" s="55">
        <f t="shared" si="30"/>
        <v>4.3264600254227681E-2</v>
      </c>
      <c r="H520" s="49">
        <f t="shared" si="32"/>
        <v>-4.3988662524636277E-3</v>
      </c>
      <c r="I520" s="49">
        <f t="shared" si="31"/>
        <v>-3.1404205244384946</v>
      </c>
      <c r="J520" s="49">
        <f t="shared" si="33"/>
        <v>-9.6830448571158634E-2</v>
      </c>
    </row>
    <row r="521" spans="1:10">
      <c r="A521" s="23" t="s">
        <v>558</v>
      </c>
      <c r="B521" s="41">
        <v>3.85</v>
      </c>
      <c r="E521" s="41">
        <f t="shared" si="28"/>
        <v>3.85E-2</v>
      </c>
      <c r="F521" s="49">
        <f t="shared" si="29"/>
        <v>0.98075000000000001</v>
      </c>
      <c r="G521" s="55">
        <f t="shared" si="30"/>
        <v>3.8875387784950192E-2</v>
      </c>
      <c r="H521" s="49">
        <f t="shared" si="32"/>
        <v>-4.3892124692774884E-3</v>
      </c>
      <c r="I521" s="49">
        <f t="shared" si="31"/>
        <v>-3.2473939333569231</v>
      </c>
      <c r="J521" s="49">
        <f t="shared" si="33"/>
        <v>-0.10697340891842844</v>
      </c>
    </row>
    <row r="522" spans="1:10">
      <c r="A522" s="23" t="s">
        <v>559</v>
      </c>
      <c r="B522" s="41">
        <v>3.62</v>
      </c>
      <c r="E522" s="41">
        <f t="shared" si="28"/>
        <v>3.6200000000000003E-2</v>
      </c>
      <c r="F522" s="49">
        <f t="shared" si="29"/>
        <v>0.9819</v>
      </c>
      <c r="G522" s="55">
        <f t="shared" si="30"/>
        <v>3.6531617613785081E-2</v>
      </c>
      <c r="H522" s="49">
        <f t="shared" si="32"/>
        <v>-2.3437701711651118E-3</v>
      </c>
      <c r="I522" s="49">
        <f t="shared" si="31"/>
        <v>-3.3095771573654544</v>
      </c>
      <c r="J522" s="49">
        <f t="shared" si="33"/>
        <v>-6.2183224008531379E-2</v>
      </c>
    </row>
    <row r="523" spans="1:10">
      <c r="A523" s="23" t="s">
        <v>560</v>
      </c>
      <c r="B523" s="41">
        <v>3.45</v>
      </c>
      <c r="E523" s="41">
        <f t="shared" si="28"/>
        <v>3.4500000000000003E-2</v>
      </c>
      <c r="F523" s="49">
        <f t="shared" si="29"/>
        <v>0.98275000000000001</v>
      </c>
      <c r="G523" s="55">
        <f t="shared" si="30"/>
        <v>3.4801029360334669E-2</v>
      </c>
      <c r="H523" s="49">
        <f t="shared" si="32"/>
        <v>-1.7305882534504116E-3</v>
      </c>
      <c r="I523" s="49">
        <f t="shared" si="31"/>
        <v>-3.3581083133192062</v>
      </c>
      <c r="J523" s="49">
        <f t="shared" si="33"/>
        <v>-4.8531155953751792E-2</v>
      </c>
    </row>
    <row r="524" spans="1:10">
      <c r="A524" s="23" t="s">
        <v>561</v>
      </c>
      <c r="B524" s="41">
        <v>3.45</v>
      </c>
      <c r="E524" s="41">
        <f t="shared" si="28"/>
        <v>3.4500000000000003E-2</v>
      </c>
      <c r="F524" s="49">
        <f t="shared" si="29"/>
        <v>0.98275000000000001</v>
      </c>
      <c r="G524" s="55">
        <f t="shared" si="30"/>
        <v>3.4801029360334669E-2</v>
      </c>
      <c r="H524" s="49">
        <f t="shared" si="32"/>
        <v>0</v>
      </c>
      <c r="I524" s="49">
        <f t="shared" si="31"/>
        <v>-3.3581083133192062</v>
      </c>
      <c r="J524" s="49">
        <f t="shared" si="33"/>
        <v>0</v>
      </c>
    </row>
    <row r="525" spans="1:10">
      <c r="A525" s="23" t="s">
        <v>562</v>
      </c>
      <c r="B525" s="41">
        <v>3.29</v>
      </c>
      <c r="E525" s="41">
        <f t="shared" si="28"/>
        <v>3.2899999999999999E-2</v>
      </c>
      <c r="F525" s="49">
        <f t="shared" si="29"/>
        <v>0.98355000000000004</v>
      </c>
      <c r="G525" s="55">
        <f t="shared" si="30"/>
        <v>3.3173607208797799E-2</v>
      </c>
      <c r="H525" s="49">
        <f t="shared" si="32"/>
        <v>-1.6274221515368698E-3</v>
      </c>
      <c r="I525" s="49">
        <f t="shared" si="31"/>
        <v>-3.4060006828012406</v>
      </c>
      <c r="J525" s="49">
        <f t="shared" si="33"/>
        <v>-4.7892369482034347E-2</v>
      </c>
    </row>
    <row r="526" spans="1:10">
      <c r="A526" s="23" t="s">
        <v>563</v>
      </c>
      <c r="B526" s="41">
        <v>2.63</v>
      </c>
      <c r="E526" s="41">
        <f t="shared" ref="E526:E589" si="34">B526/100</f>
        <v>2.63E-2</v>
      </c>
      <c r="F526" s="49">
        <f t="shared" ref="F526:F589" si="35">1-180/360*E526</f>
        <v>0.98685</v>
      </c>
      <c r="G526" s="55">
        <f t="shared" ref="G526:G589" si="36">-1/0.5*LN(F526)</f>
        <v>2.6474453564040924E-2</v>
      </c>
      <c r="H526" s="49">
        <f t="shared" si="32"/>
        <v>-6.6991536447568757E-3</v>
      </c>
      <c r="I526" s="49">
        <f t="shared" ref="I526:I589" si="37">LN(G526)</f>
        <v>-3.6315750274039509</v>
      </c>
      <c r="J526" s="49">
        <f t="shared" si="33"/>
        <v>-0.22557434460271031</v>
      </c>
    </row>
    <row r="527" spans="1:10">
      <c r="A527" s="23" t="s">
        <v>564</v>
      </c>
      <c r="B527" s="41">
        <v>2.12</v>
      </c>
      <c r="E527" s="41">
        <f t="shared" si="34"/>
        <v>2.12E-2</v>
      </c>
      <c r="F527" s="49">
        <f t="shared" si="35"/>
        <v>0.98939999999999995</v>
      </c>
      <c r="G527" s="55">
        <f t="shared" si="36"/>
        <v>2.1313160377057775E-2</v>
      </c>
      <c r="H527" s="49">
        <f t="shared" si="32"/>
        <v>-5.1612931869831485E-3</v>
      </c>
      <c r="I527" s="49">
        <f t="shared" si="37"/>
        <v>-3.848430538984644</v>
      </c>
      <c r="J527" s="49">
        <f t="shared" si="33"/>
        <v>-0.21685551158069316</v>
      </c>
    </row>
    <row r="528" spans="1:10">
      <c r="A528" s="23" t="s">
        <v>565</v>
      </c>
      <c r="B528" s="41">
        <v>1.88</v>
      </c>
      <c r="E528" s="41">
        <f t="shared" si="34"/>
        <v>1.8799999999999997E-2</v>
      </c>
      <c r="F528" s="49">
        <f t="shared" si="35"/>
        <v>0.99060000000000004</v>
      </c>
      <c r="G528" s="55">
        <f t="shared" si="36"/>
        <v>1.8888917655999378E-2</v>
      </c>
      <c r="H528" s="49">
        <f t="shared" si="32"/>
        <v>-2.4242427210583971E-3</v>
      </c>
      <c r="I528" s="49">
        <f t="shared" si="37"/>
        <v>-3.9691798963045812</v>
      </c>
      <c r="J528" s="49">
        <f t="shared" si="33"/>
        <v>-0.12074935731993719</v>
      </c>
    </row>
    <row r="529" spans="1:10">
      <c r="A529" s="23" t="s">
        <v>566</v>
      </c>
      <c r="B529" s="41">
        <v>1.78</v>
      </c>
      <c r="E529" s="41">
        <f t="shared" si="34"/>
        <v>1.78E-2</v>
      </c>
      <c r="F529" s="49">
        <f t="shared" si="35"/>
        <v>0.99109999999999998</v>
      </c>
      <c r="G529" s="55">
        <f t="shared" si="36"/>
        <v>1.7879683138948593E-2</v>
      </c>
      <c r="H529" s="49">
        <f t="shared" si="32"/>
        <v>-1.0092345170507853E-3</v>
      </c>
      <c r="I529" s="49">
        <f t="shared" si="37"/>
        <v>-4.0240902309291107</v>
      </c>
      <c r="J529" s="49">
        <f t="shared" si="33"/>
        <v>-5.4910334624529433E-2</v>
      </c>
    </row>
    <row r="530" spans="1:10">
      <c r="A530" s="23" t="s">
        <v>567</v>
      </c>
      <c r="B530" s="41">
        <v>1.73</v>
      </c>
      <c r="E530" s="41">
        <f t="shared" si="34"/>
        <v>1.7299999999999999E-2</v>
      </c>
      <c r="F530" s="49">
        <f t="shared" si="35"/>
        <v>0.99134999999999995</v>
      </c>
      <c r="G530" s="55">
        <f t="shared" si="36"/>
        <v>1.7375256795131171E-2</v>
      </c>
      <c r="H530" s="49">
        <f t="shared" si="32"/>
        <v>-5.0442634381742124E-4</v>
      </c>
      <c r="I530" s="49">
        <f t="shared" si="37"/>
        <v>-4.0527081080646035</v>
      </c>
      <c r="J530" s="49">
        <f t="shared" si="33"/>
        <v>-2.8617877135492797E-2</v>
      </c>
    </row>
    <row r="531" spans="1:10">
      <c r="A531" s="23" t="s">
        <v>568</v>
      </c>
      <c r="B531" s="41">
        <v>1.82</v>
      </c>
      <c r="E531" s="41">
        <f t="shared" si="34"/>
        <v>1.8200000000000001E-2</v>
      </c>
      <c r="F531" s="49">
        <f t="shared" si="35"/>
        <v>0.9909</v>
      </c>
      <c r="G531" s="55">
        <f t="shared" si="36"/>
        <v>1.8283315834566775E-2</v>
      </c>
      <c r="H531" s="49">
        <f t="shared" si="32"/>
        <v>9.0805903943560334E-4</v>
      </c>
      <c r="I531" s="49">
        <f t="shared" si="37"/>
        <v>-4.001766338017883</v>
      </c>
      <c r="J531" s="49">
        <f t="shared" si="33"/>
        <v>5.0941770046720514E-2</v>
      </c>
    </row>
    <row r="532" spans="1:10">
      <c r="A532" s="23" t="s">
        <v>569</v>
      </c>
      <c r="B532" s="41">
        <v>2.0099999999999998</v>
      </c>
      <c r="E532" s="41">
        <f t="shared" si="34"/>
        <v>2.0099999999999996E-2</v>
      </c>
      <c r="F532" s="49">
        <f t="shared" si="35"/>
        <v>0.98995</v>
      </c>
      <c r="G532" s="55">
        <f t="shared" si="36"/>
        <v>2.0201684358859003E-2</v>
      </c>
      <c r="H532" s="49">
        <f t="shared" si="32"/>
        <v>1.9183685242922278E-3</v>
      </c>
      <c r="I532" s="49">
        <f t="shared" si="37"/>
        <v>-3.9019892939493079</v>
      </c>
      <c r="J532" s="49">
        <f t="shared" si="33"/>
        <v>9.9777044068575016E-2</v>
      </c>
    </row>
    <row r="533" spans="1:10">
      <c r="A533" s="23" t="s">
        <v>570</v>
      </c>
      <c r="B533" s="41">
        <v>1.93</v>
      </c>
      <c r="E533" s="41">
        <f t="shared" si="34"/>
        <v>1.9299999999999998E-2</v>
      </c>
      <c r="F533" s="49">
        <f t="shared" si="35"/>
        <v>0.99034999999999995</v>
      </c>
      <c r="G533" s="55">
        <f t="shared" si="36"/>
        <v>1.9393725957728005E-2</v>
      </c>
      <c r="H533" s="49">
        <f t="shared" si="32"/>
        <v>-8.0795840113099746E-4</v>
      </c>
      <c r="I533" s="49">
        <f t="shared" si="37"/>
        <v>-3.9428056694601081</v>
      </c>
      <c r="J533" s="49">
        <f t="shared" si="33"/>
        <v>-4.0816375510800196E-2</v>
      </c>
    </row>
    <row r="534" spans="1:10">
      <c r="A534" s="23" t="s">
        <v>571</v>
      </c>
      <c r="B534" s="41">
        <v>1.86</v>
      </c>
      <c r="E534" s="41">
        <f t="shared" si="34"/>
        <v>1.8600000000000002E-2</v>
      </c>
      <c r="F534" s="49">
        <f t="shared" si="35"/>
        <v>0.99070000000000003</v>
      </c>
      <c r="G534" s="55">
        <f t="shared" si="36"/>
        <v>1.8687030006304933E-2</v>
      </c>
      <c r="H534" s="49">
        <f t="shared" si="32"/>
        <v>-7.0669595142307251E-4</v>
      </c>
      <c r="I534" s="49">
        <f t="shared" si="37"/>
        <v>-3.9799255783117871</v>
      </c>
      <c r="J534" s="49">
        <f t="shared" si="33"/>
        <v>-3.7119908851678929E-2</v>
      </c>
    </row>
    <row r="535" spans="1:10">
      <c r="A535" s="23" t="s">
        <v>572</v>
      </c>
      <c r="B535" s="41">
        <v>1.79</v>
      </c>
      <c r="E535" s="41">
        <f t="shared" si="34"/>
        <v>1.7899999999999999E-2</v>
      </c>
      <c r="F535" s="49">
        <f t="shared" si="35"/>
        <v>0.99104999999999999</v>
      </c>
      <c r="G535" s="55">
        <f t="shared" si="36"/>
        <v>1.7980583676265344E-2</v>
      </c>
      <c r="H535" s="49">
        <f t="shared" si="32"/>
        <v>-7.0644633003958887E-4</v>
      </c>
      <c r="I535" s="49">
        <f t="shared" si="37"/>
        <v>-4.0184627879368975</v>
      </c>
      <c r="J535" s="49">
        <f t="shared" si="33"/>
        <v>-3.8537209625110425E-2</v>
      </c>
    </row>
    <row r="536" spans="1:10">
      <c r="A536" s="23" t="s">
        <v>573</v>
      </c>
      <c r="B536" s="41">
        <v>1.7</v>
      </c>
      <c r="E536" s="41">
        <f t="shared" si="34"/>
        <v>1.7000000000000001E-2</v>
      </c>
      <c r="F536" s="49">
        <f t="shared" si="35"/>
        <v>0.99150000000000005</v>
      </c>
      <c r="G536" s="55">
        <f t="shared" si="36"/>
        <v>1.7072662044572671E-2</v>
      </c>
      <c r="H536" s="49">
        <f t="shared" si="32"/>
        <v>-9.079216316926729E-4</v>
      </c>
      <c r="I536" s="49">
        <f t="shared" si="37"/>
        <v>-4.0702768056190779</v>
      </c>
      <c r="J536" s="49">
        <f t="shared" si="33"/>
        <v>-5.1814017682180413E-2</v>
      </c>
    </row>
    <row r="537" spans="1:10">
      <c r="A537" s="23" t="s">
        <v>574</v>
      </c>
      <c r="B537" s="41">
        <v>1.6</v>
      </c>
      <c r="E537" s="41">
        <f t="shared" si="34"/>
        <v>1.6E-2</v>
      </c>
      <c r="F537" s="49">
        <f t="shared" si="35"/>
        <v>0.99199999999999999</v>
      </c>
      <c r="G537" s="55">
        <f t="shared" si="36"/>
        <v>1.6064343394528533E-2</v>
      </c>
      <c r="H537" s="49">
        <f t="shared" si="32"/>
        <v>-1.0083186500441377E-3</v>
      </c>
      <c r="I537" s="49">
        <f t="shared" si="37"/>
        <v>-4.1311531590498678</v>
      </c>
      <c r="J537" s="49">
        <f t="shared" si="33"/>
        <v>-6.0876353430789898E-2</v>
      </c>
    </row>
    <row r="538" spans="1:10">
      <c r="A538" s="23" t="s">
        <v>575</v>
      </c>
      <c r="B538" s="41">
        <v>1.6</v>
      </c>
      <c r="E538" s="41">
        <f t="shared" si="34"/>
        <v>1.6E-2</v>
      </c>
      <c r="F538" s="49">
        <f t="shared" si="35"/>
        <v>0.99199999999999999</v>
      </c>
      <c r="G538" s="55">
        <f t="shared" si="36"/>
        <v>1.6064343394528533E-2</v>
      </c>
      <c r="H538" s="49">
        <f t="shared" si="32"/>
        <v>0</v>
      </c>
      <c r="I538" s="49">
        <f t="shared" si="37"/>
        <v>-4.1311531590498678</v>
      </c>
      <c r="J538" s="49">
        <f t="shared" si="33"/>
        <v>0</v>
      </c>
    </row>
    <row r="539" spans="1:10">
      <c r="A539" s="23" t="s">
        <v>576</v>
      </c>
      <c r="B539" s="41">
        <v>1.56</v>
      </c>
      <c r="E539" s="41">
        <f t="shared" si="34"/>
        <v>1.5600000000000001E-2</v>
      </c>
      <c r="F539" s="49">
        <f t="shared" si="35"/>
        <v>0.99219999999999997</v>
      </c>
      <c r="G539" s="55">
        <f t="shared" si="36"/>
        <v>1.5661158230377129E-2</v>
      </c>
      <c r="H539" s="49">
        <f t="shared" si="32"/>
        <v>-4.0318516415140462E-4</v>
      </c>
      <c r="I539" s="49">
        <f t="shared" si="37"/>
        <v>-4.1565716300831284</v>
      </c>
      <c r="J539" s="49">
        <f t="shared" si="33"/>
        <v>-2.5418471033260559E-2</v>
      </c>
    </row>
    <row r="540" spans="1:10">
      <c r="A540" s="23" t="s">
        <v>577</v>
      </c>
      <c r="B540" s="41">
        <v>1.27</v>
      </c>
      <c r="E540" s="41">
        <f t="shared" si="34"/>
        <v>1.2699999999999999E-2</v>
      </c>
      <c r="F540" s="49">
        <f t="shared" si="35"/>
        <v>0.99365000000000003</v>
      </c>
      <c r="G540" s="55">
        <f t="shared" si="36"/>
        <v>1.2740494015687038E-2</v>
      </c>
      <c r="H540" s="49">
        <f t="shared" ref="H540:H594" si="38">G540-G539</f>
        <v>-2.9206642146900903E-3</v>
      </c>
      <c r="I540" s="49">
        <f t="shared" si="37"/>
        <v>-4.3629698528483924</v>
      </c>
      <c r="J540" s="49">
        <f t="shared" ref="J540:J594" si="39">I540-I539</f>
        <v>-0.20639822276526409</v>
      </c>
    </row>
    <row r="541" spans="1:10">
      <c r="A541" s="23" t="s">
        <v>578</v>
      </c>
      <c r="B541" s="41">
        <v>1.24</v>
      </c>
      <c r="E541" s="41">
        <f t="shared" si="34"/>
        <v>1.24E-2</v>
      </c>
      <c r="F541" s="49">
        <f t="shared" si="35"/>
        <v>0.99380000000000002</v>
      </c>
      <c r="G541" s="55">
        <f t="shared" si="36"/>
        <v>1.2438599627833665E-2</v>
      </c>
      <c r="H541" s="49">
        <f t="shared" si="38"/>
        <v>-3.0189438785337315E-4</v>
      </c>
      <c r="I541" s="49">
        <f t="shared" si="37"/>
        <v>-4.386950768117428</v>
      </c>
      <c r="J541" s="49">
        <f t="shared" si="39"/>
        <v>-2.3980915269035563E-2</v>
      </c>
    </row>
    <row r="542" spans="1:10">
      <c r="A542" s="23" t="s">
        <v>579</v>
      </c>
      <c r="B542" s="41">
        <v>1.2</v>
      </c>
      <c r="E542" s="41">
        <f t="shared" si="34"/>
        <v>1.2E-2</v>
      </c>
      <c r="F542" s="49">
        <f t="shared" si="35"/>
        <v>0.99399999999999999</v>
      </c>
      <c r="G542" s="55">
        <f t="shared" si="36"/>
        <v>1.2036144651126042E-2</v>
      </c>
      <c r="H542" s="49">
        <f t="shared" si="38"/>
        <v>-4.0245497670762277E-4</v>
      </c>
      <c r="I542" s="49">
        <f t="shared" si="37"/>
        <v>-4.41984110208067</v>
      </c>
      <c r="J542" s="49">
        <f t="shared" si="39"/>
        <v>-3.2890333963242036E-2</v>
      </c>
    </row>
    <row r="543" spans="1:10">
      <c r="A543" s="23" t="s">
        <v>580</v>
      </c>
      <c r="B543" s="41">
        <v>1.18</v>
      </c>
      <c r="E543" s="41">
        <f t="shared" si="34"/>
        <v>1.18E-2</v>
      </c>
      <c r="F543" s="49">
        <f t="shared" si="35"/>
        <v>0.99409999999999998</v>
      </c>
      <c r="G543" s="55">
        <f t="shared" si="36"/>
        <v>1.1834947528075245E-2</v>
      </c>
      <c r="H543" s="49">
        <f t="shared" si="38"/>
        <v>-2.0119712305079716E-4</v>
      </c>
      <c r="I543" s="49">
        <f t="shared" si="37"/>
        <v>-4.4366984696487268</v>
      </c>
      <c r="J543" s="49">
        <f t="shared" si="39"/>
        <v>-1.685736756805678E-2</v>
      </c>
    </row>
    <row r="544" spans="1:10">
      <c r="A544" s="23" t="s">
        <v>581</v>
      </c>
      <c r="B544" s="41">
        <v>1.1299999999999999</v>
      </c>
      <c r="E544" s="41">
        <f t="shared" si="34"/>
        <v>1.1299999999999999E-2</v>
      </c>
      <c r="F544" s="49">
        <f t="shared" si="35"/>
        <v>0.99434999999999996</v>
      </c>
      <c r="G544" s="55">
        <f t="shared" si="36"/>
        <v>1.1332043253253698E-2</v>
      </c>
      <c r="H544" s="49">
        <f t="shared" si="38"/>
        <v>-5.0290427482154766E-4</v>
      </c>
      <c r="I544" s="49">
        <f t="shared" si="37"/>
        <v>-4.480120880108541</v>
      </c>
      <c r="J544" s="49">
        <f t="shared" si="39"/>
        <v>-4.3422410459814209E-2</v>
      </c>
    </row>
    <row r="545" spans="1:10">
      <c r="A545" s="23" t="s">
        <v>582</v>
      </c>
      <c r="B545" s="41">
        <v>1.1399999999999999</v>
      </c>
      <c r="E545" s="41">
        <f t="shared" si="34"/>
        <v>1.1399999999999999E-2</v>
      </c>
      <c r="F545" s="49">
        <f t="shared" si="35"/>
        <v>0.99429999999999996</v>
      </c>
      <c r="G545" s="55">
        <f t="shared" si="36"/>
        <v>1.1432613992218383E-2</v>
      </c>
      <c r="H545" s="49">
        <f t="shared" si="38"/>
        <v>1.005707389646858E-4</v>
      </c>
      <c r="I545" s="49">
        <f t="shared" si="37"/>
        <v>-4.4712851315901583</v>
      </c>
      <c r="J545" s="49">
        <f t="shared" si="39"/>
        <v>8.8357485183827578E-3</v>
      </c>
    </row>
    <row r="546" spans="1:10">
      <c r="A546" s="23" t="s">
        <v>583</v>
      </c>
      <c r="B546" s="41">
        <v>1.08</v>
      </c>
      <c r="E546" s="41">
        <f t="shared" si="34"/>
        <v>1.0800000000000001E-2</v>
      </c>
      <c r="F546" s="49">
        <f t="shared" si="35"/>
        <v>0.99460000000000004</v>
      </c>
      <c r="G546" s="55">
        <f t="shared" si="36"/>
        <v>1.0829265402997683E-2</v>
      </c>
      <c r="H546" s="49">
        <f t="shared" si="38"/>
        <v>-6.0334858922070009E-4</v>
      </c>
      <c r="I546" s="49">
        <f t="shared" si="37"/>
        <v>-4.5255030500945601</v>
      </c>
      <c r="J546" s="49">
        <f t="shared" si="39"/>
        <v>-5.421791850440183E-2</v>
      </c>
    </row>
    <row r="547" spans="1:10">
      <c r="A547" s="23" t="s">
        <v>584</v>
      </c>
      <c r="B547" s="41">
        <v>0.92</v>
      </c>
      <c r="E547" s="41">
        <f t="shared" si="34"/>
        <v>9.1999999999999998E-3</v>
      </c>
      <c r="F547" s="49">
        <f t="shared" si="35"/>
        <v>0.99539999999999995</v>
      </c>
      <c r="G547" s="55">
        <f t="shared" si="36"/>
        <v>9.2212251153665874E-3</v>
      </c>
      <c r="H547" s="49">
        <f t="shared" si="38"/>
        <v>-1.6080402876310958E-3</v>
      </c>
      <c r="I547" s="49">
        <f t="shared" si="37"/>
        <v>-4.6862473743876398</v>
      </c>
      <c r="J547" s="49">
        <f t="shared" si="39"/>
        <v>-0.16074432429307972</v>
      </c>
    </row>
    <row r="548" spans="1:10">
      <c r="A548" s="23" t="s">
        <v>585</v>
      </c>
      <c r="B548" s="41">
        <v>0.95</v>
      </c>
      <c r="E548" s="41">
        <f t="shared" si="34"/>
        <v>9.4999999999999998E-3</v>
      </c>
      <c r="F548" s="49">
        <f t="shared" si="35"/>
        <v>0.99524999999999997</v>
      </c>
      <c r="G548" s="55">
        <f t="shared" si="36"/>
        <v>9.5226342034210043E-3</v>
      </c>
      <c r="H548" s="49">
        <f t="shared" si="38"/>
        <v>3.0140908805441693E-4</v>
      </c>
      <c r="I548" s="49">
        <f t="shared" si="37"/>
        <v>-4.6540837664137911</v>
      </c>
      <c r="J548" s="49">
        <f t="shared" si="39"/>
        <v>3.2163607973848762E-2</v>
      </c>
    </row>
    <row r="549" spans="1:10">
      <c r="A549" s="23" t="s">
        <v>586</v>
      </c>
      <c r="B549" s="41">
        <v>1.03</v>
      </c>
      <c r="E549" s="41">
        <f t="shared" si="34"/>
        <v>1.03E-2</v>
      </c>
      <c r="F549" s="49">
        <f t="shared" si="35"/>
        <v>0.99485000000000001</v>
      </c>
      <c r="G549" s="55">
        <f t="shared" si="36"/>
        <v>1.0326613913760151E-2</v>
      </c>
      <c r="H549" s="49">
        <f t="shared" si="38"/>
        <v>8.0397971033914668E-4</v>
      </c>
      <c r="I549" s="49">
        <f t="shared" si="37"/>
        <v>-4.5730308410903096</v>
      </c>
      <c r="J549" s="49">
        <f t="shared" si="39"/>
        <v>8.1052925323481517E-2</v>
      </c>
    </row>
    <row r="550" spans="1:10">
      <c r="A550" s="23" t="s">
        <v>587</v>
      </c>
      <c r="B550" s="41">
        <v>1.01</v>
      </c>
      <c r="E550" s="41">
        <f t="shared" si="34"/>
        <v>1.01E-2</v>
      </c>
      <c r="F550" s="49">
        <f t="shared" si="35"/>
        <v>0.99495</v>
      </c>
      <c r="G550" s="55">
        <f t="shared" si="36"/>
        <v>1.0125588684924733E-2</v>
      </c>
      <c r="H550" s="49">
        <f t="shared" si="38"/>
        <v>-2.0102522883541814E-4</v>
      </c>
      <c r="I550" s="49">
        <f t="shared" si="37"/>
        <v>-4.592689525958737</v>
      </c>
      <c r="J550" s="49">
        <f t="shared" si="39"/>
        <v>-1.9658684868427478E-2</v>
      </c>
    </row>
    <row r="551" spans="1:10">
      <c r="A551" s="23" t="s">
        <v>588</v>
      </c>
      <c r="B551" s="41">
        <v>1</v>
      </c>
      <c r="E551" s="41">
        <f t="shared" si="34"/>
        <v>0.01</v>
      </c>
      <c r="F551" s="49">
        <f t="shared" si="35"/>
        <v>0.995</v>
      </c>
      <c r="G551" s="55">
        <f t="shared" si="36"/>
        <v>1.0025083647088573E-2</v>
      </c>
      <c r="H551" s="49">
        <f t="shared" si="38"/>
        <v>-1.0050503783616029E-4</v>
      </c>
      <c r="I551" s="49">
        <f t="shared" si="37"/>
        <v>-4.6026649619750799</v>
      </c>
      <c r="J551" s="49">
        <f t="shared" si="39"/>
        <v>-9.9754360163428757E-3</v>
      </c>
    </row>
    <row r="552" spans="1:10">
      <c r="A552" s="23" t="s">
        <v>589</v>
      </c>
      <c r="B552" s="41">
        <v>1.02</v>
      </c>
      <c r="E552" s="41">
        <f t="shared" si="34"/>
        <v>1.0200000000000001E-2</v>
      </c>
      <c r="F552" s="49">
        <f t="shared" si="35"/>
        <v>0.99490000000000001</v>
      </c>
      <c r="G552" s="55">
        <f t="shared" si="36"/>
        <v>1.0226098773646029E-2</v>
      </c>
      <c r="H552" s="49">
        <f t="shared" si="38"/>
        <v>2.0101512655745606E-4</v>
      </c>
      <c r="I552" s="49">
        <f t="shared" si="37"/>
        <v>-4.5828121233013492</v>
      </c>
      <c r="J552" s="49">
        <f t="shared" si="39"/>
        <v>1.9852838673730666E-2</v>
      </c>
    </row>
    <row r="553" spans="1:10">
      <c r="A553" s="23" t="s">
        <v>590</v>
      </c>
      <c r="B553" s="41">
        <v>0.99</v>
      </c>
      <c r="E553" s="41">
        <f t="shared" si="34"/>
        <v>9.8999999999999991E-3</v>
      </c>
      <c r="F553" s="49">
        <f t="shared" si="35"/>
        <v>0.99504999999999999</v>
      </c>
      <c r="G553" s="55">
        <f t="shared" si="36"/>
        <v>9.9245836596299347E-3</v>
      </c>
      <c r="H553" s="49">
        <f t="shared" si="38"/>
        <v>-3.015151140160939E-4</v>
      </c>
      <c r="I553" s="49">
        <f t="shared" si="37"/>
        <v>-4.6127404019406484</v>
      </c>
      <c r="J553" s="49">
        <f t="shared" si="39"/>
        <v>-2.9928278639299144E-2</v>
      </c>
    </row>
    <row r="554" spans="1:10">
      <c r="A554" s="23" t="s">
        <v>591</v>
      </c>
      <c r="B554" s="41">
        <v>0.97</v>
      </c>
      <c r="E554" s="41">
        <f t="shared" si="34"/>
        <v>9.7000000000000003E-3</v>
      </c>
      <c r="F554" s="49">
        <f t="shared" si="35"/>
        <v>0.99514999999999998</v>
      </c>
      <c r="G554" s="55">
        <f t="shared" si="36"/>
        <v>9.7235988338151523E-3</v>
      </c>
      <c r="H554" s="49">
        <f t="shared" si="38"/>
        <v>-2.0098482581478241E-4</v>
      </c>
      <c r="I554" s="49">
        <f t="shared" si="37"/>
        <v>-4.6331994786430464</v>
      </c>
      <c r="J554" s="49">
        <f t="shared" si="39"/>
        <v>-2.0459076702397994E-2</v>
      </c>
    </row>
    <row r="555" spans="1:10">
      <c r="A555" s="23" t="s">
        <v>592</v>
      </c>
      <c r="B555" s="41">
        <v>0.99</v>
      </c>
      <c r="E555" s="41">
        <f t="shared" si="34"/>
        <v>9.8999999999999991E-3</v>
      </c>
      <c r="F555" s="49">
        <f t="shared" si="35"/>
        <v>0.99504999999999999</v>
      </c>
      <c r="G555" s="55">
        <f t="shared" si="36"/>
        <v>9.9245836596299347E-3</v>
      </c>
      <c r="H555" s="49">
        <f t="shared" si="38"/>
        <v>2.0098482581478241E-4</v>
      </c>
      <c r="I555" s="49">
        <f t="shared" si="37"/>
        <v>-4.6127404019406484</v>
      </c>
      <c r="J555" s="49">
        <f t="shared" si="39"/>
        <v>2.0459076702397994E-2</v>
      </c>
    </row>
    <row r="556" spans="1:10">
      <c r="A556" s="23" t="s">
        <v>593</v>
      </c>
      <c r="B556" s="41">
        <v>0.99</v>
      </c>
      <c r="E556" s="41">
        <f t="shared" si="34"/>
        <v>9.8999999999999991E-3</v>
      </c>
      <c r="F556" s="49">
        <f t="shared" si="35"/>
        <v>0.99504999999999999</v>
      </c>
      <c r="G556" s="55">
        <f t="shared" si="36"/>
        <v>9.9245836596299347E-3</v>
      </c>
      <c r="H556" s="49">
        <f t="shared" si="38"/>
        <v>0</v>
      </c>
      <c r="I556" s="49">
        <f t="shared" si="37"/>
        <v>-4.6127404019406484</v>
      </c>
      <c r="J556" s="49">
        <f t="shared" si="39"/>
        <v>0</v>
      </c>
    </row>
    <row r="557" spans="1:10">
      <c r="A557" s="23" t="s">
        <v>594</v>
      </c>
      <c r="B557" s="41">
        <v>1.0900000000000001</v>
      </c>
      <c r="E557" s="41">
        <f t="shared" si="34"/>
        <v>1.09E-2</v>
      </c>
      <c r="F557" s="49">
        <f t="shared" si="35"/>
        <v>0.99455000000000005</v>
      </c>
      <c r="G557" s="55">
        <f t="shared" si="36"/>
        <v>1.0929810862134551E-2</v>
      </c>
      <c r="H557" s="49">
        <f t="shared" si="38"/>
        <v>1.0052272025046164E-3</v>
      </c>
      <c r="I557" s="49">
        <f t="shared" si="37"/>
        <v>-4.5162612814141774</v>
      </c>
      <c r="J557" s="49">
        <f t="shared" si="39"/>
        <v>9.6479120526471007E-2</v>
      </c>
    </row>
    <row r="558" spans="1:10">
      <c r="A558" s="23" t="s">
        <v>595</v>
      </c>
      <c r="B558" s="41">
        <v>1.31</v>
      </c>
      <c r="E558" s="41">
        <f t="shared" si="34"/>
        <v>1.3100000000000001E-2</v>
      </c>
      <c r="F558" s="49">
        <f t="shared" si="35"/>
        <v>0.99344999999999994</v>
      </c>
      <c r="G558" s="55">
        <f t="shared" si="36"/>
        <v>1.3143090766077939E-2</v>
      </c>
      <c r="H558" s="49">
        <f t="shared" si="38"/>
        <v>2.2132799039433874E-3</v>
      </c>
      <c r="I558" s="49">
        <f t="shared" si="37"/>
        <v>-4.3318590754665527</v>
      </c>
      <c r="J558" s="49">
        <f t="shared" si="39"/>
        <v>0.18440220594762469</v>
      </c>
    </row>
    <row r="559" spans="1:10">
      <c r="A559" s="23" t="s">
        <v>596</v>
      </c>
      <c r="B559" s="41">
        <v>1.6</v>
      </c>
      <c r="E559" s="41">
        <f t="shared" si="34"/>
        <v>1.6E-2</v>
      </c>
      <c r="F559" s="49">
        <f t="shared" si="35"/>
        <v>0.99199999999999999</v>
      </c>
      <c r="G559" s="55">
        <f t="shared" si="36"/>
        <v>1.6064343394528533E-2</v>
      </c>
      <c r="H559" s="49">
        <f t="shared" si="38"/>
        <v>2.9212526284505946E-3</v>
      </c>
      <c r="I559" s="49">
        <f t="shared" si="37"/>
        <v>-4.1311531590498678</v>
      </c>
      <c r="J559" s="49">
        <f t="shared" si="39"/>
        <v>0.20070591641668489</v>
      </c>
    </row>
    <row r="560" spans="1:10">
      <c r="A560" s="23" t="s">
        <v>597</v>
      </c>
      <c r="B560" s="41">
        <v>1.66</v>
      </c>
      <c r="E560" s="41">
        <f t="shared" si="34"/>
        <v>1.66E-2</v>
      </c>
      <c r="F560" s="49">
        <f t="shared" si="35"/>
        <v>0.99170000000000003</v>
      </c>
      <c r="G560" s="55">
        <f t="shared" si="36"/>
        <v>1.6669273580115256E-2</v>
      </c>
      <c r="H560" s="49">
        <f t="shared" si="38"/>
        <v>6.0493018558672312E-4</v>
      </c>
      <c r="I560" s="49">
        <f t="shared" si="37"/>
        <v>-4.0941881596467056</v>
      </c>
      <c r="J560" s="49">
        <f t="shared" si="39"/>
        <v>3.6964999403162224E-2</v>
      </c>
    </row>
    <row r="561" spans="1:10">
      <c r="A561" s="23" t="s">
        <v>598</v>
      </c>
      <c r="B561" s="41">
        <v>1.72</v>
      </c>
      <c r="E561" s="41">
        <f t="shared" si="34"/>
        <v>1.72E-2</v>
      </c>
      <c r="F561" s="49">
        <f t="shared" si="35"/>
        <v>0.99139999999999995</v>
      </c>
      <c r="G561" s="55">
        <f t="shared" si="36"/>
        <v>1.7274386791327177E-2</v>
      </c>
      <c r="H561" s="49">
        <f t="shared" si="38"/>
        <v>6.0511321121192035E-4</v>
      </c>
      <c r="I561" s="49">
        <f t="shared" si="37"/>
        <v>-4.0585304068425323</v>
      </c>
      <c r="J561" s="49">
        <f t="shared" si="39"/>
        <v>3.5657752804173271E-2</v>
      </c>
    </row>
    <row r="562" spans="1:10">
      <c r="A562" s="23" t="s">
        <v>599</v>
      </c>
      <c r="B562" s="41">
        <v>1.87</v>
      </c>
      <c r="E562" s="41">
        <f t="shared" si="34"/>
        <v>1.8700000000000001E-2</v>
      </c>
      <c r="F562" s="49">
        <f t="shared" si="35"/>
        <v>0.99065000000000003</v>
      </c>
      <c r="G562" s="55">
        <f t="shared" si="36"/>
        <v>1.8787971283738214E-2</v>
      </c>
      <c r="H562" s="49">
        <f t="shared" si="38"/>
        <v>1.5135844924110374E-3</v>
      </c>
      <c r="I562" s="49">
        <f t="shared" si="37"/>
        <v>-3.9745384392548875</v>
      </c>
      <c r="J562" s="49">
        <f t="shared" si="39"/>
        <v>8.3991967587644822E-2</v>
      </c>
    </row>
    <row r="563" spans="1:10">
      <c r="A563" s="23" t="s">
        <v>600</v>
      </c>
      <c r="B563" s="41">
        <v>2</v>
      </c>
      <c r="E563" s="41">
        <f t="shared" si="34"/>
        <v>0.02</v>
      </c>
      <c r="F563" s="49">
        <f t="shared" si="35"/>
        <v>0.99</v>
      </c>
      <c r="G563" s="55">
        <f t="shared" si="36"/>
        <v>2.0100671707002901E-2</v>
      </c>
      <c r="H563" s="49">
        <f t="shared" si="38"/>
        <v>1.3127004232646872E-3</v>
      </c>
      <c r="I563" s="49">
        <f t="shared" si="37"/>
        <v>-3.9070020462166339</v>
      </c>
      <c r="J563" s="49">
        <f t="shared" si="39"/>
        <v>6.7536393038253539E-2</v>
      </c>
    </row>
    <row r="564" spans="1:10">
      <c r="A564" s="23" t="s">
        <v>601</v>
      </c>
      <c r="B564" s="41">
        <v>2.27</v>
      </c>
      <c r="E564" s="41">
        <f t="shared" si="34"/>
        <v>2.2700000000000001E-2</v>
      </c>
      <c r="F564" s="49">
        <f t="shared" si="35"/>
        <v>0.98865000000000003</v>
      </c>
      <c r="G564" s="55">
        <f t="shared" si="36"/>
        <v>2.2829805630596851E-2</v>
      </c>
      <c r="H564" s="49">
        <f t="shared" si="38"/>
        <v>2.7291339235939495E-3</v>
      </c>
      <c r="I564" s="49">
        <f t="shared" si="37"/>
        <v>-3.7796883322481665</v>
      </c>
      <c r="J564" s="49">
        <f t="shared" si="39"/>
        <v>0.12731371396846747</v>
      </c>
    </row>
    <row r="565" spans="1:10">
      <c r="A565" s="23" t="s">
        <v>602</v>
      </c>
      <c r="B565" s="41">
        <v>2.4300000000000002</v>
      </c>
      <c r="E565" s="41">
        <f t="shared" si="34"/>
        <v>2.4300000000000002E-2</v>
      </c>
      <c r="F565" s="49">
        <f t="shared" si="35"/>
        <v>0.98785000000000001</v>
      </c>
      <c r="G565" s="55">
        <f t="shared" si="36"/>
        <v>2.4448829245445954E-2</v>
      </c>
      <c r="H565" s="49">
        <f t="shared" si="38"/>
        <v>1.6190236148491029E-3</v>
      </c>
      <c r="I565" s="49">
        <f t="shared" si="37"/>
        <v>-3.7111729478295556</v>
      </c>
      <c r="J565" s="49">
        <f t="shared" si="39"/>
        <v>6.8515384418610825E-2</v>
      </c>
    </row>
    <row r="566" spans="1:10">
      <c r="A566" s="23" t="s">
        <v>603</v>
      </c>
      <c r="B566" s="41">
        <v>2.61</v>
      </c>
      <c r="E566" s="41">
        <f t="shared" si="34"/>
        <v>2.6099999999999998E-2</v>
      </c>
      <c r="F566" s="49">
        <f t="shared" si="35"/>
        <v>0.98694999999999999</v>
      </c>
      <c r="G566" s="55">
        <f t="shared" si="36"/>
        <v>2.6271798786281175E-2</v>
      </c>
      <c r="H566" s="49">
        <f t="shared" si="38"/>
        <v>1.822969540835221E-3</v>
      </c>
      <c r="I566" s="49">
        <f t="shared" si="37"/>
        <v>-3.6392592046071166</v>
      </c>
      <c r="J566" s="49">
        <f t="shared" si="39"/>
        <v>7.1913743222439042E-2</v>
      </c>
    </row>
    <row r="567" spans="1:10">
      <c r="A567" s="23" t="s">
        <v>604</v>
      </c>
      <c r="B567" s="41">
        <v>2.77</v>
      </c>
      <c r="E567" s="41">
        <f t="shared" si="34"/>
        <v>2.7699999999999999E-2</v>
      </c>
      <c r="F567" s="49">
        <f t="shared" si="35"/>
        <v>0.98614999999999997</v>
      </c>
      <c r="G567" s="55">
        <f t="shared" si="36"/>
        <v>2.7893612265249307E-2</v>
      </c>
      <c r="H567" s="49">
        <f t="shared" si="38"/>
        <v>1.6218134789681322E-3</v>
      </c>
      <c r="I567" s="49">
        <f t="shared" si="37"/>
        <v>-3.5793575674344469</v>
      </c>
      <c r="J567" s="49">
        <f t="shared" si="39"/>
        <v>5.9901637172669719E-2</v>
      </c>
    </row>
    <row r="568" spans="1:10">
      <c r="A568" s="23" t="s">
        <v>605</v>
      </c>
      <c r="B568" s="41">
        <v>3</v>
      </c>
      <c r="E568" s="41">
        <f t="shared" si="34"/>
        <v>0.03</v>
      </c>
      <c r="F568" s="49">
        <f t="shared" si="35"/>
        <v>0.98499999999999999</v>
      </c>
      <c r="G568" s="55">
        <f t="shared" si="36"/>
        <v>3.0227275620096368E-2</v>
      </c>
      <c r="H568" s="49">
        <f t="shared" si="38"/>
        <v>2.3336633548470612E-3</v>
      </c>
      <c r="I568" s="49">
        <f t="shared" si="37"/>
        <v>-3.4990105959821669</v>
      </c>
      <c r="J568" s="49">
        <f t="shared" si="39"/>
        <v>8.034697145227998E-2</v>
      </c>
    </row>
    <row r="569" spans="1:10">
      <c r="A569" s="23" t="s">
        <v>606</v>
      </c>
      <c r="B569" s="41">
        <v>3.05</v>
      </c>
      <c r="E569" s="41">
        <f t="shared" si="34"/>
        <v>3.0499999999999999E-2</v>
      </c>
      <c r="F569" s="49">
        <f t="shared" si="35"/>
        <v>0.98475000000000001</v>
      </c>
      <c r="G569" s="55">
        <f t="shared" si="36"/>
        <v>3.0734954262243555E-2</v>
      </c>
      <c r="H569" s="49">
        <f t="shared" si="38"/>
        <v>5.0767864214718711E-4</v>
      </c>
      <c r="I569" s="49">
        <f t="shared" si="37"/>
        <v>-3.4823546967569037</v>
      </c>
      <c r="J569" s="49">
        <f t="shared" si="39"/>
        <v>1.6655899225263227E-2</v>
      </c>
    </row>
    <row r="570" spans="1:10">
      <c r="A570" s="23" t="s">
        <v>607</v>
      </c>
      <c r="B570" s="41">
        <v>3.08</v>
      </c>
      <c r="E570" s="41">
        <f t="shared" si="34"/>
        <v>3.0800000000000001E-2</v>
      </c>
      <c r="F570" s="49">
        <f t="shared" si="35"/>
        <v>0.98460000000000003</v>
      </c>
      <c r="G570" s="55">
        <f t="shared" si="36"/>
        <v>3.1039623316073614E-2</v>
      </c>
      <c r="H570" s="49">
        <f t="shared" si="38"/>
        <v>3.0466905383005893E-4</v>
      </c>
      <c r="I570" s="49">
        <f t="shared" si="37"/>
        <v>-3.4724907191765269</v>
      </c>
      <c r="J570" s="49">
        <f t="shared" si="39"/>
        <v>9.8639775803768259E-3</v>
      </c>
    </row>
    <row r="571" spans="1:10">
      <c r="A571" s="23" t="s">
        <v>608</v>
      </c>
      <c r="B571" s="41">
        <v>3.13</v>
      </c>
      <c r="E571" s="41">
        <f t="shared" si="34"/>
        <v>3.1300000000000001E-2</v>
      </c>
      <c r="F571" s="49">
        <f t="shared" si="35"/>
        <v>0.98434999999999995</v>
      </c>
      <c r="G571" s="55">
        <f t="shared" si="36"/>
        <v>3.1547508232081758E-2</v>
      </c>
      <c r="H571" s="49">
        <f t="shared" si="38"/>
        <v>5.0788491600814445E-4</v>
      </c>
      <c r="I571" s="49">
        <f t="shared" si="37"/>
        <v>-3.4562606714947983</v>
      </c>
      <c r="J571" s="49">
        <f t="shared" si="39"/>
        <v>1.6230047681728532E-2</v>
      </c>
    </row>
    <row r="572" spans="1:10">
      <c r="A572" s="23" t="s">
        <v>609</v>
      </c>
      <c r="B572" s="41">
        <v>3.42</v>
      </c>
      <c r="E572" s="41">
        <f t="shared" si="34"/>
        <v>3.4200000000000001E-2</v>
      </c>
      <c r="F572" s="49">
        <f t="shared" si="35"/>
        <v>0.9829</v>
      </c>
      <c r="G572" s="55">
        <f t="shared" si="36"/>
        <v>3.4495786819106783E-2</v>
      </c>
      <c r="H572" s="49">
        <f t="shared" si="38"/>
        <v>2.9482785870250244E-3</v>
      </c>
      <c r="I572" s="49">
        <f t="shared" si="37"/>
        <v>-3.3669180835875325</v>
      </c>
      <c r="J572" s="49">
        <f t="shared" si="39"/>
        <v>8.9342587907265791E-2</v>
      </c>
    </row>
    <row r="573" spans="1:10">
      <c r="A573" s="23" t="s">
        <v>610</v>
      </c>
      <c r="B573" s="41">
        <v>3.66</v>
      </c>
      <c r="E573" s="41">
        <f t="shared" si="34"/>
        <v>3.6600000000000001E-2</v>
      </c>
      <c r="F573" s="49">
        <f t="shared" si="35"/>
        <v>0.98170000000000002</v>
      </c>
      <c r="G573" s="55">
        <f t="shared" si="36"/>
        <v>3.6939032567322644E-2</v>
      </c>
      <c r="H573" s="49">
        <f t="shared" si="38"/>
        <v>2.4432457482158609E-3</v>
      </c>
      <c r="I573" s="49">
        <f t="shared" si="37"/>
        <v>-3.2984864938522387</v>
      </c>
      <c r="J573" s="49">
        <f t="shared" si="39"/>
        <v>6.8431589735293841E-2</v>
      </c>
    </row>
    <row r="574" spans="1:10">
      <c r="A574" s="23" t="s">
        <v>611</v>
      </c>
      <c r="B574" s="41">
        <v>3.67</v>
      </c>
      <c r="E574" s="41">
        <f t="shared" si="34"/>
        <v>3.6699999999999997E-2</v>
      </c>
      <c r="F574" s="49">
        <f t="shared" si="35"/>
        <v>0.98165000000000002</v>
      </c>
      <c r="G574" s="55">
        <f t="shared" si="36"/>
        <v>3.7040899274758003E-2</v>
      </c>
      <c r="H574" s="49">
        <f t="shared" si="38"/>
        <v>1.0186670743535936E-4</v>
      </c>
      <c r="I574" s="49">
        <f t="shared" si="37"/>
        <v>-3.2957325910226878</v>
      </c>
      <c r="J574" s="49">
        <f t="shared" si="39"/>
        <v>2.7539028295509027E-3</v>
      </c>
    </row>
    <row r="575" spans="1:10">
      <c r="A575" s="23" t="s">
        <v>612</v>
      </c>
      <c r="B575" s="41">
        <v>3.99</v>
      </c>
      <c r="E575" s="41">
        <f t="shared" si="34"/>
        <v>3.9900000000000005E-2</v>
      </c>
      <c r="F575" s="49">
        <f t="shared" si="35"/>
        <v>0.98004999999999998</v>
      </c>
      <c r="G575" s="55">
        <f t="shared" si="36"/>
        <v>4.0303376421705929E-2</v>
      </c>
      <c r="H575" s="49">
        <f t="shared" si="38"/>
        <v>3.2624771469479258E-3</v>
      </c>
      <c r="I575" s="49">
        <f t="shared" si="37"/>
        <v>-3.2113200313627046</v>
      </c>
      <c r="J575" s="49">
        <f t="shared" si="39"/>
        <v>8.4412559659983177E-2</v>
      </c>
    </row>
    <row r="576" spans="1:10">
      <c r="A576" s="23" t="s">
        <v>613</v>
      </c>
      <c r="B576" s="41">
        <v>4.1500000000000004</v>
      </c>
      <c r="E576" s="41">
        <f t="shared" si="34"/>
        <v>4.1500000000000002E-2</v>
      </c>
      <c r="F576" s="49">
        <f t="shared" si="35"/>
        <v>0.97924999999999995</v>
      </c>
      <c r="G576" s="55">
        <f t="shared" si="36"/>
        <v>4.1936612872392823E-2</v>
      </c>
      <c r="H576" s="49">
        <f t="shared" si="38"/>
        <v>1.6332364506868938E-3</v>
      </c>
      <c r="I576" s="49">
        <f t="shared" si="37"/>
        <v>-3.1715960180383798</v>
      </c>
      <c r="J576" s="49">
        <f t="shared" si="39"/>
        <v>3.9724013324324847E-2</v>
      </c>
    </row>
    <row r="577" spans="1:10">
      <c r="A577" s="23" t="s">
        <v>614</v>
      </c>
      <c r="B577" s="41">
        <v>4.18</v>
      </c>
      <c r="E577" s="41">
        <f t="shared" si="34"/>
        <v>4.1799999999999997E-2</v>
      </c>
      <c r="F577" s="49">
        <f t="shared" si="35"/>
        <v>0.97909999999999997</v>
      </c>
      <c r="G577" s="55">
        <f t="shared" si="36"/>
        <v>4.2242993244222836E-2</v>
      </c>
      <c r="H577" s="49">
        <f t="shared" si="38"/>
        <v>3.0638037183001315E-4</v>
      </c>
      <c r="I577" s="49">
        <f t="shared" si="37"/>
        <v>-3.1643167793054134</v>
      </c>
      <c r="J577" s="49">
        <f t="shared" si="39"/>
        <v>7.27923873296632E-3</v>
      </c>
    </row>
    <row r="578" spans="1:10">
      <c r="A578" s="23" t="s">
        <v>615</v>
      </c>
      <c r="B578" s="41">
        <v>4.3099999999999996</v>
      </c>
      <c r="E578" s="41">
        <f t="shared" si="34"/>
        <v>4.3099999999999999E-2</v>
      </c>
      <c r="F578" s="49">
        <f t="shared" si="35"/>
        <v>0.97845000000000004</v>
      </c>
      <c r="G578" s="55">
        <f t="shared" si="36"/>
        <v>4.357118414384463E-2</v>
      </c>
      <c r="H578" s="49">
        <f t="shared" si="38"/>
        <v>1.3281908996217937E-3</v>
      </c>
      <c r="I578" s="49">
        <f t="shared" si="37"/>
        <v>-3.1333592612591756</v>
      </c>
      <c r="J578" s="49">
        <f t="shared" si="39"/>
        <v>3.0957518046237809E-2</v>
      </c>
    </row>
    <row r="579" spans="1:10">
      <c r="A579" s="23" t="s">
        <v>616</v>
      </c>
      <c r="B579" s="41">
        <v>4.5199999999999996</v>
      </c>
      <c r="E579" s="41">
        <f t="shared" si="34"/>
        <v>4.5199999999999997E-2</v>
      </c>
      <c r="F579" s="49">
        <f t="shared" si="35"/>
        <v>0.97740000000000005</v>
      </c>
      <c r="G579" s="55">
        <f t="shared" si="36"/>
        <v>4.5718588292165116E-2</v>
      </c>
      <c r="H579" s="49">
        <f t="shared" si="38"/>
        <v>2.1474041483204864E-3</v>
      </c>
      <c r="I579" s="49">
        <f t="shared" si="37"/>
        <v>-3.0852503177814712</v>
      </c>
      <c r="J579" s="49">
        <f t="shared" si="39"/>
        <v>4.8108943477704447E-2</v>
      </c>
    </row>
    <row r="580" spans="1:10">
      <c r="A580" s="23" t="s">
        <v>617</v>
      </c>
      <c r="B580" s="41">
        <v>4.62</v>
      </c>
      <c r="E580" s="41">
        <f t="shared" si="34"/>
        <v>4.6199999999999998E-2</v>
      </c>
      <c r="F580" s="49">
        <f t="shared" si="35"/>
        <v>0.97689999999999999</v>
      </c>
      <c r="G580" s="55">
        <f t="shared" si="36"/>
        <v>4.6741972646480404E-2</v>
      </c>
      <c r="H580" s="49">
        <f t="shared" si="38"/>
        <v>1.0233843543152876E-3</v>
      </c>
      <c r="I580" s="49">
        <f t="shared" si="37"/>
        <v>-3.0631127460876399</v>
      </c>
      <c r="J580" s="49">
        <f t="shared" si="39"/>
        <v>2.2137571693831237E-2</v>
      </c>
    </row>
    <row r="581" spans="1:10">
      <c r="A581" s="23" t="s">
        <v>618</v>
      </c>
      <c r="B581" s="41">
        <v>4.72</v>
      </c>
      <c r="E581" s="41">
        <f t="shared" si="34"/>
        <v>4.7199999999999999E-2</v>
      </c>
      <c r="F581" s="49">
        <f t="shared" si="35"/>
        <v>0.97640000000000005</v>
      </c>
      <c r="G581" s="55">
        <f t="shared" si="36"/>
        <v>4.7765880926664006E-2</v>
      </c>
      <c r="H581" s="49">
        <f t="shared" si="38"/>
        <v>1.0239082801836025E-3</v>
      </c>
      <c r="I581" s="49">
        <f t="shared" si="37"/>
        <v>-3.0414436824978779</v>
      </c>
      <c r="J581" s="49">
        <f t="shared" si="39"/>
        <v>2.1669063589762061E-2</v>
      </c>
    </row>
    <row r="582" spans="1:10">
      <c r="A582" s="23" t="s">
        <v>619</v>
      </c>
      <c r="B582" s="41">
        <v>4.82</v>
      </c>
      <c r="E582" s="41">
        <f t="shared" si="34"/>
        <v>4.82E-2</v>
      </c>
      <c r="F582" s="49">
        <f t="shared" si="35"/>
        <v>0.97589999999999999</v>
      </c>
      <c r="G582" s="55">
        <f t="shared" si="36"/>
        <v>4.8790313669443197E-2</v>
      </c>
      <c r="H582" s="49">
        <f t="shared" si="38"/>
        <v>1.0244327427791911E-3</v>
      </c>
      <c r="I582" s="49">
        <f t="shared" si="37"/>
        <v>-3.0202234762051208</v>
      </c>
      <c r="J582" s="49">
        <f t="shared" si="39"/>
        <v>2.1220206292757116E-2</v>
      </c>
    </row>
    <row r="583" spans="1:10">
      <c r="A583" s="23" t="s">
        <v>620</v>
      </c>
      <c r="B583" s="41">
        <v>4.97</v>
      </c>
      <c r="E583" s="41">
        <f t="shared" si="34"/>
        <v>4.9699999999999994E-2</v>
      </c>
      <c r="F583" s="49">
        <f t="shared" si="35"/>
        <v>0.97514999999999996</v>
      </c>
      <c r="G583" s="55">
        <f t="shared" si="36"/>
        <v>5.0327947327099304E-2</v>
      </c>
      <c r="H583" s="49">
        <f t="shared" si="38"/>
        <v>1.5376336576561067E-3</v>
      </c>
      <c r="I583" s="49">
        <f t="shared" si="37"/>
        <v>-2.989194743307324</v>
      </c>
      <c r="J583" s="49">
        <f t="shared" si="39"/>
        <v>3.1028732897796729E-2</v>
      </c>
    </row>
    <row r="584" spans="1:10">
      <c r="A584" s="23" t="s">
        <v>621</v>
      </c>
      <c r="B584" s="41">
        <v>5.0599999999999996</v>
      </c>
      <c r="E584" s="41">
        <f t="shared" si="34"/>
        <v>5.0599999999999999E-2</v>
      </c>
      <c r="F584" s="49">
        <f t="shared" si="35"/>
        <v>0.97470000000000001</v>
      </c>
      <c r="G584" s="55">
        <f t="shared" si="36"/>
        <v>5.1251095277945462E-2</v>
      </c>
      <c r="H584" s="49">
        <f t="shared" si="38"/>
        <v>9.2314795084615792E-4</v>
      </c>
      <c r="I584" s="49">
        <f t="shared" si="37"/>
        <v>-2.9710182899149973</v>
      </c>
      <c r="J584" s="49">
        <f t="shared" si="39"/>
        <v>1.8176453392326763E-2</v>
      </c>
    </row>
    <row r="585" spans="1:10">
      <c r="A585" s="23" t="s">
        <v>622</v>
      </c>
      <c r="B585" s="41">
        <v>4.97</v>
      </c>
      <c r="E585" s="41">
        <f t="shared" si="34"/>
        <v>4.9699999999999994E-2</v>
      </c>
      <c r="F585" s="49">
        <f t="shared" si="35"/>
        <v>0.97514999999999996</v>
      </c>
      <c r="G585" s="55">
        <f t="shared" si="36"/>
        <v>5.0327947327099304E-2</v>
      </c>
      <c r="H585" s="49">
        <f t="shared" si="38"/>
        <v>-9.2314795084615792E-4</v>
      </c>
      <c r="I585" s="49">
        <f t="shared" si="37"/>
        <v>-2.989194743307324</v>
      </c>
      <c r="J585" s="49">
        <f t="shared" si="39"/>
        <v>-1.8176453392326763E-2</v>
      </c>
    </row>
    <row r="586" spans="1:10">
      <c r="A586" s="23" t="s">
        <v>623</v>
      </c>
      <c r="B586" s="41">
        <v>4.8899999999999997</v>
      </c>
      <c r="E586" s="41">
        <f t="shared" si="34"/>
        <v>4.8899999999999999E-2</v>
      </c>
      <c r="F586" s="49">
        <f t="shared" si="35"/>
        <v>0.97555000000000003</v>
      </c>
      <c r="G586" s="55">
        <f t="shared" si="36"/>
        <v>4.9507728932458639E-2</v>
      </c>
      <c r="H586" s="49">
        <f t="shared" si="38"/>
        <v>-8.2021839464066493E-4</v>
      </c>
      <c r="I586" s="49">
        <f t="shared" si="37"/>
        <v>-3.005626481546412</v>
      </c>
      <c r="J586" s="49">
        <f t="shared" si="39"/>
        <v>-1.6431738239087945E-2</v>
      </c>
    </row>
    <row r="587" spans="1:10">
      <c r="A587" s="23" t="s">
        <v>624</v>
      </c>
      <c r="B587" s="41">
        <v>4.92</v>
      </c>
      <c r="E587" s="41">
        <f t="shared" si="34"/>
        <v>4.9200000000000001E-2</v>
      </c>
      <c r="F587" s="49">
        <f t="shared" si="35"/>
        <v>0.97540000000000004</v>
      </c>
      <c r="G587" s="55">
        <f t="shared" si="36"/>
        <v>4.9815271412369563E-2</v>
      </c>
      <c r="H587" s="49">
        <f t="shared" si="38"/>
        <v>3.0754247991092443E-4</v>
      </c>
      <c r="I587" s="49">
        <f t="shared" si="37"/>
        <v>-2.9994336870936649</v>
      </c>
      <c r="J587" s="49">
        <f t="shared" si="39"/>
        <v>6.192794452747119E-3</v>
      </c>
    </row>
    <row r="588" spans="1:10">
      <c r="A588" s="23" t="s">
        <v>625</v>
      </c>
      <c r="B588" s="41">
        <v>4.95</v>
      </c>
      <c r="E588" s="41">
        <f t="shared" si="34"/>
        <v>4.9500000000000002E-2</v>
      </c>
      <c r="F588" s="49">
        <f t="shared" si="35"/>
        <v>0.97524999999999995</v>
      </c>
      <c r="G588" s="55">
        <f t="shared" si="36"/>
        <v>5.0122861190742427E-2</v>
      </c>
      <c r="H588" s="49">
        <f t="shared" si="38"/>
        <v>3.0758977837286317E-4</v>
      </c>
      <c r="I588" s="49">
        <f t="shared" si="37"/>
        <v>-2.9932780637771463</v>
      </c>
      <c r="J588" s="49">
        <f t="shared" si="39"/>
        <v>6.1556233165185326E-3</v>
      </c>
    </row>
    <row r="589" spans="1:10">
      <c r="A589" s="23" t="s">
        <v>626</v>
      </c>
      <c r="B589" s="41">
        <v>4.88</v>
      </c>
      <c r="E589" s="41">
        <f t="shared" si="34"/>
        <v>4.8799999999999996E-2</v>
      </c>
      <c r="F589" s="49">
        <f t="shared" si="35"/>
        <v>0.97560000000000002</v>
      </c>
      <c r="G589" s="55">
        <f t="shared" si="36"/>
        <v>4.940522528074362E-2</v>
      </c>
      <c r="H589" s="49">
        <f t="shared" si="38"/>
        <v>-7.1763590999880666E-4</v>
      </c>
      <c r="I589" s="49">
        <f t="shared" si="37"/>
        <v>-3.0076990854681935</v>
      </c>
      <c r="J589" s="49">
        <f t="shared" si="39"/>
        <v>-1.4421021691047198E-2</v>
      </c>
    </row>
    <row r="590" spans="1:10">
      <c r="A590" s="23" t="s">
        <v>627</v>
      </c>
      <c r="B590" s="41">
        <v>4.95</v>
      </c>
      <c r="E590" s="41">
        <f t="shared" ref="E590:E593" si="40">B590/100</f>
        <v>4.9500000000000002E-2</v>
      </c>
      <c r="F590" s="49">
        <f t="shared" ref="F590:F594" si="41">1-180/360*E590</f>
        <v>0.97524999999999995</v>
      </c>
      <c r="G590" s="55">
        <f t="shared" ref="G590:G594" si="42">-1/0.5*LN(F590)</f>
        <v>5.0122861190742427E-2</v>
      </c>
      <c r="H590" s="49">
        <f t="shared" si="38"/>
        <v>7.1763590999880666E-4</v>
      </c>
      <c r="I590" s="49">
        <f t="shared" ref="I590:I594" si="43">LN(G590)</f>
        <v>-2.9932780637771463</v>
      </c>
      <c r="J590" s="49">
        <f t="shared" si="39"/>
        <v>1.4421021691047198E-2</v>
      </c>
    </row>
    <row r="591" spans="1:10">
      <c r="A591" s="23" t="s">
        <v>628</v>
      </c>
      <c r="B591" s="41">
        <v>4.96</v>
      </c>
      <c r="E591" s="41">
        <f t="shared" si="40"/>
        <v>4.9599999999999998E-2</v>
      </c>
      <c r="F591" s="49">
        <f t="shared" si="41"/>
        <v>0.97519999999999996</v>
      </c>
      <c r="G591" s="55">
        <f t="shared" si="42"/>
        <v>5.0225401630150657E-2</v>
      </c>
      <c r="H591" s="49">
        <f t="shared" si="38"/>
        <v>1.0254043940823021E-4</v>
      </c>
      <c r="I591" s="49">
        <f t="shared" si="43"/>
        <v>-2.9912343716948806</v>
      </c>
      <c r="J591" s="49">
        <f t="shared" si="39"/>
        <v>2.0436920822657356E-3</v>
      </c>
    </row>
    <row r="592" spans="1:10">
      <c r="A592" s="23" t="s">
        <v>629</v>
      </c>
      <c r="B592" s="41">
        <v>4.8899999999999997</v>
      </c>
      <c r="E592" s="41">
        <f t="shared" si="40"/>
        <v>4.8899999999999999E-2</v>
      </c>
      <c r="F592" s="49">
        <f t="shared" si="41"/>
        <v>0.97555000000000003</v>
      </c>
      <c r="G592" s="55">
        <f t="shared" si="42"/>
        <v>4.9507728932458639E-2</v>
      </c>
      <c r="H592" s="49">
        <f t="shared" si="38"/>
        <v>-7.176726976920178E-4</v>
      </c>
      <c r="I592" s="49">
        <f t="shared" si="43"/>
        <v>-3.005626481546412</v>
      </c>
      <c r="J592" s="49">
        <f t="shared" si="39"/>
        <v>-1.4392109851531387E-2</v>
      </c>
    </row>
    <row r="593" spans="1:10">
      <c r="A593" s="23" t="s">
        <v>630</v>
      </c>
      <c r="B593" s="41">
        <v>4.8600000000000003</v>
      </c>
      <c r="E593" s="41">
        <f t="shared" si="40"/>
        <v>4.8600000000000004E-2</v>
      </c>
      <c r="F593" s="49">
        <f t="shared" si="41"/>
        <v>0.97570000000000001</v>
      </c>
      <c r="G593" s="55">
        <f t="shared" si="42"/>
        <v>4.9200233736465378E-2</v>
      </c>
      <c r="H593" s="49">
        <f t="shared" si="38"/>
        <v>-3.0749519599326119E-4</v>
      </c>
      <c r="I593" s="49">
        <f t="shared" si="43"/>
        <v>-3.0118569047539929</v>
      </c>
      <c r="J593" s="49">
        <f t="shared" si="39"/>
        <v>-6.2304232075809374E-3</v>
      </c>
    </row>
    <row r="594" spans="1:10">
      <c r="A594" s="23" t="s">
        <v>631</v>
      </c>
      <c r="B594" s="41">
        <v>4.78</v>
      </c>
      <c r="E594" s="41">
        <f>B594/100</f>
        <v>4.7800000000000002E-2</v>
      </c>
      <c r="F594" s="49">
        <f t="shared" si="41"/>
        <v>0.97609999999999997</v>
      </c>
      <c r="G594" s="55">
        <f t="shared" si="42"/>
        <v>4.8380477602435343E-2</v>
      </c>
      <c r="H594" s="49">
        <f t="shared" si="38"/>
        <v>-8.1975613403003494E-4</v>
      </c>
      <c r="I594" s="49">
        <f t="shared" si="43"/>
        <v>-3.0286589019507737</v>
      </c>
      <c r="J594" s="49">
        <f t="shared" si="39"/>
        <v>-1.6801997196780771E-2</v>
      </c>
    </row>
    <row r="596" spans="1:10">
      <c r="G596" s="57" t="s">
        <v>658</v>
      </c>
      <c r="H596" s="85"/>
      <c r="I596" s="36"/>
      <c r="J596" s="85"/>
    </row>
    <row r="597" spans="1:10">
      <c r="I597" s="52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8" tint="0.39997558519241921"/>
  </sheetPr>
  <dimension ref="A1:EB118"/>
  <sheetViews>
    <sheetView workbookViewId="0">
      <selection activeCell="A2" sqref="A2"/>
    </sheetView>
  </sheetViews>
  <sheetFormatPr baseColWidth="10" defaultColWidth="8.83203125" defaultRowHeight="15"/>
  <cols>
    <col min="1" max="7" width="8.83203125" style="23"/>
    <col min="8" max="8" width="10" style="23" bestFit="1" customWidth="1"/>
    <col min="9" max="23" width="8.83203125" style="23"/>
    <col min="24" max="32" width="8.83203125" style="24"/>
    <col min="33" max="263" width="8.83203125" style="23"/>
    <col min="264" max="264" width="10" style="23" bestFit="1" customWidth="1"/>
    <col min="265" max="519" width="8.83203125" style="23"/>
    <col min="520" max="520" width="10" style="23" bestFit="1" customWidth="1"/>
    <col min="521" max="775" width="8.83203125" style="23"/>
    <col min="776" max="776" width="10" style="23" bestFit="1" customWidth="1"/>
    <col min="777" max="1031" width="8.83203125" style="23"/>
    <col min="1032" max="1032" width="10" style="23" bestFit="1" customWidth="1"/>
    <col min="1033" max="1287" width="8.83203125" style="23"/>
    <col min="1288" max="1288" width="10" style="23" bestFit="1" customWidth="1"/>
    <col min="1289" max="1543" width="8.83203125" style="23"/>
    <col min="1544" max="1544" width="10" style="23" bestFit="1" customWidth="1"/>
    <col min="1545" max="1799" width="8.83203125" style="23"/>
    <col min="1800" max="1800" width="10" style="23" bestFit="1" customWidth="1"/>
    <col min="1801" max="2055" width="8.83203125" style="23"/>
    <col min="2056" max="2056" width="10" style="23" bestFit="1" customWidth="1"/>
    <col min="2057" max="2311" width="8.83203125" style="23"/>
    <col min="2312" max="2312" width="10" style="23" bestFit="1" customWidth="1"/>
    <col min="2313" max="2567" width="8.83203125" style="23"/>
    <col min="2568" max="2568" width="10" style="23" bestFit="1" customWidth="1"/>
    <col min="2569" max="2823" width="8.83203125" style="23"/>
    <col min="2824" max="2824" width="10" style="23" bestFit="1" customWidth="1"/>
    <col min="2825" max="3079" width="8.83203125" style="23"/>
    <col min="3080" max="3080" width="10" style="23" bestFit="1" customWidth="1"/>
    <col min="3081" max="3335" width="8.83203125" style="23"/>
    <col min="3336" max="3336" width="10" style="23" bestFit="1" customWidth="1"/>
    <col min="3337" max="3591" width="8.83203125" style="23"/>
    <col min="3592" max="3592" width="10" style="23" bestFit="1" customWidth="1"/>
    <col min="3593" max="3847" width="8.83203125" style="23"/>
    <col min="3848" max="3848" width="10" style="23" bestFit="1" customWidth="1"/>
    <col min="3849" max="4103" width="8.83203125" style="23"/>
    <col min="4104" max="4104" width="10" style="23" bestFit="1" customWidth="1"/>
    <col min="4105" max="4359" width="8.83203125" style="23"/>
    <col min="4360" max="4360" width="10" style="23" bestFit="1" customWidth="1"/>
    <col min="4361" max="4615" width="8.83203125" style="23"/>
    <col min="4616" max="4616" width="10" style="23" bestFit="1" customWidth="1"/>
    <col min="4617" max="4871" width="8.83203125" style="23"/>
    <col min="4872" max="4872" width="10" style="23" bestFit="1" customWidth="1"/>
    <col min="4873" max="5127" width="8.83203125" style="23"/>
    <col min="5128" max="5128" width="10" style="23" bestFit="1" customWidth="1"/>
    <col min="5129" max="5383" width="8.83203125" style="23"/>
    <col min="5384" max="5384" width="10" style="23" bestFit="1" customWidth="1"/>
    <col min="5385" max="5639" width="8.83203125" style="23"/>
    <col min="5640" max="5640" width="10" style="23" bestFit="1" customWidth="1"/>
    <col min="5641" max="5895" width="8.83203125" style="23"/>
    <col min="5896" max="5896" width="10" style="23" bestFit="1" customWidth="1"/>
    <col min="5897" max="6151" width="8.83203125" style="23"/>
    <col min="6152" max="6152" width="10" style="23" bestFit="1" customWidth="1"/>
    <col min="6153" max="6407" width="8.83203125" style="23"/>
    <col min="6408" max="6408" width="10" style="23" bestFit="1" customWidth="1"/>
    <col min="6409" max="6663" width="8.83203125" style="23"/>
    <col min="6664" max="6664" width="10" style="23" bestFit="1" customWidth="1"/>
    <col min="6665" max="6919" width="8.83203125" style="23"/>
    <col min="6920" max="6920" width="10" style="23" bestFit="1" customWidth="1"/>
    <col min="6921" max="7175" width="8.83203125" style="23"/>
    <col min="7176" max="7176" width="10" style="23" bestFit="1" customWidth="1"/>
    <col min="7177" max="7431" width="8.83203125" style="23"/>
    <col min="7432" max="7432" width="10" style="23" bestFit="1" customWidth="1"/>
    <col min="7433" max="7687" width="8.83203125" style="23"/>
    <col min="7688" max="7688" width="10" style="23" bestFit="1" customWidth="1"/>
    <col min="7689" max="7943" width="8.83203125" style="23"/>
    <col min="7944" max="7944" width="10" style="23" bestFit="1" customWidth="1"/>
    <col min="7945" max="8199" width="8.83203125" style="23"/>
    <col min="8200" max="8200" width="10" style="23" bestFit="1" customWidth="1"/>
    <col min="8201" max="8455" width="8.83203125" style="23"/>
    <col min="8456" max="8456" width="10" style="23" bestFit="1" customWidth="1"/>
    <col min="8457" max="8711" width="8.83203125" style="23"/>
    <col min="8712" max="8712" width="10" style="23" bestFit="1" customWidth="1"/>
    <col min="8713" max="8967" width="8.83203125" style="23"/>
    <col min="8968" max="8968" width="10" style="23" bestFit="1" customWidth="1"/>
    <col min="8969" max="9223" width="8.83203125" style="23"/>
    <col min="9224" max="9224" width="10" style="23" bestFit="1" customWidth="1"/>
    <col min="9225" max="9479" width="8.83203125" style="23"/>
    <col min="9480" max="9480" width="10" style="23" bestFit="1" customWidth="1"/>
    <col min="9481" max="9735" width="8.83203125" style="23"/>
    <col min="9736" max="9736" width="10" style="23" bestFit="1" customWidth="1"/>
    <col min="9737" max="9991" width="8.83203125" style="23"/>
    <col min="9992" max="9992" width="10" style="23" bestFit="1" customWidth="1"/>
    <col min="9993" max="10247" width="8.83203125" style="23"/>
    <col min="10248" max="10248" width="10" style="23" bestFit="1" customWidth="1"/>
    <col min="10249" max="10503" width="8.83203125" style="23"/>
    <col min="10504" max="10504" width="10" style="23" bestFit="1" customWidth="1"/>
    <col min="10505" max="10759" width="8.83203125" style="23"/>
    <col min="10760" max="10760" width="10" style="23" bestFit="1" customWidth="1"/>
    <col min="10761" max="11015" width="8.83203125" style="23"/>
    <col min="11016" max="11016" width="10" style="23" bestFit="1" customWidth="1"/>
    <col min="11017" max="11271" width="8.83203125" style="23"/>
    <col min="11272" max="11272" width="10" style="23" bestFit="1" customWidth="1"/>
    <col min="11273" max="11527" width="8.83203125" style="23"/>
    <col min="11528" max="11528" width="10" style="23" bestFit="1" customWidth="1"/>
    <col min="11529" max="11783" width="8.83203125" style="23"/>
    <col min="11784" max="11784" width="10" style="23" bestFit="1" customWidth="1"/>
    <col min="11785" max="12039" width="8.83203125" style="23"/>
    <col min="12040" max="12040" width="10" style="23" bestFit="1" customWidth="1"/>
    <col min="12041" max="12295" width="8.83203125" style="23"/>
    <col min="12296" max="12296" width="10" style="23" bestFit="1" customWidth="1"/>
    <col min="12297" max="12551" width="8.83203125" style="23"/>
    <col min="12552" max="12552" width="10" style="23" bestFit="1" customWidth="1"/>
    <col min="12553" max="12807" width="8.83203125" style="23"/>
    <col min="12808" max="12808" width="10" style="23" bestFit="1" customWidth="1"/>
    <col min="12809" max="13063" width="8.83203125" style="23"/>
    <col min="13064" max="13064" width="10" style="23" bestFit="1" customWidth="1"/>
    <col min="13065" max="13319" width="8.83203125" style="23"/>
    <col min="13320" max="13320" width="10" style="23" bestFit="1" customWidth="1"/>
    <col min="13321" max="13575" width="8.83203125" style="23"/>
    <col min="13576" max="13576" width="10" style="23" bestFit="1" customWidth="1"/>
    <col min="13577" max="13831" width="8.83203125" style="23"/>
    <col min="13832" max="13832" width="10" style="23" bestFit="1" customWidth="1"/>
    <col min="13833" max="14087" width="8.83203125" style="23"/>
    <col min="14088" max="14088" width="10" style="23" bestFit="1" customWidth="1"/>
    <col min="14089" max="14343" width="8.83203125" style="23"/>
    <col min="14344" max="14344" width="10" style="23" bestFit="1" customWidth="1"/>
    <col min="14345" max="14599" width="8.83203125" style="23"/>
    <col min="14600" max="14600" width="10" style="23" bestFit="1" customWidth="1"/>
    <col min="14601" max="14855" width="8.83203125" style="23"/>
    <col min="14856" max="14856" width="10" style="23" bestFit="1" customWidth="1"/>
    <col min="14857" max="15111" width="8.83203125" style="23"/>
    <col min="15112" max="15112" width="10" style="23" bestFit="1" customWidth="1"/>
    <col min="15113" max="15367" width="8.83203125" style="23"/>
    <col min="15368" max="15368" width="10" style="23" bestFit="1" customWidth="1"/>
    <col min="15369" max="15623" width="8.83203125" style="23"/>
    <col min="15624" max="15624" width="10" style="23" bestFit="1" customWidth="1"/>
    <col min="15625" max="15879" width="8.83203125" style="23"/>
    <col min="15880" max="15880" width="10" style="23" bestFit="1" customWidth="1"/>
    <col min="15881" max="16135" width="8.83203125" style="23"/>
    <col min="16136" max="16136" width="10" style="23" bestFit="1" customWidth="1"/>
    <col min="16137" max="16384" width="8.83203125" style="23"/>
  </cols>
  <sheetData>
    <row r="1" spans="1:132" s="89" customFormat="1">
      <c r="B1" s="90" t="s">
        <v>675</v>
      </c>
      <c r="O1" s="91"/>
      <c r="P1" s="92"/>
      <c r="Q1" s="93"/>
      <c r="R1" s="94"/>
      <c r="S1" s="92"/>
      <c r="T1" s="92"/>
      <c r="U1" s="92"/>
      <c r="V1" s="92"/>
      <c r="W1" s="92"/>
      <c r="X1" s="92"/>
      <c r="Y1" s="92"/>
      <c r="Z1" s="92"/>
      <c r="AA1" s="92"/>
      <c r="AB1" s="92"/>
      <c r="AD1" s="95"/>
    </row>
    <row r="2" spans="1:132" s="89" customFormat="1">
      <c r="B2" s="96" t="s">
        <v>676</v>
      </c>
      <c r="O2" s="91"/>
      <c r="P2" s="92"/>
      <c r="Q2" s="93"/>
      <c r="R2" s="94"/>
      <c r="S2" s="92"/>
      <c r="T2" s="92"/>
      <c r="U2" s="92"/>
      <c r="V2" s="92"/>
      <c r="W2" s="92"/>
      <c r="X2" s="92"/>
      <c r="Y2" s="92"/>
      <c r="Z2" s="92"/>
      <c r="AA2" s="92"/>
      <c r="AB2" s="92"/>
      <c r="AD2" s="95"/>
    </row>
    <row r="3" spans="1:132" s="89" customFormat="1">
      <c r="B3" s="97"/>
      <c r="O3" s="91"/>
      <c r="P3" s="92"/>
      <c r="Q3" s="93"/>
      <c r="R3" s="94"/>
      <c r="S3" s="92"/>
      <c r="T3" s="92"/>
      <c r="U3" s="92"/>
      <c r="V3" s="92"/>
      <c r="W3" s="92"/>
      <c r="X3" s="92"/>
      <c r="Y3" s="92"/>
      <c r="Z3" s="92"/>
      <c r="AA3" s="92"/>
      <c r="AB3" s="92"/>
      <c r="AD3" s="95"/>
    </row>
    <row r="4" spans="1:132" s="98" customFormat="1">
      <c r="D4" s="59"/>
      <c r="E4" s="59"/>
      <c r="F4" s="59"/>
      <c r="G4" s="59"/>
      <c r="I4" s="59"/>
      <c r="J4" s="59"/>
      <c r="K4" s="99"/>
      <c r="L4" s="100"/>
      <c r="M4" s="100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99"/>
      <c r="AB4" s="101"/>
      <c r="AC4" s="101"/>
      <c r="AD4" s="101"/>
      <c r="AE4" s="101"/>
      <c r="AF4" s="101"/>
      <c r="AG4" s="101"/>
      <c r="AH4" s="101"/>
      <c r="AI4" s="101"/>
      <c r="AJ4" s="101"/>
      <c r="AK4" s="101"/>
      <c r="AL4" s="101"/>
      <c r="AM4" s="101"/>
      <c r="AN4" s="101"/>
      <c r="AO4" s="101"/>
      <c r="AP4" s="101"/>
      <c r="AQ4" s="101"/>
      <c r="AR4" s="101"/>
    </row>
    <row r="5" spans="1:132" s="89" customFormat="1">
      <c r="B5" s="96"/>
      <c r="O5" s="91"/>
      <c r="P5" s="92"/>
      <c r="Q5" s="93"/>
      <c r="R5" s="94"/>
      <c r="S5" s="92"/>
      <c r="T5" s="92"/>
      <c r="U5" s="92"/>
      <c r="V5" s="92"/>
      <c r="W5" s="92"/>
      <c r="X5" s="92"/>
      <c r="Y5" s="92"/>
      <c r="Z5" s="92"/>
      <c r="AA5" s="92"/>
      <c r="AB5" s="92"/>
      <c r="AD5" s="95"/>
    </row>
    <row r="6" spans="1:132">
      <c r="A6" s="23" t="s">
        <v>632</v>
      </c>
      <c r="K6" s="23" t="s">
        <v>31</v>
      </c>
      <c r="L6" s="23">
        <v>2007</v>
      </c>
      <c r="M6" s="23">
        <v>2</v>
      </c>
      <c r="N6" s="23">
        <v>15</v>
      </c>
      <c r="X6" s="23"/>
      <c r="Y6" s="23"/>
      <c r="Z6" s="23"/>
      <c r="AA6" s="23"/>
      <c r="AB6" s="23"/>
      <c r="AC6" s="23"/>
      <c r="AD6" s="23"/>
    </row>
    <row r="7" spans="1:132">
      <c r="A7" s="23" t="s">
        <v>633</v>
      </c>
      <c r="K7" s="23" t="s">
        <v>32</v>
      </c>
      <c r="L7" s="23">
        <v>2007</v>
      </c>
      <c r="M7" s="23">
        <v>6</v>
      </c>
      <c r="N7" s="23">
        <v>7</v>
      </c>
      <c r="R7" s="25"/>
      <c r="V7" s="25"/>
      <c r="W7" s="25"/>
    </row>
    <row r="8" spans="1:132">
      <c r="H8" s="23" t="s">
        <v>634</v>
      </c>
      <c r="I8" s="23" t="s">
        <v>635</v>
      </c>
    </row>
    <row r="9" spans="1:132">
      <c r="A9" s="23" t="s">
        <v>19</v>
      </c>
      <c r="B9" s="23" t="s">
        <v>636</v>
      </c>
      <c r="C9" s="23" t="s">
        <v>637</v>
      </c>
      <c r="D9" s="23" t="s">
        <v>20</v>
      </c>
      <c r="E9" s="23" t="s">
        <v>21</v>
      </c>
      <c r="F9" s="23" t="s">
        <v>22</v>
      </c>
      <c r="G9" s="23" t="s">
        <v>23</v>
      </c>
      <c r="H9" s="23" t="s">
        <v>24</v>
      </c>
      <c r="I9" s="23" t="s">
        <v>638</v>
      </c>
      <c r="K9" s="23" t="s">
        <v>634</v>
      </c>
      <c r="M9" s="23" t="s">
        <v>639</v>
      </c>
      <c r="X9" s="23"/>
      <c r="Y9" s="23"/>
      <c r="Z9" s="23"/>
      <c r="AA9" s="25"/>
      <c r="AB9" s="25"/>
      <c r="AC9" s="25"/>
      <c r="AD9" s="23"/>
      <c r="AE9" s="23"/>
      <c r="AF9" s="23"/>
    </row>
    <row r="10" spans="1:132">
      <c r="K10" s="23" t="s">
        <v>640</v>
      </c>
      <c r="X10" s="23"/>
      <c r="Y10" s="23"/>
      <c r="Z10" s="25"/>
      <c r="AD10" s="23"/>
      <c r="AE10" s="23"/>
      <c r="AF10" s="23"/>
      <c r="BU10" s="23" t="s">
        <v>641</v>
      </c>
    </row>
    <row r="11" spans="1:132">
      <c r="A11" s="23">
        <v>20070705.399999999</v>
      </c>
      <c r="B11" s="23">
        <v>20070607</v>
      </c>
      <c r="C11" s="23">
        <v>20070705</v>
      </c>
      <c r="D11" s="23">
        <v>4</v>
      </c>
      <c r="E11" s="23">
        <v>0</v>
      </c>
      <c r="F11" s="23">
        <v>99.634833</v>
      </c>
      <c r="G11" s="23">
        <v>99.635610999999997</v>
      </c>
      <c r="H11" s="26">
        <f t="shared" ref="H11:H42" si="0">YEARFRAC(DATE(LEFT($B$11,4),MID($B$11,5,2),RIGHT($B$11,2)),DATE(LEFT(C11,4),MID(C11,5,2),RIGHT(C11,2)))</f>
        <v>7.7777777777777779E-2</v>
      </c>
      <c r="I11" s="26">
        <f t="shared" ref="I11:I42" si="1">E11*YEARFRAC(DATE($L$6,$M$6,$N$6),DATE($L$7,$M$7,$N$7))</f>
        <v>0</v>
      </c>
      <c r="K11" s="26">
        <f t="shared" ref="K11:K19" si="2">H11</f>
        <v>7.7777777777777779E-2</v>
      </c>
      <c r="L11" s="23">
        <f t="shared" ref="L11:BS15" si="3">IF(K11=0,0,IF(K11&gt;=$H11,0,K11+0.5))</f>
        <v>0</v>
      </c>
      <c r="M11" s="23">
        <f t="shared" si="3"/>
        <v>0</v>
      </c>
      <c r="N11" s="23">
        <f t="shared" si="3"/>
        <v>0</v>
      </c>
      <c r="O11" s="23">
        <f t="shared" si="3"/>
        <v>0</v>
      </c>
      <c r="P11" s="23">
        <f t="shared" si="3"/>
        <v>0</v>
      </c>
      <c r="Q11" s="23">
        <f t="shared" si="3"/>
        <v>0</v>
      </c>
      <c r="R11" s="23">
        <f t="shared" si="3"/>
        <v>0</v>
      </c>
      <c r="S11" s="23">
        <f t="shared" si="3"/>
        <v>0</v>
      </c>
      <c r="T11" s="23">
        <f t="shared" si="3"/>
        <v>0</v>
      </c>
      <c r="U11" s="23">
        <f t="shared" si="3"/>
        <v>0</v>
      </c>
      <c r="V11" s="23">
        <f t="shared" si="3"/>
        <v>0</v>
      </c>
      <c r="W11" s="23">
        <f t="shared" si="3"/>
        <v>0</v>
      </c>
      <c r="X11" s="23">
        <f t="shared" si="3"/>
        <v>0</v>
      </c>
      <c r="Y11" s="23">
        <f t="shared" si="3"/>
        <v>0</v>
      </c>
      <c r="Z11" s="23">
        <f t="shared" si="3"/>
        <v>0</v>
      </c>
      <c r="AA11" s="23">
        <f t="shared" si="3"/>
        <v>0</v>
      </c>
      <c r="AB11" s="23">
        <f t="shared" si="3"/>
        <v>0</v>
      </c>
      <c r="AC11" s="23">
        <f t="shared" si="3"/>
        <v>0</v>
      </c>
      <c r="AD11" s="23">
        <f t="shared" si="3"/>
        <v>0</v>
      </c>
      <c r="AE11" s="23">
        <f t="shared" si="3"/>
        <v>0</v>
      </c>
      <c r="AF11" s="23">
        <f t="shared" si="3"/>
        <v>0</v>
      </c>
      <c r="AG11" s="23">
        <f t="shared" si="3"/>
        <v>0</v>
      </c>
      <c r="AH11" s="23">
        <f t="shared" si="3"/>
        <v>0</v>
      </c>
      <c r="AI11" s="23">
        <f t="shared" si="3"/>
        <v>0</v>
      </c>
      <c r="AJ11" s="23">
        <f t="shared" si="3"/>
        <v>0</v>
      </c>
      <c r="AK11" s="23">
        <f t="shared" si="3"/>
        <v>0</v>
      </c>
      <c r="AL11" s="23">
        <f t="shared" si="3"/>
        <v>0</v>
      </c>
      <c r="AM11" s="23">
        <f t="shared" si="3"/>
        <v>0</v>
      </c>
      <c r="AN11" s="23">
        <f t="shared" si="3"/>
        <v>0</v>
      </c>
      <c r="AO11" s="23">
        <f t="shared" si="3"/>
        <v>0</v>
      </c>
      <c r="AP11" s="23">
        <f t="shared" si="3"/>
        <v>0</v>
      </c>
      <c r="AQ11" s="23">
        <f t="shared" si="3"/>
        <v>0</v>
      </c>
      <c r="AR11" s="23">
        <f t="shared" si="3"/>
        <v>0</v>
      </c>
      <c r="AS11" s="23">
        <f t="shared" si="3"/>
        <v>0</v>
      </c>
      <c r="AT11" s="23">
        <f t="shared" si="3"/>
        <v>0</v>
      </c>
      <c r="AU11" s="23">
        <f t="shared" si="3"/>
        <v>0</v>
      </c>
      <c r="AV11" s="23">
        <f t="shared" si="3"/>
        <v>0</v>
      </c>
      <c r="AW11" s="23">
        <f t="shared" si="3"/>
        <v>0</v>
      </c>
      <c r="AX11" s="23">
        <f t="shared" si="3"/>
        <v>0</v>
      </c>
      <c r="AY11" s="23">
        <f t="shared" si="3"/>
        <v>0</v>
      </c>
      <c r="AZ11" s="23">
        <f t="shared" si="3"/>
        <v>0</v>
      </c>
      <c r="BA11" s="23">
        <f t="shared" si="3"/>
        <v>0</v>
      </c>
      <c r="BB11" s="23">
        <f t="shared" si="3"/>
        <v>0</v>
      </c>
      <c r="BC11" s="23">
        <f t="shared" si="3"/>
        <v>0</v>
      </c>
      <c r="BD11" s="23">
        <f t="shared" si="3"/>
        <v>0</v>
      </c>
      <c r="BE11" s="23">
        <f t="shared" si="3"/>
        <v>0</v>
      </c>
      <c r="BF11" s="23">
        <f t="shared" si="3"/>
        <v>0</v>
      </c>
      <c r="BG11" s="23">
        <f t="shared" si="3"/>
        <v>0</v>
      </c>
      <c r="BH11" s="23">
        <f t="shared" si="3"/>
        <v>0</v>
      </c>
      <c r="BI11" s="23">
        <f t="shared" si="3"/>
        <v>0</v>
      </c>
      <c r="BJ11" s="23">
        <f t="shared" si="3"/>
        <v>0</v>
      </c>
      <c r="BK11" s="23">
        <f t="shared" si="3"/>
        <v>0</v>
      </c>
      <c r="BL11" s="23">
        <f t="shared" si="3"/>
        <v>0</v>
      </c>
      <c r="BM11" s="23">
        <f t="shared" si="3"/>
        <v>0</v>
      </c>
      <c r="BN11" s="23">
        <f t="shared" si="3"/>
        <v>0</v>
      </c>
      <c r="BO11" s="23">
        <f t="shared" si="3"/>
        <v>0</v>
      </c>
      <c r="BP11" s="23">
        <f t="shared" si="3"/>
        <v>0</v>
      </c>
      <c r="BQ11" s="23">
        <f t="shared" si="3"/>
        <v>0</v>
      </c>
      <c r="BR11" s="23">
        <f t="shared" si="3"/>
        <v>0</v>
      </c>
      <c r="BS11" s="23">
        <f t="shared" si="3"/>
        <v>0</v>
      </c>
      <c r="BU11" s="23">
        <f t="shared" ref="BU11:BU42" si="4">IF(K11&gt;0,IF(L11=0,100+$E11/2,$E11/2),0)</f>
        <v>100</v>
      </c>
      <c r="BV11" s="23">
        <f t="shared" ref="BV11:BV42" si="5">IF(L11&gt;0,IF(M11=0,100+$E11/2,$E11/2),0)</f>
        <v>0</v>
      </c>
      <c r="BW11" s="23">
        <f t="shared" ref="BW11:BW42" si="6">IF(M11&gt;0,IF(N11=0,100+$E11/2,$E11/2),0)</f>
        <v>0</v>
      </c>
      <c r="BX11" s="23">
        <f t="shared" ref="BX11:BX42" si="7">IF(N11&gt;0,IF(O11=0,100+$E11/2,$E11/2),0)</f>
        <v>0</v>
      </c>
      <c r="BY11" s="23">
        <f t="shared" ref="BY11:BY42" si="8">IF(O11&gt;0,IF(P11=0,100+$E11/2,$E11/2),0)</f>
        <v>0</v>
      </c>
      <c r="BZ11" s="23">
        <f t="shared" ref="BZ11:BZ42" si="9">IF(P11&gt;0,IF(Q11=0,100+$E11/2,$E11/2),0)</f>
        <v>0</v>
      </c>
      <c r="CA11" s="23">
        <f t="shared" ref="CA11:CA42" si="10">IF(Q11&gt;0,IF(R11=0,100+$E11/2,$E11/2),0)</f>
        <v>0</v>
      </c>
      <c r="CB11" s="23">
        <f t="shared" ref="CB11:CB42" si="11">IF(R11&gt;0,IF(S11=0,100+$E11/2,$E11/2),0)</f>
        <v>0</v>
      </c>
      <c r="CC11" s="23">
        <f t="shared" ref="CC11:CC42" si="12">IF(S11&gt;0,IF(T11=0,100+$E11/2,$E11/2),0)</f>
        <v>0</v>
      </c>
      <c r="CD11" s="23">
        <f t="shared" ref="CD11:CD42" si="13">IF(T11&gt;0,IF(U11=0,100+$E11/2,$E11/2),0)</f>
        <v>0</v>
      </c>
      <c r="CE11" s="23">
        <f t="shared" ref="CE11:CE42" si="14">IF(U11&gt;0,IF(V11=0,100+$E11/2,$E11/2),0)</f>
        <v>0</v>
      </c>
      <c r="CF11" s="23">
        <f t="shared" ref="CF11:CF42" si="15">IF(V11&gt;0,IF(W11=0,100+$E11/2,$E11/2),0)</f>
        <v>0</v>
      </c>
      <c r="CG11" s="23">
        <f t="shared" ref="CG11:CG42" si="16">IF(W11&gt;0,IF(X11=0,100+$E11/2,$E11/2),0)</f>
        <v>0</v>
      </c>
      <c r="CH11" s="23">
        <f t="shared" ref="CH11:CH42" si="17">IF(X11&gt;0,IF(Y11=0,100+$E11/2,$E11/2),0)</f>
        <v>0</v>
      </c>
      <c r="CI11" s="23">
        <f t="shared" ref="CI11:CI42" si="18">IF(Y11&gt;0,IF(Z11=0,100+$E11/2,$E11/2),0)</f>
        <v>0</v>
      </c>
      <c r="CJ11" s="23">
        <f t="shared" ref="CJ11:CJ42" si="19">IF(Z11&gt;0,IF(AA11=0,100+$E11/2,$E11/2),0)</f>
        <v>0</v>
      </c>
      <c r="CK11" s="23">
        <f t="shared" ref="CK11:CK42" si="20">IF(AA11&gt;0,IF(AB11=0,100+$E11/2,$E11/2),0)</f>
        <v>0</v>
      </c>
      <c r="CL11" s="23">
        <f t="shared" ref="CL11:CL42" si="21">IF(AB11&gt;0,IF(AC11=0,100+$E11/2,$E11/2),0)</f>
        <v>0</v>
      </c>
      <c r="CM11" s="23">
        <f t="shared" ref="CM11:CM42" si="22">IF(AC11&gt;0,IF(AD11=0,100+$E11/2,$E11/2),0)</f>
        <v>0</v>
      </c>
      <c r="CN11" s="23">
        <f t="shared" ref="CN11:CN42" si="23">IF(AD11&gt;0,IF(AE11=0,100+$E11/2,$E11/2),0)</f>
        <v>0</v>
      </c>
      <c r="CO11" s="23">
        <f t="shared" ref="CO11:CO42" si="24">IF(AE11&gt;0,IF(AF11=0,100+$E11/2,$E11/2),0)</f>
        <v>0</v>
      </c>
      <c r="CP11" s="23">
        <f t="shared" ref="CP11:CP42" si="25">IF(AF11&gt;0,IF(AG11=0,100+$E11/2,$E11/2),0)</f>
        <v>0</v>
      </c>
      <c r="CQ11" s="23">
        <f t="shared" ref="CQ11:CQ42" si="26">IF(AG11&gt;0,IF(AH11=0,100+$E11/2,$E11/2),0)</f>
        <v>0</v>
      </c>
      <c r="CR11" s="23">
        <f t="shared" ref="CR11:CR42" si="27">IF(AH11&gt;0,IF(AI11=0,100+$E11/2,$E11/2),0)</f>
        <v>0</v>
      </c>
      <c r="CS11" s="23">
        <f t="shared" ref="CS11:CS42" si="28">IF(AI11&gt;0,IF(AJ11=0,100+$E11/2,$E11/2),0)</f>
        <v>0</v>
      </c>
      <c r="CT11" s="23">
        <f t="shared" ref="CT11:CT42" si="29">IF(AJ11&gt;0,IF(AK11=0,100+$E11/2,$E11/2),0)</f>
        <v>0</v>
      </c>
      <c r="CU11" s="23">
        <f t="shared" ref="CU11:CU42" si="30">IF(AK11&gt;0,IF(AL11=0,100+$E11/2,$E11/2),0)</f>
        <v>0</v>
      </c>
      <c r="CV11" s="23">
        <f t="shared" ref="CV11:CV42" si="31">IF(AL11&gt;0,IF(AM11=0,100+$E11/2,$E11/2),0)</f>
        <v>0</v>
      </c>
      <c r="CW11" s="23">
        <f t="shared" ref="CW11:CW42" si="32">IF(AM11&gt;0,IF(AN11=0,100+$E11/2,$E11/2),0)</f>
        <v>0</v>
      </c>
      <c r="CX11" s="23">
        <f t="shared" ref="CX11:CX42" si="33">IF(AN11&gt;0,IF(AO11=0,100+$E11/2,$E11/2),0)</f>
        <v>0</v>
      </c>
      <c r="CY11" s="23">
        <f t="shared" ref="CY11:CY42" si="34">IF(AO11&gt;0,IF(AP11=0,100+$E11/2,$E11/2),0)</f>
        <v>0</v>
      </c>
      <c r="CZ11" s="23">
        <f t="shared" ref="CZ11:CZ42" si="35">IF(AP11&gt;0,IF(AQ11=0,100+$E11/2,$E11/2),0)</f>
        <v>0</v>
      </c>
      <c r="DA11" s="23">
        <f t="shared" ref="DA11:DA42" si="36">IF(AQ11&gt;0,IF(AR11=0,100+$E11/2,$E11/2),0)</f>
        <v>0</v>
      </c>
      <c r="DB11" s="23">
        <f t="shared" ref="DB11:DB42" si="37">IF(AR11&gt;0,IF(AS11=0,100+$E11/2,$E11/2),0)</f>
        <v>0</v>
      </c>
      <c r="DC11" s="23">
        <f t="shared" ref="DC11:DC42" si="38">IF(AS11&gt;0,IF(AT11=0,100+$E11/2,$E11/2),0)</f>
        <v>0</v>
      </c>
      <c r="DD11" s="23">
        <f t="shared" ref="DD11:DD42" si="39">IF(AT11&gt;0,IF(AU11=0,100+$E11/2,$E11/2),0)</f>
        <v>0</v>
      </c>
      <c r="DE11" s="23">
        <f t="shared" ref="DE11:DE42" si="40">IF(AU11&gt;0,IF(AV11=0,100+$E11/2,$E11/2),0)</f>
        <v>0</v>
      </c>
      <c r="DF11" s="23">
        <f t="shared" ref="DF11:DF42" si="41">IF(AV11&gt;0,IF(AW11=0,100+$E11/2,$E11/2),0)</f>
        <v>0</v>
      </c>
      <c r="DG11" s="23">
        <f t="shared" ref="DG11:DG42" si="42">IF(AW11&gt;0,IF(AX11=0,100+$E11/2,$E11/2),0)</f>
        <v>0</v>
      </c>
      <c r="DH11" s="23">
        <f t="shared" ref="DH11:DH42" si="43">IF(AX11&gt;0,IF(AY11=0,100+$E11/2,$E11/2),0)</f>
        <v>0</v>
      </c>
      <c r="DI11" s="23">
        <f t="shared" ref="DI11:DI42" si="44">IF(AY11&gt;0,IF(AZ11=0,100+$E11/2,$E11/2),0)</f>
        <v>0</v>
      </c>
      <c r="DJ11" s="23">
        <f t="shared" ref="DJ11:DJ42" si="45">IF(AZ11&gt;0,IF(BA11=0,100+$E11/2,$E11/2),0)</f>
        <v>0</v>
      </c>
      <c r="DK11" s="23">
        <f t="shared" ref="DK11:DK42" si="46">IF(BA11&gt;0,IF(BB11=0,100+$E11/2,$E11/2),0)</f>
        <v>0</v>
      </c>
      <c r="DL11" s="23">
        <f t="shared" ref="DL11:DL42" si="47">IF(BB11&gt;0,IF(BC11=0,100+$E11/2,$E11/2),0)</f>
        <v>0</v>
      </c>
      <c r="DM11" s="23">
        <f t="shared" ref="DM11:DM42" si="48">IF(BC11&gt;0,IF(BD11=0,100+$E11/2,$E11/2),0)</f>
        <v>0</v>
      </c>
      <c r="DN11" s="23">
        <f t="shared" ref="DN11:DN42" si="49">IF(BD11&gt;0,IF(BE11=0,100+$E11/2,$E11/2),0)</f>
        <v>0</v>
      </c>
      <c r="DO11" s="23">
        <f t="shared" ref="DO11:DO42" si="50">IF(BE11&gt;0,IF(BF11=0,100+$E11/2,$E11/2),0)</f>
        <v>0</v>
      </c>
      <c r="DP11" s="23">
        <f t="shared" ref="DP11:DP42" si="51">IF(BF11&gt;0,IF(BG11=0,100+$E11/2,$E11/2),0)</f>
        <v>0</v>
      </c>
      <c r="DQ11" s="23">
        <f t="shared" ref="DQ11:DQ42" si="52">IF(BG11&gt;0,IF(BH11=0,100+$E11/2,$E11/2),0)</f>
        <v>0</v>
      </c>
      <c r="DR11" s="23">
        <f t="shared" ref="DR11:DR42" si="53">IF(BH11&gt;0,IF(BI11=0,100+$E11/2,$E11/2),0)</f>
        <v>0</v>
      </c>
      <c r="DS11" s="23">
        <f t="shared" ref="DS11:DS42" si="54">IF(BI11&gt;0,IF(BJ11=0,100+$E11/2,$E11/2),0)</f>
        <v>0</v>
      </c>
      <c r="DT11" s="23">
        <f t="shared" ref="DT11:DT42" si="55">IF(BJ11&gt;0,IF(BK11=0,100+$E11/2,$E11/2),0)</f>
        <v>0</v>
      </c>
      <c r="DU11" s="23">
        <f t="shared" ref="DU11:DU42" si="56">IF(BK11&gt;0,IF(BL11=0,100+$E11/2,$E11/2),0)</f>
        <v>0</v>
      </c>
      <c r="DV11" s="23">
        <f t="shared" ref="DV11:DV42" si="57">IF(BL11&gt;0,IF(BM11=0,100+$E11/2,$E11/2),0)</f>
        <v>0</v>
      </c>
      <c r="DW11" s="23">
        <f t="shared" ref="DW11:DW42" si="58">IF(BM11&gt;0,IF(BN11=0,100+$E11/2,$E11/2),0)</f>
        <v>0</v>
      </c>
      <c r="DX11" s="23">
        <f t="shared" ref="DX11:DX42" si="59">IF(BN11&gt;0,IF(BO11=0,100+$E11/2,$E11/2),0)</f>
        <v>0</v>
      </c>
      <c r="DY11" s="23">
        <f t="shared" ref="DY11:DY42" si="60">IF(BO11&gt;0,IF(BP11=0,100+$E11/2,$E11/2),0)</f>
        <v>0</v>
      </c>
      <c r="DZ11" s="23">
        <f t="shared" ref="DZ11:DZ42" si="61">IF(BP11&gt;0,IF(BQ11=0,100+$E11/2,$E11/2),0)</f>
        <v>0</v>
      </c>
      <c r="EA11" s="23">
        <f t="shared" ref="EA11:EA42" si="62">IF(BQ11&gt;0,IF(BR11=0,100+$E11/2,$E11/2),0)</f>
        <v>0</v>
      </c>
      <c r="EB11" s="23">
        <f t="shared" ref="EB11:EB42" si="63">IF(BR11&gt;0,IF(BS11=0,100+$E11/2,$E11/2),0)</f>
        <v>0</v>
      </c>
    </row>
    <row r="12" spans="1:132">
      <c r="A12" s="23">
        <v>20070809.399999999</v>
      </c>
      <c r="B12" s="23">
        <v>20070607</v>
      </c>
      <c r="C12" s="23">
        <v>20070809</v>
      </c>
      <c r="D12" s="23">
        <v>4</v>
      </c>
      <c r="E12" s="23">
        <v>0</v>
      </c>
      <c r="F12" s="23">
        <v>99.187124999999995</v>
      </c>
      <c r="G12" s="23">
        <v>99.188874999999996</v>
      </c>
      <c r="H12" s="26">
        <f t="shared" si="0"/>
        <v>0.17222222222222222</v>
      </c>
      <c r="I12" s="26">
        <f t="shared" si="1"/>
        <v>0</v>
      </c>
      <c r="K12" s="26">
        <f t="shared" si="2"/>
        <v>0.17222222222222222</v>
      </c>
      <c r="L12" s="23">
        <f t="shared" si="3"/>
        <v>0</v>
      </c>
      <c r="M12" s="23">
        <f t="shared" si="3"/>
        <v>0</v>
      </c>
      <c r="N12" s="23">
        <f t="shared" si="3"/>
        <v>0</v>
      </c>
      <c r="O12" s="23">
        <f t="shared" si="3"/>
        <v>0</v>
      </c>
      <c r="P12" s="23">
        <f t="shared" si="3"/>
        <v>0</v>
      </c>
      <c r="Q12" s="23">
        <f t="shared" si="3"/>
        <v>0</v>
      </c>
      <c r="R12" s="23">
        <f t="shared" si="3"/>
        <v>0</v>
      </c>
      <c r="S12" s="23">
        <f t="shared" si="3"/>
        <v>0</v>
      </c>
      <c r="T12" s="23">
        <f t="shared" si="3"/>
        <v>0</v>
      </c>
      <c r="U12" s="23">
        <f t="shared" si="3"/>
        <v>0</v>
      </c>
      <c r="V12" s="23">
        <f t="shared" si="3"/>
        <v>0</v>
      </c>
      <c r="W12" s="23">
        <f t="shared" si="3"/>
        <v>0</v>
      </c>
      <c r="X12" s="23">
        <f t="shared" si="3"/>
        <v>0</v>
      </c>
      <c r="Y12" s="23">
        <f t="shared" si="3"/>
        <v>0</v>
      </c>
      <c r="Z12" s="23">
        <f t="shared" si="3"/>
        <v>0</v>
      </c>
      <c r="AA12" s="23">
        <f t="shared" si="3"/>
        <v>0</v>
      </c>
      <c r="AB12" s="23">
        <f t="shared" si="3"/>
        <v>0</v>
      </c>
      <c r="AC12" s="23">
        <f t="shared" si="3"/>
        <v>0</v>
      </c>
      <c r="AD12" s="23">
        <f t="shared" si="3"/>
        <v>0</v>
      </c>
      <c r="AE12" s="23">
        <f t="shared" si="3"/>
        <v>0</v>
      </c>
      <c r="AF12" s="23">
        <f t="shared" si="3"/>
        <v>0</v>
      </c>
      <c r="AG12" s="23">
        <f t="shared" si="3"/>
        <v>0</v>
      </c>
      <c r="AH12" s="23">
        <f t="shared" si="3"/>
        <v>0</v>
      </c>
      <c r="AI12" s="23">
        <f t="shared" si="3"/>
        <v>0</v>
      </c>
      <c r="AJ12" s="23">
        <f t="shared" si="3"/>
        <v>0</v>
      </c>
      <c r="AK12" s="23">
        <f t="shared" si="3"/>
        <v>0</v>
      </c>
      <c r="AL12" s="23">
        <f t="shared" si="3"/>
        <v>0</v>
      </c>
      <c r="AM12" s="23">
        <f t="shared" si="3"/>
        <v>0</v>
      </c>
      <c r="AN12" s="23">
        <f t="shared" si="3"/>
        <v>0</v>
      </c>
      <c r="AO12" s="23">
        <f t="shared" si="3"/>
        <v>0</v>
      </c>
      <c r="AP12" s="23">
        <f t="shared" si="3"/>
        <v>0</v>
      </c>
      <c r="AQ12" s="23">
        <f t="shared" si="3"/>
        <v>0</v>
      </c>
      <c r="AR12" s="23">
        <f t="shared" si="3"/>
        <v>0</v>
      </c>
      <c r="AS12" s="23">
        <f t="shared" si="3"/>
        <v>0</v>
      </c>
      <c r="AT12" s="23">
        <f t="shared" si="3"/>
        <v>0</v>
      </c>
      <c r="AU12" s="23">
        <f t="shared" si="3"/>
        <v>0</v>
      </c>
      <c r="AV12" s="23">
        <f t="shared" si="3"/>
        <v>0</v>
      </c>
      <c r="AW12" s="23">
        <f t="shared" si="3"/>
        <v>0</v>
      </c>
      <c r="AX12" s="23">
        <f t="shared" si="3"/>
        <v>0</v>
      </c>
      <c r="AY12" s="23">
        <f t="shared" si="3"/>
        <v>0</v>
      </c>
      <c r="AZ12" s="23">
        <f t="shared" si="3"/>
        <v>0</v>
      </c>
      <c r="BA12" s="23">
        <f t="shared" si="3"/>
        <v>0</v>
      </c>
      <c r="BB12" s="23">
        <f t="shared" si="3"/>
        <v>0</v>
      </c>
      <c r="BC12" s="23">
        <f t="shared" si="3"/>
        <v>0</v>
      </c>
      <c r="BD12" s="23">
        <f t="shared" si="3"/>
        <v>0</v>
      </c>
      <c r="BE12" s="23">
        <f t="shared" si="3"/>
        <v>0</v>
      </c>
      <c r="BF12" s="23">
        <f t="shared" si="3"/>
        <v>0</v>
      </c>
      <c r="BG12" s="23">
        <f t="shared" si="3"/>
        <v>0</v>
      </c>
      <c r="BH12" s="23">
        <f t="shared" si="3"/>
        <v>0</v>
      </c>
      <c r="BI12" s="23">
        <f t="shared" si="3"/>
        <v>0</v>
      </c>
      <c r="BJ12" s="23">
        <f t="shared" si="3"/>
        <v>0</v>
      </c>
      <c r="BK12" s="23">
        <f t="shared" si="3"/>
        <v>0</v>
      </c>
      <c r="BL12" s="23">
        <f t="shared" si="3"/>
        <v>0</v>
      </c>
      <c r="BM12" s="23">
        <f t="shared" si="3"/>
        <v>0</v>
      </c>
      <c r="BN12" s="23">
        <f t="shared" si="3"/>
        <v>0</v>
      </c>
      <c r="BO12" s="23">
        <f t="shared" si="3"/>
        <v>0</v>
      </c>
      <c r="BP12" s="23">
        <f t="shared" si="3"/>
        <v>0</v>
      </c>
      <c r="BQ12" s="23">
        <f t="shared" si="3"/>
        <v>0</v>
      </c>
      <c r="BR12" s="23">
        <f t="shared" si="3"/>
        <v>0</v>
      </c>
      <c r="BS12" s="23">
        <f t="shared" si="3"/>
        <v>0</v>
      </c>
      <c r="BU12" s="23">
        <f t="shared" si="4"/>
        <v>100</v>
      </c>
      <c r="BV12" s="23">
        <f t="shared" si="5"/>
        <v>0</v>
      </c>
      <c r="BW12" s="23">
        <f t="shared" si="6"/>
        <v>0</v>
      </c>
      <c r="BX12" s="23">
        <f t="shared" si="7"/>
        <v>0</v>
      </c>
      <c r="BY12" s="23">
        <f t="shared" si="8"/>
        <v>0</v>
      </c>
      <c r="BZ12" s="23">
        <f t="shared" si="9"/>
        <v>0</v>
      </c>
      <c r="CA12" s="23">
        <f t="shared" si="10"/>
        <v>0</v>
      </c>
      <c r="CB12" s="23">
        <f t="shared" si="11"/>
        <v>0</v>
      </c>
      <c r="CC12" s="23">
        <f t="shared" si="12"/>
        <v>0</v>
      </c>
      <c r="CD12" s="23">
        <f t="shared" si="13"/>
        <v>0</v>
      </c>
      <c r="CE12" s="23">
        <f t="shared" si="14"/>
        <v>0</v>
      </c>
      <c r="CF12" s="23">
        <f t="shared" si="15"/>
        <v>0</v>
      </c>
      <c r="CG12" s="23">
        <f t="shared" si="16"/>
        <v>0</v>
      </c>
      <c r="CH12" s="23">
        <f t="shared" si="17"/>
        <v>0</v>
      </c>
      <c r="CI12" s="23">
        <f t="shared" si="18"/>
        <v>0</v>
      </c>
      <c r="CJ12" s="23">
        <f t="shared" si="19"/>
        <v>0</v>
      </c>
      <c r="CK12" s="23">
        <f t="shared" si="20"/>
        <v>0</v>
      </c>
      <c r="CL12" s="23">
        <f t="shared" si="21"/>
        <v>0</v>
      </c>
      <c r="CM12" s="23">
        <f t="shared" si="22"/>
        <v>0</v>
      </c>
      <c r="CN12" s="23">
        <f t="shared" si="23"/>
        <v>0</v>
      </c>
      <c r="CO12" s="23">
        <f t="shared" si="24"/>
        <v>0</v>
      </c>
      <c r="CP12" s="23">
        <f t="shared" si="25"/>
        <v>0</v>
      </c>
      <c r="CQ12" s="23">
        <f t="shared" si="26"/>
        <v>0</v>
      </c>
      <c r="CR12" s="23">
        <f t="shared" si="27"/>
        <v>0</v>
      </c>
      <c r="CS12" s="23">
        <f t="shared" si="28"/>
        <v>0</v>
      </c>
      <c r="CT12" s="23">
        <f t="shared" si="29"/>
        <v>0</v>
      </c>
      <c r="CU12" s="23">
        <f t="shared" si="30"/>
        <v>0</v>
      </c>
      <c r="CV12" s="23">
        <f t="shared" si="31"/>
        <v>0</v>
      </c>
      <c r="CW12" s="23">
        <f t="shared" si="32"/>
        <v>0</v>
      </c>
      <c r="CX12" s="23">
        <f t="shared" si="33"/>
        <v>0</v>
      </c>
      <c r="CY12" s="23">
        <f t="shared" si="34"/>
        <v>0</v>
      </c>
      <c r="CZ12" s="23">
        <f t="shared" si="35"/>
        <v>0</v>
      </c>
      <c r="DA12" s="23">
        <f t="shared" si="36"/>
        <v>0</v>
      </c>
      <c r="DB12" s="23">
        <f t="shared" si="37"/>
        <v>0</v>
      </c>
      <c r="DC12" s="23">
        <f t="shared" si="38"/>
        <v>0</v>
      </c>
      <c r="DD12" s="23">
        <f t="shared" si="39"/>
        <v>0</v>
      </c>
      <c r="DE12" s="23">
        <f t="shared" si="40"/>
        <v>0</v>
      </c>
      <c r="DF12" s="23">
        <f t="shared" si="41"/>
        <v>0</v>
      </c>
      <c r="DG12" s="23">
        <f t="shared" si="42"/>
        <v>0</v>
      </c>
      <c r="DH12" s="23">
        <f t="shared" si="43"/>
        <v>0</v>
      </c>
      <c r="DI12" s="23">
        <f t="shared" si="44"/>
        <v>0</v>
      </c>
      <c r="DJ12" s="23">
        <f t="shared" si="45"/>
        <v>0</v>
      </c>
      <c r="DK12" s="23">
        <f t="shared" si="46"/>
        <v>0</v>
      </c>
      <c r="DL12" s="23">
        <f t="shared" si="47"/>
        <v>0</v>
      </c>
      <c r="DM12" s="23">
        <f t="shared" si="48"/>
        <v>0</v>
      </c>
      <c r="DN12" s="23">
        <f t="shared" si="49"/>
        <v>0</v>
      </c>
      <c r="DO12" s="23">
        <f t="shared" si="50"/>
        <v>0</v>
      </c>
      <c r="DP12" s="23">
        <f t="shared" si="51"/>
        <v>0</v>
      </c>
      <c r="DQ12" s="23">
        <f t="shared" si="52"/>
        <v>0</v>
      </c>
      <c r="DR12" s="23">
        <f t="shared" si="53"/>
        <v>0</v>
      </c>
      <c r="DS12" s="23">
        <f t="shared" si="54"/>
        <v>0</v>
      </c>
      <c r="DT12" s="23">
        <f t="shared" si="55"/>
        <v>0</v>
      </c>
      <c r="DU12" s="23">
        <f t="shared" si="56"/>
        <v>0</v>
      </c>
      <c r="DV12" s="23">
        <f t="shared" si="57"/>
        <v>0</v>
      </c>
      <c r="DW12" s="23">
        <f t="shared" si="58"/>
        <v>0</v>
      </c>
      <c r="DX12" s="23">
        <f t="shared" si="59"/>
        <v>0</v>
      </c>
      <c r="DY12" s="23">
        <f t="shared" si="60"/>
        <v>0</v>
      </c>
      <c r="DZ12" s="23">
        <f t="shared" si="61"/>
        <v>0</v>
      </c>
      <c r="EA12" s="23">
        <f t="shared" si="62"/>
        <v>0</v>
      </c>
      <c r="EB12" s="23">
        <f t="shared" si="63"/>
        <v>0</v>
      </c>
    </row>
    <row r="13" spans="1:132">
      <c r="A13" s="23">
        <v>20070815.202750001</v>
      </c>
      <c r="B13" s="23">
        <v>20070607</v>
      </c>
      <c r="C13" s="23">
        <v>20070815</v>
      </c>
      <c r="D13" s="23">
        <v>2</v>
      </c>
      <c r="E13" s="23">
        <v>2.75</v>
      </c>
      <c r="F13" s="23">
        <v>99.585937999999999</v>
      </c>
      <c r="G13" s="23">
        <v>99.617187999999999</v>
      </c>
      <c r="H13" s="26">
        <f t="shared" si="0"/>
        <v>0.18888888888888888</v>
      </c>
      <c r="I13" s="26">
        <f t="shared" si="1"/>
        <v>0.85555555555555562</v>
      </c>
      <c r="K13" s="26">
        <f t="shared" si="2"/>
        <v>0.18888888888888888</v>
      </c>
      <c r="L13" s="23">
        <f t="shared" si="3"/>
        <v>0</v>
      </c>
      <c r="M13" s="23">
        <f t="shared" si="3"/>
        <v>0</v>
      </c>
      <c r="N13" s="23">
        <f t="shared" si="3"/>
        <v>0</v>
      </c>
      <c r="O13" s="23">
        <f t="shared" si="3"/>
        <v>0</v>
      </c>
      <c r="P13" s="23">
        <f t="shared" si="3"/>
        <v>0</v>
      </c>
      <c r="Q13" s="23">
        <f t="shared" si="3"/>
        <v>0</v>
      </c>
      <c r="R13" s="23">
        <f t="shared" si="3"/>
        <v>0</v>
      </c>
      <c r="S13" s="23">
        <f t="shared" si="3"/>
        <v>0</v>
      </c>
      <c r="T13" s="23">
        <f t="shared" si="3"/>
        <v>0</v>
      </c>
      <c r="U13" s="23">
        <f t="shared" si="3"/>
        <v>0</v>
      </c>
      <c r="V13" s="23">
        <f t="shared" si="3"/>
        <v>0</v>
      </c>
      <c r="W13" s="23">
        <f t="shared" si="3"/>
        <v>0</v>
      </c>
      <c r="X13" s="23">
        <f t="shared" si="3"/>
        <v>0</v>
      </c>
      <c r="Y13" s="23">
        <f t="shared" si="3"/>
        <v>0</v>
      </c>
      <c r="Z13" s="23">
        <f t="shared" si="3"/>
        <v>0</v>
      </c>
      <c r="AA13" s="23">
        <f t="shared" si="3"/>
        <v>0</v>
      </c>
      <c r="AB13" s="23">
        <f t="shared" si="3"/>
        <v>0</v>
      </c>
      <c r="AC13" s="23">
        <f t="shared" si="3"/>
        <v>0</v>
      </c>
      <c r="AD13" s="23">
        <f t="shared" si="3"/>
        <v>0</v>
      </c>
      <c r="AE13" s="23">
        <f t="shared" si="3"/>
        <v>0</v>
      </c>
      <c r="AF13" s="23">
        <f t="shared" si="3"/>
        <v>0</v>
      </c>
      <c r="AG13" s="23">
        <f t="shared" si="3"/>
        <v>0</v>
      </c>
      <c r="AH13" s="23">
        <f t="shared" si="3"/>
        <v>0</v>
      </c>
      <c r="AI13" s="23">
        <f t="shared" si="3"/>
        <v>0</v>
      </c>
      <c r="AJ13" s="23">
        <f t="shared" si="3"/>
        <v>0</v>
      </c>
      <c r="AK13" s="23">
        <f t="shared" si="3"/>
        <v>0</v>
      </c>
      <c r="AL13" s="23">
        <f t="shared" si="3"/>
        <v>0</v>
      </c>
      <c r="AM13" s="23">
        <f t="shared" si="3"/>
        <v>0</v>
      </c>
      <c r="AN13" s="23">
        <f t="shared" si="3"/>
        <v>0</v>
      </c>
      <c r="AO13" s="23">
        <f t="shared" si="3"/>
        <v>0</v>
      </c>
      <c r="AP13" s="23">
        <f t="shared" si="3"/>
        <v>0</v>
      </c>
      <c r="AQ13" s="23">
        <f t="shared" si="3"/>
        <v>0</v>
      </c>
      <c r="AR13" s="23">
        <f t="shared" si="3"/>
        <v>0</v>
      </c>
      <c r="AS13" s="23">
        <f t="shared" si="3"/>
        <v>0</v>
      </c>
      <c r="AT13" s="23">
        <f t="shared" si="3"/>
        <v>0</v>
      </c>
      <c r="AU13" s="23">
        <f t="shared" si="3"/>
        <v>0</v>
      </c>
      <c r="AV13" s="23">
        <f t="shared" si="3"/>
        <v>0</v>
      </c>
      <c r="AW13" s="23">
        <f t="shared" si="3"/>
        <v>0</v>
      </c>
      <c r="AX13" s="23">
        <f t="shared" si="3"/>
        <v>0</v>
      </c>
      <c r="AY13" s="23">
        <f t="shared" si="3"/>
        <v>0</v>
      </c>
      <c r="AZ13" s="23">
        <f t="shared" si="3"/>
        <v>0</v>
      </c>
      <c r="BA13" s="23">
        <f t="shared" si="3"/>
        <v>0</v>
      </c>
      <c r="BB13" s="23">
        <f t="shared" si="3"/>
        <v>0</v>
      </c>
      <c r="BC13" s="23">
        <f t="shared" si="3"/>
        <v>0</v>
      </c>
      <c r="BD13" s="23">
        <f t="shared" si="3"/>
        <v>0</v>
      </c>
      <c r="BE13" s="23">
        <f t="shared" si="3"/>
        <v>0</v>
      </c>
      <c r="BF13" s="23">
        <f t="shared" si="3"/>
        <v>0</v>
      </c>
      <c r="BG13" s="23">
        <f t="shared" si="3"/>
        <v>0</v>
      </c>
      <c r="BH13" s="23">
        <f t="shared" si="3"/>
        <v>0</v>
      </c>
      <c r="BI13" s="23">
        <f t="shared" si="3"/>
        <v>0</v>
      </c>
      <c r="BJ13" s="23">
        <f t="shared" si="3"/>
        <v>0</v>
      </c>
      <c r="BK13" s="23">
        <f t="shared" si="3"/>
        <v>0</v>
      </c>
      <c r="BL13" s="23">
        <f t="shared" si="3"/>
        <v>0</v>
      </c>
      <c r="BM13" s="23">
        <f t="shared" si="3"/>
        <v>0</v>
      </c>
      <c r="BN13" s="23">
        <f t="shared" si="3"/>
        <v>0</v>
      </c>
      <c r="BO13" s="23">
        <f t="shared" si="3"/>
        <v>0</v>
      </c>
      <c r="BP13" s="23">
        <f t="shared" si="3"/>
        <v>0</v>
      </c>
      <c r="BQ13" s="23">
        <f t="shared" si="3"/>
        <v>0</v>
      </c>
      <c r="BR13" s="23">
        <f t="shared" si="3"/>
        <v>0</v>
      </c>
      <c r="BS13" s="23">
        <f t="shared" si="3"/>
        <v>0</v>
      </c>
      <c r="BU13" s="23">
        <f t="shared" si="4"/>
        <v>101.375</v>
      </c>
      <c r="BV13" s="23">
        <f t="shared" si="5"/>
        <v>0</v>
      </c>
      <c r="BW13" s="23">
        <f t="shared" si="6"/>
        <v>0</v>
      </c>
      <c r="BX13" s="23">
        <f t="shared" si="7"/>
        <v>0</v>
      </c>
      <c r="BY13" s="23">
        <f t="shared" si="8"/>
        <v>0</v>
      </c>
      <c r="BZ13" s="23">
        <f t="shared" si="9"/>
        <v>0</v>
      </c>
      <c r="CA13" s="23">
        <f t="shared" si="10"/>
        <v>0</v>
      </c>
      <c r="CB13" s="23">
        <f t="shared" si="11"/>
        <v>0</v>
      </c>
      <c r="CC13" s="23">
        <f t="shared" si="12"/>
        <v>0</v>
      </c>
      <c r="CD13" s="23">
        <f t="shared" si="13"/>
        <v>0</v>
      </c>
      <c r="CE13" s="23">
        <f t="shared" si="14"/>
        <v>0</v>
      </c>
      <c r="CF13" s="23">
        <f t="shared" si="15"/>
        <v>0</v>
      </c>
      <c r="CG13" s="23">
        <f t="shared" si="16"/>
        <v>0</v>
      </c>
      <c r="CH13" s="23">
        <f t="shared" si="17"/>
        <v>0</v>
      </c>
      <c r="CI13" s="23">
        <f t="shared" si="18"/>
        <v>0</v>
      </c>
      <c r="CJ13" s="23">
        <f t="shared" si="19"/>
        <v>0</v>
      </c>
      <c r="CK13" s="23">
        <f t="shared" si="20"/>
        <v>0</v>
      </c>
      <c r="CL13" s="23">
        <f t="shared" si="21"/>
        <v>0</v>
      </c>
      <c r="CM13" s="23">
        <f t="shared" si="22"/>
        <v>0</v>
      </c>
      <c r="CN13" s="23">
        <f t="shared" si="23"/>
        <v>0</v>
      </c>
      <c r="CO13" s="23">
        <f t="shared" si="24"/>
        <v>0</v>
      </c>
      <c r="CP13" s="23">
        <f t="shared" si="25"/>
        <v>0</v>
      </c>
      <c r="CQ13" s="23">
        <f t="shared" si="26"/>
        <v>0</v>
      </c>
      <c r="CR13" s="23">
        <f t="shared" si="27"/>
        <v>0</v>
      </c>
      <c r="CS13" s="23">
        <f t="shared" si="28"/>
        <v>0</v>
      </c>
      <c r="CT13" s="23">
        <f t="shared" si="29"/>
        <v>0</v>
      </c>
      <c r="CU13" s="23">
        <f t="shared" si="30"/>
        <v>0</v>
      </c>
      <c r="CV13" s="23">
        <f t="shared" si="31"/>
        <v>0</v>
      </c>
      <c r="CW13" s="23">
        <f t="shared" si="32"/>
        <v>0</v>
      </c>
      <c r="CX13" s="23">
        <f t="shared" si="33"/>
        <v>0</v>
      </c>
      <c r="CY13" s="23">
        <f t="shared" si="34"/>
        <v>0</v>
      </c>
      <c r="CZ13" s="23">
        <f t="shared" si="35"/>
        <v>0</v>
      </c>
      <c r="DA13" s="23">
        <f t="shared" si="36"/>
        <v>0</v>
      </c>
      <c r="DB13" s="23">
        <f t="shared" si="37"/>
        <v>0</v>
      </c>
      <c r="DC13" s="23">
        <f t="shared" si="38"/>
        <v>0</v>
      </c>
      <c r="DD13" s="23">
        <f t="shared" si="39"/>
        <v>0</v>
      </c>
      <c r="DE13" s="23">
        <f t="shared" si="40"/>
        <v>0</v>
      </c>
      <c r="DF13" s="23">
        <f t="shared" si="41"/>
        <v>0</v>
      </c>
      <c r="DG13" s="23">
        <f t="shared" si="42"/>
        <v>0</v>
      </c>
      <c r="DH13" s="23">
        <f t="shared" si="43"/>
        <v>0</v>
      </c>
      <c r="DI13" s="23">
        <f t="shared" si="44"/>
        <v>0</v>
      </c>
      <c r="DJ13" s="23">
        <f t="shared" si="45"/>
        <v>0</v>
      </c>
      <c r="DK13" s="23">
        <f t="shared" si="46"/>
        <v>0</v>
      </c>
      <c r="DL13" s="23">
        <f t="shared" si="47"/>
        <v>0</v>
      </c>
      <c r="DM13" s="23">
        <f t="shared" si="48"/>
        <v>0</v>
      </c>
      <c r="DN13" s="23">
        <f t="shared" si="49"/>
        <v>0</v>
      </c>
      <c r="DO13" s="23">
        <f t="shared" si="50"/>
        <v>0</v>
      </c>
      <c r="DP13" s="23">
        <f t="shared" si="51"/>
        <v>0</v>
      </c>
      <c r="DQ13" s="23">
        <f t="shared" si="52"/>
        <v>0</v>
      </c>
      <c r="DR13" s="23">
        <f t="shared" si="53"/>
        <v>0</v>
      </c>
      <c r="DS13" s="23">
        <f t="shared" si="54"/>
        <v>0</v>
      </c>
      <c r="DT13" s="23">
        <f t="shared" si="55"/>
        <v>0</v>
      </c>
      <c r="DU13" s="23">
        <f t="shared" si="56"/>
        <v>0</v>
      </c>
      <c r="DV13" s="23">
        <f t="shared" si="57"/>
        <v>0</v>
      </c>
      <c r="DW13" s="23">
        <f t="shared" si="58"/>
        <v>0</v>
      </c>
      <c r="DX13" s="23">
        <f t="shared" si="59"/>
        <v>0</v>
      </c>
      <c r="DY13" s="23">
        <f t="shared" si="60"/>
        <v>0</v>
      </c>
      <c r="DZ13" s="23">
        <f t="shared" si="61"/>
        <v>0</v>
      </c>
      <c r="EA13" s="23">
        <f t="shared" si="62"/>
        <v>0</v>
      </c>
      <c r="EB13" s="23">
        <f t="shared" si="63"/>
        <v>0</v>
      </c>
    </row>
    <row r="14" spans="1:132">
      <c r="A14" s="23">
        <v>20070906.399999999</v>
      </c>
      <c r="B14" s="23">
        <v>20070607</v>
      </c>
      <c r="C14" s="23">
        <v>20070906</v>
      </c>
      <c r="D14" s="23">
        <v>4</v>
      </c>
      <c r="E14" s="23">
        <v>0</v>
      </c>
      <c r="F14" s="23">
        <v>98.820791999999997</v>
      </c>
      <c r="G14" s="23">
        <v>98.823318999999998</v>
      </c>
      <c r="H14" s="26">
        <f t="shared" si="0"/>
        <v>0.24722222222222223</v>
      </c>
      <c r="I14" s="26">
        <f t="shared" si="1"/>
        <v>0</v>
      </c>
      <c r="K14" s="26">
        <f t="shared" si="2"/>
        <v>0.24722222222222223</v>
      </c>
      <c r="L14" s="23">
        <f t="shared" si="3"/>
        <v>0</v>
      </c>
      <c r="M14" s="23">
        <f t="shared" si="3"/>
        <v>0</v>
      </c>
      <c r="N14" s="23">
        <f t="shared" si="3"/>
        <v>0</v>
      </c>
      <c r="O14" s="23">
        <f t="shared" si="3"/>
        <v>0</v>
      </c>
      <c r="P14" s="23">
        <f t="shared" si="3"/>
        <v>0</v>
      </c>
      <c r="Q14" s="23">
        <f t="shared" si="3"/>
        <v>0</v>
      </c>
      <c r="R14" s="23">
        <f t="shared" si="3"/>
        <v>0</v>
      </c>
      <c r="S14" s="23">
        <f t="shared" si="3"/>
        <v>0</v>
      </c>
      <c r="T14" s="23">
        <f t="shared" si="3"/>
        <v>0</v>
      </c>
      <c r="U14" s="23">
        <f t="shared" si="3"/>
        <v>0</v>
      </c>
      <c r="V14" s="23">
        <f t="shared" si="3"/>
        <v>0</v>
      </c>
      <c r="W14" s="23">
        <f t="shared" si="3"/>
        <v>0</v>
      </c>
      <c r="X14" s="23">
        <f t="shared" si="3"/>
        <v>0</v>
      </c>
      <c r="Y14" s="23">
        <f t="shared" si="3"/>
        <v>0</v>
      </c>
      <c r="Z14" s="23">
        <f t="shared" si="3"/>
        <v>0</v>
      </c>
      <c r="AA14" s="23">
        <f t="shared" si="3"/>
        <v>0</v>
      </c>
      <c r="AB14" s="23">
        <f t="shared" si="3"/>
        <v>0</v>
      </c>
      <c r="AC14" s="23">
        <f t="shared" si="3"/>
        <v>0</v>
      </c>
      <c r="AD14" s="23">
        <f t="shared" si="3"/>
        <v>0</v>
      </c>
      <c r="AE14" s="23">
        <f t="shared" si="3"/>
        <v>0</v>
      </c>
      <c r="AF14" s="23">
        <f t="shared" si="3"/>
        <v>0</v>
      </c>
      <c r="AG14" s="23">
        <f t="shared" si="3"/>
        <v>0</v>
      </c>
      <c r="AH14" s="23">
        <f t="shared" si="3"/>
        <v>0</v>
      </c>
      <c r="AI14" s="23">
        <f t="shared" si="3"/>
        <v>0</v>
      </c>
      <c r="AJ14" s="23">
        <f t="shared" si="3"/>
        <v>0</v>
      </c>
      <c r="AK14" s="23">
        <f t="shared" si="3"/>
        <v>0</v>
      </c>
      <c r="AL14" s="23">
        <f t="shared" si="3"/>
        <v>0</v>
      </c>
      <c r="AM14" s="23">
        <f t="shared" si="3"/>
        <v>0</v>
      </c>
      <c r="AN14" s="23">
        <f t="shared" si="3"/>
        <v>0</v>
      </c>
      <c r="AO14" s="23">
        <f t="shared" si="3"/>
        <v>0</v>
      </c>
      <c r="AP14" s="23">
        <f t="shared" si="3"/>
        <v>0</v>
      </c>
      <c r="AQ14" s="23">
        <f t="shared" si="3"/>
        <v>0</v>
      </c>
      <c r="AR14" s="23">
        <f t="shared" si="3"/>
        <v>0</v>
      </c>
      <c r="AS14" s="23">
        <f t="shared" si="3"/>
        <v>0</v>
      </c>
      <c r="AT14" s="23">
        <f t="shared" si="3"/>
        <v>0</v>
      </c>
      <c r="AU14" s="23">
        <f t="shared" si="3"/>
        <v>0</v>
      </c>
      <c r="AV14" s="23">
        <f t="shared" si="3"/>
        <v>0</v>
      </c>
      <c r="AW14" s="23">
        <f t="shared" si="3"/>
        <v>0</v>
      </c>
      <c r="AX14" s="23">
        <f t="shared" si="3"/>
        <v>0</v>
      </c>
      <c r="AY14" s="23">
        <f t="shared" si="3"/>
        <v>0</v>
      </c>
      <c r="AZ14" s="23">
        <f t="shared" si="3"/>
        <v>0</v>
      </c>
      <c r="BA14" s="23">
        <f t="shared" si="3"/>
        <v>0</v>
      </c>
      <c r="BB14" s="23">
        <f t="shared" si="3"/>
        <v>0</v>
      </c>
      <c r="BC14" s="23">
        <f t="shared" si="3"/>
        <v>0</v>
      </c>
      <c r="BD14" s="23">
        <f t="shared" si="3"/>
        <v>0</v>
      </c>
      <c r="BE14" s="23">
        <f t="shared" si="3"/>
        <v>0</v>
      </c>
      <c r="BF14" s="23">
        <f t="shared" si="3"/>
        <v>0</v>
      </c>
      <c r="BG14" s="23">
        <f t="shared" si="3"/>
        <v>0</v>
      </c>
      <c r="BH14" s="23">
        <f t="shared" si="3"/>
        <v>0</v>
      </c>
      <c r="BI14" s="23">
        <f t="shared" si="3"/>
        <v>0</v>
      </c>
      <c r="BJ14" s="23">
        <f t="shared" si="3"/>
        <v>0</v>
      </c>
      <c r="BK14" s="23">
        <f t="shared" si="3"/>
        <v>0</v>
      </c>
      <c r="BL14" s="23">
        <f t="shared" si="3"/>
        <v>0</v>
      </c>
      <c r="BM14" s="23">
        <f t="shared" si="3"/>
        <v>0</v>
      </c>
      <c r="BN14" s="23">
        <f t="shared" si="3"/>
        <v>0</v>
      </c>
      <c r="BO14" s="23">
        <f t="shared" si="3"/>
        <v>0</v>
      </c>
      <c r="BP14" s="23">
        <f t="shared" si="3"/>
        <v>0</v>
      </c>
      <c r="BQ14" s="23">
        <f t="shared" si="3"/>
        <v>0</v>
      </c>
      <c r="BR14" s="23">
        <f t="shared" si="3"/>
        <v>0</v>
      </c>
      <c r="BS14" s="23">
        <f t="shared" si="3"/>
        <v>0</v>
      </c>
      <c r="BU14" s="23">
        <f t="shared" si="4"/>
        <v>100</v>
      </c>
      <c r="BV14" s="23">
        <f t="shared" si="5"/>
        <v>0</v>
      </c>
      <c r="BW14" s="23">
        <f t="shared" si="6"/>
        <v>0</v>
      </c>
      <c r="BX14" s="23">
        <f t="shared" si="7"/>
        <v>0</v>
      </c>
      <c r="BY14" s="23">
        <f t="shared" si="8"/>
        <v>0</v>
      </c>
      <c r="BZ14" s="23">
        <f t="shared" si="9"/>
        <v>0</v>
      </c>
      <c r="CA14" s="23">
        <f t="shared" si="10"/>
        <v>0</v>
      </c>
      <c r="CB14" s="23">
        <f t="shared" si="11"/>
        <v>0</v>
      </c>
      <c r="CC14" s="23">
        <f t="shared" si="12"/>
        <v>0</v>
      </c>
      <c r="CD14" s="23">
        <f t="shared" si="13"/>
        <v>0</v>
      </c>
      <c r="CE14" s="23">
        <f t="shared" si="14"/>
        <v>0</v>
      </c>
      <c r="CF14" s="23">
        <f t="shared" si="15"/>
        <v>0</v>
      </c>
      <c r="CG14" s="23">
        <f t="shared" si="16"/>
        <v>0</v>
      </c>
      <c r="CH14" s="23">
        <f t="shared" si="17"/>
        <v>0</v>
      </c>
      <c r="CI14" s="23">
        <f t="shared" si="18"/>
        <v>0</v>
      </c>
      <c r="CJ14" s="23">
        <f t="shared" si="19"/>
        <v>0</v>
      </c>
      <c r="CK14" s="23">
        <f t="shared" si="20"/>
        <v>0</v>
      </c>
      <c r="CL14" s="23">
        <f t="shared" si="21"/>
        <v>0</v>
      </c>
      <c r="CM14" s="23">
        <f t="shared" si="22"/>
        <v>0</v>
      </c>
      <c r="CN14" s="23">
        <f t="shared" si="23"/>
        <v>0</v>
      </c>
      <c r="CO14" s="23">
        <f t="shared" si="24"/>
        <v>0</v>
      </c>
      <c r="CP14" s="23">
        <f t="shared" si="25"/>
        <v>0</v>
      </c>
      <c r="CQ14" s="23">
        <f t="shared" si="26"/>
        <v>0</v>
      </c>
      <c r="CR14" s="23">
        <f t="shared" si="27"/>
        <v>0</v>
      </c>
      <c r="CS14" s="23">
        <f t="shared" si="28"/>
        <v>0</v>
      </c>
      <c r="CT14" s="23">
        <f t="shared" si="29"/>
        <v>0</v>
      </c>
      <c r="CU14" s="23">
        <f t="shared" si="30"/>
        <v>0</v>
      </c>
      <c r="CV14" s="23">
        <f t="shared" si="31"/>
        <v>0</v>
      </c>
      <c r="CW14" s="23">
        <f t="shared" si="32"/>
        <v>0</v>
      </c>
      <c r="CX14" s="23">
        <f t="shared" si="33"/>
        <v>0</v>
      </c>
      <c r="CY14" s="23">
        <f t="shared" si="34"/>
        <v>0</v>
      </c>
      <c r="CZ14" s="23">
        <f t="shared" si="35"/>
        <v>0</v>
      </c>
      <c r="DA14" s="23">
        <f t="shared" si="36"/>
        <v>0</v>
      </c>
      <c r="DB14" s="23">
        <f t="shared" si="37"/>
        <v>0</v>
      </c>
      <c r="DC14" s="23">
        <f t="shared" si="38"/>
        <v>0</v>
      </c>
      <c r="DD14" s="23">
        <f t="shared" si="39"/>
        <v>0</v>
      </c>
      <c r="DE14" s="23">
        <f t="shared" si="40"/>
        <v>0</v>
      </c>
      <c r="DF14" s="23">
        <f t="shared" si="41"/>
        <v>0</v>
      </c>
      <c r="DG14" s="23">
        <f t="shared" si="42"/>
        <v>0</v>
      </c>
      <c r="DH14" s="23">
        <f t="shared" si="43"/>
        <v>0</v>
      </c>
      <c r="DI14" s="23">
        <f t="shared" si="44"/>
        <v>0</v>
      </c>
      <c r="DJ14" s="23">
        <f t="shared" si="45"/>
        <v>0</v>
      </c>
      <c r="DK14" s="23">
        <f t="shared" si="46"/>
        <v>0</v>
      </c>
      <c r="DL14" s="23">
        <f t="shared" si="47"/>
        <v>0</v>
      </c>
      <c r="DM14" s="23">
        <f t="shared" si="48"/>
        <v>0</v>
      </c>
      <c r="DN14" s="23">
        <f t="shared" si="49"/>
        <v>0</v>
      </c>
      <c r="DO14" s="23">
        <f t="shared" si="50"/>
        <v>0</v>
      </c>
      <c r="DP14" s="23">
        <f t="shared" si="51"/>
        <v>0</v>
      </c>
      <c r="DQ14" s="23">
        <f t="shared" si="52"/>
        <v>0</v>
      </c>
      <c r="DR14" s="23">
        <f t="shared" si="53"/>
        <v>0</v>
      </c>
      <c r="DS14" s="23">
        <f t="shared" si="54"/>
        <v>0</v>
      </c>
      <c r="DT14" s="23">
        <f t="shared" si="55"/>
        <v>0</v>
      </c>
      <c r="DU14" s="23">
        <f t="shared" si="56"/>
        <v>0</v>
      </c>
      <c r="DV14" s="23">
        <f t="shared" si="57"/>
        <v>0</v>
      </c>
      <c r="DW14" s="23">
        <f t="shared" si="58"/>
        <v>0</v>
      </c>
      <c r="DX14" s="23">
        <f t="shared" si="59"/>
        <v>0</v>
      </c>
      <c r="DY14" s="23">
        <f t="shared" si="60"/>
        <v>0</v>
      </c>
      <c r="DZ14" s="23">
        <f t="shared" si="61"/>
        <v>0</v>
      </c>
      <c r="EA14" s="23">
        <f t="shared" si="62"/>
        <v>0</v>
      </c>
      <c r="EB14" s="23">
        <f t="shared" si="63"/>
        <v>0</v>
      </c>
    </row>
    <row r="15" spans="1:132">
      <c r="A15" s="23">
        <v>20071004.399999999</v>
      </c>
      <c r="B15" s="23">
        <v>20070607</v>
      </c>
      <c r="C15" s="23">
        <v>20071004</v>
      </c>
      <c r="D15" s="23">
        <v>4</v>
      </c>
      <c r="E15" s="23">
        <v>0</v>
      </c>
      <c r="F15" s="23">
        <v>98.473659999999995</v>
      </c>
      <c r="G15" s="23">
        <v>98.476965000000007</v>
      </c>
      <c r="H15" s="26">
        <f t="shared" si="0"/>
        <v>0.32500000000000001</v>
      </c>
      <c r="I15" s="26">
        <f t="shared" si="1"/>
        <v>0</v>
      </c>
      <c r="K15" s="26">
        <f t="shared" si="2"/>
        <v>0.32500000000000001</v>
      </c>
      <c r="L15" s="23">
        <f t="shared" si="3"/>
        <v>0</v>
      </c>
      <c r="M15" s="23">
        <f t="shared" si="3"/>
        <v>0</v>
      </c>
      <c r="N15" s="23">
        <f t="shared" si="3"/>
        <v>0</v>
      </c>
      <c r="O15" s="23">
        <f t="shared" si="3"/>
        <v>0</v>
      </c>
      <c r="P15" s="23">
        <f t="shared" si="3"/>
        <v>0</v>
      </c>
      <c r="Q15" s="23">
        <f t="shared" si="3"/>
        <v>0</v>
      </c>
      <c r="R15" s="23">
        <f t="shared" si="3"/>
        <v>0</v>
      </c>
      <c r="S15" s="23">
        <f t="shared" si="3"/>
        <v>0</v>
      </c>
      <c r="T15" s="23">
        <f t="shared" si="3"/>
        <v>0</v>
      </c>
      <c r="U15" s="23">
        <f t="shared" si="3"/>
        <v>0</v>
      </c>
      <c r="V15" s="23">
        <f t="shared" si="3"/>
        <v>0</v>
      </c>
      <c r="W15" s="23">
        <f t="shared" si="3"/>
        <v>0</v>
      </c>
      <c r="X15" s="23">
        <f t="shared" si="3"/>
        <v>0</v>
      </c>
      <c r="Y15" s="23">
        <f t="shared" si="3"/>
        <v>0</v>
      </c>
      <c r="Z15" s="23">
        <f t="shared" si="3"/>
        <v>0</v>
      </c>
      <c r="AA15" s="23">
        <f t="shared" ref="AA15:AP15" si="64">IF(Z15=0,0,IF(Z15&gt;=$H15,0,Z15+0.5))</f>
        <v>0</v>
      </c>
      <c r="AB15" s="23">
        <f t="shared" si="64"/>
        <v>0</v>
      </c>
      <c r="AC15" s="23">
        <f t="shared" si="64"/>
        <v>0</v>
      </c>
      <c r="AD15" s="23">
        <f t="shared" si="64"/>
        <v>0</v>
      </c>
      <c r="AE15" s="23">
        <f t="shared" si="64"/>
        <v>0</v>
      </c>
      <c r="AF15" s="23">
        <f t="shared" si="64"/>
        <v>0</v>
      </c>
      <c r="AG15" s="23">
        <f t="shared" si="64"/>
        <v>0</v>
      </c>
      <c r="AH15" s="23">
        <f t="shared" si="64"/>
        <v>0</v>
      </c>
      <c r="AI15" s="23">
        <f t="shared" si="64"/>
        <v>0</v>
      </c>
      <c r="AJ15" s="23">
        <f t="shared" si="64"/>
        <v>0</v>
      </c>
      <c r="AK15" s="23">
        <f t="shared" si="64"/>
        <v>0</v>
      </c>
      <c r="AL15" s="23">
        <f t="shared" si="64"/>
        <v>0</v>
      </c>
      <c r="AM15" s="23">
        <f t="shared" si="64"/>
        <v>0</v>
      </c>
      <c r="AN15" s="23">
        <f t="shared" si="64"/>
        <v>0</v>
      </c>
      <c r="AO15" s="23">
        <f t="shared" si="64"/>
        <v>0</v>
      </c>
      <c r="AP15" s="23">
        <f t="shared" si="64"/>
        <v>0</v>
      </c>
      <c r="AQ15" s="23">
        <f t="shared" ref="AQ15:BF30" si="65">IF(AP15=0,0,IF(AP15&gt;=$H15,0,AP15+0.5))</f>
        <v>0</v>
      </c>
      <c r="AR15" s="23">
        <f t="shared" si="65"/>
        <v>0</v>
      </c>
      <c r="AS15" s="23">
        <f t="shared" si="65"/>
        <v>0</v>
      </c>
      <c r="AT15" s="23">
        <f t="shared" si="65"/>
        <v>0</v>
      </c>
      <c r="AU15" s="23">
        <f t="shared" si="65"/>
        <v>0</v>
      </c>
      <c r="AV15" s="23">
        <f t="shared" si="65"/>
        <v>0</v>
      </c>
      <c r="AW15" s="23">
        <f t="shared" si="65"/>
        <v>0</v>
      </c>
      <c r="AX15" s="23">
        <f t="shared" si="65"/>
        <v>0</v>
      </c>
      <c r="AY15" s="23">
        <f t="shared" si="65"/>
        <v>0</v>
      </c>
      <c r="AZ15" s="23">
        <f t="shared" si="65"/>
        <v>0</v>
      </c>
      <c r="BA15" s="23">
        <f t="shared" si="65"/>
        <v>0</v>
      </c>
      <c r="BB15" s="23">
        <f t="shared" si="65"/>
        <v>0</v>
      </c>
      <c r="BC15" s="23">
        <f t="shared" si="65"/>
        <v>0</v>
      </c>
      <c r="BD15" s="23">
        <f t="shared" si="65"/>
        <v>0</v>
      </c>
      <c r="BE15" s="23">
        <f t="shared" si="65"/>
        <v>0</v>
      </c>
      <c r="BF15" s="23">
        <f t="shared" si="65"/>
        <v>0</v>
      </c>
      <c r="BG15" s="23">
        <f t="shared" ref="BG15:BS30" si="66">IF(BF15=0,0,IF(BF15&gt;=$H15,0,BF15+0.5))</f>
        <v>0</v>
      </c>
      <c r="BH15" s="23">
        <f t="shared" si="66"/>
        <v>0</v>
      </c>
      <c r="BI15" s="23">
        <f t="shared" si="66"/>
        <v>0</v>
      </c>
      <c r="BJ15" s="23">
        <f t="shared" si="66"/>
        <v>0</v>
      </c>
      <c r="BK15" s="23">
        <f t="shared" si="66"/>
        <v>0</v>
      </c>
      <c r="BL15" s="23">
        <f t="shared" si="66"/>
        <v>0</v>
      </c>
      <c r="BM15" s="23">
        <f t="shared" si="66"/>
        <v>0</v>
      </c>
      <c r="BN15" s="23">
        <f t="shared" si="66"/>
        <v>0</v>
      </c>
      <c r="BO15" s="23">
        <f t="shared" si="66"/>
        <v>0</v>
      </c>
      <c r="BP15" s="23">
        <f t="shared" si="66"/>
        <v>0</v>
      </c>
      <c r="BQ15" s="23">
        <f t="shared" si="66"/>
        <v>0</v>
      </c>
      <c r="BR15" s="23">
        <f t="shared" si="66"/>
        <v>0</v>
      </c>
      <c r="BS15" s="23">
        <f t="shared" si="66"/>
        <v>0</v>
      </c>
      <c r="BU15" s="23">
        <f t="shared" si="4"/>
        <v>100</v>
      </c>
      <c r="BV15" s="23">
        <f t="shared" si="5"/>
        <v>0</v>
      </c>
      <c r="BW15" s="23">
        <f t="shared" si="6"/>
        <v>0</v>
      </c>
      <c r="BX15" s="23">
        <f t="shared" si="7"/>
        <v>0</v>
      </c>
      <c r="BY15" s="23">
        <f t="shared" si="8"/>
        <v>0</v>
      </c>
      <c r="BZ15" s="23">
        <f t="shared" si="9"/>
        <v>0</v>
      </c>
      <c r="CA15" s="23">
        <f t="shared" si="10"/>
        <v>0</v>
      </c>
      <c r="CB15" s="23">
        <f t="shared" si="11"/>
        <v>0</v>
      </c>
      <c r="CC15" s="23">
        <f t="shared" si="12"/>
        <v>0</v>
      </c>
      <c r="CD15" s="23">
        <f t="shared" si="13"/>
        <v>0</v>
      </c>
      <c r="CE15" s="23">
        <f t="shared" si="14"/>
        <v>0</v>
      </c>
      <c r="CF15" s="23">
        <f t="shared" si="15"/>
        <v>0</v>
      </c>
      <c r="CG15" s="23">
        <f t="shared" si="16"/>
        <v>0</v>
      </c>
      <c r="CH15" s="23">
        <f t="shared" si="17"/>
        <v>0</v>
      </c>
      <c r="CI15" s="23">
        <f t="shared" si="18"/>
        <v>0</v>
      </c>
      <c r="CJ15" s="23">
        <f t="shared" si="19"/>
        <v>0</v>
      </c>
      <c r="CK15" s="23">
        <f t="shared" si="20"/>
        <v>0</v>
      </c>
      <c r="CL15" s="23">
        <f t="shared" si="21"/>
        <v>0</v>
      </c>
      <c r="CM15" s="23">
        <f t="shared" si="22"/>
        <v>0</v>
      </c>
      <c r="CN15" s="23">
        <f t="shared" si="23"/>
        <v>0</v>
      </c>
      <c r="CO15" s="23">
        <f t="shared" si="24"/>
        <v>0</v>
      </c>
      <c r="CP15" s="23">
        <f t="shared" si="25"/>
        <v>0</v>
      </c>
      <c r="CQ15" s="23">
        <f t="shared" si="26"/>
        <v>0</v>
      </c>
      <c r="CR15" s="23">
        <f t="shared" si="27"/>
        <v>0</v>
      </c>
      <c r="CS15" s="23">
        <f t="shared" si="28"/>
        <v>0</v>
      </c>
      <c r="CT15" s="23">
        <f t="shared" si="29"/>
        <v>0</v>
      </c>
      <c r="CU15" s="23">
        <f t="shared" si="30"/>
        <v>0</v>
      </c>
      <c r="CV15" s="23">
        <f t="shared" si="31"/>
        <v>0</v>
      </c>
      <c r="CW15" s="23">
        <f t="shared" si="32"/>
        <v>0</v>
      </c>
      <c r="CX15" s="23">
        <f t="shared" si="33"/>
        <v>0</v>
      </c>
      <c r="CY15" s="23">
        <f t="shared" si="34"/>
        <v>0</v>
      </c>
      <c r="CZ15" s="23">
        <f t="shared" si="35"/>
        <v>0</v>
      </c>
      <c r="DA15" s="23">
        <f t="shared" si="36"/>
        <v>0</v>
      </c>
      <c r="DB15" s="23">
        <f t="shared" si="37"/>
        <v>0</v>
      </c>
      <c r="DC15" s="23">
        <f t="shared" si="38"/>
        <v>0</v>
      </c>
      <c r="DD15" s="23">
        <f t="shared" si="39"/>
        <v>0</v>
      </c>
      <c r="DE15" s="23">
        <f t="shared" si="40"/>
        <v>0</v>
      </c>
      <c r="DF15" s="23">
        <f t="shared" si="41"/>
        <v>0</v>
      </c>
      <c r="DG15" s="23">
        <f t="shared" si="42"/>
        <v>0</v>
      </c>
      <c r="DH15" s="23">
        <f t="shared" si="43"/>
        <v>0</v>
      </c>
      <c r="DI15" s="23">
        <f t="shared" si="44"/>
        <v>0</v>
      </c>
      <c r="DJ15" s="23">
        <f t="shared" si="45"/>
        <v>0</v>
      </c>
      <c r="DK15" s="23">
        <f t="shared" si="46"/>
        <v>0</v>
      </c>
      <c r="DL15" s="23">
        <f t="shared" si="47"/>
        <v>0</v>
      </c>
      <c r="DM15" s="23">
        <f t="shared" si="48"/>
        <v>0</v>
      </c>
      <c r="DN15" s="23">
        <f t="shared" si="49"/>
        <v>0</v>
      </c>
      <c r="DO15" s="23">
        <f t="shared" si="50"/>
        <v>0</v>
      </c>
      <c r="DP15" s="23">
        <f t="shared" si="51"/>
        <v>0</v>
      </c>
      <c r="DQ15" s="23">
        <f t="shared" si="52"/>
        <v>0</v>
      </c>
      <c r="DR15" s="23">
        <f t="shared" si="53"/>
        <v>0</v>
      </c>
      <c r="DS15" s="23">
        <f t="shared" si="54"/>
        <v>0</v>
      </c>
      <c r="DT15" s="23">
        <f t="shared" si="55"/>
        <v>0</v>
      </c>
      <c r="DU15" s="23">
        <f t="shared" si="56"/>
        <v>0</v>
      </c>
      <c r="DV15" s="23">
        <f t="shared" si="57"/>
        <v>0</v>
      </c>
      <c r="DW15" s="23">
        <f t="shared" si="58"/>
        <v>0</v>
      </c>
      <c r="DX15" s="23">
        <f t="shared" si="59"/>
        <v>0</v>
      </c>
      <c r="DY15" s="23">
        <f t="shared" si="60"/>
        <v>0</v>
      </c>
      <c r="DZ15" s="23">
        <f t="shared" si="61"/>
        <v>0</v>
      </c>
      <c r="EA15" s="23">
        <f t="shared" si="62"/>
        <v>0</v>
      </c>
      <c r="EB15" s="23">
        <f t="shared" si="63"/>
        <v>0</v>
      </c>
    </row>
    <row r="16" spans="1:132">
      <c r="A16" s="23">
        <v>20071011.399999999</v>
      </c>
      <c r="B16" s="23">
        <v>20070607</v>
      </c>
      <c r="C16" s="23">
        <v>20071011</v>
      </c>
      <c r="D16" s="23">
        <v>4</v>
      </c>
      <c r="E16" s="23">
        <v>0</v>
      </c>
      <c r="F16" s="23">
        <v>98.374250000000004</v>
      </c>
      <c r="G16" s="23">
        <v>98.377750000000006</v>
      </c>
      <c r="H16" s="26">
        <f t="shared" si="0"/>
        <v>0.34444444444444444</v>
      </c>
      <c r="I16" s="26">
        <f t="shared" si="1"/>
        <v>0</v>
      </c>
      <c r="K16" s="26">
        <f t="shared" si="2"/>
        <v>0.34444444444444444</v>
      </c>
      <c r="L16" s="23">
        <f t="shared" ref="L16:AR23" si="67">IF(K16=0,0,IF(K16&gt;=$H16,0,K16+0.5))</f>
        <v>0</v>
      </c>
      <c r="M16" s="23">
        <f t="shared" si="67"/>
        <v>0</v>
      </c>
      <c r="N16" s="23">
        <f t="shared" si="67"/>
        <v>0</v>
      </c>
      <c r="O16" s="23">
        <f t="shared" si="67"/>
        <v>0</v>
      </c>
      <c r="P16" s="23">
        <f t="shared" si="67"/>
        <v>0</v>
      </c>
      <c r="Q16" s="23">
        <f t="shared" si="67"/>
        <v>0</v>
      </c>
      <c r="R16" s="23">
        <f t="shared" si="67"/>
        <v>0</v>
      </c>
      <c r="S16" s="23">
        <f t="shared" si="67"/>
        <v>0</v>
      </c>
      <c r="T16" s="23">
        <f t="shared" si="67"/>
        <v>0</v>
      </c>
      <c r="U16" s="23">
        <f t="shared" si="67"/>
        <v>0</v>
      </c>
      <c r="V16" s="23">
        <f t="shared" si="67"/>
        <v>0</v>
      </c>
      <c r="W16" s="23">
        <f t="shared" si="67"/>
        <v>0</v>
      </c>
      <c r="X16" s="23">
        <f t="shared" si="67"/>
        <v>0</v>
      </c>
      <c r="Y16" s="23">
        <f t="shared" si="67"/>
        <v>0</v>
      </c>
      <c r="Z16" s="23">
        <f t="shared" si="67"/>
        <v>0</v>
      </c>
      <c r="AA16" s="23">
        <f t="shared" si="67"/>
        <v>0</v>
      </c>
      <c r="AB16" s="23">
        <f t="shared" si="67"/>
        <v>0</v>
      </c>
      <c r="AC16" s="23">
        <f t="shared" si="67"/>
        <v>0</v>
      </c>
      <c r="AD16" s="23">
        <f t="shared" si="67"/>
        <v>0</v>
      </c>
      <c r="AE16" s="23">
        <f t="shared" si="67"/>
        <v>0</v>
      </c>
      <c r="AF16" s="23">
        <f t="shared" si="67"/>
        <v>0</v>
      </c>
      <c r="AG16" s="23">
        <f t="shared" si="67"/>
        <v>0</v>
      </c>
      <c r="AH16" s="23">
        <f t="shared" si="67"/>
        <v>0</v>
      </c>
      <c r="AI16" s="23">
        <f t="shared" si="67"/>
        <v>0</v>
      </c>
      <c r="AJ16" s="23">
        <f t="shared" si="67"/>
        <v>0</v>
      </c>
      <c r="AK16" s="23">
        <f t="shared" si="67"/>
        <v>0</v>
      </c>
      <c r="AL16" s="23">
        <f t="shared" si="67"/>
        <v>0</v>
      </c>
      <c r="AM16" s="23">
        <f t="shared" si="67"/>
        <v>0</v>
      </c>
      <c r="AN16" s="23">
        <f t="shared" si="67"/>
        <v>0</v>
      </c>
      <c r="AO16" s="23">
        <f t="shared" si="67"/>
        <v>0</v>
      </c>
      <c r="AP16" s="23">
        <f t="shared" si="67"/>
        <v>0</v>
      </c>
      <c r="AQ16" s="23">
        <f t="shared" si="67"/>
        <v>0</v>
      </c>
      <c r="AR16" s="23">
        <f t="shared" si="67"/>
        <v>0</v>
      </c>
      <c r="AS16" s="23">
        <f t="shared" si="65"/>
        <v>0</v>
      </c>
      <c r="AT16" s="23">
        <f t="shared" si="65"/>
        <v>0</v>
      </c>
      <c r="AU16" s="23">
        <f t="shared" si="65"/>
        <v>0</v>
      </c>
      <c r="AV16" s="23">
        <f t="shared" si="65"/>
        <v>0</v>
      </c>
      <c r="AW16" s="23">
        <f t="shared" si="65"/>
        <v>0</v>
      </c>
      <c r="AX16" s="23">
        <f t="shared" si="65"/>
        <v>0</v>
      </c>
      <c r="AY16" s="23">
        <f t="shared" si="65"/>
        <v>0</v>
      </c>
      <c r="AZ16" s="23">
        <f t="shared" si="65"/>
        <v>0</v>
      </c>
      <c r="BA16" s="23">
        <f t="shared" si="65"/>
        <v>0</v>
      </c>
      <c r="BB16" s="23">
        <f t="shared" si="65"/>
        <v>0</v>
      </c>
      <c r="BC16" s="23">
        <f t="shared" si="65"/>
        <v>0</v>
      </c>
      <c r="BD16" s="23">
        <f t="shared" si="65"/>
        <v>0</v>
      </c>
      <c r="BE16" s="23">
        <f t="shared" si="65"/>
        <v>0</v>
      </c>
      <c r="BF16" s="23">
        <f t="shared" si="65"/>
        <v>0</v>
      </c>
      <c r="BG16" s="23">
        <f t="shared" si="66"/>
        <v>0</v>
      </c>
      <c r="BH16" s="23">
        <f t="shared" si="66"/>
        <v>0</v>
      </c>
      <c r="BI16" s="23">
        <f t="shared" si="66"/>
        <v>0</v>
      </c>
      <c r="BJ16" s="23">
        <f t="shared" si="66"/>
        <v>0</v>
      </c>
      <c r="BK16" s="23">
        <f t="shared" si="66"/>
        <v>0</v>
      </c>
      <c r="BL16" s="23">
        <f t="shared" si="66"/>
        <v>0</v>
      </c>
      <c r="BM16" s="23">
        <f t="shared" si="66"/>
        <v>0</v>
      </c>
      <c r="BN16" s="23">
        <f t="shared" si="66"/>
        <v>0</v>
      </c>
      <c r="BO16" s="23">
        <f t="shared" si="66"/>
        <v>0</v>
      </c>
      <c r="BP16" s="23">
        <f t="shared" si="66"/>
        <v>0</v>
      </c>
      <c r="BQ16" s="23">
        <f t="shared" si="66"/>
        <v>0</v>
      </c>
      <c r="BR16" s="23">
        <f t="shared" si="66"/>
        <v>0</v>
      </c>
      <c r="BS16" s="23">
        <f t="shared" si="66"/>
        <v>0</v>
      </c>
      <c r="BU16" s="23">
        <f t="shared" si="4"/>
        <v>100</v>
      </c>
      <c r="BV16" s="23">
        <f t="shared" si="5"/>
        <v>0</v>
      </c>
      <c r="BW16" s="23">
        <f t="shared" si="6"/>
        <v>0</v>
      </c>
      <c r="BX16" s="23">
        <f t="shared" si="7"/>
        <v>0</v>
      </c>
      <c r="BY16" s="23">
        <f t="shared" si="8"/>
        <v>0</v>
      </c>
      <c r="BZ16" s="23">
        <f t="shared" si="9"/>
        <v>0</v>
      </c>
      <c r="CA16" s="23">
        <f t="shared" si="10"/>
        <v>0</v>
      </c>
      <c r="CB16" s="23">
        <f t="shared" si="11"/>
        <v>0</v>
      </c>
      <c r="CC16" s="23">
        <f t="shared" si="12"/>
        <v>0</v>
      </c>
      <c r="CD16" s="23">
        <f t="shared" si="13"/>
        <v>0</v>
      </c>
      <c r="CE16" s="23">
        <f t="shared" si="14"/>
        <v>0</v>
      </c>
      <c r="CF16" s="23">
        <f t="shared" si="15"/>
        <v>0</v>
      </c>
      <c r="CG16" s="23">
        <f t="shared" si="16"/>
        <v>0</v>
      </c>
      <c r="CH16" s="23">
        <f t="shared" si="17"/>
        <v>0</v>
      </c>
      <c r="CI16" s="23">
        <f t="shared" si="18"/>
        <v>0</v>
      </c>
      <c r="CJ16" s="23">
        <f t="shared" si="19"/>
        <v>0</v>
      </c>
      <c r="CK16" s="23">
        <f t="shared" si="20"/>
        <v>0</v>
      </c>
      <c r="CL16" s="23">
        <f t="shared" si="21"/>
        <v>0</v>
      </c>
      <c r="CM16" s="23">
        <f t="shared" si="22"/>
        <v>0</v>
      </c>
      <c r="CN16" s="23">
        <f t="shared" si="23"/>
        <v>0</v>
      </c>
      <c r="CO16" s="23">
        <f t="shared" si="24"/>
        <v>0</v>
      </c>
      <c r="CP16" s="23">
        <f t="shared" si="25"/>
        <v>0</v>
      </c>
      <c r="CQ16" s="23">
        <f t="shared" si="26"/>
        <v>0</v>
      </c>
      <c r="CR16" s="23">
        <f t="shared" si="27"/>
        <v>0</v>
      </c>
      <c r="CS16" s="23">
        <f t="shared" si="28"/>
        <v>0</v>
      </c>
      <c r="CT16" s="23">
        <f t="shared" si="29"/>
        <v>0</v>
      </c>
      <c r="CU16" s="23">
        <f t="shared" si="30"/>
        <v>0</v>
      </c>
      <c r="CV16" s="23">
        <f t="shared" si="31"/>
        <v>0</v>
      </c>
      <c r="CW16" s="23">
        <f t="shared" si="32"/>
        <v>0</v>
      </c>
      <c r="CX16" s="23">
        <f t="shared" si="33"/>
        <v>0</v>
      </c>
      <c r="CY16" s="23">
        <f t="shared" si="34"/>
        <v>0</v>
      </c>
      <c r="CZ16" s="23">
        <f t="shared" si="35"/>
        <v>0</v>
      </c>
      <c r="DA16" s="23">
        <f t="shared" si="36"/>
        <v>0</v>
      </c>
      <c r="DB16" s="23">
        <f t="shared" si="37"/>
        <v>0</v>
      </c>
      <c r="DC16" s="23">
        <f t="shared" si="38"/>
        <v>0</v>
      </c>
      <c r="DD16" s="23">
        <f t="shared" si="39"/>
        <v>0</v>
      </c>
      <c r="DE16" s="23">
        <f t="shared" si="40"/>
        <v>0</v>
      </c>
      <c r="DF16" s="23">
        <f t="shared" si="41"/>
        <v>0</v>
      </c>
      <c r="DG16" s="23">
        <f t="shared" si="42"/>
        <v>0</v>
      </c>
      <c r="DH16" s="23">
        <f t="shared" si="43"/>
        <v>0</v>
      </c>
      <c r="DI16" s="23">
        <f t="shared" si="44"/>
        <v>0</v>
      </c>
      <c r="DJ16" s="23">
        <f t="shared" si="45"/>
        <v>0</v>
      </c>
      <c r="DK16" s="23">
        <f t="shared" si="46"/>
        <v>0</v>
      </c>
      <c r="DL16" s="23">
        <f t="shared" si="47"/>
        <v>0</v>
      </c>
      <c r="DM16" s="23">
        <f t="shared" si="48"/>
        <v>0</v>
      </c>
      <c r="DN16" s="23">
        <f t="shared" si="49"/>
        <v>0</v>
      </c>
      <c r="DO16" s="23">
        <f t="shared" si="50"/>
        <v>0</v>
      </c>
      <c r="DP16" s="23">
        <f t="shared" si="51"/>
        <v>0</v>
      </c>
      <c r="DQ16" s="23">
        <f t="shared" si="52"/>
        <v>0</v>
      </c>
      <c r="DR16" s="23">
        <f t="shared" si="53"/>
        <v>0</v>
      </c>
      <c r="DS16" s="23">
        <f t="shared" si="54"/>
        <v>0</v>
      </c>
      <c r="DT16" s="23">
        <f t="shared" si="55"/>
        <v>0</v>
      </c>
      <c r="DU16" s="23">
        <f t="shared" si="56"/>
        <v>0</v>
      </c>
      <c r="DV16" s="23">
        <f t="shared" si="57"/>
        <v>0</v>
      </c>
      <c r="DW16" s="23">
        <f t="shared" si="58"/>
        <v>0</v>
      </c>
      <c r="DX16" s="23">
        <f t="shared" si="59"/>
        <v>0</v>
      </c>
      <c r="DY16" s="23">
        <f t="shared" si="60"/>
        <v>0</v>
      </c>
      <c r="DZ16" s="23">
        <f t="shared" si="61"/>
        <v>0</v>
      </c>
      <c r="EA16" s="23">
        <f t="shared" si="62"/>
        <v>0</v>
      </c>
      <c r="EB16" s="23">
        <f t="shared" si="63"/>
        <v>0</v>
      </c>
    </row>
    <row r="17" spans="1:132">
      <c r="A17" s="23">
        <v>20071108.399999999</v>
      </c>
      <c r="B17" s="23">
        <v>20070607</v>
      </c>
      <c r="C17" s="23">
        <v>20071108</v>
      </c>
      <c r="D17" s="23">
        <v>4</v>
      </c>
      <c r="E17" s="23">
        <v>0</v>
      </c>
      <c r="F17" s="23">
        <v>97.991583000000006</v>
      </c>
      <c r="G17" s="23">
        <v>97.995861000000005</v>
      </c>
      <c r="H17" s="26">
        <f t="shared" si="0"/>
        <v>0.41944444444444445</v>
      </c>
      <c r="I17" s="26">
        <f t="shared" si="1"/>
        <v>0</v>
      </c>
      <c r="K17" s="26">
        <f t="shared" si="2"/>
        <v>0.41944444444444445</v>
      </c>
      <c r="L17" s="23">
        <f t="shared" si="67"/>
        <v>0</v>
      </c>
      <c r="M17" s="23">
        <f t="shared" si="67"/>
        <v>0</v>
      </c>
      <c r="N17" s="23">
        <f t="shared" si="67"/>
        <v>0</v>
      </c>
      <c r="O17" s="23">
        <f t="shared" si="67"/>
        <v>0</v>
      </c>
      <c r="P17" s="23">
        <f t="shared" si="67"/>
        <v>0</v>
      </c>
      <c r="Q17" s="23">
        <f t="shared" si="67"/>
        <v>0</v>
      </c>
      <c r="R17" s="23">
        <f t="shared" si="67"/>
        <v>0</v>
      </c>
      <c r="S17" s="23">
        <f t="shared" si="67"/>
        <v>0</v>
      </c>
      <c r="T17" s="23">
        <f t="shared" si="67"/>
        <v>0</v>
      </c>
      <c r="U17" s="23">
        <f t="shared" si="67"/>
        <v>0</v>
      </c>
      <c r="V17" s="23">
        <f t="shared" si="67"/>
        <v>0</v>
      </c>
      <c r="W17" s="23">
        <f t="shared" si="67"/>
        <v>0</v>
      </c>
      <c r="X17" s="23">
        <f t="shared" si="67"/>
        <v>0</v>
      </c>
      <c r="Y17" s="23">
        <f t="shared" si="67"/>
        <v>0</v>
      </c>
      <c r="Z17" s="23">
        <f t="shared" si="67"/>
        <v>0</v>
      </c>
      <c r="AA17" s="23">
        <f t="shared" si="67"/>
        <v>0</v>
      </c>
      <c r="AB17" s="23">
        <f t="shared" si="67"/>
        <v>0</v>
      </c>
      <c r="AC17" s="23">
        <f t="shared" si="67"/>
        <v>0</v>
      </c>
      <c r="AD17" s="23">
        <f t="shared" si="67"/>
        <v>0</v>
      </c>
      <c r="AE17" s="23">
        <f t="shared" si="67"/>
        <v>0</v>
      </c>
      <c r="AF17" s="23">
        <f t="shared" si="67"/>
        <v>0</v>
      </c>
      <c r="AG17" s="23">
        <f t="shared" si="67"/>
        <v>0</v>
      </c>
      <c r="AH17" s="23">
        <f t="shared" si="67"/>
        <v>0</v>
      </c>
      <c r="AI17" s="23">
        <f t="shared" si="67"/>
        <v>0</v>
      </c>
      <c r="AJ17" s="23">
        <f t="shared" si="67"/>
        <v>0</v>
      </c>
      <c r="AK17" s="23">
        <f t="shared" si="67"/>
        <v>0</v>
      </c>
      <c r="AL17" s="23">
        <f t="shared" si="67"/>
        <v>0</v>
      </c>
      <c r="AM17" s="23">
        <f t="shared" si="67"/>
        <v>0</v>
      </c>
      <c r="AN17" s="23">
        <f t="shared" si="67"/>
        <v>0</v>
      </c>
      <c r="AO17" s="23">
        <f t="shared" si="67"/>
        <v>0</v>
      </c>
      <c r="AP17" s="23">
        <f t="shared" si="67"/>
        <v>0</v>
      </c>
      <c r="AQ17" s="23">
        <f t="shared" si="67"/>
        <v>0</v>
      </c>
      <c r="AR17" s="23">
        <f t="shared" si="67"/>
        <v>0</v>
      </c>
      <c r="AS17" s="23">
        <f t="shared" si="65"/>
        <v>0</v>
      </c>
      <c r="AT17" s="23">
        <f t="shared" si="65"/>
        <v>0</v>
      </c>
      <c r="AU17" s="23">
        <f t="shared" si="65"/>
        <v>0</v>
      </c>
      <c r="AV17" s="23">
        <f t="shared" si="65"/>
        <v>0</v>
      </c>
      <c r="AW17" s="23">
        <f t="shared" si="65"/>
        <v>0</v>
      </c>
      <c r="AX17" s="23">
        <f t="shared" si="65"/>
        <v>0</v>
      </c>
      <c r="AY17" s="23">
        <f t="shared" si="65"/>
        <v>0</v>
      </c>
      <c r="AZ17" s="23">
        <f t="shared" si="65"/>
        <v>0</v>
      </c>
      <c r="BA17" s="23">
        <f t="shared" si="65"/>
        <v>0</v>
      </c>
      <c r="BB17" s="23">
        <f t="shared" si="65"/>
        <v>0</v>
      </c>
      <c r="BC17" s="23">
        <f t="shared" si="65"/>
        <v>0</v>
      </c>
      <c r="BD17" s="23">
        <f t="shared" si="65"/>
        <v>0</v>
      </c>
      <c r="BE17" s="23">
        <f t="shared" si="65"/>
        <v>0</v>
      </c>
      <c r="BF17" s="23">
        <f t="shared" si="65"/>
        <v>0</v>
      </c>
      <c r="BG17" s="23">
        <f t="shared" si="66"/>
        <v>0</v>
      </c>
      <c r="BH17" s="23">
        <f t="shared" si="66"/>
        <v>0</v>
      </c>
      <c r="BI17" s="23">
        <f t="shared" si="66"/>
        <v>0</v>
      </c>
      <c r="BJ17" s="23">
        <f t="shared" si="66"/>
        <v>0</v>
      </c>
      <c r="BK17" s="23">
        <f t="shared" si="66"/>
        <v>0</v>
      </c>
      <c r="BL17" s="23">
        <f t="shared" si="66"/>
        <v>0</v>
      </c>
      <c r="BM17" s="23">
        <f t="shared" si="66"/>
        <v>0</v>
      </c>
      <c r="BN17" s="23">
        <f t="shared" si="66"/>
        <v>0</v>
      </c>
      <c r="BO17" s="23">
        <f t="shared" si="66"/>
        <v>0</v>
      </c>
      <c r="BP17" s="23">
        <f t="shared" si="66"/>
        <v>0</v>
      </c>
      <c r="BQ17" s="23">
        <f t="shared" si="66"/>
        <v>0</v>
      </c>
      <c r="BR17" s="23">
        <f t="shared" si="66"/>
        <v>0</v>
      </c>
      <c r="BS17" s="23">
        <f t="shared" si="66"/>
        <v>0</v>
      </c>
      <c r="BU17" s="23">
        <f t="shared" si="4"/>
        <v>100</v>
      </c>
      <c r="BV17" s="23">
        <f t="shared" si="5"/>
        <v>0</v>
      </c>
      <c r="BW17" s="23">
        <f t="shared" si="6"/>
        <v>0</v>
      </c>
      <c r="BX17" s="23">
        <f t="shared" si="7"/>
        <v>0</v>
      </c>
      <c r="BY17" s="23">
        <f t="shared" si="8"/>
        <v>0</v>
      </c>
      <c r="BZ17" s="23">
        <f t="shared" si="9"/>
        <v>0</v>
      </c>
      <c r="CA17" s="23">
        <f t="shared" si="10"/>
        <v>0</v>
      </c>
      <c r="CB17" s="23">
        <f t="shared" si="11"/>
        <v>0</v>
      </c>
      <c r="CC17" s="23">
        <f t="shared" si="12"/>
        <v>0</v>
      </c>
      <c r="CD17" s="23">
        <f t="shared" si="13"/>
        <v>0</v>
      </c>
      <c r="CE17" s="23">
        <f t="shared" si="14"/>
        <v>0</v>
      </c>
      <c r="CF17" s="23">
        <f t="shared" si="15"/>
        <v>0</v>
      </c>
      <c r="CG17" s="23">
        <f t="shared" si="16"/>
        <v>0</v>
      </c>
      <c r="CH17" s="23">
        <f t="shared" si="17"/>
        <v>0</v>
      </c>
      <c r="CI17" s="23">
        <f t="shared" si="18"/>
        <v>0</v>
      </c>
      <c r="CJ17" s="23">
        <f t="shared" si="19"/>
        <v>0</v>
      </c>
      <c r="CK17" s="23">
        <f t="shared" si="20"/>
        <v>0</v>
      </c>
      <c r="CL17" s="23">
        <f t="shared" si="21"/>
        <v>0</v>
      </c>
      <c r="CM17" s="23">
        <f t="shared" si="22"/>
        <v>0</v>
      </c>
      <c r="CN17" s="23">
        <f t="shared" si="23"/>
        <v>0</v>
      </c>
      <c r="CO17" s="23">
        <f t="shared" si="24"/>
        <v>0</v>
      </c>
      <c r="CP17" s="23">
        <f t="shared" si="25"/>
        <v>0</v>
      </c>
      <c r="CQ17" s="23">
        <f t="shared" si="26"/>
        <v>0</v>
      </c>
      <c r="CR17" s="23">
        <f t="shared" si="27"/>
        <v>0</v>
      </c>
      <c r="CS17" s="23">
        <f t="shared" si="28"/>
        <v>0</v>
      </c>
      <c r="CT17" s="23">
        <f t="shared" si="29"/>
        <v>0</v>
      </c>
      <c r="CU17" s="23">
        <f t="shared" si="30"/>
        <v>0</v>
      </c>
      <c r="CV17" s="23">
        <f t="shared" si="31"/>
        <v>0</v>
      </c>
      <c r="CW17" s="23">
        <f t="shared" si="32"/>
        <v>0</v>
      </c>
      <c r="CX17" s="23">
        <f t="shared" si="33"/>
        <v>0</v>
      </c>
      <c r="CY17" s="23">
        <f t="shared" si="34"/>
        <v>0</v>
      </c>
      <c r="CZ17" s="23">
        <f t="shared" si="35"/>
        <v>0</v>
      </c>
      <c r="DA17" s="23">
        <f t="shared" si="36"/>
        <v>0</v>
      </c>
      <c r="DB17" s="23">
        <f t="shared" si="37"/>
        <v>0</v>
      </c>
      <c r="DC17" s="23">
        <f t="shared" si="38"/>
        <v>0</v>
      </c>
      <c r="DD17" s="23">
        <f t="shared" si="39"/>
        <v>0</v>
      </c>
      <c r="DE17" s="23">
        <f t="shared" si="40"/>
        <v>0</v>
      </c>
      <c r="DF17" s="23">
        <f t="shared" si="41"/>
        <v>0</v>
      </c>
      <c r="DG17" s="23">
        <f t="shared" si="42"/>
        <v>0</v>
      </c>
      <c r="DH17" s="23">
        <f t="shared" si="43"/>
        <v>0</v>
      </c>
      <c r="DI17" s="23">
        <f t="shared" si="44"/>
        <v>0</v>
      </c>
      <c r="DJ17" s="23">
        <f t="shared" si="45"/>
        <v>0</v>
      </c>
      <c r="DK17" s="23">
        <f t="shared" si="46"/>
        <v>0</v>
      </c>
      <c r="DL17" s="23">
        <f t="shared" si="47"/>
        <v>0</v>
      </c>
      <c r="DM17" s="23">
        <f t="shared" si="48"/>
        <v>0</v>
      </c>
      <c r="DN17" s="23">
        <f t="shared" si="49"/>
        <v>0</v>
      </c>
      <c r="DO17" s="23">
        <f t="shared" si="50"/>
        <v>0</v>
      </c>
      <c r="DP17" s="23">
        <f t="shared" si="51"/>
        <v>0</v>
      </c>
      <c r="DQ17" s="23">
        <f t="shared" si="52"/>
        <v>0</v>
      </c>
      <c r="DR17" s="23">
        <f t="shared" si="53"/>
        <v>0</v>
      </c>
      <c r="DS17" s="23">
        <f t="shared" si="54"/>
        <v>0</v>
      </c>
      <c r="DT17" s="23">
        <f t="shared" si="55"/>
        <v>0</v>
      </c>
      <c r="DU17" s="23">
        <f t="shared" si="56"/>
        <v>0</v>
      </c>
      <c r="DV17" s="23">
        <f t="shared" si="57"/>
        <v>0</v>
      </c>
      <c r="DW17" s="23">
        <f t="shared" si="58"/>
        <v>0</v>
      </c>
      <c r="DX17" s="23">
        <f t="shared" si="59"/>
        <v>0</v>
      </c>
      <c r="DY17" s="23">
        <f t="shared" si="60"/>
        <v>0</v>
      </c>
      <c r="DZ17" s="23">
        <f t="shared" si="61"/>
        <v>0</v>
      </c>
      <c r="EA17" s="23">
        <f t="shared" si="62"/>
        <v>0</v>
      </c>
      <c r="EB17" s="23">
        <f t="shared" si="63"/>
        <v>0</v>
      </c>
    </row>
    <row r="18" spans="1:132">
      <c r="A18" s="23">
        <v>20071115.399999999</v>
      </c>
      <c r="B18" s="23">
        <v>20070607</v>
      </c>
      <c r="C18" s="23">
        <v>20071115</v>
      </c>
      <c r="D18" s="23">
        <v>4</v>
      </c>
      <c r="E18" s="23">
        <v>0</v>
      </c>
      <c r="F18" s="23">
        <v>97.900291999999993</v>
      </c>
      <c r="G18" s="23">
        <v>97.904764</v>
      </c>
      <c r="H18" s="26">
        <f t="shared" si="0"/>
        <v>0.43888888888888888</v>
      </c>
      <c r="I18" s="26">
        <f t="shared" si="1"/>
        <v>0</v>
      </c>
      <c r="K18" s="26">
        <f t="shared" si="2"/>
        <v>0.43888888888888888</v>
      </c>
      <c r="L18" s="23">
        <f t="shared" si="67"/>
        <v>0</v>
      </c>
      <c r="M18" s="23">
        <f t="shared" si="67"/>
        <v>0</v>
      </c>
      <c r="N18" s="23">
        <f t="shared" si="67"/>
        <v>0</v>
      </c>
      <c r="O18" s="23">
        <f t="shared" si="67"/>
        <v>0</v>
      </c>
      <c r="P18" s="23">
        <f t="shared" si="67"/>
        <v>0</v>
      </c>
      <c r="Q18" s="23">
        <f t="shared" si="67"/>
        <v>0</v>
      </c>
      <c r="R18" s="23">
        <f t="shared" si="67"/>
        <v>0</v>
      </c>
      <c r="S18" s="23">
        <f t="shared" si="67"/>
        <v>0</v>
      </c>
      <c r="T18" s="23">
        <f t="shared" si="67"/>
        <v>0</v>
      </c>
      <c r="U18" s="23">
        <f t="shared" si="67"/>
        <v>0</v>
      </c>
      <c r="V18" s="23">
        <f t="shared" si="67"/>
        <v>0</v>
      </c>
      <c r="W18" s="23">
        <f t="shared" si="67"/>
        <v>0</v>
      </c>
      <c r="X18" s="23">
        <f t="shared" si="67"/>
        <v>0</v>
      </c>
      <c r="Y18" s="23">
        <f t="shared" si="67"/>
        <v>0</v>
      </c>
      <c r="Z18" s="23">
        <f t="shared" si="67"/>
        <v>0</v>
      </c>
      <c r="AA18" s="23">
        <f t="shared" si="67"/>
        <v>0</v>
      </c>
      <c r="AB18" s="23">
        <f t="shared" si="67"/>
        <v>0</v>
      </c>
      <c r="AC18" s="23">
        <f t="shared" si="67"/>
        <v>0</v>
      </c>
      <c r="AD18" s="23">
        <f t="shared" si="67"/>
        <v>0</v>
      </c>
      <c r="AE18" s="23">
        <f t="shared" si="67"/>
        <v>0</v>
      </c>
      <c r="AF18" s="23">
        <f t="shared" si="67"/>
        <v>0</v>
      </c>
      <c r="AG18" s="23">
        <f t="shared" si="67"/>
        <v>0</v>
      </c>
      <c r="AH18" s="23">
        <f t="shared" si="67"/>
        <v>0</v>
      </c>
      <c r="AI18" s="23">
        <f t="shared" si="67"/>
        <v>0</v>
      </c>
      <c r="AJ18" s="23">
        <f t="shared" si="67"/>
        <v>0</v>
      </c>
      <c r="AK18" s="23">
        <f t="shared" si="67"/>
        <v>0</v>
      </c>
      <c r="AL18" s="23">
        <f t="shared" si="67"/>
        <v>0</v>
      </c>
      <c r="AM18" s="23">
        <f t="shared" si="67"/>
        <v>0</v>
      </c>
      <c r="AN18" s="23">
        <f t="shared" si="67"/>
        <v>0</v>
      </c>
      <c r="AO18" s="23">
        <f t="shared" si="67"/>
        <v>0</v>
      </c>
      <c r="AP18" s="23">
        <f t="shared" si="67"/>
        <v>0</v>
      </c>
      <c r="AQ18" s="23">
        <f t="shared" si="67"/>
        <v>0</v>
      </c>
      <c r="AR18" s="23">
        <f t="shared" si="67"/>
        <v>0</v>
      </c>
      <c r="AS18" s="23">
        <f t="shared" si="65"/>
        <v>0</v>
      </c>
      <c r="AT18" s="23">
        <f t="shared" si="65"/>
        <v>0</v>
      </c>
      <c r="AU18" s="23">
        <f t="shared" si="65"/>
        <v>0</v>
      </c>
      <c r="AV18" s="23">
        <f t="shared" si="65"/>
        <v>0</v>
      </c>
      <c r="AW18" s="23">
        <f t="shared" si="65"/>
        <v>0</v>
      </c>
      <c r="AX18" s="23">
        <f t="shared" si="65"/>
        <v>0</v>
      </c>
      <c r="AY18" s="23">
        <f t="shared" si="65"/>
        <v>0</v>
      </c>
      <c r="AZ18" s="23">
        <f t="shared" si="65"/>
        <v>0</v>
      </c>
      <c r="BA18" s="23">
        <f t="shared" si="65"/>
        <v>0</v>
      </c>
      <c r="BB18" s="23">
        <f t="shared" si="65"/>
        <v>0</v>
      </c>
      <c r="BC18" s="23">
        <f t="shared" si="65"/>
        <v>0</v>
      </c>
      <c r="BD18" s="23">
        <f t="shared" si="65"/>
        <v>0</v>
      </c>
      <c r="BE18" s="23">
        <f t="shared" si="65"/>
        <v>0</v>
      </c>
      <c r="BF18" s="23">
        <f t="shared" si="65"/>
        <v>0</v>
      </c>
      <c r="BG18" s="23">
        <f t="shared" si="66"/>
        <v>0</v>
      </c>
      <c r="BH18" s="23">
        <f t="shared" si="66"/>
        <v>0</v>
      </c>
      <c r="BI18" s="23">
        <f t="shared" si="66"/>
        <v>0</v>
      </c>
      <c r="BJ18" s="23">
        <f t="shared" si="66"/>
        <v>0</v>
      </c>
      <c r="BK18" s="23">
        <f t="shared" si="66"/>
        <v>0</v>
      </c>
      <c r="BL18" s="23">
        <f t="shared" si="66"/>
        <v>0</v>
      </c>
      <c r="BM18" s="23">
        <f t="shared" si="66"/>
        <v>0</v>
      </c>
      <c r="BN18" s="23">
        <f t="shared" si="66"/>
        <v>0</v>
      </c>
      <c r="BO18" s="23">
        <f t="shared" si="66"/>
        <v>0</v>
      </c>
      <c r="BP18" s="23">
        <f t="shared" si="66"/>
        <v>0</v>
      </c>
      <c r="BQ18" s="23">
        <f t="shared" si="66"/>
        <v>0</v>
      </c>
      <c r="BR18" s="23">
        <f t="shared" si="66"/>
        <v>0</v>
      </c>
      <c r="BS18" s="23">
        <f t="shared" si="66"/>
        <v>0</v>
      </c>
      <c r="BU18" s="23">
        <f t="shared" si="4"/>
        <v>100</v>
      </c>
      <c r="BV18" s="23">
        <f t="shared" si="5"/>
        <v>0</v>
      </c>
      <c r="BW18" s="23">
        <f t="shared" si="6"/>
        <v>0</v>
      </c>
      <c r="BX18" s="23">
        <f t="shared" si="7"/>
        <v>0</v>
      </c>
      <c r="BY18" s="23">
        <f t="shared" si="8"/>
        <v>0</v>
      </c>
      <c r="BZ18" s="23">
        <f t="shared" si="9"/>
        <v>0</v>
      </c>
      <c r="CA18" s="23">
        <f t="shared" si="10"/>
        <v>0</v>
      </c>
      <c r="CB18" s="23">
        <f t="shared" si="11"/>
        <v>0</v>
      </c>
      <c r="CC18" s="23">
        <f t="shared" si="12"/>
        <v>0</v>
      </c>
      <c r="CD18" s="23">
        <f t="shared" si="13"/>
        <v>0</v>
      </c>
      <c r="CE18" s="23">
        <f t="shared" si="14"/>
        <v>0</v>
      </c>
      <c r="CF18" s="23">
        <f t="shared" si="15"/>
        <v>0</v>
      </c>
      <c r="CG18" s="23">
        <f t="shared" si="16"/>
        <v>0</v>
      </c>
      <c r="CH18" s="23">
        <f t="shared" si="17"/>
        <v>0</v>
      </c>
      <c r="CI18" s="23">
        <f t="shared" si="18"/>
        <v>0</v>
      </c>
      <c r="CJ18" s="23">
        <f t="shared" si="19"/>
        <v>0</v>
      </c>
      <c r="CK18" s="23">
        <f t="shared" si="20"/>
        <v>0</v>
      </c>
      <c r="CL18" s="23">
        <f t="shared" si="21"/>
        <v>0</v>
      </c>
      <c r="CM18" s="23">
        <f t="shared" si="22"/>
        <v>0</v>
      </c>
      <c r="CN18" s="23">
        <f t="shared" si="23"/>
        <v>0</v>
      </c>
      <c r="CO18" s="23">
        <f t="shared" si="24"/>
        <v>0</v>
      </c>
      <c r="CP18" s="23">
        <f t="shared" si="25"/>
        <v>0</v>
      </c>
      <c r="CQ18" s="23">
        <f t="shared" si="26"/>
        <v>0</v>
      </c>
      <c r="CR18" s="23">
        <f t="shared" si="27"/>
        <v>0</v>
      </c>
      <c r="CS18" s="23">
        <f t="shared" si="28"/>
        <v>0</v>
      </c>
      <c r="CT18" s="23">
        <f t="shared" si="29"/>
        <v>0</v>
      </c>
      <c r="CU18" s="23">
        <f t="shared" si="30"/>
        <v>0</v>
      </c>
      <c r="CV18" s="23">
        <f t="shared" si="31"/>
        <v>0</v>
      </c>
      <c r="CW18" s="23">
        <f t="shared" si="32"/>
        <v>0</v>
      </c>
      <c r="CX18" s="23">
        <f t="shared" si="33"/>
        <v>0</v>
      </c>
      <c r="CY18" s="23">
        <f t="shared" si="34"/>
        <v>0</v>
      </c>
      <c r="CZ18" s="23">
        <f t="shared" si="35"/>
        <v>0</v>
      </c>
      <c r="DA18" s="23">
        <f t="shared" si="36"/>
        <v>0</v>
      </c>
      <c r="DB18" s="23">
        <f t="shared" si="37"/>
        <v>0</v>
      </c>
      <c r="DC18" s="23">
        <f t="shared" si="38"/>
        <v>0</v>
      </c>
      <c r="DD18" s="23">
        <f t="shared" si="39"/>
        <v>0</v>
      </c>
      <c r="DE18" s="23">
        <f t="shared" si="40"/>
        <v>0</v>
      </c>
      <c r="DF18" s="23">
        <f t="shared" si="41"/>
        <v>0</v>
      </c>
      <c r="DG18" s="23">
        <f t="shared" si="42"/>
        <v>0</v>
      </c>
      <c r="DH18" s="23">
        <f t="shared" si="43"/>
        <v>0</v>
      </c>
      <c r="DI18" s="23">
        <f t="shared" si="44"/>
        <v>0</v>
      </c>
      <c r="DJ18" s="23">
        <f t="shared" si="45"/>
        <v>0</v>
      </c>
      <c r="DK18" s="23">
        <f t="shared" si="46"/>
        <v>0</v>
      </c>
      <c r="DL18" s="23">
        <f t="shared" si="47"/>
        <v>0</v>
      </c>
      <c r="DM18" s="23">
        <f t="shared" si="48"/>
        <v>0</v>
      </c>
      <c r="DN18" s="23">
        <f t="shared" si="49"/>
        <v>0</v>
      </c>
      <c r="DO18" s="23">
        <f t="shared" si="50"/>
        <v>0</v>
      </c>
      <c r="DP18" s="23">
        <f t="shared" si="51"/>
        <v>0</v>
      </c>
      <c r="DQ18" s="23">
        <f t="shared" si="52"/>
        <v>0</v>
      </c>
      <c r="DR18" s="23">
        <f t="shared" si="53"/>
        <v>0</v>
      </c>
      <c r="DS18" s="23">
        <f t="shared" si="54"/>
        <v>0</v>
      </c>
      <c r="DT18" s="23">
        <f t="shared" si="55"/>
        <v>0</v>
      </c>
      <c r="DU18" s="23">
        <f t="shared" si="56"/>
        <v>0</v>
      </c>
      <c r="DV18" s="23">
        <f t="shared" si="57"/>
        <v>0</v>
      </c>
      <c r="DW18" s="23">
        <f t="shared" si="58"/>
        <v>0</v>
      </c>
      <c r="DX18" s="23">
        <f t="shared" si="59"/>
        <v>0</v>
      </c>
      <c r="DY18" s="23">
        <f t="shared" si="60"/>
        <v>0</v>
      </c>
      <c r="DZ18" s="23">
        <f t="shared" si="61"/>
        <v>0</v>
      </c>
      <c r="EA18" s="23">
        <f t="shared" si="62"/>
        <v>0</v>
      </c>
      <c r="EB18" s="23">
        <f t="shared" si="63"/>
        <v>0</v>
      </c>
    </row>
    <row r="19" spans="1:132">
      <c r="A19" s="23">
        <v>20071206.399999999</v>
      </c>
      <c r="B19" s="23">
        <v>20070607</v>
      </c>
      <c r="C19" s="23">
        <v>20071206</v>
      </c>
      <c r="D19" s="23">
        <v>4</v>
      </c>
      <c r="E19" s="23">
        <v>0</v>
      </c>
      <c r="F19" s="23">
        <v>97.591027999999994</v>
      </c>
      <c r="G19" s="23">
        <v>97.596082999999993</v>
      </c>
      <c r="H19" s="26">
        <f t="shared" si="0"/>
        <v>0.49722222222222223</v>
      </c>
      <c r="I19" s="26">
        <f t="shared" si="1"/>
        <v>0</v>
      </c>
      <c r="K19" s="26">
        <f t="shared" si="2"/>
        <v>0.49722222222222223</v>
      </c>
      <c r="L19" s="23">
        <f t="shared" si="67"/>
        <v>0</v>
      </c>
      <c r="M19" s="23">
        <f t="shared" si="67"/>
        <v>0</v>
      </c>
      <c r="N19" s="23">
        <f t="shared" si="67"/>
        <v>0</v>
      </c>
      <c r="O19" s="23">
        <f t="shared" si="67"/>
        <v>0</v>
      </c>
      <c r="P19" s="23">
        <f t="shared" si="67"/>
        <v>0</v>
      </c>
      <c r="Q19" s="23">
        <f t="shared" si="67"/>
        <v>0</v>
      </c>
      <c r="R19" s="23">
        <f t="shared" si="67"/>
        <v>0</v>
      </c>
      <c r="S19" s="23">
        <f t="shared" si="67"/>
        <v>0</v>
      </c>
      <c r="T19" s="23">
        <f t="shared" si="67"/>
        <v>0</v>
      </c>
      <c r="U19" s="23">
        <f t="shared" si="67"/>
        <v>0</v>
      </c>
      <c r="V19" s="23">
        <f t="shared" si="67"/>
        <v>0</v>
      </c>
      <c r="W19" s="23">
        <f t="shared" si="67"/>
        <v>0</v>
      </c>
      <c r="X19" s="23">
        <f t="shared" si="67"/>
        <v>0</v>
      </c>
      <c r="Y19" s="23">
        <f t="shared" si="67"/>
        <v>0</v>
      </c>
      <c r="Z19" s="23">
        <f t="shared" si="67"/>
        <v>0</v>
      </c>
      <c r="AA19" s="23">
        <f t="shared" si="67"/>
        <v>0</v>
      </c>
      <c r="AB19" s="23">
        <f t="shared" si="67"/>
        <v>0</v>
      </c>
      <c r="AC19" s="23">
        <f t="shared" si="67"/>
        <v>0</v>
      </c>
      <c r="AD19" s="23">
        <f t="shared" si="67"/>
        <v>0</v>
      </c>
      <c r="AE19" s="23">
        <f t="shared" si="67"/>
        <v>0</v>
      </c>
      <c r="AF19" s="23">
        <f t="shared" si="67"/>
        <v>0</v>
      </c>
      <c r="AG19" s="23">
        <f t="shared" si="67"/>
        <v>0</v>
      </c>
      <c r="AH19" s="23">
        <f t="shared" si="67"/>
        <v>0</v>
      </c>
      <c r="AI19" s="23">
        <f t="shared" si="67"/>
        <v>0</v>
      </c>
      <c r="AJ19" s="23">
        <f t="shared" si="67"/>
        <v>0</v>
      </c>
      <c r="AK19" s="23">
        <f t="shared" si="67"/>
        <v>0</v>
      </c>
      <c r="AL19" s="23">
        <f t="shared" si="67"/>
        <v>0</v>
      </c>
      <c r="AM19" s="23">
        <f t="shared" si="67"/>
        <v>0</v>
      </c>
      <c r="AN19" s="23">
        <f t="shared" si="67"/>
        <v>0</v>
      </c>
      <c r="AO19" s="23">
        <f t="shared" si="67"/>
        <v>0</v>
      </c>
      <c r="AP19" s="23">
        <f t="shared" si="67"/>
        <v>0</v>
      </c>
      <c r="AQ19" s="23">
        <f t="shared" si="67"/>
        <v>0</v>
      </c>
      <c r="AR19" s="23">
        <f t="shared" si="67"/>
        <v>0</v>
      </c>
      <c r="AS19" s="23">
        <f t="shared" si="65"/>
        <v>0</v>
      </c>
      <c r="AT19" s="23">
        <f t="shared" si="65"/>
        <v>0</v>
      </c>
      <c r="AU19" s="23">
        <f t="shared" si="65"/>
        <v>0</v>
      </c>
      <c r="AV19" s="23">
        <f t="shared" si="65"/>
        <v>0</v>
      </c>
      <c r="AW19" s="23">
        <f t="shared" si="65"/>
        <v>0</v>
      </c>
      <c r="AX19" s="23">
        <f t="shared" si="65"/>
        <v>0</v>
      </c>
      <c r="AY19" s="23">
        <f t="shared" si="65"/>
        <v>0</v>
      </c>
      <c r="AZ19" s="23">
        <f t="shared" si="65"/>
        <v>0</v>
      </c>
      <c r="BA19" s="23">
        <f t="shared" si="65"/>
        <v>0</v>
      </c>
      <c r="BB19" s="23">
        <f t="shared" si="65"/>
        <v>0</v>
      </c>
      <c r="BC19" s="23">
        <f t="shared" si="65"/>
        <v>0</v>
      </c>
      <c r="BD19" s="23">
        <f t="shared" si="65"/>
        <v>0</v>
      </c>
      <c r="BE19" s="23">
        <f t="shared" si="65"/>
        <v>0</v>
      </c>
      <c r="BF19" s="23">
        <f t="shared" si="65"/>
        <v>0</v>
      </c>
      <c r="BG19" s="23">
        <f t="shared" si="66"/>
        <v>0</v>
      </c>
      <c r="BH19" s="23">
        <f t="shared" si="66"/>
        <v>0</v>
      </c>
      <c r="BI19" s="23">
        <f t="shared" si="66"/>
        <v>0</v>
      </c>
      <c r="BJ19" s="23">
        <f t="shared" si="66"/>
        <v>0</v>
      </c>
      <c r="BK19" s="23">
        <f t="shared" si="66"/>
        <v>0</v>
      </c>
      <c r="BL19" s="23">
        <f t="shared" si="66"/>
        <v>0</v>
      </c>
      <c r="BM19" s="23">
        <f t="shared" si="66"/>
        <v>0</v>
      </c>
      <c r="BN19" s="23">
        <f t="shared" si="66"/>
        <v>0</v>
      </c>
      <c r="BO19" s="23">
        <f t="shared" si="66"/>
        <v>0</v>
      </c>
      <c r="BP19" s="23">
        <f t="shared" si="66"/>
        <v>0</v>
      </c>
      <c r="BQ19" s="23">
        <f t="shared" si="66"/>
        <v>0</v>
      </c>
      <c r="BR19" s="23">
        <f t="shared" si="66"/>
        <v>0</v>
      </c>
      <c r="BS19" s="23">
        <f t="shared" si="66"/>
        <v>0</v>
      </c>
      <c r="BU19" s="23">
        <f t="shared" si="4"/>
        <v>100</v>
      </c>
      <c r="BV19" s="23">
        <f t="shared" si="5"/>
        <v>0</v>
      </c>
      <c r="BW19" s="23">
        <f t="shared" si="6"/>
        <v>0</v>
      </c>
      <c r="BX19" s="23">
        <f t="shared" si="7"/>
        <v>0</v>
      </c>
      <c r="BY19" s="23">
        <f t="shared" si="8"/>
        <v>0</v>
      </c>
      <c r="BZ19" s="23">
        <f t="shared" si="9"/>
        <v>0</v>
      </c>
      <c r="CA19" s="23">
        <f t="shared" si="10"/>
        <v>0</v>
      </c>
      <c r="CB19" s="23">
        <f t="shared" si="11"/>
        <v>0</v>
      </c>
      <c r="CC19" s="23">
        <f t="shared" si="12"/>
        <v>0</v>
      </c>
      <c r="CD19" s="23">
        <f t="shared" si="13"/>
        <v>0</v>
      </c>
      <c r="CE19" s="23">
        <f t="shared" si="14"/>
        <v>0</v>
      </c>
      <c r="CF19" s="23">
        <f t="shared" si="15"/>
        <v>0</v>
      </c>
      <c r="CG19" s="23">
        <f t="shared" si="16"/>
        <v>0</v>
      </c>
      <c r="CH19" s="23">
        <f t="shared" si="17"/>
        <v>0</v>
      </c>
      <c r="CI19" s="23">
        <f t="shared" si="18"/>
        <v>0</v>
      </c>
      <c r="CJ19" s="23">
        <f t="shared" si="19"/>
        <v>0</v>
      </c>
      <c r="CK19" s="23">
        <f t="shared" si="20"/>
        <v>0</v>
      </c>
      <c r="CL19" s="23">
        <f t="shared" si="21"/>
        <v>0</v>
      </c>
      <c r="CM19" s="23">
        <f t="shared" si="22"/>
        <v>0</v>
      </c>
      <c r="CN19" s="23">
        <f t="shared" si="23"/>
        <v>0</v>
      </c>
      <c r="CO19" s="23">
        <f t="shared" si="24"/>
        <v>0</v>
      </c>
      <c r="CP19" s="23">
        <f t="shared" si="25"/>
        <v>0</v>
      </c>
      <c r="CQ19" s="23">
        <f t="shared" si="26"/>
        <v>0</v>
      </c>
      <c r="CR19" s="23">
        <f t="shared" si="27"/>
        <v>0</v>
      </c>
      <c r="CS19" s="23">
        <f t="shared" si="28"/>
        <v>0</v>
      </c>
      <c r="CT19" s="23">
        <f t="shared" si="29"/>
        <v>0</v>
      </c>
      <c r="CU19" s="23">
        <f t="shared" si="30"/>
        <v>0</v>
      </c>
      <c r="CV19" s="23">
        <f t="shared" si="31"/>
        <v>0</v>
      </c>
      <c r="CW19" s="23">
        <f t="shared" si="32"/>
        <v>0</v>
      </c>
      <c r="CX19" s="23">
        <f t="shared" si="33"/>
        <v>0</v>
      </c>
      <c r="CY19" s="23">
        <f t="shared" si="34"/>
        <v>0</v>
      </c>
      <c r="CZ19" s="23">
        <f t="shared" si="35"/>
        <v>0</v>
      </c>
      <c r="DA19" s="23">
        <f t="shared" si="36"/>
        <v>0</v>
      </c>
      <c r="DB19" s="23">
        <f t="shared" si="37"/>
        <v>0</v>
      </c>
      <c r="DC19" s="23">
        <f t="shared" si="38"/>
        <v>0</v>
      </c>
      <c r="DD19" s="23">
        <f t="shared" si="39"/>
        <v>0</v>
      </c>
      <c r="DE19" s="23">
        <f t="shared" si="40"/>
        <v>0</v>
      </c>
      <c r="DF19" s="23">
        <f t="shared" si="41"/>
        <v>0</v>
      </c>
      <c r="DG19" s="23">
        <f t="shared" si="42"/>
        <v>0</v>
      </c>
      <c r="DH19" s="23">
        <f t="shared" si="43"/>
        <v>0</v>
      </c>
      <c r="DI19" s="23">
        <f t="shared" si="44"/>
        <v>0</v>
      </c>
      <c r="DJ19" s="23">
        <f t="shared" si="45"/>
        <v>0</v>
      </c>
      <c r="DK19" s="23">
        <f t="shared" si="46"/>
        <v>0</v>
      </c>
      <c r="DL19" s="23">
        <f t="shared" si="47"/>
        <v>0</v>
      </c>
      <c r="DM19" s="23">
        <f t="shared" si="48"/>
        <v>0</v>
      </c>
      <c r="DN19" s="23">
        <f t="shared" si="49"/>
        <v>0</v>
      </c>
      <c r="DO19" s="23">
        <f t="shared" si="50"/>
        <v>0</v>
      </c>
      <c r="DP19" s="23">
        <f t="shared" si="51"/>
        <v>0</v>
      </c>
      <c r="DQ19" s="23">
        <f t="shared" si="52"/>
        <v>0</v>
      </c>
      <c r="DR19" s="23">
        <f t="shared" si="53"/>
        <v>0</v>
      </c>
      <c r="DS19" s="23">
        <f t="shared" si="54"/>
        <v>0</v>
      </c>
      <c r="DT19" s="23">
        <f t="shared" si="55"/>
        <v>0</v>
      </c>
      <c r="DU19" s="23">
        <f t="shared" si="56"/>
        <v>0</v>
      </c>
      <c r="DV19" s="23">
        <f t="shared" si="57"/>
        <v>0</v>
      </c>
      <c r="DW19" s="23">
        <f t="shared" si="58"/>
        <v>0</v>
      </c>
      <c r="DX19" s="23">
        <f t="shared" si="59"/>
        <v>0</v>
      </c>
      <c r="DY19" s="23">
        <f t="shared" si="60"/>
        <v>0</v>
      </c>
      <c r="DZ19" s="23">
        <f t="shared" si="61"/>
        <v>0</v>
      </c>
      <c r="EA19" s="23">
        <f t="shared" si="62"/>
        <v>0</v>
      </c>
      <c r="EB19" s="23">
        <f t="shared" si="63"/>
        <v>0</v>
      </c>
    </row>
    <row r="20" spans="1:132">
      <c r="A20" s="23">
        <v>20080215.203370001</v>
      </c>
      <c r="B20" s="23">
        <v>20070607</v>
      </c>
      <c r="C20" s="23">
        <v>20080215</v>
      </c>
      <c r="D20" s="23">
        <v>2</v>
      </c>
      <c r="E20" s="23">
        <v>3.375</v>
      </c>
      <c r="F20" s="23">
        <v>98.851562000000001</v>
      </c>
      <c r="G20" s="23">
        <v>98.882812000000001</v>
      </c>
      <c r="H20" s="26">
        <f t="shared" si="0"/>
        <v>0.68888888888888888</v>
      </c>
      <c r="I20" s="26">
        <f t="shared" si="1"/>
        <v>1.05</v>
      </c>
      <c r="K20" s="26">
        <v>0.18888888888888888</v>
      </c>
      <c r="L20" s="23">
        <f t="shared" si="67"/>
        <v>0.68888888888888888</v>
      </c>
      <c r="M20" s="23">
        <f t="shared" si="67"/>
        <v>0</v>
      </c>
      <c r="N20" s="23">
        <f t="shared" si="67"/>
        <v>0</v>
      </c>
      <c r="O20" s="23">
        <f t="shared" si="67"/>
        <v>0</v>
      </c>
      <c r="P20" s="23">
        <f t="shared" si="67"/>
        <v>0</v>
      </c>
      <c r="Q20" s="23">
        <f t="shared" si="67"/>
        <v>0</v>
      </c>
      <c r="R20" s="23">
        <f t="shared" si="67"/>
        <v>0</v>
      </c>
      <c r="S20" s="23">
        <f t="shared" si="67"/>
        <v>0</v>
      </c>
      <c r="T20" s="23">
        <f t="shared" si="67"/>
        <v>0</v>
      </c>
      <c r="U20" s="23">
        <f t="shared" si="67"/>
        <v>0</v>
      </c>
      <c r="V20" s="23">
        <f t="shared" si="67"/>
        <v>0</v>
      </c>
      <c r="W20" s="23">
        <f t="shared" si="67"/>
        <v>0</v>
      </c>
      <c r="X20" s="23">
        <f t="shared" si="67"/>
        <v>0</v>
      </c>
      <c r="Y20" s="23">
        <f t="shared" si="67"/>
        <v>0</v>
      </c>
      <c r="Z20" s="23">
        <f t="shared" si="67"/>
        <v>0</v>
      </c>
      <c r="AA20" s="23">
        <f t="shared" si="67"/>
        <v>0</v>
      </c>
      <c r="AB20" s="23">
        <f t="shared" si="67"/>
        <v>0</v>
      </c>
      <c r="AC20" s="23">
        <f t="shared" si="67"/>
        <v>0</v>
      </c>
      <c r="AD20" s="23">
        <f t="shared" si="67"/>
        <v>0</v>
      </c>
      <c r="AE20" s="23">
        <f t="shared" si="67"/>
        <v>0</v>
      </c>
      <c r="AF20" s="23">
        <f t="shared" si="67"/>
        <v>0</v>
      </c>
      <c r="AG20" s="23">
        <f t="shared" si="67"/>
        <v>0</v>
      </c>
      <c r="AH20" s="23">
        <f t="shared" si="67"/>
        <v>0</v>
      </c>
      <c r="AI20" s="23">
        <f t="shared" si="67"/>
        <v>0</v>
      </c>
      <c r="AJ20" s="23">
        <f t="shared" si="67"/>
        <v>0</v>
      </c>
      <c r="AK20" s="23">
        <f t="shared" si="67"/>
        <v>0</v>
      </c>
      <c r="AL20" s="23">
        <f t="shared" si="67"/>
        <v>0</v>
      </c>
      <c r="AM20" s="23">
        <f t="shared" si="67"/>
        <v>0</v>
      </c>
      <c r="AN20" s="23">
        <f t="shared" si="67"/>
        <v>0</v>
      </c>
      <c r="AO20" s="23">
        <f t="shared" si="67"/>
        <v>0</v>
      </c>
      <c r="AP20" s="23">
        <f t="shared" si="67"/>
        <v>0</v>
      </c>
      <c r="AQ20" s="23">
        <f t="shared" si="67"/>
        <v>0</v>
      </c>
      <c r="AR20" s="23">
        <f t="shared" si="67"/>
        <v>0</v>
      </c>
      <c r="AS20" s="23">
        <f t="shared" si="65"/>
        <v>0</v>
      </c>
      <c r="AT20" s="23">
        <f t="shared" si="65"/>
        <v>0</v>
      </c>
      <c r="AU20" s="23">
        <f t="shared" si="65"/>
        <v>0</v>
      </c>
      <c r="AV20" s="23">
        <f t="shared" si="65"/>
        <v>0</v>
      </c>
      <c r="AW20" s="23">
        <f t="shared" si="65"/>
        <v>0</v>
      </c>
      <c r="AX20" s="23">
        <f t="shared" si="65"/>
        <v>0</v>
      </c>
      <c r="AY20" s="23">
        <f t="shared" si="65"/>
        <v>0</v>
      </c>
      <c r="AZ20" s="23">
        <f t="shared" si="65"/>
        <v>0</v>
      </c>
      <c r="BA20" s="23">
        <f t="shared" si="65"/>
        <v>0</v>
      </c>
      <c r="BB20" s="23">
        <f t="shared" si="65"/>
        <v>0</v>
      </c>
      <c r="BC20" s="23">
        <f t="shared" si="65"/>
        <v>0</v>
      </c>
      <c r="BD20" s="23">
        <f t="shared" si="65"/>
        <v>0</v>
      </c>
      <c r="BE20" s="23">
        <f t="shared" si="65"/>
        <v>0</v>
      </c>
      <c r="BF20" s="23">
        <f t="shared" si="65"/>
        <v>0</v>
      </c>
      <c r="BG20" s="23">
        <f t="shared" si="66"/>
        <v>0</v>
      </c>
      <c r="BH20" s="23">
        <f t="shared" si="66"/>
        <v>0</v>
      </c>
      <c r="BI20" s="23">
        <f t="shared" si="66"/>
        <v>0</v>
      </c>
      <c r="BJ20" s="23">
        <f t="shared" si="66"/>
        <v>0</v>
      </c>
      <c r="BK20" s="23">
        <f t="shared" si="66"/>
        <v>0</v>
      </c>
      <c r="BL20" s="23">
        <f t="shared" si="66"/>
        <v>0</v>
      </c>
      <c r="BM20" s="23">
        <f t="shared" si="66"/>
        <v>0</v>
      </c>
      <c r="BN20" s="23">
        <f t="shared" si="66"/>
        <v>0</v>
      </c>
      <c r="BO20" s="23">
        <f t="shared" si="66"/>
        <v>0</v>
      </c>
      <c r="BP20" s="23">
        <f t="shared" si="66"/>
        <v>0</v>
      </c>
      <c r="BQ20" s="23">
        <f t="shared" si="66"/>
        <v>0</v>
      </c>
      <c r="BR20" s="23">
        <f t="shared" si="66"/>
        <v>0</v>
      </c>
      <c r="BS20" s="23">
        <f t="shared" si="66"/>
        <v>0</v>
      </c>
      <c r="BU20" s="23">
        <f t="shared" si="4"/>
        <v>1.6875</v>
      </c>
      <c r="BV20" s="23">
        <f t="shared" si="5"/>
        <v>101.6875</v>
      </c>
      <c r="BW20" s="23">
        <f t="shared" si="6"/>
        <v>0</v>
      </c>
      <c r="BX20" s="23">
        <f t="shared" si="7"/>
        <v>0</v>
      </c>
      <c r="BY20" s="23">
        <f t="shared" si="8"/>
        <v>0</v>
      </c>
      <c r="BZ20" s="23">
        <f t="shared" si="9"/>
        <v>0</v>
      </c>
      <c r="CA20" s="23">
        <f t="shared" si="10"/>
        <v>0</v>
      </c>
      <c r="CB20" s="23">
        <f t="shared" si="11"/>
        <v>0</v>
      </c>
      <c r="CC20" s="23">
        <f t="shared" si="12"/>
        <v>0</v>
      </c>
      <c r="CD20" s="23">
        <f t="shared" si="13"/>
        <v>0</v>
      </c>
      <c r="CE20" s="23">
        <f t="shared" si="14"/>
        <v>0</v>
      </c>
      <c r="CF20" s="23">
        <f t="shared" si="15"/>
        <v>0</v>
      </c>
      <c r="CG20" s="23">
        <f t="shared" si="16"/>
        <v>0</v>
      </c>
      <c r="CH20" s="23">
        <f t="shared" si="17"/>
        <v>0</v>
      </c>
      <c r="CI20" s="23">
        <f t="shared" si="18"/>
        <v>0</v>
      </c>
      <c r="CJ20" s="23">
        <f t="shared" si="19"/>
        <v>0</v>
      </c>
      <c r="CK20" s="23">
        <f t="shared" si="20"/>
        <v>0</v>
      </c>
      <c r="CL20" s="23">
        <f t="shared" si="21"/>
        <v>0</v>
      </c>
      <c r="CM20" s="23">
        <f t="shared" si="22"/>
        <v>0</v>
      </c>
      <c r="CN20" s="23">
        <f t="shared" si="23"/>
        <v>0</v>
      </c>
      <c r="CO20" s="23">
        <f t="shared" si="24"/>
        <v>0</v>
      </c>
      <c r="CP20" s="23">
        <f t="shared" si="25"/>
        <v>0</v>
      </c>
      <c r="CQ20" s="23">
        <f t="shared" si="26"/>
        <v>0</v>
      </c>
      <c r="CR20" s="23">
        <f t="shared" si="27"/>
        <v>0</v>
      </c>
      <c r="CS20" s="23">
        <f t="shared" si="28"/>
        <v>0</v>
      </c>
      <c r="CT20" s="23">
        <f t="shared" si="29"/>
        <v>0</v>
      </c>
      <c r="CU20" s="23">
        <f t="shared" si="30"/>
        <v>0</v>
      </c>
      <c r="CV20" s="23">
        <f t="shared" si="31"/>
        <v>0</v>
      </c>
      <c r="CW20" s="23">
        <f t="shared" si="32"/>
        <v>0</v>
      </c>
      <c r="CX20" s="23">
        <f t="shared" si="33"/>
        <v>0</v>
      </c>
      <c r="CY20" s="23">
        <f t="shared" si="34"/>
        <v>0</v>
      </c>
      <c r="CZ20" s="23">
        <f t="shared" si="35"/>
        <v>0</v>
      </c>
      <c r="DA20" s="23">
        <f t="shared" si="36"/>
        <v>0</v>
      </c>
      <c r="DB20" s="23">
        <f t="shared" si="37"/>
        <v>0</v>
      </c>
      <c r="DC20" s="23">
        <f t="shared" si="38"/>
        <v>0</v>
      </c>
      <c r="DD20" s="23">
        <f t="shared" si="39"/>
        <v>0</v>
      </c>
      <c r="DE20" s="23">
        <f t="shared" si="40"/>
        <v>0</v>
      </c>
      <c r="DF20" s="23">
        <f t="shared" si="41"/>
        <v>0</v>
      </c>
      <c r="DG20" s="23">
        <f t="shared" si="42"/>
        <v>0</v>
      </c>
      <c r="DH20" s="23">
        <f t="shared" si="43"/>
        <v>0</v>
      </c>
      <c r="DI20" s="23">
        <f t="shared" si="44"/>
        <v>0</v>
      </c>
      <c r="DJ20" s="23">
        <f t="shared" si="45"/>
        <v>0</v>
      </c>
      <c r="DK20" s="23">
        <f t="shared" si="46"/>
        <v>0</v>
      </c>
      <c r="DL20" s="23">
        <f t="shared" si="47"/>
        <v>0</v>
      </c>
      <c r="DM20" s="23">
        <f t="shared" si="48"/>
        <v>0</v>
      </c>
      <c r="DN20" s="23">
        <f t="shared" si="49"/>
        <v>0</v>
      </c>
      <c r="DO20" s="23">
        <f t="shared" si="50"/>
        <v>0</v>
      </c>
      <c r="DP20" s="23">
        <f t="shared" si="51"/>
        <v>0</v>
      </c>
      <c r="DQ20" s="23">
        <f t="shared" si="52"/>
        <v>0</v>
      </c>
      <c r="DR20" s="23">
        <f t="shared" si="53"/>
        <v>0</v>
      </c>
      <c r="DS20" s="23">
        <f t="shared" si="54"/>
        <v>0</v>
      </c>
      <c r="DT20" s="23">
        <f t="shared" si="55"/>
        <v>0</v>
      </c>
      <c r="DU20" s="23">
        <f t="shared" si="56"/>
        <v>0</v>
      </c>
      <c r="DV20" s="23">
        <f t="shared" si="57"/>
        <v>0</v>
      </c>
      <c r="DW20" s="23">
        <f t="shared" si="58"/>
        <v>0</v>
      </c>
      <c r="DX20" s="23">
        <f t="shared" si="59"/>
        <v>0</v>
      </c>
      <c r="DY20" s="23">
        <f t="shared" si="60"/>
        <v>0</v>
      </c>
      <c r="DZ20" s="23">
        <f t="shared" si="61"/>
        <v>0</v>
      </c>
      <c r="EA20" s="23">
        <f t="shared" si="62"/>
        <v>0</v>
      </c>
      <c r="EB20" s="23">
        <f t="shared" si="63"/>
        <v>0</v>
      </c>
    </row>
    <row r="21" spans="1:132">
      <c r="A21" s="23">
        <v>20080815.204119999</v>
      </c>
      <c r="B21" s="23">
        <v>20070607</v>
      </c>
      <c r="C21" s="23">
        <v>20080815</v>
      </c>
      <c r="D21" s="23">
        <v>2</v>
      </c>
      <c r="E21" s="23">
        <v>4.125</v>
      </c>
      <c r="F21" s="23">
        <v>98.898437999999999</v>
      </c>
      <c r="G21" s="23">
        <v>98.929687999999999</v>
      </c>
      <c r="H21" s="26">
        <f t="shared" si="0"/>
        <v>1.1888888888888889</v>
      </c>
      <c r="I21" s="26">
        <f t="shared" si="1"/>
        <v>1.2833333333333334</v>
      </c>
      <c r="K21" s="26">
        <v>0.18888888888888888</v>
      </c>
      <c r="L21" s="23">
        <f t="shared" si="67"/>
        <v>0.68888888888888888</v>
      </c>
      <c r="M21" s="23">
        <f t="shared" si="67"/>
        <v>1.1888888888888889</v>
      </c>
      <c r="N21" s="23">
        <f t="shared" si="67"/>
        <v>0</v>
      </c>
      <c r="O21" s="23">
        <f t="shared" si="67"/>
        <v>0</v>
      </c>
      <c r="P21" s="23">
        <f t="shared" si="67"/>
        <v>0</v>
      </c>
      <c r="Q21" s="23">
        <f t="shared" si="67"/>
        <v>0</v>
      </c>
      <c r="R21" s="23">
        <f t="shared" si="67"/>
        <v>0</v>
      </c>
      <c r="S21" s="23">
        <f t="shared" si="67"/>
        <v>0</v>
      </c>
      <c r="T21" s="23">
        <f t="shared" si="67"/>
        <v>0</v>
      </c>
      <c r="U21" s="23">
        <f t="shared" si="67"/>
        <v>0</v>
      </c>
      <c r="V21" s="23">
        <f t="shared" si="67"/>
        <v>0</v>
      </c>
      <c r="W21" s="23">
        <f t="shared" si="67"/>
        <v>0</v>
      </c>
      <c r="X21" s="23">
        <f t="shared" si="67"/>
        <v>0</v>
      </c>
      <c r="Y21" s="23">
        <f t="shared" si="67"/>
        <v>0</v>
      </c>
      <c r="Z21" s="23">
        <f t="shared" si="67"/>
        <v>0</v>
      </c>
      <c r="AA21" s="23">
        <f t="shared" si="67"/>
        <v>0</v>
      </c>
      <c r="AB21" s="23">
        <f t="shared" si="67"/>
        <v>0</v>
      </c>
      <c r="AC21" s="23">
        <f t="shared" si="67"/>
        <v>0</v>
      </c>
      <c r="AD21" s="23">
        <f t="shared" si="67"/>
        <v>0</v>
      </c>
      <c r="AE21" s="23">
        <f t="shared" si="67"/>
        <v>0</v>
      </c>
      <c r="AF21" s="23">
        <f t="shared" si="67"/>
        <v>0</v>
      </c>
      <c r="AG21" s="23">
        <f t="shared" si="67"/>
        <v>0</v>
      </c>
      <c r="AH21" s="23">
        <f t="shared" si="67"/>
        <v>0</v>
      </c>
      <c r="AI21" s="23">
        <f t="shared" si="67"/>
        <v>0</v>
      </c>
      <c r="AJ21" s="23">
        <f t="shared" si="67"/>
        <v>0</v>
      </c>
      <c r="AK21" s="23">
        <f t="shared" si="67"/>
        <v>0</v>
      </c>
      <c r="AL21" s="23">
        <f t="shared" si="67"/>
        <v>0</v>
      </c>
      <c r="AM21" s="23">
        <f t="shared" si="67"/>
        <v>0</v>
      </c>
      <c r="AN21" s="23">
        <f t="shared" si="67"/>
        <v>0</v>
      </c>
      <c r="AO21" s="23">
        <f t="shared" si="67"/>
        <v>0</v>
      </c>
      <c r="AP21" s="23">
        <f t="shared" si="67"/>
        <v>0</v>
      </c>
      <c r="AQ21" s="23">
        <f t="shared" si="67"/>
        <v>0</v>
      </c>
      <c r="AR21" s="23">
        <f t="shared" si="67"/>
        <v>0</v>
      </c>
      <c r="AS21" s="23">
        <f t="shared" si="65"/>
        <v>0</v>
      </c>
      <c r="AT21" s="23">
        <f t="shared" si="65"/>
        <v>0</v>
      </c>
      <c r="AU21" s="23">
        <f t="shared" si="65"/>
        <v>0</v>
      </c>
      <c r="AV21" s="23">
        <f t="shared" si="65"/>
        <v>0</v>
      </c>
      <c r="AW21" s="23">
        <f t="shared" si="65"/>
        <v>0</v>
      </c>
      <c r="AX21" s="23">
        <f t="shared" si="65"/>
        <v>0</v>
      </c>
      <c r="AY21" s="23">
        <f t="shared" si="65"/>
        <v>0</v>
      </c>
      <c r="AZ21" s="23">
        <f t="shared" si="65"/>
        <v>0</v>
      </c>
      <c r="BA21" s="23">
        <f t="shared" si="65"/>
        <v>0</v>
      </c>
      <c r="BB21" s="23">
        <f t="shared" si="65"/>
        <v>0</v>
      </c>
      <c r="BC21" s="23">
        <f t="shared" si="65"/>
        <v>0</v>
      </c>
      <c r="BD21" s="23">
        <f t="shared" si="65"/>
        <v>0</v>
      </c>
      <c r="BE21" s="23">
        <f t="shared" si="65"/>
        <v>0</v>
      </c>
      <c r="BF21" s="23">
        <f t="shared" si="65"/>
        <v>0</v>
      </c>
      <c r="BG21" s="23">
        <f t="shared" si="66"/>
        <v>0</v>
      </c>
      <c r="BH21" s="23">
        <f t="shared" si="66"/>
        <v>0</v>
      </c>
      <c r="BI21" s="23">
        <f t="shared" si="66"/>
        <v>0</v>
      </c>
      <c r="BJ21" s="23">
        <f t="shared" si="66"/>
        <v>0</v>
      </c>
      <c r="BK21" s="23">
        <f t="shared" si="66"/>
        <v>0</v>
      </c>
      <c r="BL21" s="23">
        <f t="shared" si="66"/>
        <v>0</v>
      </c>
      <c r="BM21" s="23">
        <f t="shared" si="66"/>
        <v>0</v>
      </c>
      <c r="BN21" s="23">
        <f t="shared" si="66"/>
        <v>0</v>
      </c>
      <c r="BO21" s="23">
        <f t="shared" si="66"/>
        <v>0</v>
      </c>
      <c r="BP21" s="23">
        <f t="shared" si="66"/>
        <v>0</v>
      </c>
      <c r="BQ21" s="23">
        <f t="shared" si="66"/>
        <v>0</v>
      </c>
      <c r="BR21" s="23">
        <f t="shared" si="66"/>
        <v>0</v>
      </c>
      <c r="BS21" s="23">
        <f t="shared" si="66"/>
        <v>0</v>
      </c>
      <c r="BU21" s="23">
        <f t="shared" si="4"/>
        <v>2.0625</v>
      </c>
      <c r="BV21" s="23">
        <f t="shared" si="5"/>
        <v>2.0625</v>
      </c>
      <c r="BW21" s="23">
        <f t="shared" si="6"/>
        <v>102.0625</v>
      </c>
      <c r="BX21" s="23">
        <f t="shared" si="7"/>
        <v>0</v>
      </c>
      <c r="BY21" s="23">
        <f t="shared" si="8"/>
        <v>0</v>
      </c>
      <c r="BZ21" s="23">
        <f t="shared" si="9"/>
        <v>0</v>
      </c>
      <c r="CA21" s="23">
        <f t="shared" si="10"/>
        <v>0</v>
      </c>
      <c r="CB21" s="23">
        <f t="shared" si="11"/>
        <v>0</v>
      </c>
      <c r="CC21" s="23">
        <f t="shared" si="12"/>
        <v>0</v>
      </c>
      <c r="CD21" s="23">
        <f t="shared" si="13"/>
        <v>0</v>
      </c>
      <c r="CE21" s="23">
        <f t="shared" si="14"/>
        <v>0</v>
      </c>
      <c r="CF21" s="23">
        <f t="shared" si="15"/>
        <v>0</v>
      </c>
      <c r="CG21" s="23">
        <f t="shared" si="16"/>
        <v>0</v>
      </c>
      <c r="CH21" s="23">
        <f t="shared" si="17"/>
        <v>0</v>
      </c>
      <c r="CI21" s="23">
        <f t="shared" si="18"/>
        <v>0</v>
      </c>
      <c r="CJ21" s="23">
        <f t="shared" si="19"/>
        <v>0</v>
      </c>
      <c r="CK21" s="23">
        <f t="shared" si="20"/>
        <v>0</v>
      </c>
      <c r="CL21" s="23">
        <f t="shared" si="21"/>
        <v>0</v>
      </c>
      <c r="CM21" s="23">
        <f t="shared" si="22"/>
        <v>0</v>
      </c>
      <c r="CN21" s="23">
        <f t="shared" si="23"/>
        <v>0</v>
      </c>
      <c r="CO21" s="23">
        <f t="shared" si="24"/>
        <v>0</v>
      </c>
      <c r="CP21" s="23">
        <f t="shared" si="25"/>
        <v>0</v>
      </c>
      <c r="CQ21" s="23">
        <f t="shared" si="26"/>
        <v>0</v>
      </c>
      <c r="CR21" s="23">
        <f t="shared" si="27"/>
        <v>0</v>
      </c>
      <c r="CS21" s="23">
        <f t="shared" si="28"/>
        <v>0</v>
      </c>
      <c r="CT21" s="23">
        <f t="shared" si="29"/>
        <v>0</v>
      </c>
      <c r="CU21" s="23">
        <f t="shared" si="30"/>
        <v>0</v>
      </c>
      <c r="CV21" s="23">
        <f t="shared" si="31"/>
        <v>0</v>
      </c>
      <c r="CW21" s="23">
        <f t="shared" si="32"/>
        <v>0</v>
      </c>
      <c r="CX21" s="23">
        <f t="shared" si="33"/>
        <v>0</v>
      </c>
      <c r="CY21" s="23">
        <f t="shared" si="34"/>
        <v>0</v>
      </c>
      <c r="CZ21" s="23">
        <f t="shared" si="35"/>
        <v>0</v>
      </c>
      <c r="DA21" s="23">
        <f t="shared" si="36"/>
        <v>0</v>
      </c>
      <c r="DB21" s="23">
        <f t="shared" si="37"/>
        <v>0</v>
      </c>
      <c r="DC21" s="23">
        <f t="shared" si="38"/>
        <v>0</v>
      </c>
      <c r="DD21" s="23">
        <f t="shared" si="39"/>
        <v>0</v>
      </c>
      <c r="DE21" s="23">
        <f t="shared" si="40"/>
        <v>0</v>
      </c>
      <c r="DF21" s="23">
        <f t="shared" si="41"/>
        <v>0</v>
      </c>
      <c r="DG21" s="23">
        <f t="shared" si="42"/>
        <v>0</v>
      </c>
      <c r="DH21" s="23">
        <f t="shared" si="43"/>
        <v>0</v>
      </c>
      <c r="DI21" s="23">
        <f t="shared" si="44"/>
        <v>0</v>
      </c>
      <c r="DJ21" s="23">
        <f t="shared" si="45"/>
        <v>0</v>
      </c>
      <c r="DK21" s="23">
        <f t="shared" si="46"/>
        <v>0</v>
      </c>
      <c r="DL21" s="23">
        <f t="shared" si="47"/>
        <v>0</v>
      </c>
      <c r="DM21" s="23">
        <f t="shared" si="48"/>
        <v>0</v>
      </c>
      <c r="DN21" s="23">
        <f t="shared" si="49"/>
        <v>0</v>
      </c>
      <c r="DO21" s="23">
        <f t="shared" si="50"/>
        <v>0</v>
      </c>
      <c r="DP21" s="23">
        <f t="shared" si="51"/>
        <v>0</v>
      </c>
      <c r="DQ21" s="23">
        <f t="shared" si="52"/>
        <v>0</v>
      </c>
      <c r="DR21" s="23">
        <f t="shared" si="53"/>
        <v>0</v>
      </c>
      <c r="DS21" s="23">
        <f t="shared" si="54"/>
        <v>0</v>
      </c>
      <c r="DT21" s="23">
        <f t="shared" si="55"/>
        <v>0</v>
      </c>
      <c r="DU21" s="23">
        <f t="shared" si="56"/>
        <v>0</v>
      </c>
      <c r="DV21" s="23">
        <f t="shared" si="57"/>
        <v>0</v>
      </c>
      <c r="DW21" s="23">
        <f t="shared" si="58"/>
        <v>0</v>
      </c>
      <c r="DX21" s="23">
        <f t="shared" si="59"/>
        <v>0</v>
      </c>
      <c r="DY21" s="23">
        <f t="shared" si="60"/>
        <v>0</v>
      </c>
      <c r="DZ21" s="23">
        <f t="shared" si="61"/>
        <v>0</v>
      </c>
      <c r="EA21" s="23">
        <f t="shared" si="62"/>
        <v>0</v>
      </c>
      <c r="EB21" s="23">
        <f t="shared" si="63"/>
        <v>0</v>
      </c>
    </row>
    <row r="22" spans="1:132">
      <c r="A22" s="23">
        <v>20090215.204500001</v>
      </c>
      <c r="B22" s="23">
        <v>20070607</v>
      </c>
      <c r="C22" s="23">
        <v>20090215</v>
      </c>
      <c r="D22" s="23">
        <v>2</v>
      </c>
      <c r="E22" s="23">
        <v>4.5</v>
      </c>
      <c r="F22" s="23">
        <v>99.085937999999999</v>
      </c>
      <c r="G22" s="23">
        <v>99.117187999999999</v>
      </c>
      <c r="H22" s="26">
        <f t="shared" si="0"/>
        <v>1.6888888888888889</v>
      </c>
      <c r="I22" s="26">
        <f t="shared" si="1"/>
        <v>1.4</v>
      </c>
      <c r="K22" s="26">
        <v>0.18888888888888888</v>
      </c>
      <c r="L22" s="23">
        <f t="shared" si="67"/>
        <v>0.68888888888888888</v>
      </c>
      <c r="M22" s="23">
        <f t="shared" si="67"/>
        <v>1.1888888888888889</v>
      </c>
      <c r="N22" s="23">
        <f t="shared" si="67"/>
        <v>1.6888888888888889</v>
      </c>
      <c r="O22" s="23">
        <f t="shared" si="67"/>
        <v>0</v>
      </c>
      <c r="P22" s="23">
        <f t="shared" si="67"/>
        <v>0</v>
      </c>
      <c r="Q22" s="23">
        <f t="shared" si="67"/>
        <v>0</v>
      </c>
      <c r="R22" s="23">
        <f t="shared" si="67"/>
        <v>0</v>
      </c>
      <c r="S22" s="23">
        <f t="shared" si="67"/>
        <v>0</v>
      </c>
      <c r="T22" s="23">
        <f t="shared" si="67"/>
        <v>0</v>
      </c>
      <c r="U22" s="23">
        <f t="shared" si="67"/>
        <v>0</v>
      </c>
      <c r="V22" s="23">
        <f t="shared" si="67"/>
        <v>0</v>
      </c>
      <c r="W22" s="23">
        <f t="shared" si="67"/>
        <v>0</v>
      </c>
      <c r="X22" s="23">
        <f t="shared" si="67"/>
        <v>0</v>
      </c>
      <c r="Y22" s="23">
        <f t="shared" si="67"/>
        <v>0</v>
      </c>
      <c r="Z22" s="23">
        <f t="shared" si="67"/>
        <v>0</v>
      </c>
      <c r="AA22" s="23">
        <f t="shared" si="67"/>
        <v>0</v>
      </c>
      <c r="AB22" s="23">
        <f t="shared" si="67"/>
        <v>0</v>
      </c>
      <c r="AC22" s="23">
        <f t="shared" si="67"/>
        <v>0</v>
      </c>
      <c r="AD22" s="23">
        <f t="shared" si="67"/>
        <v>0</v>
      </c>
      <c r="AE22" s="23">
        <f t="shared" si="67"/>
        <v>0</v>
      </c>
      <c r="AF22" s="23">
        <f t="shared" si="67"/>
        <v>0</v>
      </c>
      <c r="AG22" s="23">
        <f t="shared" si="67"/>
        <v>0</v>
      </c>
      <c r="AH22" s="23">
        <f t="shared" si="67"/>
        <v>0</v>
      </c>
      <c r="AI22" s="23">
        <f t="shared" si="67"/>
        <v>0</v>
      </c>
      <c r="AJ22" s="23">
        <f t="shared" si="67"/>
        <v>0</v>
      </c>
      <c r="AK22" s="23">
        <f t="shared" si="67"/>
        <v>0</v>
      </c>
      <c r="AL22" s="23">
        <f t="shared" si="67"/>
        <v>0</v>
      </c>
      <c r="AM22" s="23">
        <f t="shared" si="67"/>
        <v>0</v>
      </c>
      <c r="AN22" s="23">
        <f t="shared" si="67"/>
        <v>0</v>
      </c>
      <c r="AO22" s="23">
        <f t="shared" si="67"/>
        <v>0</v>
      </c>
      <c r="AP22" s="23">
        <f t="shared" si="67"/>
        <v>0</v>
      </c>
      <c r="AQ22" s="23">
        <f t="shared" si="67"/>
        <v>0</v>
      </c>
      <c r="AR22" s="23">
        <f t="shared" si="67"/>
        <v>0</v>
      </c>
      <c r="AS22" s="23">
        <f t="shared" si="65"/>
        <v>0</v>
      </c>
      <c r="AT22" s="23">
        <f t="shared" si="65"/>
        <v>0</v>
      </c>
      <c r="AU22" s="23">
        <f t="shared" si="65"/>
        <v>0</v>
      </c>
      <c r="AV22" s="23">
        <f t="shared" si="65"/>
        <v>0</v>
      </c>
      <c r="AW22" s="23">
        <f t="shared" si="65"/>
        <v>0</v>
      </c>
      <c r="AX22" s="23">
        <f t="shared" si="65"/>
        <v>0</v>
      </c>
      <c r="AY22" s="23">
        <f t="shared" si="65"/>
        <v>0</v>
      </c>
      <c r="AZ22" s="23">
        <f t="shared" si="65"/>
        <v>0</v>
      </c>
      <c r="BA22" s="23">
        <f t="shared" si="65"/>
        <v>0</v>
      </c>
      <c r="BB22" s="23">
        <f t="shared" si="65"/>
        <v>0</v>
      </c>
      <c r="BC22" s="23">
        <f t="shared" si="65"/>
        <v>0</v>
      </c>
      <c r="BD22" s="23">
        <f t="shared" si="65"/>
        <v>0</v>
      </c>
      <c r="BE22" s="23">
        <f t="shared" si="65"/>
        <v>0</v>
      </c>
      <c r="BF22" s="23">
        <f t="shared" si="65"/>
        <v>0</v>
      </c>
      <c r="BG22" s="23">
        <f t="shared" si="66"/>
        <v>0</v>
      </c>
      <c r="BH22" s="23">
        <f t="shared" si="66"/>
        <v>0</v>
      </c>
      <c r="BI22" s="23">
        <f t="shared" si="66"/>
        <v>0</v>
      </c>
      <c r="BJ22" s="23">
        <f t="shared" si="66"/>
        <v>0</v>
      </c>
      <c r="BK22" s="23">
        <f t="shared" si="66"/>
        <v>0</v>
      </c>
      <c r="BL22" s="23">
        <f t="shared" si="66"/>
        <v>0</v>
      </c>
      <c r="BM22" s="23">
        <f t="shared" si="66"/>
        <v>0</v>
      </c>
      <c r="BN22" s="23">
        <f t="shared" si="66"/>
        <v>0</v>
      </c>
      <c r="BO22" s="23">
        <f t="shared" si="66"/>
        <v>0</v>
      </c>
      <c r="BP22" s="23">
        <f t="shared" si="66"/>
        <v>0</v>
      </c>
      <c r="BQ22" s="23">
        <f t="shared" si="66"/>
        <v>0</v>
      </c>
      <c r="BR22" s="23">
        <f t="shared" si="66"/>
        <v>0</v>
      </c>
      <c r="BS22" s="23">
        <f t="shared" si="66"/>
        <v>0</v>
      </c>
      <c r="BU22" s="23">
        <f t="shared" si="4"/>
        <v>2.25</v>
      </c>
      <c r="BV22" s="23">
        <f t="shared" si="5"/>
        <v>2.25</v>
      </c>
      <c r="BW22" s="23">
        <f t="shared" si="6"/>
        <v>2.25</v>
      </c>
      <c r="BX22" s="23">
        <f t="shared" si="7"/>
        <v>102.25</v>
      </c>
      <c r="BY22" s="23">
        <f t="shared" si="8"/>
        <v>0</v>
      </c>
      <c r="BZ22" s="23">
        <f t="shared" si="9"/>
        <v>0</v>
      </c>
      <c r="CA22" s="23">
        <f t="shared" si="10"/>
        <v>0</v>
      </c>
      <c r="CB22" s="23">
        <f t="shared" si="11"/>
        <v>0</v>
      </c>
      <c r="CC22" s="23">
        <f t="shared" si="12"/>
        <v>0</v>
      </c>
      <c r="CD22" s="23">
        <f t="shared" si="13"/>
        <v>0</v>
      </c>
      <c r="CE22" s="23">
        <f t="shared" si="14"/>
        <v>0</v>
      </c>
      <c r="CF22" s="23">
        <f t="shared" si="15"/>
        <v>0</v>
      </c>
      <c r="CG22" s="23">
        <f t="shared" si="16"/>
        <v>0</v>
      </c>
      <c r="CH22" s="23">
        <f t="shared" si="17"/>
        <v>0</v>
      </c>
      <c r="CI22" s="23">
        <f t="shared" si="18"/>
        <v>0</v>
      </c>
      <c r="CJ22" s="23">
        <f t="shared" si="19"/>
        <v>0</v>
      </c>
      <c r="CK22" s="23">
        <f t="shared" si="20"/>
        <v>0</v>
      </c>
      <c r="CL22" s="23">
        <f t="shared" si="21"/>
        <v>0</v>
      </c>
      <c r="CM22" s="23">
        <f t="shared" si="22"/>
        <v>0</v>
      </c>
      <c r="CN22" s="23">
        <f t="shared" si="23"/>
        <v>0</v>
      </c>
      <c r="CO22" s="23">
        <f t="shared" si="24"/>
        <v>0</v>
      </c>
      <c r="CP22" s="23">
        <f t="shared" si="25"/>
        <v>0</v>
      </c>
      <c r="CQ22" s="23">
        <f t="shared" si="26"/>
        <v>0</v>
      </c>
      <c r="CR22" s="23">
        <f t="shared" si="27"/>
        <v>0</v>
      </c>
      <c r="CS22" s="23">
        <f t="shared" si="28"/>
        <v>0</v>
      </c>
      <c r="CT22" s="23">
        <f t="shared" si="29"/>
        <v>0</v>
      </c>
      <c r="CU22" s="23">
        <f t="shared" si="30"/>
        <v>0</v>
      </c>
      <c r="CV22" s="23">
        <f t="shared" si="31"/>
        <v>0</v>
      </c>
      <c r="CW22" s="23">
        <f t="shared" si="32"/>
        <v>0</v>
      </c>
      <c r="CX22" s="23">
        <f t="shared" si="33"/>
        <v>0</v>
      </c>
      <c r="CY22" s="23">
        <f t="shared" si="34"/>
        <v>0</v>
      </c>
      <c r="CZ22" s="23">
        <f t="shared" si="35"/>
        <v>0</v>
      </c>
      <c r="DA22" s="23">
        <f t="shared" si="36"/>
        <v>0</v>
      </c>
      <c r="DB22" s="23">
        <f t="shared" si="37"/>
        <v>0</v>
      </c>
      <c r="DC22" s="23">
        <f t="shared" si="38"/>
        <v>0</v>
      </c>
      <c r="DD22" s="23">
        <f t="shared" si="39"/>
        <v>0</v>
      </c>
      <c r="DE22" s="23">
        <f t="shared" si="40"/>
        <v>0</v>
      </c>
      <c r="DF22" s="23">
        <f t="shared" si="41"/>
        <v>0</v>
      </c>
      <c r="DG22" s="23">
        <f t="shared" si="42"/>
        <v>0</v>
      </c>
      <c r="DH22" s="23">
        <f t="shared" si="43"/>
        <v>0</v>
      </c>
      <c r="DI22" s="23">
        <f t="shared" si="44"/>
        <v>0</v>
      </c>
      <c r="DJ22" s="23">
        <f t="shared" si="45"/>
        <v>0</v>
      </c>
      <c r="DK22" s="23">
        <f t="shared" si="46"/>
        <v>0</v>
      </c>
      <c r="DL22" s="23">
        <f t="shared" si="47"/>
        <v>0</v>
      </c>
      <c r="DM22" s="23">
        <f t="shared" si="48"/>
        <v>0</v>
      </c>
      <c r="DN22" s="23">
        <f t="shared" si="49"/>
        <v>0</v>
      </c>
      <c r="DO22" s="23">
        <f t="shared" si="50"/>
        <v>0</v>
      </c>
      <c r="DP22" s="23">
        <f t="shared" si="51"/>
        <v>0</v>
      </c>
      <c r="DQ22" s="23">
        <f t="shared" si="52"/>
        <v>0</v>
      </c>
      <c r="DR22" s="23">
        <f t="shared" si="53"/>
        <v>0</v>
      </c>
      <c r="DS22" s="23">
        <f t="shared" si="54"/>
        <v>0</v>
      </c>
      <c r="DT22" s="23">
        <f t="shared" si="55"/>
        <v>0</v>
      </c>
      <c r="DU22" s="23">
        <f t="shared" si="56"/>
        <v>0</v>
      </c>
      <c r="DV22" s="23">
        <f t="shared" si="57"/>
        <v>0</v>
      </c>
      <c r="DW22" s="23">
        <f t="shared" si="58"/>
        <v>0</v>
      </c>
      <c r="DX22" s="23">
        <f t="shared" si="59"/>
        <v>0</v>
      </c>
      <c r="DY22" s="23">
        <f t="shared" si="60"/>
        <v>0</v>
      </c>
      <c r="DZ22" s="23">
        <f t="shared" si="61"/>
        <v>0</v>
      </c>
      <c r="EA22" s="23">
        <f t="shared" si="62"/>
        <v>0</v>
      </c>
      <c r="EB22" s="23">
        <f t="shared" si="63"/>
        <v>0</v>
      </c>
    </row>
    <row r="23" spans="1:132">
      <c r="A23" s="23">
        <v>20090815.20487</v>
      </c>
      <c r="B23" s="23">
        <v>20070607</v>
      </c>
      <c r="C23" s="23">
        <v>20090815</v>
      </c>
      <c r="D23" s="23">
        <v>2</v>
      </c>
      <c r="E23" s="23">
        <v>4.875</v>
      </c>
      <c r="F23" s="23">
        <v>99.617187999999999</v>
      </c>
      <c r="G23" s="23">
        <v>99.648437999999999</v>
      </c>
      <c r="H23" s="26">
        <f t="shared" si="0"/>
        <v>2.1888888888888891</v>
      </c>
      <c r="I23" s="26">
        <f t="shared" si="1"/>
        <v>1.5166666666666666</v>
      </c>
      <c r="K23" s="26">
        <v>0.18888888888888888</v>
      </c>
      <c r="L23" s="23">
        <f t="shared" si="67"/>
        <v>0.68888888888888888</v>
      </c>
      <c r="M23" s="23">
        <f t="shared" si="67"/>
        <v>1.1888888888888889</v>
      </c>
      <c r="N23" s="23">
        <f t="shared" si="67"/>
        <v>1.6888888888888889</v>
      </c>
      <c r="O23" s="23">
        <f t="shared" si="67"/>
        <v>2.1888888888888891</v>
      </c>
      <c r="P23" s="23">
        <f t="shared" si="67"/>
        <v>0</v>
      </c>
      <c r="Q23" s="23">
        <f t="shared" si="67"/>
        <v>0</v>
      </c>
      <c r="R23" s="23">
        <f t="shared" si="67"/>
        <v>0</v>
      </c>
      <c r="S23" s="23">
        <f t="shared" si="67"/>
        <v>0</v>
      </c>
      <c r="T23" s="23">
        <f t="shared" si="67"/>
        <v>0</v>
      </c>
      <c r="U23" s="23">
        <f t="shared" si="67"/>
        <v>0</v>
      </c>
      <c r="V23" s="23">
        <f t="shared" si="67"/>
        <v>0</v>
      </c>
      <c r="W23" s="23">
        <f t="shared" si="67"/>
        <v>0</v>
      </c>
      <c r="X23" s="23">
        <f t="shared" si="67"/>
        <v>0</v>
      </c>
      <c r="Y23" s="23">
        <f t="shared" si="67"/>
        <v>0</v>
      </c>
      <c r="Z23" s="23">
        <f t="shared" si="67"/>
        <v>0</v>
      </c>
      <c r="AA23" s="23">
        <f t="shared" si="67"/>
        <v>0</v>
      </c>
      <c r="AB23" s="23">
        <f t="shared" si="67"/>
        <v>0</v>
      </c>
      <c r="AC23" s="23">
        <f t="shared" si="67"/>
        <v>0</v>
      </c>
      <c r="AD23" s="23">
        <f t="shared" si="67"/>
        <v>0</v>
      </c>
      <c r="AE23" s="23">
        <f t="shared" si="67"/>
        <v>0</v>
      </c>
      <c r="AF23" s="23">
        <f t="shared" si="67"/>
        <v>0</v>
      </c>
      <c r="AG23" s="23">
        <f t="shared" si="67"/>
        <v>0</v>
      </c>
      <c r="AH23" s="23">
        <f t="shared" si="67"/>
        <v>0</v>
      </c>
      <c r="AI23" s="23">
        <f t="shared" si="67"/>
        <v>0</v>
      </c>
      <c r="AJ23" s="23">
        <f t="shared" ref="AJ23:AR23" si="68">IF(AI23=0,0,IF(AI23&gt;=$H23,0,AI23+0.5))</f>
        <v>0</v>
      </c>
      <c r="AK23" s="23">
        <f t="shared" si="68"/>
        <v>0</v>
      </c>
      <c r="AL23" s="23">
        <f t="shared" si="68"/>
        <v>0</v>
      </c>
      <c r="AM23" s="23">
        <f t="shared" si="68"/>
        <v>0</v>
      </c>
      <c r="AN23" s="23">
        <f t="shared" si="68"/>
        <v>0</v>
      </c>
      <c r="AO23" s="23">
        <f t="shared" si="68"/>
        <v>0</v>
      </c>
      <c r="AP23" s="23">
        <f t="shared" si="68"/>
        <v>0</v>
      </c>
      <c r="AQ23" s="23">
        <f t="shared" si="68"/>
        <v>0</v>
      </c>
      <c r="AR23" s="23">
        <f t="shared" si="68"/>
        <v>0</v>
      </c>
      <c r="AS23" s="23">
        <f t="shared" si="65"/>
        <v>0</v>
      </c>
      <c r="AT23" s="23">
        <f t="shared" si="65"/>
        <v>0</v>
      </c>
      <c r="AU23" s="23">
        <f t="shared" si="65"/>
        <v>0</v>
      </c>
      <c r="AV23" s="23">
        <f t="shared" si="65"/>
        <v>0</v>
      </c>
      <c r="AW23" s="23">
        <f t="shared" si="65"/>
        <v>0</v>
      </c>
      <c r="AX23" s="23">
        <f t="shared" si="65"/>
        <v>0</v>
      </c>
      <c r="AY23" s="23">
        <f t="shared" si="65"/>
        <v>0</v>
      </c>
      <c r="AZ23" s="23">
        <f t="shared" si="65"/>
        <v>0</v>
      </c>
      <c r="BA23" s="23">
        <f t="shared" si="65"/>
        <v>0</v>
      </c>
      <c r="BB23" s="23">
        <f t="shared" si="65"/>
        <v>0</v>
      </c>
      <c r="BC23" s="23">
        <f t="shared" si="65"/>
        <v>0</v>
      </c>
      <c r="BD23" s="23">
        <f t="shared" si="65"/>
        <v>0</v>
      </c>
      <c r="BE23" s="23">
        <f t="shared" si="65"/>
        <v>0</v>
      </c>
      <c r="BF23" s="23">
        <f t="shared" si="65"/>
        <v>0</v>
      </c>
      <c r="BG23" s="23">
        <f t="shared" si="66"/>
        <v>0</v>
      </c>
      <c r="BH23" s="23">
        <f t="shared" si="66"/>
        <v>0</v>
      </c>
      <c r="BI23" s="23">
        <f t="shared" si="66"/>
        <v>0</v>
      </c>
      <c r="BJ23" s="23">
        <f t="shared" si="66"/>
        <v>0</v>
      </c>
      <c r="BK23" s="23">
        <f t="shared" si="66"/>
        <v>0</v>
      </c>
      <c r="BL23" s="23">
        <f t="shared" si="66"/>
        <v>0</v>
      </c>
      <c r="BM23" s="23">
        <f t="shared" si="66"/>
        <v>0</v>
      </c>
      <c r="BN23" s="23">
        <f t="shared" si="66"/>
        <v>0</v>
      </c>
      <c r="BO23" s="23">
        <f t="shared" si="66"/>
        <v>0</v>
      </c>
      <c r="BP23" s="23">
        <f t="shared" si="66"/>
        <v>0</v>
      </c>
      <c r="BQ23" s="23">
        <f t="shared" si="66"/>
        <v>0</v>
      </c>
      <c r="BR23" s="23">
        <f t="shared" si="66"/>
        <v>0</v>
      </c>
      <c r="BS23" s="23">
        <f t="shared" si="66"/>
        <v>0</v>
      </c>
      <c r="BU23" s="23">
        <f t="shared" si="4"/>
        <v>2.4375</v>
      </c>
      <c r="BV23" s="23">
        <f t="shared" si="5"/>
        <v>2.4375</v>
      </c>
      <c r="BW23" s="23">
        <f t="shared" si="6"/>
        <v>2.4375</v>
      </c>
      <c r="BX23" s="23">
        <f t="shared" si="7"/>
        <v>2.4375</v>
      </c>
      <c r="BY23" s="23">
        <f t="shared" si="8"/>
        <v>102.4375</v>
      </c>
      <c r="BZ23" s="23">
        <f t="shared" si="9"/>
        <v>0</v>
      </c>
      <c r="CA23" s="23">
        <f t="shared" si="10"/>
        <v>0</v>
      </c>
      <c r="CB23" s="23">
        <f t="shared" si="11"/>
        <v>0</v>
      </c>
      <c r="CC23" s="23">
        <f t="shared" si="12"/>
        <v>0</v>
      </c>
      <c r="CD23" s="23">
        <f t="shared" si="13"/>
        <v>0</v>
      </c>
      <c r="CE23" s="23">
        <f t="shared" si="14"/>
        <v>0</v>
      </c>
      <c r="CF23" s="23">
        <f t="shared" si="15"/>
        <v>0</v>
      </c>
      <c r="CG23" s="23">
        <f t="shared" si="16"/>
        <v>0</v>
      </c>
      <c r="CH23" s="23">
        <f t="shared" si="17"/>
        <v>0</v>
      </c>
      <c r="CI23" s="23">
        <f t="shared" si="18"/>
        <v>0</v>
      </c>
      <c r="CJ23" s="23">
        <f t="shared" si="19"/>
        <v>0</v>
      </c>
      <c r="CK23" s="23">
        <f t="shared" si="20"/>
        <v>0</v>
      </c>
      <c r="CL23" s="23">
        <f t="shared" si="21"/>
        <v>0</v>
      </c>
      <c r="CM23" s="23">
        <f t="shared" si="22"/>
        <v>0</v>
      </c>
      <c r="CN23" s="23">
        <f t="shared" si="23"/>
        <v>0</v>
      </c>
      <c r="CO23" s="23">
        <f t="shared" si="24"/>
        <v>0</v>
      </c>
      <c r="CP23" s="23">
        <f t="shared" si="25"/>
        <v>0</v>
      </c>
      <c r="CQ23" s="23">
        <f t="shared" si="26"/>
        <v>0</v>
      </c>
      <c r="CR23" s="23">
        <f t="shared" si="27"/>
        <v>0</v>
      </c>
      <c r="CS23" s="23">
        <f t="shared" si="28"/>
        <v>0</v>
      </c>
      <c r="CT23" s="23">
        <f t="shared" si="29"/>
        <v>0</v>
      </c>
      <c r="CU23" s="23">
        <f t="shared" si="30"/>
        <v>0</v>
      </c>
      <c r="CV23" s="23">
        <f t="shared" si="31"/>
        <v>0</v>
      </c>
      <c r="CW23" s="23">
        <f t="shared" si="32"/>
        <v>0</v>
      </c>
      <c r="CX23" s="23">
        <f t="shared" si="33"/>
        <v>0</v>
      </c>
      <c r="CY23" s="23">
        <f t="shared" si="34"/>
        <v>0</v>
      </c>
      <c r="CZ23" s="23">
        <f t="shared" si="35"/>
        <v>0</v>
      </c>
      <c r="DA23" s="23">
        <f t="shared" si="36"/>
        <v>0</v>
      </c>
      <c r="DB23" s="23">
        <f t="shared" si="37"/>
        <v>0</v>
      </c>
      <c r="DC23" s="23">
        <f t="shared" si="38"/>
        <v>0</v>
      </c>
      <c r="DD23" s="23">
        <f t="shared" si="39"/>
        <v>0</v>
      </c>
      <c r="DE23" s="23">
        <f t="shared" si="40"/>
        <v>0</v>
      </c>
      <c r="DF23" s="23">
        <f t="shared" si="41"/>
        <v>0</v>
      </c>
      <c r="DG23" s="23">
        <f t="shared" si="42"/>
        <v>0</v>
      </c>
      <c r="DH23" s="23">
        <f t="shared" si="43"/>
        <v>0</v>
      </c>
      <c r="DI23" s="23">
        <f t="shared" si="44"/>
        <v>0</v>
      </c>
      <c r="DJ23" s="23">
        <f t="shared" si="45"/>
        <v>0</v>
      </c>
      <c r="DK23" s="23">
        <f t="shared" si="46"/>
        <v>0</v>
      </c>
      <c r="DL23" s="23">
        <f t="shared" si="47"/>
        <v>0</v>
      </c>
      <c r="DM23" s="23">
        <f t="shared" si="48"/>
        <v>0</v>
      </c>
      <c r="DN23" s="23">
        <f t="shared" si="49"/>
        <v>0</v>
      </c>
      <c r="DO23" s="23">
        <f t="shared" si="50"/>
        <v>0</v>
      </c>
      <c r="DP23" s="23">
        <f t="shared" si="51"/>
        <v>0</v>
      </c>
      <c r="DQ23" s="23">
        <f t="shared" si="52"/>
        <v>0</v>
      </c>
      <c r="DR23" s="23">
        <f t="shared" si="53"/>
        <v>0</v>
      </c>
      <c r="DS23" s="23">
        <f t="shared" si="54"/>
        <v>0</v>
      </c>
      <c r="DT23" s="23">
        <f t="shared" si="55"/>
        <v>0</v>
      </c>
      <c r="DU23" s="23">
        <f t="shared" si="56"/>
        <v>0</v>
      </c>
      <c r="DV23" s="23">
        <f t="shared" si="57"/>
        <v>0</v>
      </c>
      <c r="DW23" s="23">
        <f t="shared" si="58"/>
        <v>0</v>
      </c>
      <c r="DX23" s="23">
        <f t="shared" si="59"/>
        <v>0</v>
      </c>
      <c r="DY23" s="23">
        <f t="shared" si="60"/>
        <v>0</v>
      </c>
      <c r="DZ23" s="23">
        <f t="shared" si="61"/>
        <v>0</v>
      </c>
      <c r="EA23" s="23">
        <f t="shared" si="62"/>
        <v>0</v>
      </c>
      <c r="EB23" s="23">
        <f t="shared" si="63"/>
        <v>0</v>
      </c>
    </row>
    <row r="24" spans="1:132">
      <c r="A24" s="23">
        <v>20100215.204750001</v>
      </c>
      <c r="B24" s="23">
        <v>20070607</v>
      </c>
      <c r="C24" s="23">
        <v>20100215</v>
      </c>
      <c r="D24" s="23">
        <v>2</v>
      </c>
      <c r="E24" s="23">
        <v>4.75</v>
      </c>
      <c r="F24" s="23">
        <v>99.21875</v>
      </c>
      <c r="G24" s="23">
        <v>99.25</v>
      </c>
      <c r="H24" s="26">
        <f t="shared" si="0"/>
        <v>2.6888888888888891</v>
      </c>
      <c r="I24" s="26">
        <f t="shared" si="1"/>
        <v>1.4777777777777779</v>
      </c>
      <c r="K24" s="26">
        <v>0.18888888888888888</v>
      </c>
      <c r="L24" s="23">
        <f t="shared" ref="L24:AR31" si="69">IF(K24=0,0,IF(K24&gt;=$H24,0,K24+0.5))</f>
        <v>0.68888888888888888</v>
      </c>
      <c r="M24" s="23">
        <f t="shared" si="69"/>
        <v>1.1888888888888889</v>
      </c>
      <c r="N24" s="23">
        <f t="shared" si="69"/>
        <v>1.6888888888888889</v>
      </c>
      <c r="O24" s="23">
        <f t="shared" si="69"/>
        <v>2.1888888888888891</v>
      </c>
      <c r="P24" s="23">
        <f t="shared" si="69"/>
        <v>2.6888888888888891</v>
      </c>
      <c r="Q24" s="23">
        <f t="shared" si="69"/>
        <v>0</v>
      </c>
      <c r="R24" s="23">
        <f t="shared" si="69"/>
        <v>0</v>
      </c>
      <c r="S24" s="23">
        <f t="shared" si="69"/>
        <v>0</v>
      </c>
      <c r="T24" s="23">
        <f t="shared" si="69"/>
        <v>0</v>
      </c>
      <c r="U24" s="23">
        <f t="shared" si="69"/>
        <v>0</v>
      </c>
      <c r="V24" s="23">
        <f t="shared" si="69"/>
        <v>0</v>
      </c>
      <c r="W24" s="23">
        <f t="shared" si="69"/>
        <v>0</v>
      </c>
      <c r="X24" s="23">
        <f t="shared" si="69"/>
        <v>0</v>
      </c>
      <c r="Y24" s="23">
        <f t="shared" si="69"/>
        <v>0</v>
      </c>
      <c r="Z24" s="23">
        <f t="shared" si="69"/>
        <v>0</v>
      </c>
      <c r="AA24" s="23">
        <f t="shared" si="69"/>
        <v>0</v>
      </c>
      <c r="AB24" s="23">
        <f t="shared" si="69"/>
        <v>0</v>
      </c>
      <c r="AC24" s="23">
        <f t="shared" si="69"/>
        <v>0</v>
      </c>
      <c r="AD24" s="23">
        <f t="shared" si="69"/>
        <v>0</v>
      </c>
      <c r="AE24" s="23">
        <f t="shared" si="69"/>
        <v>0</v>
      </c>
      <c r="AF24" s="23">
        <f t="shared" si="69"/>
        <v>0</v>
      </c>
      <c r="AG24" s="23">
        <f t="shared" si="69"/>
        <v>0</v>
      </c>
      <c r="AH24" s="23">
        <f t="shared" si="69"/>
        <v>0</v>
      </c>
      <c r="AI24" s="23">
        <f t="shared" si="69"/>
        <v>0</v>
      </c>
      <c r="AJ24" s="23">
        <f t="shared" si="69"/>
        <v>0</v>
      </c>
      <c r="AK24" s="23">
        <f t="shared" si="69"/>
        <v>0</v>
      </c>
      <c r="AL24" s="23">
        <f t="shared" si="69"/>
        <v>0</v>
      </c>
      <c r="AM24" s="23">
        <f t="shared" si="69"/>
        <v>0</v>
      </c>
      <c r="AN24" s="23">
        <f t="shared" si="69"/>
        <v>0</v>
      </c>
      <c r="AO24" s="23">
        <f t="shared" si="69"/>
        <v>0</v>
      </c>
      <c r="AP24" s="23">
        <f t="shared" si="69"/>
        <v>0</v>
      </c>
      <c r="AQ24" s="23">
        <f t="shared" si="69"/>
        <v>0</v>
      </c>
      <c r="AR24" s="23">
        <f t="shared" si="69"/>
        <v>0</v>
      </c>
      <c r="AS24" s="23">
        <f t="shared" si="65"/>
        <v>0</v>
      </c>
      <c r="AT24" s="23">
        <f t="shared" si="65"/>
        <v>0</v>
      </c>
      <c r="AU24" s="23">
        <f t="shared" si="65"/>
        <v>0</v>
      </c>
      <c r="AV24" s="23">
        <f t="shared" si="65"/>
        <v>0</v>
      </c>
      <c r="AW24" s="23">
        <f t="shared" si="65"/>
        <v>0</v>
      </c>
      <c r="AX24" s="23">
        <f t="shared" si="65"/>
        <v>0</v>
      </c>
      <c r="AY24" s="23">
        <f t="shared" si="65"/>
        <v>0</v>
      </c>
      <c r="AZ24" s="23">
        <f t="shared" si="65"/>
        <v>0</v>
      </c>
      <c r="BA24" s="23">
        <f t="shared" si="65"/>
        <v>0</v>
      </c>
      <c r="BB24" s="23">
        <f t="shared" si="65"/>
        <v>0</v>
      </c>
      <c r="BC24" s="23">
        <f t="shared" si="65"/>
        <v>0</v>
      </c>
      <c r="BD24" s="23">
        <f t="shared" si="65"/>
        <v>0</v>
      </c>
      <c r="BE24" s="23">
        <f t="shared" si="65"/>
        <v>0</v>
      </c>
      <c r="BF24" s="23">
        <f t="shared" si="65"/>
        <v>0</v>
      </c>
      <c r="BG24" s="23">
        <f t="shared" si="66"/>
        <v>0</v>
      </c>
      <c r="BH24" s="23">
        <f t="shared" si="66"/>
        <v>0</v>
      </c>
      <c r="BI24" s="23">
        <f t="shared" si="66"/>
        <v>0</v>
      </c>
      <c r="BJ24" s="23">
        <f t="shared" si="66"/>
        <v>0</v>
      </c>
      <c r="BK24" s="23">
        <f t="shared" si="66"/>
        <v>0</v>
      </c>
      <c r="BL24" s="23">
        <f t="shared" si="66"/>
        <v>0</v>
      </c>
      <c r="BM24" s="23">
        <f t="shared" si="66"/>
        <v>0</v>
      </c>
      <c r="BN24" s="23">
        <f t="shared" si="66"/>
        <v>0</v>
      </c>
      <c r="BO24" s="23">
        <f t="shared" si="66"/>
        <v>0</v>
      </c>
      <c r="BP24" s="23">
        <f t="shared" si="66"/>
        <v>0</v>
      </c>
      <c r="BQ24" s="23">
        <f t="shared" si="66"/>
        <v>0</v>
      </c>
      <c r="BR24" s="23">
        <f t="shared" si="66"/>
        <v>0</v>
      </c>
      <c r="BS24" s="23">
        <f t="shared" si="66"/>
        <v>0</v>
      </c>
      <c r="BU24" s="23">
        <f t="shared" si="4"/>
        <v>2.375</v>
      </c>
      <c r="BV24" s="23">
        <f t="shared" si="5"/>
        <v>2.375</v>
      </c>
      <c r="BW24" s="23">
        <f t="shared" si="6"/>
        <v>2.375</v>
      </c>
      <c r="BX24" s="23">
        <f t="shared" si="7"/>
        <v>2.375</v>
      </c>
      <c r="BY24" s="23">
        <f t="shared" si="8"/>
        <v>2.375</v>
      </c>
      <c r="BZ24" s="23">
        <f t="shared" si="9"/>
        <v>102.375</v>
      </c>
      <c r="CA24" s="23">
        <f t="shared" si="10"/>
        <v>0</v>
      </c>
      <c r="CB24" s="23">
        <f t="shared" si="11"/>
        <v>0</v>
      </c>
      <c r="CC24" s="23">
        <f t="shared" si="12"/>
        <v>0</v>
      </c>
      <c r="CD24" s="23">
        <f t="shared" si="13"/>
        <v>0</v>
      </c>
      <c r="CE24" s="23">
        <f t="shared" si="14"/>
        <v>0</v>
      </c>
      <c r="CF24" s="23">
        <f t="shared" si="15"/>
        <v>0</v>
      </c>
      <c r="CG24" s="23">
        <f t="shared" si="16"/>
        <v>0</v>
      </c>
      <c r="CH24" s="23">
        <f t="shared" si="17"/>
        <v>0</v>
      </c>
      <c r="CI24" s="23">
        <f t="shared" si="18"/>
        <v>0</v>
      </c>
      <c r="CJ24" s="23">
        <f t="shared" si="19"/>
        <v>0</v>
      </c>
      <c r="CK24" s="23">
        <f t="shared" si="20"/>
        <v>0</v>
      </c>
      <c r="CL24" s="23">
        <f t="shared" si="21"/>
        <v>0</v>
      </c>
      <c r="CM24" s="23">
        <f t="shared" si="22"/>
        <v>0</v>
      </c>
      <c r="CN24" s="23">
        <f t="shared" si="23"/>
        <v>0</v>
      </c>
      <c r="CO24" s="23">
        <f t="shared" si="24"/>
        <v>0</v>
      </c>
      <c r="CP24" s="23">
        <f t="shared" si="25"/>
        <v>0</v>
      </c>
      <c r="CQ24" s="23">
        <f t="shared" si="26"/>
        <v>0</v>
      </c>
      <c r="CR24" s="23">
        <f t="shared" si="27"/>
        <v>0</v>
      </c>
      <c r="CS24" s="23">
        <f t="shared" si="28"/>
        <v>0</v>
      </c>
      <c r="CT24" s="23">
        <f t="shared" si="29"/>
        <v>0</v>
      </c>
      <c r="CU24" s="23">
        <f t="shared" si="30"/>
        <v>0</v>
      </c>
      <c r="CV24" s="23">
        <f t="shared" si="31"/>
        <v>0</v>
      </c>
      <c r="CW24" s="23">
        <f t="shared" si="32"/>
        <v>0</v>
      </c>
      <c r="CX24" s="23">
        <f t="shared" si="33"/>
        <v>0</v>
      </c>
      <c r="CY24" s="23">
        <f t="shared" si="34"/>
        <v>0</v>
      </c>
      <c r="CZ24" s="23">
        <f t="shared" si="35"/>
        <v>0</v>
      </c>
      <c r="DA24" s="23">
        <f t="shared" si="36"/>
        <v>0</v>
      </c>
      <c r="DB24" s="23">
        <f t="shared" si="37"/>
        <v>0</v>
      </c>
      <c r="DC24" s="23">
        <f t="shared" si="38"/>
        <v>0</v>
      </c>
      <c r="DD24" s="23">
        <f t="shared" si="39"/>
        <v>0</v>
      </c>
      <c r="DE24" s="23">
        <f t="shared" si="40"/>
        <v>0</v>
      </c>
      <c r="DF24" s="23">
        <f t="shared" si="41"/>
        <v>0</v>
      </c>
      <c r="DG24" s="23">
        <f t="shared" si="42"/>
        <v>0</v>
      </c>
      <c r="DH24" s="23">
        <f t="shared" si="43"/>
        <v>0</v>
      </c>
      <c r="DI24" s="23">
        <f t="shared" si="44"/>
        <v>0</v>
      </c>
      <c r="DJ24" s="23">
        <f t="shared" si="45"/>
        <v>0</v>
      </c>
      <c r="DK24" s="23">
        <f t="shared" si="46"/>
        <v>0</v>
      </c>
      <c r="DL24" s="23">
        <f t="shared" si="47"/>
        <v>0</v>
      </c>
      <c r="DM24" s="23">
        <f t="shared" si="48"/>
        <v>0</v>
      </c>
      <c r="DN24" s="23">
        <f t="shared" si="49"/>
        <v>0</v>
      </c>
      <c r="DO24" s="23">
        <f t="shared" si="50"/>
        <v>0</v>
      </c>
      <c r="DP24" s="23">
        <f t="shared" si="51"/>
        <v>0</v>
      </c>
      <c r="DQ24" s="23">
        <f t="shared" si="52"/>
        <v>0</v>
      </c>
      <c r="DR24" s="23">
        <f t="shared" si="53"/>
        <v>0</v>
      </c>
      <c r="DS24" s="23">
        <f t="shared" si="54"/>
        <v>0</v>
      </c>
      <c r="DT24" s="23">
        <f t="shared" si="55"/>
        <v>0</v>
      </c>
      <c r="DU24" s="23">
        <f t="shared" si="56"/>
        <v>0</v>
      </c>
      <c r="DV24" s="23">
        <f t="shared" si="57"/>
        <v>0</v>
      </c>
      <c r="DW24" s="23">
        <f t="shared" si="58"/>
        <v>0</v>
      </c>
      <c r="DX24" s="23">
        <f t="shared" si="59"/>
        <v>0</v>
      </c>
      <c r="DY24" s="23">
        <f t="shared" si="60"/>
        <v>0</v>
      </c>
      <c r="DZ24" s="23">
        <f t="shared" si="61"/>
        <v>0</v>
      </c>
      <c r="EA24" s="23">
        <f t="shared" si="62"/>
        <v>0</v>
      </c>
      <c r="EB24" s="23">
        <f t="shared" si="63"/>
        <v>0</v>
      </c>
    </row>
    <row r="25" spans="1:132">
      <c r="A25" s="23">
        <v>20100815.204119999</v>
      </c>
      <c r="B25" s="23">
        <v>20070607</v>
      </c>
      <c r="C25" s="23">
        <v>20100815</v>
      </c>
      <c r="D25" s="23">
        <v>2</v>
      </c>
      <c r="E25" s="23">
        <v>4.125</v>
      </c>
      <c r="F25" s="23">
        <v>97.28125</v>
      </c>
      <c r="G25" s="23">
        <v>97.3125</v>
      </c>
      <c r="H25" s="26">
        <f t="shared" si="0"/>
        <v>3.1888888888888891</v>
      </c>
      <c r="I25" s="26">
        <f t="shared" si="1"/>
        <v>1.2833333333333334</v>
      </c>
      <c r="K25" s="26">
        <v>0.18888888888888888</v>
      </c>
      <c r="L25" s="23">
        <f t="shared" si="69"/>
        <v>0.68888888888888888</v>
      </c>
      <c r="M25" s="23">
        <f t="shared" si="69"/>
        <v>1.1888888888888889</v>
      </c>
      <c r="N25" s="23">
        <f t="shared" si="69"/>
        <v>1.6888888888888889</v>
      </c>
      <c r="O25" s="23">
        <f t="shared" si="69"/>
        <v>2.1888888888888891</v>
      </c>
      <c r="P25" s="23">
        <f t="shared" si="69"/>
        <v>2.6888888888888891</v>
      </c>
      <c r="Q25" s="23">
        <f t="shared" si="69"/>
        <v>3.1888888888888891</v>
      </c>
      <c r="R25" s="23">
        <f t="shared" si="69"/>
        <v>0</v>
      </c>
      <c r="S25" s="23">
        <f t="shared" si="69"/>
        <v>0</v>
      </c>
      <c r="T25" s="23">
        <f t="shared" si="69"/>
        <v>0</v>
      </c>
      <c r="U25" s="23">
        <f t="shared" si="69"/>
        <v>0</v>
      </c>
      <c r="V25" s="23">
        <f t="shared" si="69"/>
        <v>0</v>
      </c>
      <c r="W25" s="23">
        <f t="shared" si="69"/>
        <v>0</v>
      </c>
      <c r="X25" s="23">
        <f t="shared" si="69"/>
        <v>0</v>
      </c>
      <c r="Y25" s="23">
        <f t="shared" si="69"/>
        <v>0</v>
      </c>
      <c r="Z25" s="23">
        <f t="shared" si="69"/>
        <v>0</v>
      </c>
      <c r="AA25" s="23">
        <f t="shared" si="69"/>
        <v>0</v>
      </c>
      <c r="AB25" s="23">
        <f t="shared" si="69"/>
        <v>0</v>
      </c>
      <c r="AC25" s="23">
        <f t="shared" si="69"/>
        <v>0</v>
      </c>
      <c r="AD25" s="23">
        <f t="shared" si="69"/>
        <v>0</v>
      </c>
      <c r="AE25" s="23">
        <f t="shared" si="69"/>
        <v>0</v>
      </c>
      <c r="AF25" s="23">
        <f t="shared" si="69"/>
        <v>0</v>
      </c>
      <c r="AG25" s="23">
        <f t="shared" si="69"/>
        <v>0</v>
      </c>
      <c r="AH25" s="23">
        <f t="shared" si="69"/>
        <v>0</v>
      </c>
      <c r="AI25" s="23">
        <f t="shared" si="69"/>
        <v>0</v>
      </c>
      <c r="AJ25" s="23">
        <f t="shared" si="69"/>
        <v>0</v>
      </c>
      <c r="AK25" s="23">
        <f t="shared" si="69"/>
        <v>0</v>
      </c>
      <c r="AL25" s="23">
        <f t="shared" si="69"/>
        <v>0</v>
      </c>
      <c r="AM25" s="23">
        <f t="shared" si="69"/>
        <v>0</v>
      </c>
      <c r="AN25" s="23">
        <f t="shared" si="69"/>
        <v>0</v>
      </c>
      <c r="AO25" s="23">
        <f t="shared" si="69"/>
        <v>0</v>
      </c>
      <c r="AP25" s="23">
        <f t="shared" si="69"/>
        <v>0</v>
      </c>
      <c r="AQ25" s="23">
        <f t="shared" si="69"/>
        <v>0</v>
      </c>
      <c r="AR25" s="23">
        <f t="shared" si="69"/>
        <v>0</v>
      </c>
      <c r="AS25" s="23">
        <f t="shared" si="65"/>
        <v>0</v>
      </c>
      <c r="AT25" s="23">
        <f t="shared" si="65"/>
        <v>0</v>
      </c>
      <c r="AU25" s="23">
        <f t="shared" si="65"/>
        <v>0</v>
      </c>
      <c r="AV25" s="23">
        <f t="shared" si="65"/>
        <v>0</v>
      </c>
      <c r="AW25" s="23">
        <f t="shared" si="65"/>
        <v>0</v>
      </c>
      <c r="AX25" s="23">
        <f t="shared" si="65"/>
        <v>0</v>
      </c>
      <c r="AY25" s="23">
        <f t="shared" si="65"/>
        <v>0</v>
      </c>
      <c r="AZ25" s="23">
        <f t="shared" si="65"/>
        <v>0</v>
      </c>
      <c r="BA25" s="23">
        <f t="shared" si="65"/>
        <v>0</v>
      </c>
      <c r="BB25" s="23">
        <f t="shared" si="65"/>
        <v>0</v>
      </c>
      <c r="BC25" s="23">
        <f t="shared" si="65"/>
        <v>0</v>
      </c>
      <c r="BD25" s="23">
        <f t="shared" si="65"/>
        <v>0</v>
      </c>
      <c r="BE25" s="23">
        <f t="shared" si="65"/>
        <v>0</v>
      </c>
      <c r="BF25" s="23">
        <f t="shared" si="65"/>
        <v>0</v>
      </c>
      <c r="BG25" s="23">
        <f t="shared" si="66"/>
        <v>0</v>
      </c>
      <c r="BH25" s="23">
        <f t="shared" si="66"/>
        <v>0</v>
      </c>
      <c r="BI25" s="23">
        <f t="shared" si="66"/>
        <v>0</v>
      </c>
      <c r="BJ25" s="23">
        <f t="shared" si="66"/>
        <v>0</v>
      </c>
      <c r="BK25" s="23">
        <f t="shared" si="66"/>
        <v>0</v>
      </c>
      <c r="BL25" s="23">
        <f t="shared" si="66"/>
        <v>0</v>
      </c>
      <c r="BM25" s="23">
        <f t="shared" si="66"/>
        <v>0</v>
      </c>
      <c r="BN25" s="23">
        <f t="shared" si="66"/>
        <v>0</v>
      </c>
      <c r="BO25" s="23">
        <f t="shared" si="66"/>
        <v>0</v>
      </c>
      <c r="BP25" s="23">
        <f t="shared" si="66"/>
        <v>0</v>
      </c>
      <c r="BQ25" s="23">
        <f t="shared" si="66"/>
        <v>0</v>
      </c>
      <c r="BR25" s="23">
        <f t="shared" si="66"/>
        <v>0</v>
      </c>
      <c r="BS25" s="23">
        <f t="shared" si="66"/>
        <v>0</v>
      </c>
      <c r="BU25" s="23">
        <f t="shared" si="4"/>
        <v>2.0625</v>
      </c>
      <c r="BV25" s="23">
        <f t="shared" si="5"/>
        <v>2.0625</v>
      </c>
      <c r="BW25" s="23">
        <f t="shared" si="6"/>
        <v>2.0625</v>
      </c>
      <c r="BX25" s="23">
        <f t="shared" si="7"/>
        <v>2.0625</v>
      </c>
      <c r="BY25" s="23">
        <f t="shared" si="8"/>
        <v>2.0625</v>
      </c>
      <c r="BZ25" s="23">
        <f t="shared" si="9"/>
        <v>2.0625</v>
      </c>
      <c r="CA25" s="23">
        <f t="shared" si="10"/>
        <v>102.0625</v>
      </c>
      <c r="CB25" s="23">
        <f t="shared" si="11"/>
        <v>0</v>
      </c>
      <c r="CC25" s="23">
        <f t="shared" si="12"/>
        <v>0</v>
      </c>
      <c r="CD25" s="23">
        <f t="shared" si="13"/>
        <v>0</v>
      </c>
      <c r="CE25" s="23">
        <f t="shared" si="14"/>
        <v>0</v>
      </c>
      <c r="CF25" s="23">
        <f t="shared" si="15"/>
        <v>0</v>
      </c>
      <c r="CG25" s="23">
        <f t="shared" si="16"/>
        <v>0</v>
      </c>
      <c r="CH25" s="23">
        <f t="shared" si="17"/>
        <v>0</v>
      </c>
      <c r="CI25" s="23">
        <f t="shared" si="18"/>
        <v>0</v>
      </c>
      <c r="CJ25" s="23">
        <f t="shared" si="19"/>
        <v>0</v>
      </c>
      <c r="CK25" s="23">
        <f t="shared" si="20"/>
        <v>0</v>
      </c>
      <c r="CL25" s="23">
        <f t="shared" si="21"/>
        <v>0</v>
      </c>
      <c r="CM25" s="23">
        <f t="shared" si="22"/>
        <v>0</v>
      </c>
      <c r="CN25" s="23">
        <f t="shared" si="23"/>
        <v>0</v>
      </c>
      <c r="CO25" s="23">
        <f t="shared" si="24"/>
        <v>0</v>
      </c>
      <c r="CP25" s="23">
        <f t="shared" si="25"/>
        <v>0</v>
      </c>
      <c r="CQ25" s="23">
        <f t="shared" si="26"/>
        <v>0</v>
      </c>
      <c r="CR25" s="23">
        <f t="shared" si="27"/>
        <v>0</v>
      </c>
      <c r="CS25" s="23">
        <f t="shared" si="28"/>
        <v>0</v>
      </c>
      <c r="CT25" s="23">
        <f t="shared" si="29"/>
        <v>0</v>
      </c>
      <c r="CU25" s="23">
        <f t="shared" si="30"/>
        <v>0</v>
      </c>
      <c r="CV25" s="23">
        <f t="shared" si="31"/>
        <v>0</v>
      </c>
      <c r="CW25" s="23">
        <f t="shared" si="32"/>
        <v>0</v>
      </c>
      <c r="CX25" s="23">
        <f t="shared" si="33"/>
        <v>0</v>
      </c>
      <c r="CY25" s="23">
        <f t="shared" si="34"/>
        <v>0</v>
      </c>
      <c r="CZ25" s="23">
        <f t="shared" si="35"/>
        <v>0</v>
      </c>
      <c r="DA25" s="23">
        <f t="shared" si="36"/>
        <v>0</v>
      </c>
      <c r="DB25" s="23">
        <f t="shared" si="37"/>
        <v>0</v>
      </c>
      <c r="DC25" s="23">
        <f t="shared" si="38"/>
        <v>0</v>
      </c>
      <c r="DD25" s="23">
        <f t="shared" si="39"/>
        <v>0</v>
      </c>
      <c r="DE25" s="23">
        <f t="shared" si="40"/>
        <v>0</v>
      </c>
      <c r="DF25" s="23">
        <f t="shared" si="41"/>
        <v>0</v>
      </c>
      <c r="DG25" s="23">
        <f t="shared" si="42"/>
        <v>0</v>
      </c>
      <c r="DH25" s="23">
        <f t="shared" si="43"/>
        <v>0</v>
      </c>
      <c r="DI25" s="23">
        <f t="shared" si="44"/>
        <v>0</v>
      </c>
      <c r="DJ25" s="23">
        <f t="shared" si="45"/>
        <v>0</v>
      </c>
      <c r="DK25" s="23">
        <f t="shared" si="46"/>
        <v>0</v>
      </c>
      <c r="DL25" s="23">
        <f t="shared" si="47"/>
        <v>0</v>
      </c>
      <c r="DM25" s="23">
        <f t="shared" si="48"/>
        <v>0</v>
      </c>
      <c r="DN25" s="23">
        <f t="shared" si="49"/>
        <v>0</v>
      </c>
      <c r="DO25" s="23">
        <f t="shared" si="50"/>
        <v>0</v>
      </c>
      <c r="DP25" s="23">
        <f t="shared" si="51"/>
        <v>0</v>
      </c>
      <c r="DQ25" s="23">
        <f t="shared" si="52"/>
        <v>0</v>
      </c>
      <c r="DR25" s="23">
        <f t="shared" si="53"/>
        <v>0</v>
      </c>
      <c r="DS25" s="23">
        <f t="shared" si="54"/>
        <v>0</v>
      </c>
      <c r="DT25" s="23">
        <f t="shared" si="55"/>
        <v>0</v>
      </c>
      <c r="DU25" s="23">
        <f t="shared" si="56"/>
        <v>0</v>
      </c>
      <c r="DV25" s="23">
        <f t="shared" si="57"/>
        <v>0</v>
      </c>
      <c r="DW25" s="23">
        <f t="shared" si="58"/>
        <v>0</v>
      </c>
      <c r="DX25" s="23">
        <f t="shared" si="59"/>
        <v>0</v>
      </c>
      <c r="DY25" s="23">
        <f t="shared" si="60"/>
        <v>0</v>
      </c>
      <c r="DZ25" s="23">
        <f t="shared" si="61"/>
        <v>0</v>
      </c>
      <c r="EA25" s="23">
        <f t="shared" si="62"/>
        <v>0</v>
      </c>
      <c r="EB25" s="23">
        <f t="shared" si="63"/>
        <v>0</v>
      </c>
    </row>
    <row r="26" spans="1:132">
      <c r="A26" s="23">
        <v>20110215.204999998</v>
      </c>
      <c r="B26" s="23">
        <v>20070607</v>
      </c>
      <c r="C26" s="23">
        <v>20110215</v>
      </c>
      <c r="D26" s="23">
        <v>2</v>
      </c>
      <c r="E26" s="23">
        <v>5</v>
      </c>
      <c r="F26" s="23">
        <v>99.875</v>
      </c>
      <c r="G26" s="23">
        <v>99.90625</v>
      </c>
      <c r="H26" s="26">
        <f t="shared" si="0"/>
        <v>3.6888888888888891</v>
      </c>
      <c r="I26" s="26">
        <f t="shared" si="1"/>
        <v>1.5555555555555556</v>
      </c>
      <c r="K26" s="26">
        <v>0.18888888888888888</v>
      </c>
      <c r="L26" s="23">
        <f t="shared" si="69"/>
        <v>0.68888888888888888</v>
      </c>
      <c r="M26" s="23">
        <f t="shared" si="69"/>
        <v>1.1888888888888889</v>
      </c>
      <c r="N26" s="23">
        <f t="shared" si="69"/>
        <v>1.6888888888888889</v>
      </c>
      <c r="O26" s="23">
        <f t="shared" si="69"/>
        <v>2.1888888888888891</v>
      </c>
      <c r="P26" s="23">
        <f t="shared" si="69"/>
        <v>2.6888888888888891</v>
      </c>
      <c r="Q26" s="23">
        <f t="shared" si="69"/>
        <v>3.1888888888888891</v>
      </c>
      <c r="R26" s="23">
        <f t="shared" si="69"/>
        <v>3.6888888888888891</v>
      </c>
      <c r="S26" s="23">
        <f t="shared" si="69"/>
        <v>0</v>
      </c>
      <c r="T26" s="23">
        <f t="shared" si="69"/>
        <v>0</v>
      </c>
      <c r="U26" s="23">
        <f t="shared" si="69"/>
        <v>0</v>
      </c>
      <c r="V26" s="23">
        <f t="shared" si="69"/>
        <v>0</v>
      </c>
      <c r="W26" s="23">
        <f t="shared" si="69"/>
        <v>0</v>
      </c>
      <c r="X26" s="23">
        <f t="shared" si="69"/>
        <v>0</v>
      </c>
      <c r="Y26" s="23">
        <f t="shared" si="69"/>
        <v>0</v>
      </c>
      <c r="Z26" s="23">
        <f t="shared" si="69"/>
        <v>0</v>
      </c>
      <c r="AA26" s="23">
        <f t="shared" si="69"/>
        <v>0</v>
      </c>
      <c r="AB26" s="23">
        <f t="shared" si="69"/>
        <v>0</v>
      </c>
      <c r="AC26" s="23">
        <f t="shared" si="69"/>
        <v>0</v>
      </c>
      <c r="AD26" s="23">
        <f t="shared" si="69"/>
        <v>0</v>
      </c>
      <c r="AE26" s="23">
        <f t="shared" si="69"/>
        <v>0</v>
      </c>
      <c r="AF26" s="23">
        <f t="shared" si="69"/>
        <v>0</v>
      </c>
      <c r="AG26" s="23">
        <f t="shared" si="69"/>
        <v>0</v>
      </c>
      <c r="AH26" s="23">
        <f t="shared" si="69"/>
        <v>0</v>
      </c>
      <c r="AI26" s="23">
        <f t="shared" si="69"/>
        <v>0</v>
      </c>
      <c r="AJ26" s="23">
        <f t="shared" si="69"/>
        <v>0</v>
      </c>
      <c r="AK26" s="23">
        <f t="shared" si="69"/>
        <v>0</v>
      </c>
      <c r="AL26" s="23">
        <f t="shared" si="69"/>
        <v>0</v>
      </c>
      <c r="AM26" s="23">
        <f t="shared" si="69"/>
        <v>0</v>
      </c>
      <c r="AN26" s="23">
        <f t="shared" si="69"/>
        <v>0</v>
      </c>
      <c r="AO26" s="23">
        <f t="shared" si="69"/>
        <v>0</v>
      </c>
      <c r="AP26" s="23">
        <f t="shared" si="69"/>
        <v>0</v>
      </c>
      <c r="AQ26" s="23">
        <f t="shared" si="69"/>
        <v>0</v>
      </c>
      <c r="AR26" s="23">
        <f t="shared" si="69"/>
        <v>0</v>
      </c>
      <c r="AS26" s="23">
        <f t="shared" si="65"/>
        <v>0</v>
      </c>
      <c r="AT26" s="23">
        <f t="shared" si="65"/>
        <v>0</v>
      </c>
      <c r="AU26" s="23">
        <f t="shared" si="65"/>
        <v>0</v>
      </c>
      <c r="AV26" s="23">
        <f t="shared" si="65"/>
        <v>0</v>
      </c>
      <c r="AW26" s="23">
        <f t="shared" si="65"/>
        <v>0</v>
      </c>
      <c r="AX26" s="23">
        <f t="shared" si="65"/>
        <v>0</v>
      </c>
      <c r="AY26" s="23">
        <f t="shared" si="65"/>
        <v>0</v>
      </c>
      <c r="AZ26" s="23">
        <f t="shared" si="65"/>
        <v>0</v>
      </c>
      <c r="BA26" s="23">
        <f t="shared" si="65"/>
        <v>0</v>
      </c>
      <c r="BB26" s="23">
        <f t="shared" si="65"/>
        <v>0</v>
      </c>
      <c r="BC26" s="23">
        <f t="shared" si="65"/>
        <v>0</v>
      </c>
      <c r="BD26" s="23">
        <f t="shared" si="65"/>
        <v>0</v>
      </c>
      <c r="BE26" s="23">
        <f t="shared" si="65"/>
        <v>0</v>
      </c>
      <c r="BF26" s="23">
        <f t="shared" si="65"/>
        <v>0</v>
      </c>
      <c r="BG26" s="23">
        <f t="shared" si="66"/>
        <v>0</v>
      </c>
      <c r="BH26" s="23">
        <f t="shared" si="66"/>
        <v>0</v>
      </c>
      <c r="BI26" s="23">
        <f t="shared" si="66"/>
        <v>0</v>
      </c>
      <c r="BJ26" s="23">
        <f t="shared" si="66"/>
        <v>0</v>
      </c>
      <c r="BK26" s="23">
        <f t="shared" si="66"/>
        <v>0</v>
      </c>
      <c r="BL26" s="23">
        <f t="shared" si="66"/>
        <v>0</v>
      </c>
      <c r="BM26" s="23">
        <f t="shared" si="66"/>
        <v>0</v>
      </c>
      <c r="BN26" s="23">
        <f t="shared" si="66"/>
        <v>0</v>
      </c>
      <c r="BO26" s="23">
        <f t="shared" si="66"/>
        <v>0</v>
      </c>
      <c r="BP26" s="23">
        <f t="shared" si="66"/>
        <v>0</v>
      </c>
      <c r="BQ26" s="23">
        <f t="shared" si="66"/>
        <v>0</v>
      </c>
      <c r="BR26" s="23">
        <f t="shared" si="66"/>
        <v>0</v>
      </c>
      <c r="BS26" s="23">
        <f t="shared" si="66"/>
        <v>0</v>
      </c>
      <c r="BU26" s="23">
        <f t="shared" si="4"/>
        <v>2.5</v>
      </c>
      <c r="BV26" s="23">
        <f t="shared" si="5"/>
        <v>2.5</v>
      </c>
      <c r="BW26" s="23">
        <f t="shared" si="6"/>
        <v>2.5</v>
      </c>
      <c r="BX26" s="23">
        <f t="shared" si="7"/>
        <v>2.5</v>
      </c>
      <c r="BY26" s="23">
        <f t="shared" si="8"/>
        <v>2.5</v>
      </c>
      <c r="BZ26" s="23">
        <f t="shared" si="9"/>
        <v>2.5</v>
      </c>
      <c r="CA26" s="23">
        <f t="shared" si="10"/>
        <v>2.5</v>
      </c>
      <c r="CB26" s="23">
        <f t="shared" si="11"/>
        <v>102.5</v>
      </c>
      <c r="CC26" s="23">
        <f t="shared" si="12"/>
        <v>0</v>
      </c>
      <c r="CD26" s="23">
        <f t="shared" si="13"/>
        <v>0</v>
      </c>
      <c r="CE26" s="23">
        <f t="shared" si="14"/>
        <v>0</v>
      </c>
      <c r="CF26" s="23">
        <f t="shared" si="15"/>
        <v>0</v>
      </c>
      <c r="CG26" s="23">
        <f t="shared" si="16"/>
        <v>0</v>
      </c>
      <c r="CH26" s="23">
        <f t="shared" si="17"/>
        <v>0</v>
      </c>
      <c r="CI26" s="23">
        <f t="shared" si="18"/>
        <v>0</v>
      </c>
      <c r="CJ26" s="23">
        <f t="shared" si="19"/>
        <v>0</v>
      </c>
      <c r="CK26" s="23">
        <f t="shared" si="20"/>
        <v>0</v>
      </c>
      <c r="CL26" s="23">
        <f t="shared" si="21"/>
        <v>0</v>
      </c>
      <c r="CM26" s="23">
        <f t="shared" si="22"/>
        <v>0</v>
      </c>
      <c r="CN26" s="23">
        <f t="shared" si="23"/>
        <v>0</v>
      </c>
      <c r="CO26" s="23">
        <f t="shared" si="24"/>
        <v>0</v>
      </c>
      <c r="CP26" s="23">
        <f t="shared" si="25"/>
        <v>0</v>
      </c>
      <c r="CQ26" s="23">
        <f t="shared" si="26"/>
        <v>0</v>
      </c>
      <c r="CR26" s="23">
        <f t="shared" si="27"/>
        <v>0</v>
      </c>
      <c r="CS26" s="23">
        <f t="shared" si="28"/>
        <v>0</v>
      </c>
      <c r="CT26" s="23">
        <f t="shared" si="29"/>
        <v>0</v>
      </c>
      <c r="CU26" s="23">
        <f t="shared" si="30"/>
        <v>0</v>
      </c>
      <c r="CV26" s="23">
        <f t="shared" si="31"/>
        <v>0</v>
      </c>
      <c r="CW26" s="23">
        <f t="shared" si="32"/>
        <v>0</v>
      </c>
      <c r="CX26" s="23">
        <f t="shared" si="33"/>
        <v>0</v>
      </c>
      <c r="CY26" s="23">
        <f t="shared" si="34"/>
        <v>0</v>
      </c>
      <c r="CZ26" s="23">
        <f t="shared" si="35"/>
        <v>0</v>
      </c>
      <c r="DA26" s="23">
        <f t="shared" si="36"/>
        <v>0</v>
      </c>
      <c r="DB26" s="23">
        <f t="shared" si="37"/>
        <v>0</v>
      </c>
      <c r="DC26" s="23">
        <f t="shared" si="38"/>
        <v>0</v>
      </c>
      <c r="DD26" s="23">
        <f t="shared" si="39"/>
        <v>0</v>
      </c>
      <c r="DE26" s="23">
        <f t="shared" si="40"/>
        <v>0</v>
      </c>
      <c r="DF26" s="23">
        <f t="shared" si="41"/>
        <v>0</v>
      </c>
      <c r="DG26" s="23">
        <f t="shared" si="42"/>
        <v>0</v>
      </c>
      <c r="DH26" s="23">
        <f t="shared" si="43"/>
        <v>0</v>
      </c>
      <c r="DI26" s="23">
        <f t="shared" si="44"/>
        <v>0</v>
      </c>
      <c r="DJ26" s="23">
        <f t="shared" si="45"/>
        <v>0</v>
      </c>
      <c r="DK26" s="23">
        <f t="shared" si="46"/>
        <v>0</v>
      </c>
      <c r="DL26" s="23">
        <f t="shared" si="47"/>
        <v>0</v>
      </c>
      <c r="DM26" s="23">
        <f t="shared" si="48"/>
        <v>0</v>
      </c>
      <c r="DN26" s="23">
        <f t="shared" si="49"/>
        <v>0</v>
      </c>
      <c r="DO26" s="23">
        <f t="shared" si="50"/>
        <v>0</v>
      </c>
      <c r="DP26" s="23">
        <f t="shared" si="51"/>
        <v>0</v>
      </c>
      <c r="DQ26" s="23">
        <f t="shared" si="52"/>
        <v>0</v>
      </c>
      <c r="DR26" s="23">
        <f t="shared" si="53"/>
        <v>0</v>
      </c>
      <c r="DS26" s="23">
        <f t="shared" si="54"/>
        <v>0</v>
      </c>
      <c r="DT26" s="23">
        <f t="shared" si="55"/>
        <v>0</v>
      </c>
      <c r="DU26" s="23">
        <f t="shared" si="56"/>
        <v>0</v>
      </c>
      <c r="DV26" s="23">
        <f t="shared" si="57"/>
        <v>0</v>
      </c>
      <c r="DW26" s="23">
        <f t="shared" si="58"/>
        <v>0</v>
      </c>
      <c r="DX26" s="23">
        <f t="shared" si="59"/>
        <v>0</v>
      </c>
      <c r="DY26" s="23">
        <f t="shared" si="60"/>
        <v>0</v>
      </c>
      <c r="DZ26" s="23">
        <f t="shared" si="61"/>
        <v>0</v>
      </c>
      <c r="EA26" s="23">
        <f t="shared" si="62"/>
        <v>0</v>
      </c>
      <c r="EB26" s="23">
        <f t="shared" si="63"/>
        <v>0</v>
      </c>
    </row>
    <row r="27" spans="1:132">
      <c r="A27" s="23">
        <v>20110815.204999998</v>
      </c>
      <c r="B27" s="23">
        <v>20070607</v>
      </c>
      <c r="C27" s="23">
        <v>20110815</v>
      </c>
      <c r="D27" s="23">
        <v>2</v>
      </c>
      <c r="E27" s="23">
        <v>5</v>
      </c>
      <c r="F27" s="23">
        <v>99.84375</v>
      </c>
      <c r="G27" s="23">
        <v>99.875</v>
      </c>
      <c r="H27" s="26">
        <f t="shared" si="0"/>
        <v>4.1888888888888891</v>
      </c>
      <c r="I27" s="26">
        <f t="shared" si="1"/>
        <v>1.5555555555555556</v>
      </c>
      <c r="K27" s="26">
        <v>0.18888888888888888</v>
      </c>
      <c r="L27" s="23">
        <f t="shared" si="69"/>
        <v>0.68888888888888888</v>
      </c>
      <c r="M27" s="23">
        <f t="shared" si="69"/>
        <v>1.1888888888888889</v>
      </c>
      <c r="N27" s="23">
        <f t="shared" si="69"/>
        <v>1.6888888888888889</v>
      </c>
      <c r="O27" s="23">
        <f t="shared" si="69"/>
        <v>2.1888888888888891</v>
      </c>
      <c r="P27" s="23">
        <f t="shared" si="69"/>
        <v>2.6888888888888891</v>
      </c>
      <c r="Q27" s="23">
        <f t="shared" si="69"/>
        <v>3.1888888888888891</v>
      </c>
      <c r="R27" s="23">
        <f t="shared" si="69"/>
        <v>3.6888888888888891</v>
      </c>
      <c r="S27" s="23">
        <f t="shared" si="69"/>
        <v>4.1888888888888891</v>
      </c>
      <c r="T27" s="23">
        <f t="shared" si="69"/>
        <v>0</v>
      </c>
      <c r="U27" s="23">
        <f t="shared" si="69"/>
        <v>0</v>
      </c>
      <c r="V27" s="23">
        <f t="shared" si="69"/>
        <v>0</v>
      </c>
      <c r="W27" s="23">
        <f t="shared" si="69"/>
        <v>0</v>
      </c>
      <c r="X27" s="23">
        <f t="shared" si="69"/>
        <v>0</v>
      </c>
      <c r="Y27" s="23">
        <f t="shared" si="69"/>
        <v>0</v>
      </c>
      <c r="Z27" s="23">
        <f t="shared" si="69"/>
        <v>0</v>
      </c>
      <c r="AA27" s="23">
        <f t="shared" si="69"/>
        <v>0</v>
      </c>
      <c r="AB27" s="23">
        <f t="shared" si="69"/>
        <v>0</v>
      </c>
      <c r="AC27" s="23">
        <f t="shared" si="69"/>
        <v>0</v>
      </c>
      <c r="AD27" s="23">
        <f t="shared" si="69"/>
        <v>0</v>
      </c>
      <c r="AE27" s="23">
        <f t="shared" si="69"/>
        <v>0</v>
      </c>
      <c r="AF27" s="23">
        <f t="shared" si="69"/>
        <v>0</v>
      </c>
      <c r="AG27" s="23">
        <f t="shared" si="69"/>
        <v>0</v>
      </c>
      <c r="AH27" s="23">
        <f t="shared" si="69"/>
        <v>0</v>
      </c>
      <c r="AI27" s="23">
        <f t="shared" si="69"/>
        <v>0</v>
      </c>
      <c r="AJ27" s="23">
        <f t="shared" si="69"/>
        <v>0</v>
      </c>
      <c r="AK27" s="23">
        <f t="shared" si="69"/>
        <v>0</v>
      </c>
      <c r="AL27" s="23">
        <f t="shared" si="69"/>
        <v>0</v>
      </c>
      <c r="AM27" s="23">
        <f t="shared" si="69"/>
        <v>0</v>
      </c>
      <c r="AN27" s="23">
        <f t="shared" si="69"/>
        <v>0</v>
      </c>
      <c r="AO27" s="23">
        <f t="shared" si="69"/>
        <v>0</v>
      </c>
      <c r="AP27" s="23">
        <f t="shared" si="69"/>
        <v>0</v>
      </c>
      <c r="AQ27" s="23">
        <f t="shared" si="69"/>
        <v>0</v>
      </c>
      <c r="AR27" s="23">
        <f t="shared" si="69"/>
        <v>0</v>
      </c>
      <c r="AS27" s="23">
        <f t="shared" si="65"/>
        <v>0</v>
      </c>
      <c r="AT27" s="23">
        <f t="shared" si="65"/>
        <v>0</v>
      </c>
      <c r="AU27" s="23">
        <f t="shared" si="65"/>
        <v>0</v>
      </c>
      <c r="AV27" s="23">
        <f t="shared" si="65"/>
        <v>0</v>
      </c>
      <c r="AW27" s="23">
        <f t="shared" si="65"/>
        <v>0</v>
      </c>
      <c r="AX27" s="23">
        <f t="shared" si="65"/>
        <v>0</v>
      </c>
      <c r="AY27" s="23">
        <f t="shared" si="65"/>
        <v>0</v>
      </c>
      <c r="AZ27" s="23">
        <f t="shared" si="65"/>
        <v>0</v>
      </c>
      <c r="BA27" s="23">
        <f t="shared" si="65"/>
        <v>0</v>
      </c>
      <c r="BB27" s="23">
        <f t="shared" si="65"/>
        <v>0</v>
      </c>
      <c r="BC27" s="23">
        <f t="shared" si="65"/>
        <v>0</v>
      </c>
      <c r="BD27" s="23">
        <f t="shared" si="65"/>
        <v>0</v>
      </c>
      <c r="BE27" s="23">
        <f t="shared" si="65"/>
        <v>0</v>
      </c>
      <c r="BF27" s="23">
        <f t="shared" si="65"/>
        <v>0</v>
      </c>
      <c r="BG27" s="23">
        <f t="shared" si="66"/>
        <v>0</v>
      </c>
      <c r="BH27" s="23">
        <f t="shared" si="66"/>
        <v>0</v>
      </c>
      <c r="BI27" s="23">
        <f t="shared" si="66"/>
        <v>0</v>
      </c>
      <c r="BJ27" s="23">
        <f t="shared" si="66"/>
        <v>0</v>
      </c>
      <c r="BK27" s="23">
        <f t="shared" si="66"/>
        <v>0</v>
      </c>
      <c r="BL27" s="23">
        <f t="shared" si="66"/>
        <v>0</v>
      </c>
      <c r="BM27" s="23">
        <f t="shared" si="66"/>
        <v>0</v>
      </c>
      <c r="BN27" s="23">
        <f t="shared" si="66"/>
        <v>0</v>
      </c>
      <c r="BO27" s="23">
        <f t="shared" si="66"/>
        <v>0</v>
      </c>
      <c r="BP27" s="23">
        <f t="shared" si="66"/>
        <v>0</v>
      </c>
      <c r="BQ27" s="23">
        <f t="shared" si="66"/>
        <v>0</v>
      </c>
      <c r="BR27" s="23">
        <f t="shared" si="66"/>
        <v>0</v>
      </c>
      <c r="BS27" s="23">
        <f t="shared" si="66"/>
        <v>0</v>
      </c>
      <c r="BU27" s="23">
        <f t="shared" si="4"/>
        <v>2.5</v>
      </c>
      <c r="BV27" s="23">
        <f t="shared" si="5"/>
        <v>2.5</v>
      </c>
      <c r="BW27" s="23">
        <f t="shared" si="6"/>
        <v>2.5</v>
      </c>
      <c r="BX27" s="23">
        <f t="shared" si="7"/>
        <v>2.5</v>
      </c>
      <c r="BY27" s="23">
        <f t="shared" si="8"/>
        <v>2.5</v>
      </c>
      <c r="BZ27" s="23">
        <f t="shared" si="9"/>
        <v>2.5</v>
      </c>
      <c r="CA27" s="23">
        <f t="shared" si="10"/>
        <v>2.5</v>
      </c>
      <c r="CB27" s="23">
        <f t="shared" si="11"/>
        <v>2.5</v>
      </c>
      <c r="CC27" s="23">
        <f t="shared" si="12"/>
        <v>102.5</v>
      </c>
      <c r="CD27" s="23">
        <f t="shared" si="13"/>
        <v>0</v>
      </c>
      <c r="CE27" s="23">
        <f t="shared" si="14"/>
        <v>0</v>
      </c>
      <c r="CF27" s="23">
        <f t="shared" si="15"/>
        <v>0</v>
      </c>
      <c r="CG27" s="23">
        <f t="shared" si="16"/>
        <v>0</v>
      </c>
      <c r="CH27" s="23">
        <f t="shared" si="17"/>
        <v>0</v>
      </c>
      <c r="CI27" s="23">
        <f t="shared" si="18"/>
        <v>0</v>
      </c>
      <c r="CJ27" s="23">
        <f t="shared" si="19"/>
        <v>0</v>
      </c>
      <c r="CK27" s="23">
        <f t="shared" si="20"/>
        <v>0</v>
      </c>
      <c r="CL27" s="23">
        <f t="shared" si="21"/>
        <v>0</v>
      </c>
      <c r="CM27" s="23">
        <f t="shared" si="22"/>
        <v>0</v>
      </c>
      <c r="CN27" s="23">
        <f t="shared" si="23"/>
        <v>0</v>
      </c>
      <c r="CO27" s="23">
        <f t="shared" si="24"/>
        <v>0</v>
      </c>
      <c r="CP27" s="23">
        <f t="shared" si="25"/>
        <v>0</v>
      </c>
      <c r="CQ27" s="23">
        <f t="shared" si="26"/>
        <v>0</v>
      </c>
      <c r="CR27" s="23">
        <f t="shared" si="27"/>
        <v>0</v>
      </c>
      <c r="CS27" s="23">
        <f t="shared" si="28"/>
        <v>0</v>
      </c>
      <c r="CT27" s="23">
        <f t="shared" si="29"/>
        <v>0</v>
      </c>
      <c r="CU27" s="23">
        <f t="shared" si="30"/>
        <v>0</v>
      </c>
      <c r="CV27" s="23">
        <f t="shared" si="31"/>
        <v>0</v>
      </c>
      <c r="CW27" s="23">
        <f t="shared" si="32"/>
        <v>0</v>
      </c>
      <c r="CX27" s="23">
        <f t="shared" si="33"/>
        <v>0</v>
      </c>
      <c r="CY27" s="23">
        <f t="shared" si="34"/>
        <v>0</v>
      </c>
      <c r="CZ27" s="23">
        <f t="shared" si="35"/>
        <v>0</v>
      </c>
      <c r="DA27" s="23">
        <f t="shared" si="36"/>
        <v>0</v>
      </c>
      <c r="DB27" s="23">
        <f t="shared" si="37"/>
        <v>0</v>
      </c>
      <c r="DC27" s="23">
        <f t="shared" si="38"/>
        <v>0</v>
      </c>
      <c r="DD27" s="23">
        <f t="shared" si="39"/>
        <v>0</v>
      </c>
      <c r="DE27" s="23">
        <f t="shared" si="40"/>
        <v>0</v>
      </c>
      <c r="DF27" s="23">
        <f t="shared" si="41"/>
        <v>0</v>
      </c>
      <c r="DG27" s="23">
        <f t="shared" si="42"/>
        <v>0</v>
      </c>
      <c r="DH27" s="23">
        <f t="shared" si="43"/>
        <v>0</v>
      </c>
      <c r="DI27" s="23">
        <f t="shared" si="44"/>
        <v>0</v>
      </c>
      <c r="DJ27" s="23">
        <f t="shared" si="45"/>
        <v>0</v>
      </c>
      <c r="DK27" s="23">
        <f t="shared" si="46"/>
        <v>0</v>
      </c>
      <c r="DL27" s="23">
        <f t="shared" si="47"/>
        <v>0</v>
      </c>
      <c r="DM27" s="23">
        <f t="shared" si="48"/>
        <v>0</v>
      </c>
      <c r="DN27" s="23">
        <f t="shared" si="49"/>
        <v>0</v>
      </c>
      <c r="DO27" s="23">
        <f t="shared" si="50"/>
        <v>0</v>
      </c>
      <c r="DP27" s="23">
        <f t="shared" si="51"/>
        <v>0</v>
      </c>
      <c r="DQ27" s="23">
        <f t="shared" si="52"/>
        <v>0</v>
      </c>
      <c r="DR27" s="23">
        <f t="shared" si="53"/>
        <v>0</v>
      </c>
      <c r="DS27" s="23">
        <f t="shared" si="54"/>
        <v>0</v>
      </c>
      <c r="DT27" s="23">
        <f t="shared" si="55"/>
        <v>0</v>
      </c>
      <c r="DU27" s="23">
        <f t="shared" si="56"/>
        <v>0</v>
      </c>
      <c r="DV27" s="23">
        <f t="shared" si="57"/>
        <v>0</v>
      </c>
      <c r="DW27" s="23">
        <f t="shared" si="58"/>
        <v>0</v>
      </c>
      <c r="DX27" s="23">
        <f t="shared" si="59"/>
        <v>0</v>
      </c>
      <c r="DY27" s="23">
        <f t="shared" si="60"/>
        <v>0</v>
      </c>
      <c r="DZ27" s="23">
        <f t="shared" si="61"/>
        <v>0</v>
      </c>
      <c r="EA27" s="23">
        <f t="shared" si="62"/>
        <v>0</v>
      </c>
      <c r="EB27" s="23">
        <f t="shared" si="63"/>
        <v>0</v>
      </c>
    </row>
    <row r="28" spans="1:132">
      <c r="A28" s="23">
        <v>20120215.20487</v>
      </c>
      <c r="B28" s="23">
        <v>20070607</v>
      </c>
      <c r="C28" s="23">
        <v>20120215</v>
      </c>
      <c r="D28" s="23">
        <v>2</v>
      </c>
      <c r="E28" s="23">
        <v>4.875</v>
      </c>
      <c r="F28" s="23">
        <v>99.234375</v>
      </c>
      <c r="G28" s="23">
        <v>99.265625</v>
      </c>
      <c r="H28" s="26">
        <f t="shared" si="0"/>
        <v>4.6888888888888891</v>
      </c>
      <c r="I28" s="26">
        <f t="shared" si="1"/>
        <v>1.5166666666666666</v>
      </c>
      <c r="K28" s="26">
        <v>0.18888888888888888</v>
      </c>
      <c r="L28" s="23">
        <f t="shared" si="69"/>
        <v>0.68888888888888888</v>
      </c>
      <c r="M28" s="23">
        <f t="shared" si="69"/>
        <v>1.1888888888888889</v>
      </c>
      <c r="N28" s="23">
        <f t="shared" si="69"/>
        <v>1.6888888888888889</v>
      </c>
      <c r="O28" s="23">
        <f t="shared" si="69"/>
        <v>2.1888888888888891</v>
      </c>
      <c r="P28" s="23">
        <f t="shared" si="69"/>
        <v>2.6888888888888891</v>
      </c>
      <c r="Q28" s="23">
        <f t="shared" si="69"/>
        <v>3.1888888888888891</v>
      </c>
      <c r="R28" s="23">
        <f t="shared" si="69"/>
        <v>3.6888888888888891</v>
      </c>
      <c r="S28" s="23">
        <f t="shared" si="69"/>
        <v>4.1888888888888891</v>
      </c>
      <c r="T28" s="23">
        <f t="shared" si="69"/>
        <v>4.6888888888888891</v>
      </c>
      <c r="U28" s="23">
        <f t="shared" si="69"/>
        <v>0</v>
      </c>
      <c r="V28" s="23">
        <f t="shared" si="69"/>
        <v>0</v>
      </c>
      <c r="W28" s="23">
        <f t="shared" si="69"/>
        <v>0</v>
      </c>
      <c r="X28" s="23">
        <f t="shared" si="69"/>
        <v>0</v>
      </c>
      <c r="Y28" s="23">
        <f t="shared" si="69"/>
        <v>0</v>
      </c>
      <c r="Z28" s="23">
        <f t="shared" si="69"/>
        <v>0</v>
      </c>
      <c r="AA28" s="23">
        <f t="shared" si="69"/>
        <v>0</v>
      </c>
      <c r="AB28" s="23">
        <f t="shared" si="69"/>
        <v>0</v>
      </c>
      <c r="AC28" s="23">
        <f t="shared" si="69"/>
        <v>0</v>
      </c>
      <c r="AD28" s="23">
        <f t="shared" si="69"/>
        <v>0</v>
      </c>
      <c r="AE28" s="23">
        <f t="shared" si="69"/>
        <v>0</v>
      </c>
      <c r="AF28" s="23">
        <f t="shared" si="69"/>
        <v>0</v>
      </c>
      <c r="AG28" s="23">
        <f t="shared" si="69"/>
        <v>0</v>
      </c>
      <c r="AH28" s="23">
        <f t="shared" si="69"/>
        <v>0</v>
      </c>
      <c r="AI28" s="23">
        <f t="shared" si="69"/>
        <v>0</v>
      </c>
      <c r="AJ28" s="23">
        <f t="shared" si="69"/>
        <v>0</v>
      </c>
      <c r="AK28" s="23">
        <f t="shared" si="69"/>
        <v>0</v>
      </c>
      <c r="AL28" s="23">
        <f t="shared" si="69"/>
        <v>0</v>
      </c>
      <c r="AM28" s="23">
        <f t="shared" si="69"/>
        <v>0</v>
      </c>
      <c r="AN28" s="23">
        <f t="shared" si="69"/>
        <v>0</v>
      </c>
      <c r="AO28" s="23">
        <f t="shared" si="69"/>
        <v>0</v>
      </c>
      <c r="AP28" s="23">
        <f t="shared" si="69"/>
        <v>0</v>
      </c>
      <c r="AQ28" s="23">
        <f t="shared" si="69"/>
        <v>0</v>
      </c>
      <c r="AR28" s="23">
        <f t="shared" si="69"/>
        <v>0</v>
      </c>
      <c r="AS28" s="23">
        <f t="shared" si="65"/>
        <v>0</v>
      </c>
      <c r="AT28" s="23">
        <f t="shared" si="65"/>
        <v>0</v>
      </c>
      <c r="AU28" s="23">
        <f t="shared" si="65"/>
        <v>0</v>
      </c>
      <c r="AV28" s="23">
        <f t="shared" si="65"/>
        <v>0</v>
      </c>
      <c r="AW28" s="23">
        <f t="shared" si="65"/>
        <v>0</v>
      </c>
      <c r="AX28" s="23">
        <f t="shared" si="65"/>
        <v>0</v>
      </c>
      <c r="AY28" s="23">
        <f t="shared" si="65"/>
        <v>0</v>
      </c>
      <c r="AZ28" s="23">
        <f t="shared" si="65"/>
        <v>0</v>
      </c>
      <c r="BA28" s="23">
        <f t="shared" si="65"/>
        <v>0</v>
      </c>
      <c r="BB28" s="23">
        <f t="shared" si="65"/>
        <v>0</v>
      </c>
      <c r="BC28" s="23">
        <f t="shared" si="65"/>
        <v>0</v>
      </c>
      <c r="BD28" s="23">
        <f t="shared" si="65"/>
        <v>0</v>
      </c>
      <c r="BE28" s="23">
        <f t="shared" si="65"/>
        <v>0</v>
      </c>
      <c r="BF28" s="23">
        <f t="shared" si="65"/>
        <v>0</v>
      </c>
      <c r="BG28" s="23">
        <f t="shared" si="66"/>
        <v>0</v>
      </c>
      <c r="BH28" s="23">
        <f t="shared" si="66"/>
        <v>0</v>
      </c>
      <c r="BI28" s="23">
        <f t="shared" si="66"/>
        <v>0</v>
      </c>
      <c r="BJ28" s="23">
        <f t="shared" si="66"/>
        <v>0</v>
      </c>
      <c r="BK28" s="23">
        <f t="shared" si="66"/>
        <v>0</v>
      </c>
      <c r="BL28" s="23">
        <f t="shared" si="66"/>
        <v>0</v>
      </c>
      <c r="BM28" s="23">
        <f t="shared" si="66"/>
        <v>0</v>
      </c>
      <c r="BN28" s="23">
        <f t="shared" si="66"/>
        <v>0</v>
      </c>
      <c r="BO28" s="23">
        <f t="shared" si="66"/>
        <v>0</v>
      </c>
      <c r="BP28" s="23">
        <f t="shared" si="66"/>
        <v>0</v>
      </c>
      <c r="BQ28" s="23">
        <f t="shared" si="66"/>
        <v>0</v>
      </c>
      <c r="BR28" s="23">
        <f t="shared" si="66"/>
        <v>0</v>
      </c>
      <c r="BS28" s="23">
        <f t="shared" si="66"/>
        <v>0</v>
      </c>
      <c r="BU28" s="23">
        <f t="shared" si="4"/>
        <v>2.4375</v>
      </c>
      <c r="BV28" s="23">
        <f t="shared" si="5"/>
        <v>2.4375</v>
      </c>
      <c r="BW28" s="23">
        <f t="shared" si="6"/>
        <v>2.4375</v>
      </c>
      <c r="BX28" s="23">
        <f t="shared" si="7"/>
        <v>2.4375</v>
      </c>
      <c r="BY28" s="23">
        <f t="shared" si="8"/>
        <v>2.4375</v>
      </c>
      <c r="BZ28" s="23">
        <f t="shared" si="9"/>
        <v>2.4375</v>
      </c>
      <c r="CA28" s="23">
        <f t="shared" si="10"/>
        <v>2.4375</v>
      </c>
      <c r="CB28" s="23">
        <f t="shared" si="11"/>
        <v>2.4375</v>
      </c>
      <c r="CC28" s="23">
        <f t="shared" si="12"/>
        <v>2.4375</v>
      </c>
      <c r="CD28" s="23">
        <f t="shared" si="13"/>
        <v>102.4375</v>
      </c>
      <c r="CE28" s="23">
        <f t="shared" si="14"/>
        <v>0</v>
      </c>
      <c r="CF28" s="23">
        <f t="shared" si="15"/>
        <v>0</v>
      </c>
      <c r="CG28" s="23">
        <f t="shared" si="16"/>
        <v>0</v>
      </c>
      <c r="CH28" s="23">
        <f t="shared" si="17"/>
        <v>0</v>
      </c>
      <c r="CI28" s="23">
        <f t="shared" si="18"/>
        <v>0</v>
      </c>
      <c r="CJ28" s="23">
        <f t="shared" si="19"/>
        <v>0</v>
      </c>
      <c r="CK28" s="23">
        <f t="shared" si="20"/>
        <v>0</v>
      </c>
      <c r="CL28" s="23">
        <f t="shared" si="21"/>
        <v>0</v>
      </c>
      <c r="CM28" s="23">
        <f t="shared" si="22"/>
        <v>0</v>
      </c>
      <c r="CN28" s="23">
        <f t="shared" si="23"/>
        <v>0</v>
      </c>
      <c r="CO28" s="23">
        <f t="shared" si="24"/>
        <v>0</v>
      </c>
      <c r="CP28" s="23">
        <f t="shared" si="25"/>
        <v>0</v>
      </c>
      <c r="CQ28" s="23">
        <f t="shared" si="26"/>
        <v>0</v>
      </c>
      <c r="CR28" s="23">
        <f t="shared" si="27"/>
        <v>0</v>
      </c>
      <c r="CS28" s="23">
        <f t="shared" si="28"/>
        <v>0</v>
      </c>
      <c r="CT28" s="23">
        <f t="shared" si="29"/>
        <v>0</v>
      </c>
      <c r="CU28" s="23">
        <f t="shared" si="30"/>
        <v>0</v>
      </c>
      <c r="CV28" s="23">
        <f t="shared" si="31"/>
        <v>0</v>
      </c>
      <c r="CW28" s="23">
        <f t="shared" si="32"/>
        <v>0</v>
      </c>
      <c r="CX28" s="23">
        <f t="shared" si="33"/>
        <v>0</v>
      </c>
      <c r="CY28" s="23">
        <f t="shared" si="34"/>
        <v>0</v>
      </c>
      <c r="CZ28" s="23">
        <f t="shared" si="35"/>
        <v>0</v>
      </c>
      <c r="DA28" s="23">
        <f t="shared" si="36"/>
        <v>0</v>
      </c>
      <c r="DB28" s="23">
        <f t="shared" si="37"/>
        <v>0</v>
      </c>
      <c r="DC28" s="23">
        <f t="shared" si="38"/>
        <v>0</v>
      </c>
      <c r="DD28" s="23">
        <f t="shared" si="39"/>
        <v>0</v>
      </c>
      <c r="DE28" s="23">
        <f t="shared" si="40"/>
        <v>0</v>
      </c>
      <c r="DF28" s="23">
        <f t="shared" si="41"/>
        <v>0</v>
      </c>
      <c r="DG28" s="23">
        <f t="shared" si="42"/>
        <v>0</v>
      </c>
      <c r="DH28" s="23">
        <f t="shared" si="43"/>
        <v>0</v>
      </c>
      <c r="DI28" s="23">
        <f t="shared" si="44"/>
        <v>0</v>
      </c>
      <c r="DJ28" s="23">
        <f t="shared" si="45"/>
        <v>0</v>
      </c>
      <c r="DK28" s="23">
        <f t="shared" si="46"/>
        <v>0</v>
      </c>
      <c r="DL28" s="23">
        <f t="shared" si="47"/>
        <v>0</v>
      </c>
      <c r="DM28" s="23">
        <f t="shared" si="48"/>
        <v>0</v>
      </c>
      <c r="DN28" s="23">
        <f t="shared" si="49"/>
        <v>0</v>
      </c>
      <c r="DO28" s="23">
        <f t="shared" si="50"/>
        <v>0</v>
      </c>
      <c r="DP28" s="23">
        <f t="shared" si="51"/>
        <v>0</v>
      </c>
      <c r="DQ28" s="23">
        <f t="shared" si="52"/>
        <v>0</v>
      </c>
      <c r="DR28" s="23">
        <f t="shared" si="53"/>
        <v>0</v>
      </c>
      <c r="DS28" s="23">
        <f t="shared" si="54"/>
        <v>0</v>
      </c>
      <c r="DT28" s="23">
        <f t="shared" si="55"/>
        <v>0</v>
      </c>
      <c r="DU28" s="23">
        <f t="shared" si="56"/>
        <v>0</v>
      </c>
      <c r="DV28" s="23">
        <f t="shared" si="57"/>
        <v>0</v>
      </c>
      <c r="DW28" s="23">
        <f t="shared" si="58"/>
        <v>0</v>
      </c>
      <c r="DX28" s="23">
        <f t="shared" si="59"/>
        <v>0</v>
      </c>
      <c r="DY28" s="23">
        <f t="shared" si="60"/>
        <v>0</v>
      </c>
      <c r="DZ28" s="23">
        <f t="shared" si="61"/>
        <v>0</v>
      </c>
      <c r="EA28" s="23">
        <f t="shared" si="62"/>
        <v>0</v>
      </c>
      <c r="EB28" s="23">
        <f t="shared" si="63"/>
        <v>0</v>
      </c>
    </row>
    <row r="29" spans="1:132">
      <c r="A29" s="23">
        <v>20120815.204369999</v>
      </c>
      <c r="B29" s="23">
        <v>20070607</v>
      </c>
      <c r="C29" s="23">
        <v>20120815</v>
      </c>
      <c r="D29" s="23">
        <v>2</v>
      </c>
      <c r="E29" s="23">
        <v>4.375</v>
      </c>
      <c r="F29" s="23">
        <v>97.03125</v>
      </c>
      <c r="G29" s="23">
        <v>97.0625</v>
      </c>
      <c r="H29" s="26">
        <f t="shared" si="0"/>
        <v>5.1888888888888891</v>
      </c>
      <c r="I29" s="26">
        <f t="shared" si="1"/>
        <v>1.3611111111111112</v>
      </c>
      <c r="K29" s="26">
        <v>0.18888888888888888</v>
      </c>
      <c r="L29" s="23">
        <f t="shared" si="69"/>
        <v>0.68888888888888888</v>
      </c>
      <c r="M29" s="23">
        <f t="shared" si="69"/>
        <v>1.1888888888888889</v>
      </c>
      <c r="N29" s="23">
        <f t="shared" si="69"/>
        <v>1.6888888888888889</v>
      </c>
      <c r="O29" s="23">
        <f t="shared" si="69"/>
        <v>2.1888888888888891</v>
      </c>
      <c r="P29" s="23">
        <f t="shared" si="69"/>
        <v>2.6888888888888891</v>
      </c>
      <c r="Q29" s="23">
        <f t="shared" si="69"/>
        <v>3.1888888888888891</v>
      </c>
      <c r="R29" s="23">
        <f t="shared" si="69"/>
        <v>3.6888888888888891</v>
      </c>
      <c r="S29" s="23">
        <f t="shared" si="69"/>
        <v>4.1888888888888891</v>
      </c>
      <c r="T29" s="23">
        <f t="shared" si="69"/>
        <v>4.6888888888888891</v>
      </c>
      <c r="U29" s="23">
        <f t="shared" si="69"/>
        <v>5.1888888888888891</v>
      </c>
      <c r="V29" s="23">
        <f t="shared" si="69"/>
        <v>0</v>
      </c>
      <c r="W29" s="23">
        <f t="shared" si="69"/>
        <v>0</v>
      </c>
      <c r="X29" s="23">
        <f t="shared" si="69"/>
        <v>0</v>
      </c>
      <c r="Y29" s="23">
        <f t="shared" si="69"/>
        <v>0</v>
      </c>
      <c r="Z29" s="23">
        <f t="shared" si="69"/>
        <v>0</v>
      </c>
      <c r="AA29" s="23">
        <f t="shared" si="69"/>
        <v>0</v>
      </c>
      <c r="AB29" s="23">
        <f t="shared" si="69"/>
        <v>0</v>
      </c>
      <c r="AC29" s="23">
        <f t="shared" si="69"/>
        <v>0</v>
      </c>
      <c r="AD29" s="23">
        <f t="shared" si="69"/>
        <v>0</v>
      </c>
      <c r="AE29" s="23">
        <f t="shared" si="69"/>
        <v>0</v>
      </c>
      <c r="AF29" s="23">
        <f t="shared" si="69"/>
        <v>0</v>
      </c>
      <c r="AG29" s="23">
        <f t="shared" si="69"/>
        <v>0</v>
      </c>
      <c r="AH29" s="23">
        <f t="shared" si="69"/>
        <v>0</v>
      </c>
      <c r="AI29" s="23">
        <f t="shared" si="69"/>
        <v>0</v>
      </c>
      <c r="AJ29" s="23">
        <f t="shared" si="69"/>
        <v>0</v>
      </c>
      <c r="AK29" s="23">
        <f t="shared" si="69"/>
        <v>0</v>
      </c>
      <c r="AL29" s="23">
        <f t="shared" si="69"/>
        <v>0</v>
      </c>
      <c r="AM29" s="23">
        <f t="shared" si="69"/>
        <v>0</v>
      </c>
      <c r="AN29" s="23">
        <f t="shared" si="69"/>
        <v>0</v>
      </c>
      <c r="AO29" s="23">
        <f t="shared" si="69"/>
        <v>0</v>
      </c>
      <c r="AP29" s="23">
        <f t="shared" si="69"/>
        <v>0</v>
      </c>
      <c r="AQ29" s="23">
        <f t="shared" si="69"/>
        <v>0</v>
      </c>
      <c r="AR29" s="23">
        <f t="shared" si="69"/>
        <v>0</v>
      </c>
      <c r="AS29" s="23">
        <f t="shared" si="65"/>
        <v>0</v>
      </c>
      <c r="AT29" s="23">
        <f t="shared" si="65"/>
        <v>0</v>
      </c>
      <c r="AU29" s="23">
        <f t="shared" si="65"/>
        <v>0</v>
      </c>
      <c r="AV29" s="23">
        <f t="shared" si="65"/>
        <v>0</v>
      </c>
      <c r="AW29" s="23">
        <f t="shared" si="65"/>
        <v>0</v>
      </c>
      <c r="AX29" s="23">
        <f t="shared" si="65"/>
        <v>0</v>
      </c>
      <c r="AY29" s="23">
        <f t="shared" si="65"/>
        <v>0</v>
      </c>
      <c r="AZ29" s="23">
        <f t="shared" si="65"/>
        <v>0</v>
      </c>
      <c r="BA29" s="23">
        <f t="shared" si="65"/>
        <v>0</v>
      </c>
      <c r="BB29" s="23">
        <f t="shared" si="65"/>
        <v>0</v>
      </c>
      <c r="BC29" s="23">
        <f t="shared" si="65"/>
        <v>0</v>
      </c>
      <c r="BD29" s="23">
        <f t="shared" si="65"/>
        <v>0</v>
      </c>
      <c r="BE29" s="23">
        <f t="shared" si="65"/>
        <v>0</v>
      </c>
      <c r="BF29" s="23">
        <f t="shared" si="65"/>
        <v>0</v>
      </c>
      <c r="BG29" s="23">
        <f t="shared" si="66"/>
        <v>0</v>
      </c>
      <c r="BH29" s="23">
        <f t="shared" si="66"/>
        <v>0</v>
      </c>
      <c r="BI29" s="23">
        <f t="shared" si="66"/>
        <v>0</v>
      </c>
      <c r="BJ29" s="23">
        <f t="shared" si="66"/>
        <v>0</v>
      </c>
      <c r="BK29" s="23">
        <f t="shared" si="66"/>
        <v>0</v>
      </c>
      <c r="BL29" s="23">
        <f t="shared" si="66"/>
        <v>0</v>
      </c>
      <c r="BM29" s="23">
        <f t="shared" si="66"/>
        <v>0</v>
      </c>
      <c r="BN29" s="23">
        <f t="shared" si="66"/>
        <v>0</v>
      </c>
      <c r="BO29" s="23">
        <f t="shared" si="66"/>
        <v>0</v>
      </c>
      <c r="BP29" s="23">
        <f t="shared" si="66"/>
        <v>0</v>
      </c>
      <c r="BQ29" s="23">
        <f t="shared" si="66"/>
        <v>0</v>
      </c>
      <c r="BR29" s="23">
        <f t="shared" si="66"/>
        <v>0</v>
      </c>
      <c r="BS29" s="23">
        <f t="shared" si="66"/>
        <v>0</v>
      </c>
      <c r="BU29" s="23">
        <f t="shared" si="4"/>
        <v>2.1875</v>
      </c>
      <c r="BV29" s="23">
        <f t="shared" si="5"/>
        <v>2.1875</v>
      </c>
      <c r="BW29" s="23">
        <f t="shared" si="6"/>
        <v>2.1875</v>
      </c>
      <c r="BX29" s="23">
        <f t="shared" si="7"/>
        <v>2.1875</v>
      </c>
      <c r="BY29" s="23">
        <f t="shared" si="8"/>
        <v>2.1875</v>
      </c>
      <c r="BZ29" s="23">
        <f t="shared" si="9"/>
        <v>2.1875</v>
      </c>
      <c r="CA29" s="23">
        <f t="shared" si="10"/>
        <v>2.1875</v>
      </c>
      <c r="CB29" s="23">
        <f t="shared" si="11"/>
        <v>2.1875</v>
      </c>
      <c r="CC29" s="23">
        <f t="shared" si="12"/>
        <v>2.1875</v>
      </c>
      <c r="CD29" s="23">
        <f t="shared" si="13"/>
        <v>2.1875</v>
      </c>
      <c r="CE29" s="23">
        <f t="shared" si="14"/>
        <v>102.1875</v>
      </c>
      <c r="CF29" s="23">
        <f t="shared" si="15"/>
        <v>0</v>
      </c>
      <c r="CG29" s="23">
        <f t="shared" si="16"/>
        <v>0</v>
      </c>
      <c r="CH29" s="23">
        <f t="shared" si="17"/>
        <v>0</v>
      </c>
      <c r="CI29" s="23">
        <f t="shared" si="18"/>
        <v>0</v>
      </c>
      <c r="CJ29" s="23">
        <f t="shared" si="19"/>
        <v>0</v>
      </c>
      <c r="CK29" s="23">
        <f t="shared" si="20"/>
        <v>0</v>
      </c>
      <c r="CL29" s="23">
        <f t="shared" si="21"/>
        <v>0</v>
      </c>
      <c r="CM29" s="23">
        <f t="shared" si="22"/>
        <v>0</v>
      </c>
      <c r="CN29" s="23">
        <f t="shared" si="23"/>
        <v>0</v>
      </c>
      <c r="CO29" s="23">
        <f t="shared" si="24"/>
        <v>0</v>
      </c>
      <c r="CP29" s="23">
        <f t="shared" si="25"/>
        <v>0</v>
      </c>
      <c r="CQ29" s="23">
        <f t="shared" si="26"/>
        <v>0</v>
      </c>
      <c r="CR29" s="23">
        <f t="shared" si="27"/>
        <v>0</v>
      </c>
      <c r="CS29" s="23">
        <f t="shared" si="28"/>
        <v>0</v>
      </c>
      <c r="CT29" s="23">
        <f t="shared" si="29"/>
        <v>0</v>
      </c>
      <c r="CU29" s="23">
        <f t="shared" si="30"/>
        <v>0</v>
      </c>
      <c r="CV29" s="23">
        <f t="shared" si="31"/>
        <v>0</v>
      </c>
      <c r="CW29" s="23">
        <f t="shared" si="32"/>
        <v>0</v>
      </c>
      <c r="CX29" s="23">
        <f t="shared" si="33"/>
        <v>0</v>
      </c>
      <c r="CY29" s="23">
        <f t="shared" si="34"/>
        <v>0</v>
      </c>
      <c r="CZ29" s="23">
        <f t="shared" si="35"/>
        <v>0</v>
      </c>
      <c r="DA29" s="23">
        <f t="shared" si="36"/>
        <v>0</v>
      </c>
      <c r="DB29" s="23">
        <f t="shared" si="37"/>
        <v>0</v>
      </c>
      <c r="DC29" s="23">
        <f t="shared" si="38"/>
        <v>0</v>
      </c>
      <c r="DD29" s="23">
        <f t="shared" si="39"/>
        <v>0</v>
      </c>
      <c r="DE29" s="23">
        <f t="shared" si="40"/>
        <v>0</v>
      </c>
      <c r="DF29" s="23">
        <f t="shared" si="41"/>
        <v>0</v>
      </c>
      <c r="DG29" s="23">
        <f t="shared" si="42"/>
        <v>0</v>
      </c>
      <c r="DH29" s="23">
        <f t="shared" si="43"/>
        <v>0</v>
      </c>
      <c r="DI29" s="23">
        <f t="shared" si="44"/>
        <v>0</v>
      </c>
      <c r="DJ29" s="23">
        <f t="shared" si="45"/>
        <v>0</v>
      </c>
      <c r="DK29" s="23">
        <f t="shared" si="46"/>
        <v>0</v>
      </c>
      <c r="DL29" s="23">
        <f t="shared" si="47"/>
        <v>0</v>
      </c>
      <c r="DM29" s="23">
        <f t="shared" si="48"/>
        <v>0</v>
      </c>
      <c r="DN29" s="23">
        <f t="shared" si="49"/>
        <v>0</v>
      </c>
      <c r="DO29" s="23">
        <f t="shared" si="50"/>
        <v>0</v>
      </c>
      <c r="DP29" s="23">
        <f t="shared" si="51"/>
        <v>0</v>
      </c>
      <c r="DQ29" s="23">
        <f t="shared" si="52"/>
        <v>0</v>
      </c>
      <c r="DR29" s="23">
        <f t="shared" si="53"/>
        <v>0</v>
      </c>
      <c r="DS29" s="23">
        <f t="shared" si="54"/>
        <v>0</v>
      </c>
      <c r="DT29" s="23">
        <f t="shared" si="55"/>
        <v>0</v>
      </c>
      <c r="DU29" s="23">
        <f t="shared" si="56"/>
        <v>0</v>
      </c>
      <c r="DV29" s="23">
        <f t="shared" si="57"/>
        <v>0</v>
      </c>
      <c r="DW29" s="23">
        <f t="shared" si="58"/>
        <v>0</v>
      </c>
      <c r="DX29" s="23">
        <f t="shared" si="59"/>
        <v>0</v>
      </c>
      <c r="DY29" s="23">
        <f t="shared" si="60"/>
        <v>0</v>
      </c>
      <c r="DZ29" s="23">
        <f t="shared" si="61"/>
        <v>0</v>
      </c>
      <c r="EA29" s="23">
        <f t="shared" si="62"/>
        <v>0</v>
      </c>
      <c r="EB29" s="23">
        <f t="shared" si="63"/>
        <v>0</v>
      </c>
    </row>
    <row r="30" spans="1:132">
      <c r="A30" s="23">
        <v>20130215.203869998</v>
      </c>
      <c r="B30" s="23">
        <v>20070607</v>
      </c>
      <c r="C30" s="23">
        <v>20130215</v>
      </c>
      <c r="D30" s="23">
        <v>2</v>
      </c>
      <c r="E30" s="23">
        <v>3.875</v>
      </c>
      <c r="F30" s="23">
        <v>94.1875</v>
      </c>
      <c r="G30" s="23">
        <v>94.21875</v>
      </c>
      <c r="H30" s="26">
        <f t="shared" si="0"/>
        <v>5.6888888888888891</v>
      </c>
      <c r="I30" s="26">
        <f t="shared" si="1"/>
        <v>1.2055555555555555</v>
      </c>
      <c r="K30" s="26">
        <v>0.18888888888888888</v>
      </c>
      <c r="L30" s="23">
        <f t="shared" si="69"/>
        <v>0.68888888888888888</v>
      </c>
      <c r="M30" s="23">
        <f t="shared" si="69"/>
        <v>1.1888888888888889</v>
      </c>
      <c r="N30" s="23">
        <f t="shared" si="69"/>
        <v>1.6888888888888889</v>
      </c>
      <c r="O30" s="23">
        <f t="shared" si="69"/>
        <v>2.1888888888888891</v>
      </c>
      <c r="P30" s="23">
        <f t="shared" si="69"/>
        <v>2.6888888888888891</v>
      </c>
      <c r="Q30" s="23">
        <f t="shared" si="69"/>
        <v>3.1888888888888891</v>
      </c>
      <c r="R30" s="23">
        <f t="shared" si="69"/>
        <v>3.6888888888888891</v>
      </c>
      <c r="S30" s="23">
        <f t="shared" si="69"/>
        <v>4.1888888888888891</v>
      </c>
      <c r="T30" s="23">
        <f t="shared" si="69"/>
        <v>4.6888888888888891</v>
      </c>
      <c r="U30" s="23">
        <f t="shared" si="69"/>
        <v>5.1888888888888891</v>
      </c>
      <c r="V30" s="23">
        <f t="shared" si="69"/>
        <v>5.6888888888888891</v>
      </c>
      <c r="W30" s="23">
        <f t="shared" si="69"/>
        <v>0</v>
      </c>
      <c r="X30" s="23">
        <f t="shared" si="69"/>
        <v>0</v>
      </c>
      <c r="Y30" s="23">
        <f t="shared" si="69"/>
        <v>0</v>
      </c>
      <c r="Z30" s="23">
        <f t="shared" si="69"/>
        <v>0</v>
      </c>
      <c r="AA30" s="23">
        <f t="shared" si="69"/>
        <v>0</v>
      </c>
      <c r="AB30" s="23">
        <f t="shared" si="69"/>
        <v>0</v>
      </c>
      <c r="AC30" s="23">
        <f t="shared" si="69"/>
        <v>0</v>
      </c>
      <c r="AD30" s="23">
        <f t="shared" si="69"/>
        <v>0</v>
      </c>
      <c r="AE30" s="23">
        <f t="shared" si="69"/>
        <v>0</v>
      </c>
      <c r="AF30" s="23">
        <f t="shared" si="69"/>
        <v>0</v>
      </c>
      <c r="AG30" s="23">
        <f t="shared" si="69"/>
        <v>0</v>
      </c>
      <c r="AH30" s="23">
        <f t="shared" si="69"/>
        <v>0</v>
      </c>
      <c r="AI30" s="23">
        <f t="shared" si="69"/>
        <v>0</v>
      </c>
      <c r="AJ30" s="23">
        <f t="shared" si="69"/>
        <v>0</v>
      </c>
      <c r="AK30" s="23">
        <f t="shared" si="69"/>
        <v>0</v>
      </c>
      <c r="AL30" s="23">
        <f t="shared" si="69"/>
        <v>0</v>
      </c>
      <c r="AM30" s="23">
        <f t="shared" si="69"/>
        <v>0</v>
      </c>
      <c r="AN30" s="23">
        <f t="shared" si="69"/>
        <v>0</v>
      </c>
      <c r="AO30" s="23">
        <f t="shared" si="69"/>
        <v>0</v>
      </c>
      <c r="AP30" s="23">
        <f t="shared" si="69"/>
        <v>0</v>
      </c>
      <c r="AQ30" s="23">
        <f t="shared" si="69"/>
        <v>0</v>
      </c>
      <c r="AR30" s="23">
        <f t="shared" si="69"/>
        <v>0</v>
      </c>
      <c r="AS30" s="23">
        <f t="shared" si="65"/>
        <v>0</v>
      </c>
      <c r="AT30" s="23">
        <f t="shared" si="65"/>
        <v>0</v>
      </c>
      <c r="AU30" s="23">
        <f t="shared" si="65"/>
        <v>0</v>
      </c>
      <c r="AV30" s="23">
        <f t="shared" si="65"/>
        <v>0</v>
      </c>
      <c r="AW30" s="23">
        <f t="shared" si="65"/>
        <v>0</v>
      </c>
      <c r="AX30" s="23">
        <f t="shared" si="65"/>
        <v>0</v>
      </c>
      <c r="AY30" s="23">
        <f t="shared" si="65"/>
        <v>0</v>
      </c>
      <c r="AZ30" s="23">
        <f t="shared" si="65"/>
        <v>0</v>
      </c>
      <c r="BA30" s="23">
        <f t="shared" si="65"/>
        <v>0</v>
      </c>
      <c r="BB30" s="23">
        <f t="shared" si="65"/>
        <v>0</v>
      </c>
      <c r="BC30" s="23">
        <f t="shared" si="65"/>
        <v>0</v>
      </c>
      <c r="BD30" s="23">
        <f t="shared" si="65"/>
        <v>0</v>
      </c>
      <c r="BE30" s="23">
        <f t="shared" si="65"/>
        <v>0</v>
      </c>
      <c r="BF30" s="23">
        <f t="shared" si="65"/>
        <v>0</v>
      </c>
      <c r="BG30" s="23">
        <f t="shared" si="66"/>
        <v>0</v>
      </c>
      <c r="BH30" s="23">
        <f t="shared" si="66"/>
        <v>0</v>
      </c>
      <c r="BI30" s="23">
        <f t="shared" si="66"/>
        <v>0</v>
      </c>
      <c r="BJ30" s="23">
        <f t="shared" si="66"/>
        <v>0</v>
      </c>
      <c r="BK30" s="23">
        <f t="shared" si="66"/>
        <v>0</v>
      </c>
      <c r="BL30" s="23">
        <f t="shared" si="66"/>
        <v>0</v>
      </c>
      <c r="BM30" s="23">
        <f t="shared" si="66"/>
        <v>0</v>
      </c>
      <c r="BN30" s="23">
        <f t="shared" si="66"/>
        <v>0</v>
      </c>
      <c r="BO30" s="23">
        <f t="shared" si="66"/>
        <v>0</v>
      </c>
      <c r="BP30" s="23">
        <f t="shared" si="66"/>
        <v>0</v>
      </c>
      <c r="BQ30" s="23">
        <f t="shared" si="66"/>
        <v>0</v>
      </c>
      <c r="BR30" s="23">
        <f t="shared" si="66"/>
        <v>0</v>
      </c>
      <c r="BS30" s="23">
        <f t="shared" si="66"/>
        <v>0</v>
      </c>
      <c r="BU30" s="23">
        <f t="shared" si="4"/>
        <v>1.9375</v>
      </c>
      <c r="BV30" s="23">
        <f t="shared" si="5"/>
        <v>1.9375</v>
      </c>
      <c r="BW30" s="23">
        <f t="shared" si="6"/>
        <v>1.9375</v>
      </c>
      <c r="BX30" s="23">
        <f t="shared" si="7"/>
        <v>1.9375</v>
      </c>
      <c r="BY30" s="23">
        <f t="shared" si="8"/>
        <v>1.9375</v>
      </c>
      <c r="BZ30" s="23">
        <f t="shared" si="9"/>
        <v>1.9375</v>
      </c>
      <c r="CA30" s="23">
        <f t="shared" si="10"/>
        <v>1.9375</v>
      </c>
      <c r="CB30" s="23">
        <f t="shared" si="11"/>
        <v>1.9375</v>
      </c>
      <c r="CC30" s="23">
        <f t="shared" si="12"/>
        <v>1.9375</v>
      </c>
      <c r="CD30" s="23">
        <f t="shared" si="13"/>
        <v>1.9375</v>
      </c>
      <c r="CE30" s="23">
        <f t="shared" si="14"/>
        <v>1.9375</v>
      </c>
      <c r="CF30" s="23">
        <f t="shared" si="15"/>
        <v>101.9375</v>
      </c>
      <c r="CG30" s="23">
        <f t="shared" si="16"/>
        <v>0</v>
      </c>
      <c r="CH30" s="23">
        <f t="shared" si="17"/>
        <v>0</v>
      </c>
      <c r="CI30" s="23">
        <f t="shared" si="18"/>
        <v>0</v>
      </c>
      <c r="CJ30" s="23">
        <f t="shared" si="19"/>
        <v>0</v>
      </c>
      <c r="CK30" s="23">
        <f t="shared" si="20"/>
        <v>0</v>
      </c>
      <c r="CL30" s="23">
        <f t="shared" si="21"/>
        <v>0</v>
      </c>
      <c r="CM30" s="23">
        <f t="shared" si="22"/>
        <v>0</v>
      </c>
      <c r="CN30" s="23">
        <f t="shared" si="23"/>
        <v>0</v>
      </c>
      <c r="CO30" s="23">
        <f t="shared" si="24"/>
        <v>0</v>
      </c>
      <c r="CP30" s="23">
        <f t="shared" si="25"/>
        <v>0</v>
      </c>
      <c r="CQ30" s="23">
        <f t="shared" si="26"/>
        <v>0</v>
      </c>
      <c r="CR30" s="23">
        <f t="shared" si="27"/>
        <v>0</v>
      </c>
      <c r="CS30" s="23">
        <f t="shared" si="28"/>
        <v>0</v>
      </c>
      <c r="CT30" s="23">
        <f t="shared" si="29"/>
        <v>0</v>
      </c>
      <c r="CU30" s="23">
        <f t="shared" si="30"/>
        <v>0</v>
      </c>
      <c r="CV30" s="23">
        <f t="shared" si="31"/>
        <v>0</v>
      </c>
      <c r="CW30" s="23">
        <f t="shared" si="32"/>
        <v>0</v>
      </c>
      <c r="CX30" s="23">
        <f t="shared" si="33"/>
        <v>0</v>
      </c>
      <c r="CY30" s="23">
        <f t="shared" si="34"/>
        <v>0</v>
      </c>
      <c r="CZ30" s="23">
        <f t="shared" si="35"/>
        <v>0</v>
      </c>
      <c r="DA30" s="23">
        <f t="shared" si="36"/>
        <v>0</v>
      </c>
      <c r="DB30" s="23">
        <f t="shared" si="37"/>
        <v>0</v>
      </c>
      <c r="DC30" s="23">
        <f t="shared" si="38"/>
        <v>0</v>
      </c>
      <c r="DD30" s="23">
        <f t="shared" si="39"/>
        <v>0</v>
      </c>
      <c r="DE30" s="23">
        <f t="shared" si="40"/>
        <v>0</v>
      </c>
      <c r="DF30" s="23">
        <f t="shared" si="41"/>
        <v>0</v>
      </c>
      <c r="DG30" s="23">
        <f t="shared" si="42"/>
        <v>0</v>
      </c>
      <c r="DH30" s="23">
        <f t="shared" si="43"/>
        <v>0</v>
      </c>
      <c r="DI30" s="23">
        <f t="shared" si="44"/>
        <v>0</v>
      </c>
      <c r="DJ30" s="23">
        <f t="shared" si="45"/>
        <v>0</v>
      </c>
      <c r="DK30" s="23">
        <f t="shared" si="46"/>
        <v>0</v>
      </c>
      <c r="DL30" s="23">
        <f t="shared" si="47"/>
        <v>0</v>
      </c>
      <c r="DM30" s="23">
        <f t="shared" si="48"/>
        <v>0</v>
      </c>
      <c r="DN30" s="23">
        <f t="shared" si="49"/>
        <v>0</v>
      </c>
      <c r="DO30" s="23">
        <f t="shared" si="50"/>
        <v>0</v>
      </c>
      <c r="DP30" s="23">
        <f t="shared" si="51"/>
        <v>0</v>
      </c>
      <c r="DQ30" s="23">
        <f t="shared" si="52"/>
        <v>0</v>
      </c>
      <c r="DR30" s="23">
        <f t="shared" si="53"/>
        <v>0</v>
      </c>
      <c r="DS30" s="23">
        <f t="shared" si="54"/>
        <v>0</v>
      </c>
      <c r="DT30" s="23">
        <f t="shared" si="55"/>
        <v>0</v>
      </c>
      <c r="DU30" s="23">
        <f t="shared" si="56"/>
        <v>0</v>
      </c>
      <c r="DV30" s="23">
        <f t="shared" si="57"/>
        <v>0</v>
      </c>
      <c r="DW30" s="23">
        <f t="shared" si="58"/>
        <v>0</v>
      </c>
      <c r="DX30" s="23">
        <f t="shared" si="59"/>
        <v>0</v>
      </c>
      <c r="DY30" s="23">
        <f t="shared" si="60"/>
        <v>0</v>
      </c>
      <c r="DZ30" s="23">
        <f t="shared" si="61"/>
        <v>0</v>
      </c>
      <c r="EA30" s="23">
        <f t="shared" si="62"/>
        <v>0</v>
      </c>
      <c r="EB30" s="23">
        <f t="shared" si="63"/>
        <v>0</v>
      </c>
    </row>
    <row r="31" spans="1:132">
      <c r="A31" s="23">
        <v>20130815.20425</v>
      </c>
      <c r="B31" s="23">
        <v>20070607</v>
      </c>
      <c r="C31" s="23">
        <v>20130815</v>
      </c>
      <c r="D31" s="23">
        <v>2</v>
      </c>
      <c r="E31" s="23">
        <v>4.25</v>
      </c>
      <c r="F31" s="23">
        <v>95.703125</v>
      </c>
      <c r="G31" s="23">
        <v>95.734375</v>
      </c>
      <c r="H31" s="26">
        <f t="shared" si="0"/>
        <v>6.1888888888888891</v>
      </c>
      <c r="I31" s="26">
        <f t="shared" si="1"/>
        <v>1.3222222222222222</v>
      </c>
      <c r="K31" s="26">
        <v>0.18888888888888888</v>
      </c>
      <c r="L31" s="23">
        <f t="shared" si="69"/>
        <v>0.68888888888888888</v>
      </c>
      <c r="M31" s="23">
        <f t="shared" si="69"/>
        <v>1.1888888888888889</v>
      </c>
      <c r="N31" s="23">
        <f t="shared" si="69"/>
        <v>1.6888888888888889</v>
      </c>
      <c r="O31" s="23">
        <f t="shared" si="69"/>
        <v>2.1888888888888891</v>
      </c>
      <c r="P31" s="23">
        <f t="shared" si="69"/>
        <v>2.6888888888888891</v>
      </c>
      <c r="Q31" s="23">
        <f t="shared" si="69"/>
        <v>3.1888888888888891</v>
      </c>
      <c r="R31" s="23">
        <f t="shared" si="69"/>
        <v>3.6888888888888891</v>
      </c>
      <c r="S31" s="23">
        <f t="shared" si="69"/>
        <v>4.1888888888888891</v>
      </c>
      <c r="T31" s="23">
        <f t="shared" si="69"/>
        <v>4.6888888888888891</v>
      </c>
      <c r="U31" s="23">
        <f t="shared" si="69"/>
        <v>5.1888888888888891</v>
      </c>
      <c r="V31" s="23">
        <f t="shared" si="69"/>
        <v>5.6888888888888891</v>
      </c>
      <c r="W31" s="23">
        <f t="shared" si="69"/>
        <v>6.1888888888888891</v>
      </c>
      <c r="X31" s="23">
        <f t="shared" si="69"/>
        <v>0</v>
      </c>
      <c r="Y31" s="23">
        <f t="shared" si="69"/>
        <v>0</v>
      </c>
      <c r="Z31" s="23">
        <f t="shared" si="69"/>
        <v>0</v>
      </c>
      <c r="AA31" s="23">
        <f t="shared" si="69"/>
        <v>0</v>
      </c>
      <c r="AB31" s="23">
        <f t="shared" si="69"/>
        <v>0</v>
      </c>
      <c r="AC31" s="23">
        <f t="shared" si="69"/>
        <v>0</v>
      </c>
      <c r="AD31" s="23">
        <f t="shared" si="69"/>
        <v>0</v>
      </c>
      <c r="AE31" s="23">
        <f t="shared" si="69"/>
        <v>0</v>
      </c>
      <c r="AF31" s="23">
        <f t="shared" si="69"/>
        <v>0</v>
      </c>
      <c r="AG31" s="23">
        <f t="shared" si="69"/>
        <v>0</v>
      </c>
      <c r="AH31" s="23">
        <f t="shared" si="69"/>
        <v>0</v>
      </c>
      <c r="AI31" s="23">
        <f t="shared" si="69"/>
        <v>0</v>
      </c>
      <c r="AJ31" s="23">
        <f t="shared" ref="AJ31:AY46" si="70">IF(AI31=0,0,IF(AI31&gt;=$H31,0,AI31+0.5))</f>
        <v>0</v>
      </c>
      <c r="AK31" s="23">
        <f t="shared" si="70"/>
        <v>0</v>
      </c>
      <c r="AL31" s="23">
        <f t="shared" si="70"/>
        <v>0</v>
      </c>
      <c r="AM31" s="23">
        <f t="shared" si="70"/>
        <v>0</v>
      </c>
      <c r="AN31" s="23">
        <f t="shared" si="70"/>
        <v>0</v>
      </c>
      <c r="AO31" s="23">
        <f t="shared" si="70"/>
        <v>0</v>
      </c>
      <c r="AP31" s="23">
        <f t="shared" si="70"/>
        <v>0</v>
      </c>
      <c r="AQ31" s="23">
        <f t="shared" si="70"/>
        <v>0</v>
      </c>
      <c r="AR31" s="23">
        <f t="shared" si="70"/>
        <v>0</v>
      </c>
      <c r="AS31" s="23">
        <f t="shared" si="70"/>
        <v>0</v>
      </c>
      <c r="AT31" s="23">
        <f t="shared" si="70"/>
        <v>0</v>
      </c>
      <c r="AU31" s="23">
        <f t="shared" si="70"/>
        <v>0</v>
      </c>
      <c r="AV31" s="23">
        <f t="shared" si="70"/>
        <v>0</v>
      </c>
      <c r="AW31" s="23">
        <f t="shared" si="70"/>
        <v>0</v>
      </c>
      <c r="AX31" s="23">
        <f t="shared" si="70"/>
        <v>0</v>
      </c>
      <c r="AY31" s="23">
        <f t="shared" si="70"/>
        <v>0</v>
      </c>
      <c r="AZ31" s="23">
        <f t="shared" ref="AZ31:BO46" si="71">IF(AY31=0,0,IF(AY31&gt;=$H31,0,AY31+0.5))</f>
        <v>0</v>
      </c>
      <c r="BA31" s="23">
        <f t="shared" si="71"/>
        <v>0</v>
      </c>
      <c r="BB31" s="23">
        <f t="shared" si="71"/>
        <v>0</v>
      </c>
      <c r="BC31" s="23">
        <f t="shared" si="71"/>
        <v>0</v>
      </c>
      <c r="BD31" s="23">
        <f t="shared" si="71"/>
        <v>0</v>
      </c>
      <c r="BE31" s="23">
        <f t="shared" si="71"/>
        <v>0</v>
      </c>
      <c r="BF31" s="23">
        <f t="shared" si="71"/>
        <v>0</v>
      </c>
      <c r="BG31" s="23">
        <f t="shared" si="71"/>
        <v>0</v>
      </c>
      <c r="BH31" s="23">
        <f t="shared" si="71"/>
        <v>0</v>
      </c>
      <c r="BI31" s="23">
        <f t="shared" si="71"/>
        <v>0</v>
      </c>
      <c r="BJ31" s="23">
        <f t="shared" si="71"/>
        <v>0</v>
      </c>
      <c r="BK31" s="23">
        <f t="shared" si="71"/>
        <v>0</v>
      </c>
      <c r="BL31" s="23">
        <f t="shared" si="71"/>
        <v>0</v>
      </c>
      <c r="BM31" s="23">
        <f t="shared" si="71"/>
        <v>0</v>
      </c>
      <c r="BN31" s="23">
        <f t="shared" si="71"/>
        <v>0</v>
      </c>
      <c r="BO31" s="23">
        <f t="shared" si="71"/>
        <v>0</v>
      </c>
      <c r="BP31" s="23">
        <f t="shared" ref="BP31:BS46" si="72">IF(BO31=0,0,IF(BO31&gt;=$H31,0,BO31+0.5))</f>
        <v>0</v>
      </c>
      <c r="BQ31" s="23">
        <f t="shared" si="72"/>
        <v>0</v>
      </c>
      <c r="BR31" s="23">
        <f t="shared" si="72"/>
        <v>0</v>
      </c>
      <c r="BS31" s="23">
        <f t="shared" si="72"/>
        <v>0</v>
      </c>
      <c r="BU31" s="23">
        <f t="shared" si="4"/>
        <v>2.125</v>
      </c>
      <c r="BV31" s="23">
        <f t="shared" si="5"/>
        <v>2.125</v>
      </c>
      <c r="BW31" s="23">
        <f t="shared" si="6"/>
        <v>2.125</v>
      </c>
      <c r="BX31" s="23">
        <f t="shared" si="7"/>
        <v>2.125</v>
      </c>
      <c r="BY31" s="23">
        <f t="shared" si="8"/>
        <v>2.125</v>
      </c>
      <c r="BZ31" s="23">
        <f t="shared" si="9"/>
        <v>2.125</v>
      </c>
      <c r="CA31" s="23">
        <f t="shared" si="10"/>
        <v>2.125</v>
      </c>
      <c r="CB31" s="23">
        <f t="shared" si="11"/>
        <v>2.125</v>
      </c>
      <c r="CC31" s="23">
        <f t="shared" si="12"/>
        <v>2.125</v>
      </c>
      <c r="CD31" s="23">
        <f t="shared" si="13"/>
        <v>2.125</v>
      </c>
      <c r="CE31" s="23">
        <f t="shared" si="14"/>
        <v>2.125</v>
      </c>
      <c r="CF31" s="23">
        <f t="shared" si="15"/>
        <v>2.125</v>
      </c>
      <c r="CG31" s="23">
        <f t="shared" si="16"/>
        <v>102.125</v>
      </c>
      <c r="CH31" s="23">
        <f t="shared" si="17"/>
        <v>0</v>
      </c>
      <c r="CI31" s="23">
        <f t="shared" si="18"/>
        <v>0</v>
      </c>
      <c r="CJ31" s="23">
        <f t="shared" si="19"/>
        <v>0</v>
      </c>
      <c r="CK31" s="23">
        <f t="shared" si="20"/>
        <v>0</v>
      </c>
      <c r="CL31" s="23">
        <f t="shared" si="21"/>
        <v>0</v>
      </c>
      <c r="CM31" s="23">
        <f t="shared" si="22"/>
        <v>0</v>
      </c>
      <c r="CN31" s="23">
        <f t="shared" si="23"/>
        <v>0</v>
      </c>
      <c r="CO31" s="23">
        <f t="shared" si="24"/>
        <v>0</v>
      </c>
      <c r="CP31" s="23">
        <f t="shared" si="25"/>
        <v>0</v>
      </c>
      <c r="CQ31" s="23">
        <f t="shared" si="26"/>
        <v>0</v>
      </c>
      <c r="CR31" s="23">
        <f t="shared" si="27"/>
        <v>0</v>
      </c>
      <c r="CS31" s="23">
        <f t="shared" si="28"/>
        <v>0</v>
      </c>
      <c r="CT31" s="23">
        <f t="shared" si="29"/>
        <v>0</v>
      </c>
      <c r="CU31" s="23">
        <f t="shared" si="30"/>
        <v>0</v>
      </c>
      <c r="CV31" s="23">
        <f t="shared" si="31"/>
        <v>0</v>
      </c>
      <c r="CW31" s="23">
        <f t="shared" si="32"/>
        <v>0</v>
      </c>
      <c r="CX31" s="23">
        <f t="shared" si="33"/>
        <v>0</v>
      </c>
      <c r="CY31" s="23">
        <f t="shared" si="34"/>
        <v>0</v>
      </c>
      <c r="CZ31" s="23">
        <f t="shared" si="35"/>
        <v>0</v>
      </c>
      <c r="DA31" s="23">
        <f t="shared" si="36"/>
        <v>0</v>
      </c>
      <c r="DB31" s="23">
        <f t="shared" si="37"/>
        <v>0</v>
      </c>
      <c r="DC31" s="23">
        <f t="shared" si="38"/>
        <v>0</v>
      </c>
      <c r="DD31" s="23">
        <f t="shared" si="39"/>
        <v>0</v>
      </c>
      <c r="DE31" s="23">
        <f t="shared" si="40"/>
        <v>0</v>
      </c>
      <c r="DF31" s="23">
        <f t="shared" si="41"/>
        <v>0</v>
      </c>
      <c r="DG31" s="23">
        <f t="shared" si="42"/>
        <v>0</v>
      </c>
      <c r="DH31" s="23">
        <f t="shared" si="43"/>
        <v>0</v>
      </c>
      <c r="DI31" s="23">
        <f t="shared" si="44"/>
        <v>0</v>
      </c>
      <c r="DJ31" s="23">
        <f t="shared" si="45"/>
        <v>0</v>
      </c>
      <c r="DK31" s="23">
        <f t="shared" si="46"/>
        <v>0</v>
      </c>
      <c r="DL31" s="23">
        <f t="shared" si="47"/>
        <v>0</v>
      </c>
      <c r="DM31" s="23">
        <f t="shared" si="48"/>
        <v>0</v>
      </c>
      <c r="DN31" s="23">
        <f t="shared" si="49"/>
        <v>0</v>
      </c>
      <c r="DO31" s="23">
        <f t="shared" si="50"/>
        <v>0</v>
      </c>
      <c r="DP31" s="23">
        <f t="shared" si="51"/>
        <v>0</v>
      </c>
      <c r="DQ31" s="23">
        <f t="shared" si="52"/>
        <v>0</v>
      </c>
      <c r="DR31" s="23">
        <f t="shared" si="53"/>
        <v>0</v>
      </c>
      <c r="DS31" s="23">
        <f t="shared" si="54"/>
        <v>0</v>
      </c>
      <c r="DT31" s="23">
        <f t="shared" si="55"/>
        <v>0</v>
      </c>
      <c r="DU31" s="23">
        <f t="shared" si="56"/>
        <v>0</v>
      </c>
      <c r="DV31" s="23">
        <f t="shared" si="57"/>
        <v>0</v>
      </c>
      <c r="DW31" s="23">
        <f t="shared" si="58"/>
        <v>0</v>
      </c>
      <c r="DX31" s="23">
        <f t="shared" si="59"/>
        <v>0</v>
      </c>
      <c r="DY31" s="23">
        <f t="shared" si="60"/>
        <v>0</v>
      </c>
      <c r="DZ31" s="23">
        <f t="shared" si="61"/>
        <v>0</v>
      </c>
      <c r="EA31" s="23">
        <f t="shared" si="62"/>
        <v>0</v>
      </c>
      <c r="EB31" s="23">
        <f t="shared" si="63"/>
        <v>0</v>
      </c>
    </row>
    <row r="32" spans="1:132">
      <c r="A32" s="23">
        <v>20140215.204</v>
      </c>
      <c r="B32" s="23">
        <v>20070607</v>
      </c>
      <c r="C32" s="23">
        <v>20140215</v>
      </c>
      <c r="D32" s="23">
        <v>2</v>
      </c>
      <c r="E32" s="23">
        <v>4</v>
      </c>
      <c r="F32" s="23">
        <v>93.8125</v>
      </c>
      <c r="G32" s="23">
        <v>93.84375</v>
      </c>
      <c r="H32" s="26">
        <f t="shared" si="0"/>
        <v>6.6888888888888891</v>
      </c>
      <c r="I32" s="26">
        <f t="shared" si="1"/>
        <v>1.2444444444444445</v>
      </c>
      <c r="K32" s="26">
        <v>0.18888888888888888</v>
      </c>
      <c r="L32" s="23">
        <f t="shared" ref="L32:AR39" si="73">IF(K32=0,0,IF(K32&gt;=$H32,0,K32+0.5))</f>
        <v>0.68888888888888888</v>
      </c>
      <c r="M32" s="23">
        <f t="shared" si="73"/>
        <v>1.1888888888888889</v>
      </c>
      <c r="N32" s="23">
        <f t="shared" si="73"/>
        <v>1.6888888888888889</v>
      </c>
      <c r="O32" s="23">
        <f t="shared" si="73"/>
        <v>2.1888888888888891</v>
      </c>
      <c r="P32" s="23">
        <f t="shared" si="73"/>
        <v>2.6888888888888891</v>
      </c>
      <c r="Q32" s="23">
        <f t="shared" si="73"/>
        <v>3.1888888888888891</v>
      </c>
      <c r="R32" s="23">
        <f t="shared" si="73"/>
        <v>3.6888888888888891</v>
      </c>
      <c r="S32" s="23">
        <f t="shared" si="73"/>
        <v>4.1888888888888891</v>
      </c>
      <c r="T32" s="23">
        <f t="shared" si="73"/>
        <v>4.6888888888888891</v>
      </c>
      <c r="U32" s="23">
        <f t="shared" si="73"/>
        <v>5.1888888888888891</v>
      </c>
      <c r="V32" s="23">
        <f t="shared" si="73"/>
        <v>5.6888888888888891</v>
      </c>
      <c r="W32" s="23">
        <f t="shared" si="73"/>
        <v>6.1888888888888891</v>
      </c>
      <c r="X32" s="23">
        <f t="shared" si="73"/>
        <v>6.6888888888888891</v>
      </c>
      <c r="Y32" s="23">
        <f t="shared" si="73"/>
        <v>0</v>
      </c>
      <c r="Z32" s="23">
        <f t="shared" si="73"/>
        <v>0</v>
      </c>
      <c r="AA32" s="23">
        <f t="shared" si="73"/>
        <v>0</v>
      </c>
      <c r="AB32" s="23">
        <f t="shared" si="73"/>
        <v>0</v>
      </c>
      <c r="AC32" s="23">
        <f t="shared" si="73"/>
        <v>0</v>
      </c>
      <c r="AD32" s="23">
        <f t="shared" si="73"/>
        <v>0</v>
      </c>
      <c r="AE32" s="23">
        <f t="shared" si="73"/>
        <v>0</v>
      </c>
      <c r="AF32" s="23">
        <f t="shared" si="73"/>
        <v>0</v>
      </c>
      <c r="AG32" s="23">
        <f t="shared" si="73"/>
        <v>0</v>
      </c>
      <c r="AH32" s="23">
        <f t="shared" si="73"/>
        <v>0</v>
      </c>
      <c r="AI32" s="23">
        <f t="shared" si="73"/>
        <v>0</v>
      </c>
      <c r="AJ32" s="23">
        <f t="shared" si="73"/>
        <v>0</v>
      </c>
      <c r="AK32" s="23">
        <f t="shared" si="73"/>
        <v>0</v>
      </c>
      <c r="AL32" s="23">
        <f t="shared" si="73"/>
        <v>0</v>
      </c>
      <c r="AM32" s="23">
        <f t="shared" si="73"/>
        <v>0</v>
      </c>
      <c r="AN32" s="23">
        <f t="shared" si="73"/>
        <v>0</v>
      </c>
      <c r="AO32" s="23">
        <f t="shared" si="73"/>
        <v>0</v>
      </c>
      <c r="AP32" s="23">
        <f t="shared" si="73"/>
        <v>0</v>
      </c>
      <c r="AQ32" s="23">
        <f t="shared" si="73"/>
        <v>0</v>
      </c>
      <c r="AR32" s="23">
        <f t="shared" si="73"/>
        <v>0</v>
      </c>
      <c r="AS32" s="23">
        <f t="shared" si="70"/>
        <v>0</v>
      </c>
      <c r="AT32" s="23">
        <f t="shared" si="70"/>
        <v>0</v>
      </c>
      <c r="AU32" s="23">
        <f t="shared" si="70"/>
        <v>0</v>
      </c>
      <c r="AV32" s="23">
        <f t="shared" si="70"/>
        <v>0</v>
      </c>
      <c r="AW32" s="23">
        <f t="shared" si="70"/>
        <v>0</v>
      </c>
      <c r="AX32" s="23">
        <f t="shared" si="70"/>
        <v>0</v>
      </c>
      <c r="AY32" s="23">
        <f t="shared" si="70"/>
        <v>0</v>
      </c>
      <c r="AZ32" s="23">
        <f t="shared" si="71"/>
        <v>0</v>
      </c>
      <c r="BA32" s="23">
        <f t="shared" si="71"/>
        <v>0</v>
      </c>
      <c r="BB32" s="23">
        <f t="shared" si="71"/>
        <v>0</v>
      </c>
      <c r="BC32" s="23">
        <f t="shared" si="71"/>
        <v>0</v>
      </c>
      <c r="BD32" s="23">
        <f t="shared" si="71"/>
        <v>0</v>
      </c>
      <c r="BE32" s="23">
        <f t="shared" si="71"/>
        <v>0</v>
      </c>
      <c r="BF32" s="23">
        <f t="shared" si="71"/>
        <v>0</v>
      </c>
      <c r="BG32" s="23">
        <f t="shared" si="71"/>
        <v>0</v>
      </c>
      <c r="BH32" s="23">
        <f t="shared" si="71"/>
        <v>0</v>
      </c>
      <c r="BI32" s="23">
        <f t="shared" si="71"/>
        <v>0</v>
      </c>
      <c r="BJ32" s="23">
        <f t="shared" si="71"/>
        <v>0</v>
      </c>
      <c r="BK32" s="23">
        <f t="shared" si="71"/>
        <v>0</v>
      </c>
      <c r="BL32" s="23">
        <f t="shared" si="71"/>
        <v>0</v>
      </c>
      <c r="BM32" s="23">
        <f t="shared" si="71"/>
        <v>0</v>
      </c>
      <c r="BN32" s="23">
        <f t="shared" si="71"/>
        <v>0</v>
      </c>
      <c r="BO32" s="23">
        <f t="shared" si="71"/>
        <v>0</v>
      </c>
      <c r="BP32" s="23">
        <f t="shared" si="72"/>
        <v>0</v>
      </c>
      <c r="BQ32" s="23">
        <f t="shared" si="72"/>
        <v>0</v>
      </c>
      <c r="BR32" s="23">
        <f t="shared" si="72"/>
        <v>0</v>
      </c>
      <c r="BS32" s="23">
        <f t="shared" si="72"/>
        <v>0</v>
      </c>
      <c r="BU32" s="23">
        <f t="shared" si="4"/>
        <v>2</v>
      </c>
      <c r="BV32" s="23">
        <f t="shared" si="5"/>
        <v>2</v>
      </c>
      <c r="BW32" s="23">
        <f t="shared" si="6"/>
        <v>2</v>
      </c>
      <c r="BX32" s="23">
        <f t="shared" si="7"/>
        <v>2</v>
      </c>
      <c r="BY32" s="23">
        <f t="shared" si="8"/>
        <v>2</v>
      </c>
      <c r="BZ32" s="23">
        <f t="shared" si="9"/>
        <v>2</v>
      </c>
      <c r="CA32" s="23">
        <f t="shared" si="10"/>
        <v>2</v>
      </c>
      <c r="CB32" s="23">
        <f t="shared" si="11"/>
        <v>2</v>
      </c>
      <c r="CC32" s="23">
        <f t="shared" si="12"/>
        <v>2</v>
      </c>
      <c r="CD32" s="23">
        <f t="shared" si="13"/>
        <v>2</v>
      </c>
      <c r="CE32" s="23">
        <f t="shared" si="14"/>
        <v>2</v>
      </c>
      <c r="CF32" s="23">
        <f t="shared" si="15"/>
        <v>2</v>
      </c>
      <c r="CG32" s="23">
        <f t="shared" si="16"/>
        <v>2</v>
      </c>
      <c r="CH32" s="23">
        <f t="shared" si="17"/>
        <v>102</v>
      </c>
      <c r="CI32" s="23">
        <f t="shared" si="18"/>
        <v>0</v>
      </c>
      <c r="CJ32" s="23">
        <f t="shared" si="19"/>
        <v>0</v>
      </c>
      <c r="CK32" s="23">
        <f t="shared" si="20"/>
        <v>0</v>
      </c>
      <c r="CL32" s="23">
        <f t="shared" si="21"/>
        <v>0</v>
      </c>
      <c r="CM32" s="23">
        <f t="shared" si="22"/>
        <v>0</v>
      </c>
      <c r="CN32" s="23">
        <f t="shared" si="23"/>
        <v>0</v>
      </c>
      <c r="CO32" s="23">
        <f t="shared" si="24"/>
        <v>0</v>
      </c>
      <c r="CP32" s="23">
        <f t="shared" si="25"/>
        <v>0</v>
      </c>
      <c r="CQ32" s="23">
        <f t="shared" si="26"/>
        <v>0</v>
      </c>
      <c r="CR32" s="23">
        <f t="shared" si="27"/>
        <v>0</v>
      </c>
      <c r="CS32" s="23">
        <f t="shared" si="28"/>
        <v>0</v>
      </c>
      <c r="CT32" s="23">
        <f t="shared" si="29"/>
        <v>0</v>
      </c>
      <c r="CU32" s="23">
        <f t="shared" si="30"/>
        <v>0</v>
      </c>
      <c r="CV32" s="23">
        <f t="shared" si="31"/>
        <v>0</v>
      </c>
      <c r="CW32" s="23">
        <f t="shared" si="32"/>
        <v>0</v>
      </c>
      <c r="CX32" s="23">
        <f t="shared" si="33"/>
        <v>0</v>
      </c>
      <c r="CY32" s="23">
        <f t="shared" si="34"/>
        <v>0</v>
      </c>
      <c r="CZ32" s="23">
        <f t="shared" si="35"/>
        <v>0</v>
      </c>
      <c r="DA32" s="23">
        <f t="shared" si="36"/>
        <v>0</v>
      </c>
      <c r="DB32" s="23">
        <f t="shared" si="37"/>
        <v>0</v>
      </c>
      <c r="DC32" s="23">
        <f t="shared" si="38"/>
        <v>0</v>
      </c>
      <c r="DD32" s="23">
        <f t="shared" si="39"/>
        <v>0</v>
      </c>
      <c r="DE32" s="23">
        <f t="shared" si="40"/>
        <v>0</v>
      </c>
      <c r="DF32" s="23">
        <f t="shared" si="41"/>
        <v>0</v>
      </c>
      <c r="DG32" s="23">
        <f t="shared" si="42"/>
        <v>0</v>
      </c>
      <c r="DH32" s="23">
        <f t="shared" si="43"/>
        <v>0</v>
      </c>
      <c r="DI32" s="23">
        <f t="shared" si="44"/>
        <v>0</v>
      </c>
      <c r="DJ32" s="23">
        <f t="shared" si="45"/>
        <v>0</v>
      </c>
      <c r="DK32" s="23">
        <f t="shared" si="46"/>
        <v>0</v>
      </c>
      <c r="DL32" s="23">
        <f t="shared" si="47"/>
        <v>0</v>
      </c>
      <c r="DM32" s="23">
        <f t="shared" si="48"/>
        <v>0</v>
      </c>
      <c r="DN32" s="23">
        <f t="shared" si="49"/>
        <v>0</v>
      </c>
      <c r="DO32" s="23">
        <f t="shared" si="50"/>
        <v>0</v>
      </c>
      <c r="DP32" s="23">
        <f t="shared" si="51"/>
        <v>0</v>
      </c>
      <c r="DQ32" s="23">
        <f t="shared" si="52"/>
        <v>0</v>
      </c>
      <c r="DR32" s="23">
        <f t="shared" si="53"/>
        <v>0</v>
      </c>
      <c r="DS32" s="23">
        <f t="shared" si="54"/>
        <v>0</v>
      </c>
      <c r="DT32" s="23">
        <f t="shared" si="55"/>
        <v>0</v>
      </c>
      <c r="DU32" s="23">
        <f t="shared" si="56"/>
        <v>0</v>
      </c>
      <c r="DV32" s="23">
        <f t="shared" si="57"/>
        <v>0</v>
      </c>
      <c r="DW32" s="23">
        <f t="shared" si="58"/>
        <v>0</v>
      </c>
      <c r="DX32" s="23">
        <f t="shared" si="59"/>
        <v>0</v>
      </c>
      <c r="DY32" s="23">
        <f t="shared" si="60"/>
        <v>0</v>
      </c>
      <c r="DZ32" s="23">
        <f t="shared" si="61"/>
        <v>0</v>
      </c>
      <c r="EA32" s="23">
        <f t="shared" si="62"/>
        <v>0</v>
      </c>
      <c r="EB32" s="23">
        <f t="shared" si="63"/>
        <v>0</v>
      </c>
    </row>
    <row r="33" spans="1:132">
      <c r="A33" s="23">
        <v>20140815.20425</v>
      </c>
      <c r="B33" s="23">
        <v>20070607</v>
      </c>
      <c r="C33" s="23">
        <v>20140815</v>
      </c>
      <c r="D33" s="23">
        <v>2</v>
      </c>
      <c r="E33" s="23">
        <v>4.25</v>
      </c>
      <c r="F33" s="23">
        <v>94.78125</v>
      </c>
      <c r="G33" s="23">
        <v>94.8125</v>
      </c>
      <c r="H33" s="26">
        <f t="shared" si="0"/>
        <v>7.1888888888888891</v>
      </c>
      <c r="I33" s="26">
        <f t="shared" si="1"/>
        <v>1.3222222222222222</v>
      </c>
      <c r="K33" s="26">
        <v>0.18888888888888888</v>
      </c>
      <c r="L33" s="23">
        <f t="shared" si="73"/>
        <v>0.68888888888888888</v>
      </c>
      <c r="M33" s="23">
        <f t="shared" si="73"/>
        <v>1.1888888888888889</v>
      </c>
      <c r="N33" s="23">
        <f t="shared" si="73"/>
        <v>1.6888888888888889</v>
      </c>
      <c r="O33" s="23">
        <f t="shared" si="73"/>
        <v>2.1888888888888891</v>
      </c>
      <c r="P33" s="23">
        <f t="shared" si="73"/>
        <v>2.6888888888888891</v>
      </c>
      <c r="Q33" s="23">
        <f t="shared" si="73"/>
        <v>3.1888888888888891</v>
      </c>
      <c r="R33" s="23">
        <f t="shared" si="73"/>
        <v>3.6888888888888891</v>
      </c>
      <c r="S33" s="23">
        <f t="shared" si="73"/>
        <v>4.1888888888888891</v>
      </c>
      <c r="T33" s="23">
        <f t="shared" si="73"/>
        <v>4.6888888888888891</v>
      </c>
      <c r="U33" s="23">
        <f t="shared" si="73"/>
        <v>5.1888888888888891</v>
      </c>
      <c r="V33" s="23">
        <f t="shared" si="73"/>
        <v>5.6888888888888891</v>
      </c>
      <c r="W33" s="23">
        <f t="shared" si="73"/>
        <v>6.1888888888888891</v>
      </c>
      <c r="X33" s="23">
        <f t="shared" si="73"/>
        <v>6.6888888888888891</v>
      </c>
      <c r="Y33" s="23">
        <f t="shared" si="73"/>
        <v>7.1888888888888891</v>
      </c>
      <c r="Z33" s="23">
        <f t="shared" si="73"/>
        <v>0</v>
      </c>
      <c r="AA33" s="23">
        <f t="shared" si="73"/>
        <v>0</v>
      </c>
      <c r="AB33" s="23">
        <f t="shared" si="73"/>
        <v>0</v>
      </c>
      <c r="AC33" s="23">
        <f t="shared" si="73"/>
        <v>0</v>
      </c>
      <c r="AD33" s="23">
        <f t="shared" si="73"/>
        <v>0</v>
      </c>
      <c r="AE33" s="23">
        <f t="shared" si="73"/>
        <v>0</v>
      </c>
      <c r="AF33" s="23">
        <f t="shared" si="73"/>
        <v>0</v>
      </c>
      <c r="AG33" s="23">
        <f t="shared" si="73"/>
        <v>0</v>
      </c>
      <c r="AH33" s="23">
        <f t="shared" si="73"/>
        <v>0</v>
      </c>
      <c r="AI33" s="23">
        <f t="shared" si="73"/>
        <v>0</v>
      </c>
      <c r="AJ33" s="23">
        <f t="shared" si="73"/>
        <v>0</v>
      </c>
      <c r="AK33" s="23">
        <f t="shared" si="73"/>
        <v>0</v>
      </c>
      <c r="AL33" s="23">
        <f t="shared" si="73"/>
        <v>0</v>
      </c>
      <c r="AM33" s="23">
        <f t="shared" si="73"/>
        <v>0</v>
      </c>
      <c r="AN33" s="23">
        <f t="shared" si="73"/>
        <v>0</v>
      </c>
      <c r="AO33" s="23">
        <f t="shared" si="73"/>
        <v>0</v>
      </c>
      <c r="AP33" s="23">
        <f t="shared" si="73"/>
        <v>0</v>
      </c>
      <c r="AQ33" s="23">
        <f t="shared" si="73"/>
        <v>0</v>
      </c>
      <c r="AR33" s="23">
        <f t="shared" si="73"/>
        <v>0</v>
      </c>
      <c r="AS33" s="23">
        <f t="shared" si="70"/>
        <v>0</v>
      </c>
      <c r="AT33" s="23">
        <f t="shared" si="70"/>
        <v>0</v>
      </c>
      <c r="AU33" s="23">
        <f t="shared" si="70"/>
        <v>0</v>
      </c>
      <c r="AV33" s="23">
        <f t="shared" si="70"/>
        <v>0</v>
      </c>
      <c r="AW33" s="23">
        <f t="shared" si="70"/>
        <v>0</v>
      </c>
      <c r="AX33" s="23">
        <f t="shared" si="70"/>
        <v>0</v>
      </c>
      <c r="AY33" s="23">
        <f t="shared" si="70"/>
        <v>0</v>
      </c>
      <c r="AZ33" s="23">
        <f t="shared" si="71"/>
        <v>0</v>
      </c>
      <c r="BA33" s="23">
        <f t="shared" si="71"/>
        <v>0</v>
      </c>
      <c r="BB33" s="23">
        <f t="shared" si="71"/>
        <v>0</v>
      </c>
      <c r="BC33" s="23">
        <f t="shared" si="71"/>
        <v>0</v>
      </c>
      <c r="BD33" s="23">
        <f t="shared" si="71"/>
        <v>0</v>
      </c>
      <c r="BE33" s="23">
        <f t="shared" si="71"/>
        <v>0</v>
      </c>
      <c r="BF33" s="23">
        <f t="shared" si="71"/>
        <v>0</v>
      </c>
      <c r="BG33" s="23">
        <f t="shared" si="71"/>
        <v>0</v>
      </c>
      <c r="BH33" s="23">
        <f t="shared" si="71"/>
        <v>0</v>
      </c>
      <c r="BI33" s="23">
        <f t="shared" si="71"/>
        <v>0</v>
      </c>
      <c r="BJ33" s="23">
        <f t="shared" si="71"/>
        <v>0</v>
      </c>
      <c r="BK33" s="23">
        <f t="shared" si="71"/>
        <v>0</v>
      </c>
      <c r="BL33" s="23">
        <f t="shared" si="71"/>
        <v>0</v>
      </c>
      <c r="BM33" s="23">
        <f t="shared" si="71"/>
        <v>0</v>
      </c>
      <c r="BN33" s="23">
        <f t="shared" si="71"/>
        <v>0</v>
      </c>
      <c r="BO33" s="23">
        <f t="shared" si="71"/>
        <v>0</v>
      </c>
      <c r="BP33" s="23">
        <f t="shared" si="72"/>
        <v>0</v>
      </c>
      <c r="BQ33" s="23">
        <f t="shared" si="72"/>
        <v>0</v>
      </c>
      <c r="BR33" s="23">
        <f t="shared" si="72"/>
        <v>0</v>
      </c>
      <c r="BS33" s="23">
        <f t="shared" si="72"/>
        <v>0</v>
      </c>
      <c r="BU33" s="23">
        <f t="shared" si="4"/>
        <v>2.125</v>
      </c>
      <c r="BV33" s="23">
        <f t="shared" si="5"/>
        <v>2.125</v>
      </c>
      <c r="BW33" s="23">
        <f t="shared" si="6"/>
        <v>2.125</v>
      </c>
      <c r="BX33" s="23">
        <f t="shared" si="7"/>
        <v>2.125</v>
      </c>
      <c r="BY33" s="23">
        <f t="shared" si="8"/>
        <v>2.125</v>
      </c>
      <c r="BZ33" s="23">
        <f t="shared" si="9"/>
        <v>2.125</v>
      </c>
      <c r="CA33" s="23">
        <f t="shared" si="10"/>
        <v>2.125</v>
      </c>
      <c r="CB33" s="23">
        <f t="shared" si="11"/>
        <v>2.125</v>
      </c>
      <c r="CC33" s="23">
        <f t="shared" si="12"/>
        <v>2.125</v>
      </c>
      <c r="CD33" s="23">
        <f t="shared" si="13"/>
        <v>2.125</v>
      </c>
      <c r="CE33" s="23">
        <f t="shared" si="14"/>
        <v>2.125</v>
      </c>
      <c r="CF33" s="23">
        <f t="shared" si="15"/>
        <v>2.125</v>
      </c>
      <c r="CG33" s="23">
        <f t="shared" si="16"/>
        <v>2.125</v>
      </c>
      <c r="CH33" s="23">
        <f t="shared" si="17"/>
        <v>2.125</v>
      </c>
      <c r="CI33" s="23">
        <f t="shared" si="18"/>
        <v>102.125</v>
      </c>
      <c r="CJ33" s="23">
        <f t="shared" si="19"/>
        <v>0</v>
      </c>
      <c r="CK33" s="23">
        <f t="shared" si="20"/>
        <v>0</v>
      </c>
      <c r="CL33" s="23">
        <f t="shared" si="21"/>
        <v>0</v>
      </c>
      <c r="CM33" s="23">
        <f t="shared" si="22"/>
        <v>0</v>
      </c>
      <c r="CN33" s="23">
        <f t="shared" si="23"/>
        <v>0</v>
      </c>
      <c r="CO33" s="23">
        <f t="shared" si="24"/>
        <v>0</v>
      </c>
      <c r="CP33" s="23">
        <f t="shared" si="25"/>
        <v>0</v>
      </c>
      <c r="CQ33" s="23">
        <f t="shared" si="26"/>
        <v>0</v>
      </c>
      <c r="CR33" s="23">
        <f t="shared" si="27"/>
        <v>0</v>
      </c>
      <c r="CS33" s="23">
        <f t="shared" si="28"/>
        <v>0</v>
      </c>
      <c r="CT33" s="23">
        <f t="shared" si="29"/>
        <v>0</v>
      </c>
      <c r="CU33" s="23">
        <f t="shared" si="30"/>
        <v>0</v>
      </c>
      <c r="CV33" s="23">
        <f t="shared" si="31"/>
        <v>0</v>
      </c>
      <c r="CW33" s="23">
        <f t="shared" si="32"/>
        <v>0</v>
      </c>
      <c r="CX33" s="23">
        <f t="shared" si="33"/>
        <v>0</v>
      </c>
      <c r="CY33" s="23">
        <f t="shared" si="34"/>
        <v>0</v>
      </c>
      <c r="CZ33" s="23">
        <f t="shared" si="35"/>
        <v>0</v>
      </c>
      <c r="DA33" s="23">
        <f t="shared" si="36"/>
        <v>0</v>
      </c>
      <c r="DB33" s="23">
        <f t="shared" si="37"/>
        <v>0</v>
      </c>
      <c r="DC33" s="23">
        <f t="shared" si="38"/>
        <v>0</v>
      </c>
      <c r="DD33" s="23">
        <f t="shared" si="39"/>
        <v>0</v>
      </c>
      <c r="DE33" s="23">
        <f t="shared" si="40"/>
        <v>0</v>
      </c>
      <c r="DF33" s="23">
        <f t="shared" si="41"/>
        <v>0</v>
      </c>
      <c r="DG33" s="23">
        <f t="shared" si="42"/>
        <v>0</v>
      </c>
      <c r="DH33" s="23">
        <f t="shared" si="43"/>
        <v>0</v>
      </c>
      <c r="DI33" s="23">
        <f t="shared" si="44"/>
        <v>0</v>
      </c>
      <c r="DJ33" s="23">
        <f t="shared" si="45"/>
        <v>0</v>
      </c>
      <c r="DK33" s="23">
        <f t="shared" si="46"/>
        <v>0</v>
      </c>
      <c r="DL33" s="23">
        <f t="shared" si="47"/>
        <v>0</v>
      </c>
      <c r="DM33" s="23">
        <f t="shared" si="48"/>
        <v>0</v>
      </c>
      <c r="DN33" s="23">
        <f t="shared" si="49"/>
        <v>0</v>
      </c>
      <c r="DO33" s="23">
        <f t="shared" si="50"/>
        <v>0</v>
      </c>
      <c r="DP33" s="23">
        <f t="shared" si="51"/>
        <v>0</v>
      </c>
      <c r="DQ33" s="23">
        <f t="shared" si="52"/>
        <v>0</v>
      </c>
      <c r="DR33" s="23">
        <f t="shared" si="53"/>
        <v>0</v>
      </c>
      <c r="DS33" s="23">
        <f t="shared" si="54"/>
        <v>0</v>
      </c>
      <c r="DT33" s="23">
        <f t="shared" si="55"/>
        <v>0</v>
      </c>
      <c r="DU33" s="23">
        <f t="shared" si="56"/>
        <v>0</v>
      </c>
      <c r="DV33" s="23">
        <f t="shared" si="57"/>
        <v>0</v>
      </c>
      <c r="DW33" s="23">
        <f t="shared" si="58"/>
        <v>0</v>
      </c>
      <c r="DX33" s="23">
        <f t="shared" si="59"/>
        <v>0</v>
      </c>
      <c r="DY33" s="23">
        <f t="shared" si="60"/>
        <v>0</v>
      </c>
      <c r="DZ33" s="23">
        <f t="shared" si="61"/>
        <v>0</v>
      </c>
      <c r="EA33" s="23">
        <f t="shared" si="62"/>
        <v>0</v>
      </c>
      <c r="EB33" s="23">
        <f t="shared" si="63"/>
        <v>0</v>
      </c>
    </row>
    <row r="34" spans="1:132">
      <c r="A34" s="23">
        <v>20150215.204</v>
      </c>
      <c r="B34" s="23">
        <v>20070607</v>
      </c>
      <c r="C34" s="23">
        <v>20150215</v>
      </c>
      <c r="D34" s="23">
        <v>2</v>
      </c>
      <c r="E34" s="23">
        <v>4</v>
      </c>
      <c r="F34" s="23">
        <v>92.84375</v>
      </c>
      <c r="G34" s="23">
        <v>92.875</v>
      </c>
      <c r="H34" s="26">
        <f t="shared" si="0"/>
        <v>7.6888888888888891</v>
      </c>
      <c r="I34" s="26">
        <f t="shared" si="1"/>
        <v>1.2444444444444445</v>
      </c>
      <c r="K34" s="26">
        <v>0.18888888888888888</v>
      </c>
      <c r="L34" s="23">
        <f t="shared" si="73"/>
        <v>0.68888888888888888</v>
      </c>
      <c r="M34" s="23">
        <f t="shared" si="73"/>
        <v>1.1888888888888889</v>
      </c>
      <c r="N34" s="23">
        <f t="shared" si="73"/>
        <v>1.6888888888888889</v>
      </c>
      <c r="O34" s="23">
        <f t="shared" si="73"/>
        <v>2.1888888888888891</v>
      </c>
      <c r="P34" s="23">
        <f t="shared" si="73"/>
        <v>2.6888888888888891</v>
      </c>
      <c r="Q34" s="23">
        <f t="shared" si="73"/>
        <v>3.1888888888888891</v>
      </c>
      <c r="R34" s="23">
        <f t="shared" si="73"/>
        <v>3.6888888888888891</v>
      </c>
      <c r="S34" s="23">
        <f t="shared" si="73"/>
        <v>4.1888888888888891</v>
      </c>
      <c r="T34" s="23">
        <f t="shared" si="73"/>
        <v>4.6888888888888891</v>
      </c>
      <c r="U34" s="23">
        <f t="shared" si="73"/>
        <v>5.1888888888888891</v>
      </c>
      <c r="V34" s="23">
        <f t="shared" si="73"/>
        <v>5.6888888888888891</v>
      </c>
      <c r="W34" s="23">
        <f t="shared" si="73"/>
        <v>6.1888888888888891</v>
      </c>
      <c r="X34" s="23">
        <f t="shared" si="73"/>
        <v>6.6888888888888891</v>
      </c>
      <c r="Y34" s="23">
        <f t="shared" si="73"/>
        <v>7.1888888888888891</v>
      </c>
      <c r="Z34" s="23">
        <f t="shared" si="73"/>
        <v>7.6888888888888891</v>
      </c>
      <c r="AA34" s="23">
        <f t="shared" si="73"/>
        <v>0</v>
      </c>
      <c r="AB34" s="23">
        <f t="shared" si="73"/>
        <v>0</v>
      </c>
      <c r="AC34" s="23">
        <f t="shared" si="73"/>
        <v>0</v>
      </c>
      <c r="AD34" s="23">
        <f t="shared" si="73"/>
        <v>0</v>
      </c>
      <c r="AE34" s="23">
        <f t="shared" si="73"/>
        <v>0</v>
      </c>
      <c r="AF34" s="23">
        <f t="shared" si="73"/>
        <v>0</v>
      </c>
      <c r="AG34" s="23">
        <f t="shared" si="73"/>
        <v>0</v>
      </c>
      <c r="AH34" s="23">
        <f t="shared" si="73"/>
        <v>0</v>
      </c>
      <c r="AI34" s="23">
        <f t="shared" si="73"/>
        <v>0</v>
      </c>
      <c r="AJ34" s="23">
        <f t="shared" si="73"/>
        <v>0</v>
      </c>
      <c r="AK34" s="23">
        <f t="shared" si="73"/>
        <v>0</v>
      </c>
      <c r="AL34" s="23">
        <f t="shared" si="73"/>
        <v>0</v>
      </c>
      <c r="AM34" s="23">
        <f t="shared" si="73"/>
        <v>0</v>
      </c>
      <c r="AN34" s="23">
        <f t="shared" si="73"/>
        <v>0</v>
      </c>
      <c r="AO34" s="23">
        <f t="shared" si="73"/>
        <v>0</v>
      </c>
      <c r="AP34" s="23">
        <f t="shared" si="73"/>
        <v>0</v>
      </c>
      <c r="AQ34" s="23">
        <f t="shared" si="73"/>
        <v>0</v>
      </c>
      <c r="AR34" s="23">
        <f t="shared" si="73"/>
        <v>0</v>
      </c>
      <c r="AS34" s="23">
        <f t="shared" si="70"/>
        <v>0</v>
      </c>
      <c r="AT34" s="23">
        <f t="shared" si="70"/>
        <v>0</v>
      </c>
      <c r="AU34" s="23">
        <f t="shared" si="70"/>
        <v>0</v>
      </c>
      <c r="AV34" s="23">
        <f t="shared" si="70"/>
        <v>0</v>
      </c>
      <c r="AW34" s="23">
        <f t="shared" si="70"/>
        <v>0</v>
      </c>
      <c r="AX34" s="23">
        <f t="shared" si="70"/>
        <v>0</v>
      </c>
      <c r="AY34" s="23">
        <f t="shared" si="70"/>
        <v>0</v>
      </c>
      <c r="AZ34" s="23">
        <f t="shared" si="71"/>
        <v>0</v>
      </c>
      <c r="BA34" s="23">
        <f t="shared" si="71"/>
        <v>0</v>
      </c>
      <c r="BB34" s="23">
        <f t="shared" si="71"/>
        <v>0</v>
      </c>
      <c r="BC34" s="23">
        <f t="shared" si="71"/>
        <v>0</v>
      </c>
      <c r="BD34" s="23">
        <f t="shared" si="71"/>
        <v>0</v>
      </c>
      <c r="BE34" s="23">
        <f t="shared" si="71"/>
        <v>0</v>
      </c>
      <c r="BF34" s="23">
        <f t="shared" si="71"/>
        <v>0</v>
      </c>
      <c r="BG34" s="23">
        <f t="shared" si="71"/>
        <v>0</v>
      </c>
      <c r="BH34" s="23">
        <f t="shared" si="71"/>
        <v>0</v>
      </c>
      <c r="BI34" s="23">
        <f t="shared" si="71"/>
        <v>0</v>
      </c>
      <c r="BJ34" s="23">
        <f t="shared" si="71"/>
        <v>0</v>
      </c>
      <c r="BK34" s="23">
        <f t="shared" si="71"/>
        <v>0</v>
      </c>
      <c r="BL34" s="23">
        <f t="shared" si="71"/>
        <v>0</v>
      </c>
      <c r="BM34" s="23">
        <f t="shared" si="71"/>
        <v>0</v>
      </c>
      <c r="BN34" s="23">
        <f t="shared" si="71"/>
        <v>0</v>
      </c>
      <c r="BO34" s="23">
        <f t="shared" si="71"/>
        <v>0</v>
      </c>
      <c r="BP34" s="23">
        <f t="shared" si="72"/>
        <v>0</v>
      </c>
      <c r="BQ34" s="23">
        <f t="shared" si="72"/>
        <v>0</v>
      </c>
      <c r="BR34" s="23">
        <f t="shared" si="72"/>
        <v>0</v>
      </c>
      <c r="BS34" s="23">
        <f t="shared" si="72"/>
        <v>0</v>
      </c>
      <c r="BU34" s="23">
        <f t="shared" si="4"/>
        <v>2</v>
      </c>
      <c r="BV34" s="23">
        <f t="shared" si="5"/>
        <v>2</v>
      </c>
      <c r="BW34" s="23">
        <f t="shared" si="6"/>
        <v>2</v>
      </c>
      <c r="BX34" s="23">
        <f t="shared" si="7"/>
        <v>2</v>
      </c>
      <c r="BY34" s="23">
        <f t="shared" si="8"/>
        <v>2</v>
      </c>
      <c r="BZ34" s="23">
        <f t="shared" si="9"/>
        <v>2</v>
      </c>
      <c r="CA34" s="23">
        <f t="shared" si="10"/>
        <v>2</v>
      </c>
      <c r="CB34" s="23">
        <f t="shared" si="11"/>
        <v>2</v>
      </c>
      <c r="CC34" s="23">
        <f t="shared" si="12"/>
        <v>2</v>
      </c>
      <c r="CD34" s="23">
        <f t="shared" si="13"/>
        <v>2</v>
      </c>
      <c r="CE34" s="23">
        <f t="shared" si="14"/>
        <v>2</v>
      </c>
      <c r="CF34" s="23">
        <f t="shared" si="15"/>
        <v>2</v>
      </c>
      <c r="CG34" s="23">
        <f t="shared" si="16"/>
        <v>2</v>
      </c>
      <c r="CH34" s="23">
        <f t="shared" si="17"/>
        <v>2</v>
      </c>
      <c r="CI34" s="23">
        <f t="shared" si="18"/>
        <v>2</v>
      </c>
      <c r="CJ34" s="23">
        <f t="shared" si="19"/>
        <v>102</v>
      </c>
      <c r="CK34" s="23">
        <f t="shared" si="20"/>
        <v>0</v>
      </c>
      <c r="CL34" s="23">
        <f t="shared" si="21"/>
        <v>0</v>
      </c>
      <c r="CM34" s="23">
        <f t="shared" si="22"/>
        <v>0</v>
      </c>
      <c r="CN34" s="23">
        <f t="shared" si="23"/>
        <v>0</v>
      </c>
      <c r="CO34" s="23">
        <f t="shared" si="24"/>
        <v>0</v>
      </c>
      <c r="CP34" s="23">
        <f t="shared" si="25"/>
        <v>0</v>
      </c>
      <c r="CQ34" s="23">
        <f t="shared" si="26"/>
        <v>0</v>
      </c>
      <c r="CR34" s="23">
        <f t="shared" si="27"/>
        <v>0</v>
      </c>
      <c r="CS34" s="23">
        <f t="shared" si="28"/>
        <v>0</v>
      </c>
      <c r="CT34" s="23">
        <f t="shared" si="29"/>
        <v>0</v>
      </c>
      <c r="CU34" s="23">
        <f t="shared" si="30"/>
        <v>0</v>
      </c>
      <c r="CV34" s="23">
        <f t="shared" si="31"/>
        <v>0</v>
      </c>
      <c r="CW34" s="23">
        <f t="shared" si="32"/>
        <v>0</v>
      </c>
      <c r="CX34" s="23">
        <f t="shared" si="33"/>
        <v>0</v>
      </c>
      <c r="CY34" s="23">
        <f t="shared" si="34"/>
        <v>0</v>
      </c>
      <c r="CZ34" s="23">
        <f t="shared" si="35"/>
        <v>0</v>
      </c>
      <c r="DA34" s="23">
        <f t="shared" si="36"/>
        <v>0</v>
      </c>
      <c r="DB34" s="23">
        <f t="shared" si="37"/>
        <v>0</v>
      </c>
      <c r="DC34" s="23">
        <f t="shared" si="38"/>
        <v>0</v>
      </c>
      <c r="DD34" s="23">
        <f t="shared" si="39"/>
        <v>0</v>
      </c>
      <c r="DE34" s="23">
        <f t="shared" si="40"/>
        <v>0</v>
      </c>
      <c r="DF34" s="23">
        <f t="shared" si="41"/>
        <v>0</v>
      </c>
      <c r="DG34" s="23">
        <f t="shared" si="42"/>
        <v>0</v>
      </c>
      <c r="DH34" s="23">
        <f t="shared" si="43"/>
        <v>0</v>
      </c>
      <c r="DI34" s="23">
        <f t="shared" si="44"/>
        <v>0</v>
      </c>
      <c r="DJ34" s="23">
        <f t="shared" si="45"/>
        <v>0</v>
      </c>
      <c r="DK34" s="23">
        <f t="shared" si="46"/>
        <v>0</v>
      </c>
      <c r="DL34" s="23">
        <f t="shared" si="47"/>
        <v>0</v>
      </c>
      <c r="DM34" s="23">
        <f t="shared" si="48"/>
        <v>0</v>
      </c>
      <c r="DN34" s="23">
        <f t="shared" si="49"/>
        <v>0</v>
      </c>
      <c r="DO34" s="23">
        <f t="shared" si="50"/>
        <v>0</v>
      </c>
      <c r="DP34" s="23">
        <f t="shared" si="51"/>
        <v>0</v>
      </c>
      <c r="DQ34" s="23">
        <f t="shared" si="52"/>
        <v>0</v>
      </c>
      <c r="DR34" s="23">
        <f t="shared" si="53"/>
        <v>0</v>
      </c>
      <c r="DS34" s="23">
        <f t="shared" si="54"/>
        <v>0</v>
      </c>
      <c r="DT34" s="23">
        <f t="shared" si="55"/>
        <v>0</v>
      </c>
      <c r="DU34" s="23">
        <f t="shared" si="56"/>
        <v>0</v>
      </c>
      <c r="DV34" s="23">
        <f t="shared" si="57"/>
        <v>0</v>
      </c>
      <c r="DW34" s="23">
        <f t="shared" si="58"/>
        <v>0</v>
      </c>
      <c r="DX34" s="23">
        <f t="shared" si="59"/>
        <v>0</v>
      </c>
      <c r="DY34" s="23">
        <f t="shared" si="60"/>
        <v>0</v>
      </c>
      <c r="DZ34" s="23">
        <f t="shared" si="61"/>
        <v>0</v>
      </c>
      <c r="EA34" s="23">
        <f t="shared" si="62"/>
        <v>0</v>
      </c>
      <c r="EB34" s="23">
        <f t="shared" si="63"/>
        <v>0</v>
      </c>
    </row>
    <row r="35" spans="1:132">
      <c r="A35" s="23">
        <v>20150815.20425</v>
      </c>
      <c r="B35" s="23">
        <v>20070607</v>
      </c>
      <c r="C35" s="23">
        <v>20150815</v>
      </c>
      <c r="D35" s="23">
        <v>2</v>
      </c>
      <c r="E35" s="23">
        <v>4.25</v>
      </c>
      <c r="F35" s="23">
        <v>94.140625</v>
      </c>
      <c r="G35" s="23">
        <v>94.171875</v>
      </c>
      <c r="H35" s="26">
        <f t="shared" si="0"/>
        <v>8.1888888888888882</v>
      </c>
      <c r="I35" s="26">
        <f t="shared" si="1"/>
        <v>1.3222222222222222</v>
      </c>
      <c r="K35" s="26">
        <v>0.18888888888888888</v>
      </c>
      <c r="L35" s="23">
        <f t="shared" si="73"/>
        <v>0.68888888888888888</v>
      </c>
      <c r="M35" s="23">
        <f t="shared" si="73"/>
        <v>1.1888888888888889</v>
      </c>
      <c r="N35" s="23">
        <f t="shared" si="73"/>
        <v>1.6888888888888889</v>
      </c>
      <c r="O35" s="23">
        <f t="shared" si="73"/>
        <v>2.1888888888888891</v>
      </c>
      <c r="P35" s="23">
        <f t="shared" si="73"/>
        <v>2.6888888888888891</v>
      </c>
      <c r="Q35" s="23">
        <f t="shared" si="73"/>
        <v>3.1888888888888891</v>
      </c>
      <c r="R35" s="23">
        <f t="shared" si="73"/>
        <v>3.6888888888888891</v>
      </c>
      <c r="S35" s="23">
        <f t="shared" si="73"/>
        <v>4.1888888888888891</v>
      </c>
      <c r="T35" s="23">
        <f t="shared" si="73"/>
        <v>4.6888888888888891</v>
      </c>
      <c r="U35" s="23">
        <f t="shared" si="73"/>
        <v>5.1888888888888891</v>
      </c>
      <c r="V35" s="23">
        <f t="shared" si="73"/>
        <v>5.6888888888888891</v>
      </c>
      <c r="W35" s="23">
        <f t="shared" si="73"/>
        <v>6.1888888888888891</v>
      </c>
      <c r="X35" s="23">
        <f t="shared" si="73"/>
        <v>6.6888888888888891</v>
      </c>
      <c r="Y35" s="23">
        <f t="shared" si="73"/>
        <v>7.1888888888888891</v>
      </c>
      <c r="Z35" s="23">
        <f t="shared" si="73"/>
        <v>7.6888888888888891</v>
      </c>
      <c r="AA35" s="23">
        <f t="shared" si="73"/>
        <v>8.18888888888889</v>
      </c>
      <c r="AB35" s="23">
        <f t="shared" si="73"/>
        <v>0</v>
      </c>
      <c r="AC35" s="23">
        <f t="shared" si="73"/>
        <v>0</v>
      </c>
      <c r="AD35" s="23">
        <f t="shared" si="73"/>
        <v>0</v>
      </c>
      <c r="AE35" s="23">
        <f t="shared" si="73"/>
        <v>0</v>
      </c>
      <c r="AF35" s="23">
        <f t="shared" si="73"/>
        <v>0</v>
      </c>
      <c r="AG35" s="23">
        <f t="shared" si="73"/>
        <v>0</v>
      </c>
      <c r="AH35" s="23">
        <f t="shared" si="73"/>
        <v>0</v>
      </c>
      <c r="AI35" s="23">
        <f t="shared" si="73"/>
        <v>0</v>
      </c>
      <c r="AJ35" s="23">
        <f t="shared" si="73"/>
        <v>0</v>
      </c>
      <c r="AK35" s="23">
        <f t="shared" si="73"/>
        <v>0</v>
      </c>
      <c r="AL35" s="23">
        <f t="shared" si="73"/>
        <v>0</v>
      </c>
      <c r="AM35" s="23">
        <f t="shared" si="73"/>
        <v>0</v>
      </c>
      <c r="AN35" s="23">
        <f t="shared" si="73"/>
        <v>0</v>
      </c>
      <c r="AO35" s="23">
        <f t="shared" si="73"/>
        <v>0</v>
      </c>
      <c r="AP35" s="23">
        <f t="shared" si="73"/>
        <v>0</v>
      </c>
      <c r="AQ35" s="23">
        <f t="shared" si="73"/>
        <v>0</v>
      </c>
      <c r="AR35" s="23">
        <f t="shared" si="73"/>
        <v>0</v>
      </c>
      <c r="AS35" s="23">
        <f t="shared" si="70"/>
        <v>0</v>
      </c>
      <c r="AT35" s="23">
        <f t="shared" si="70"/>
        <v>0</v>
      </c>
      <c r="AU35" s="23">
        <f t="shared" si="70"/>
        <v>0</v>
      </c>
      <c r="AV35" s="23">
        <f t="shared" si="70"/>
        <v>0</v>
      </c>
      <c r="AW35" s="23">
        <f t="shared" si="70"/>
        <v>0</v>
      </c>
      <c r="AX35" s="23">
        <f t="shared" si="70"/>
        <v>0</v>
      </c>
      <c r="AY35" s="23">
        <f t="shared" si="70"/>
        <v>0</v>
      </c>
      <c r="AZ35" s="23">
        <f t="shared" si="71"/>
        <v>0</v>
      </c>
      <c r="BA35" s="23">
        <f t="shared" si="71"/>
        <v>0</v>
      </c>
      <c r="BB35" s="23">
        <f t="shared" si="71"/>
        <v>0</v>
      </c>
      <c r="BC35" s="23">
        <f t="shared" si="71"/>
        <v>0</v>
      </c>
      <c r="BD35" s="23">
        <f t="shared" si="71"/>
        <v>0</v>
      </c>
      <c r="BE35" s="23">
        <f t="shared" si="71"/>
        <v>0</v>
      </c>
      <c r="BF35" s="23">
        <f t="shared" si="71"/>
        <v>0</v>
      </c>
      <c r="BG35" s="23">
        <f t="shared" si="71"/>
        <v>0</v>
      </c>
      <c r="BH35" s="23">
        <f t="shared" si="71"/>
        <v>0</v>
      </c>
      <c r="BI35" s="23">
        <f t="shared" si="71"/>
        <v>0</v>
      </c>
      <c r="BJ35" s="23">
        <f t="shared" si="71"/>
        <v>0</v>
      </c>
      <c r="BK35" s="23">
        <f t="shared" si="71"/>
        <v>0</v>
      </c>
      <c r="BL35" s="23">
        <f t="shared" si="71"/>
        <v>0</v>
      </c>
      <c r="BM35" s="23">
        <f t="shared" si="71"/>
        <v>0</v>
      </c>
      <c r="BN35" s="23">
        <f t="shared" si="71"/>
        <v>0</v>
      </c>
      <c r="BO35" s="23">
        <f t="shared" si="71"/>
        <v>0</v>
      </c>
      <c r="BP35" s="23">
        <f t="shared" si="72"/>
        <v>0</v>
      </c>
      <c r="BQ35" s="23">
        <f t="shared" si="72"/>
        <v>0</v>
      </c>
      <c r="BR35" s="23">
        <f t="shared" si="72"/>
        <v>0</v>
      </c>
      <c r="BS35" s="23">
        <f t="shared" si="72"/>
        <v>0</v>
      </c>
      <c r="BU35" s="23">
        <f t="shared" si="4"/>
        <v>2.125</v>
      </c>
      <c r="BV35" s="23">
        <f t="shared" si="5"/>
        <v>2.125</v>
      </c>
      <c r="BW35" s="23">
        <f t="shared" si="6"/>
        <v>2.125</v>
      </c>
      <c r="BX35" s="23">
        <f t="shared" si="7"/>
        <v>2.125</v>
      </c>
      <c r="BY35" s="23">
        <f t="shared" si="8"/>
        <v>2.125</v>
      </c>
      <c r="BZ35" s="23">
        <f t="shared" si="9"/>
        <v>2.125</v>
      </c>
      <c r="CA35" s="23">
        <f t="shared" si="10"/>
        <v>2.125</v>
      </c>
      <c r="CB35" s="23">
        <f t="shared" si="11"/>
        <v>2.125</v>
      </c>
      <c r="CC35" s="23">
        <f t="shared" si="12"/>
        <v>2.125</v>
      </c>
      <c r="CD35" s="23">
        <f t="shared" si="13"/>
        <v>2.125</v>
      </c>
      <c r="CE35" s="23">
        <f t="shared" si="14"/>
        <v>2.125</v>
      </c>
      <c r="CF35" s="23">
        <f t="shared" si="15"/>
        <v>2.125</v>
      </c>
      <c r="CG35" s="23">
        <f t="shared" si="16"/>
        <v>2.125</v>
      </c>
      <c r="CH35" s="23">
        <f t="shared" si="17"/>
        <v>2.125</v>
      </c>
      <c r="CI35" s="23">
        <f t="shared" si="18"/>
        <v>2.125</v>
      </c>
      <c r="CJ35" s="23">
        <f t="shared" si="19"/>
        <v>2.125</v>
      </c>
      <c r="CK35" s="23">
        <f t="shared" si="20"/>
        <v>102.125</v>
      </c>
      <c r="CL35" s="23">
        <f t="shared" si="21"/>
        <v>0</v>
      </c>
      <c r="CM35" s="23">
        <f t="shared" si="22"/>
        <v>0</v>
      </c>
      <c r="CN35" s="23">
        <f t="shared" si="23"/>
        <v>0</v>
      </c>
      <c r="CO35" s="23">
        <f t="shared" si="24"/>
        <v>0</v>
      </c>
      <c r="CP35" s="23">
        <f t="shared" si="25"/>
        <v>0</v>
      </c>
      <c r="CQ35" s="23">
        <f t="shared" si="26"/>
        <v>0</v>
      </c>
      <c r="CR35" s="23">
        <f t="shared" si="27"/>
        <v>0</v>
      </c>
      <c r="CS35" s="23">
        <f t="shared" si="28"/>
        <v>0</v>
      </c>
      <c r="CT35" s="23">
        <f t="shared" si="29"/>
        <v>0</v>
      </c>
      <c r="CU35" s="23">
        <f t="shared" si="30"/>
        <v>0</v>
      </c>
      <c r="CV35" s="23">
        <f t="shared" si="31"/>
        <v>0</v>
      </c>
      <c r="CW35" s="23">
        <f t="shared" si="32"/>
        <v>0</v>
      </c>
      <c r="CX35" s="23">
        <f t="shared" si="33"/>
        <v>0</v>
      </c>
      <c r="CY35" s="23">
        <f t="shared" si="34"/>
        <v>0</v>
      </c>
      <c r="CZ35" s="23">
        <f t="shared" si="35"/>
        <v>0</v>
      </c>
      <c r="DA35" s="23">
        <f t="shared" si="36"/>
        <v>0</v>
      </c>
      <c r="DB35" s="23">
        <f t="shared" si="37"/>
        <v>0</v>
      </c>
      <c r="DC35" s="23">
        <f t="shared" si="38"/>
        <v>0</v>
      </c>
      <c r="DD35" s="23">
        <f t="shared" si="39"/>
        <v>0</v>
      </c>
      <c r="DE35" s="23">
        <f t="shared" si="40"/>
        <v>0</v>
      </c>
      <c r="DF35" s="23">
        <f t="shared" si="41"/>
        <v>0</v>
      </c>
      <c r="DG35" s="23">
        <f t="shared" si="42"/>
        <v>0</v>
      </c>
      <c r="DH35" s="23">
        <f t="shared" si="43"/>
        <v>0</v>
      </c>
      <c r="DI35" s="23">
        <f t="shared" si="44"/>
        <v>0</v>
      </c>
      <c r="DJ35" s="23">
        <f t="shared" si="45"/>
        <v>0</v>
      </c>
      <c r="DK35" s="23">
        <f t="shared" si="46"/>
        <v>0</v>
      </c>
      <c r="DL35" s="23">
        <f t="shared" si="47"/>
        <v>0</v>
      </c>
      <c r="DM35" s="23">
        <f t="shared" si="48"/>
        <v>0</v>
      </c>
      <c r="DN35" s="23">
        <f t="shared" si="49"/>
        <v>0</v>
      </c>
      <c r="DO35" s="23">
        <f t="shared" si="50"/>
        <v>0</v>
      </c>
      <c r="DP35" s="23">
        <f t="shared" si="51"/>
        <v>0</v>
      </c>
      <c r="DQ35" s="23">
        <f t="shared" si="52"/>
        <v>0</v>
      </c>
      <c r="DR35" s="23">
        <f t="shared" si="53"/>
        <v>0</v>
      </c>
      <c r="DS35" s="23">
        <f t="shared" si="54"/>
        <v>0</v>
      </c>
      <c r="DT35" s="23">
        <f t="shared" si="55"/>
        <v>0</v>
      </c>
      <c r="DU35" s="23">
        <f t="shared" si="56"/>
        <v>0</v>
      </c>
      <c r="DV35" s="23">
        <f t="shared" si="57"/>
        <v>0</v>
      </c>
      <c r="DW35" s="23">
        <f t="shared" si="58"/>
        <v>0</v>
      </c>
      <c r="DX35" s="23">
        <f t="shared" si="59"/>
        <v>0</v>
      </c>
      <c r="DY35" s="23">
        <f t="shared" si="60"/>
        <v>0</v>
      </c>
      <c r="DZ35" s="23">
        <f t="shared" si="61"/>
        <v>0</v>
      </c>
      <c r="EA35" s="23">
        <f t="shared" si="62"/>
        <v>0</v>
      </c>
      <c r="EB35" s="23">
        <f t="shared" si="63"/>
        <v>0</v>
      </c>
    </row>
    <row r="36" spans="1:132">
      <c r="A36" s="23">
        <v>20160215.204500001</v>
      </c>
      <c r="B36" s="23">
        <v>20070607</v>
      </c>
      <c r="C36" s="23">
        <v>20160215</v>
      </c>
      <c r="D36" s="23">
        <v>2</v>
      </c>
      <c r="E36" s="23">
        <v>4.5</v>
      </c>
      <c r="F36" s="23">
        <v>95.625</v>
      </c>
      <c r="G36" s="23">
        <v>95.65625</v>
      </c>
      <c r="H36" s="26">
        <f t="shared" si="0"/>
        <v>8.6888888888888882</v>
      </c>
      <c r="I36" s="26">
        <f t="shared" si="1"/>
        <v>1.4</v>
      </c>
      <c r="K36" s="26">
        <v>0.18888888888888888</v>
      </c>
      <c r="L36" s="23">
        <f t="shared" si="73"/>
        <v>0.68888888888888888</v>
      </c>
      <c r="M36" s="23">
        <f t="shared" si="73"/>
        <v>1.1888888888888889</v>
      </c>
      <c r="N36" s="23">
        <f t="shared" si="73"/>
        <v>1.6888888888888889</v>
      </c>
      <c r="O36" s="23">
        <f t="shared" si="73"/>
        <v>2.1888888888888891</v>
      </c>
      <c r="P36" s="23">
        <f t="shared" si="73"/>
        <v>2.6888888888888891</v>
      </c>
      <c r="Q36" s="23">
        <f t="shared" si="73"/>
        <v>3.1888888888888891</v>
      </c>
      <c r="R36" s="23">
        <f t="shared" si="73"/>
        <v>3.6888888888888891</v>
      </c>
      <c r="S36" s="23">
        <f t="shared" si="73"/>
        <v>4.1888888888888891</v>
      </c>
      <c r="T36" s="23">
        <f t="shared" si="73"/>
        <v>4.6888888888888891</v>
      </c>
      <c r="U36" s="23">
        <f t="shared" si="73"/>
        <v>5.1888888888888891</v>
      </c>
      <c r="V36" s="23">
        <f t="shared" si="73"/>
        <v>5.6888888888888891</v>
      </c>
      <c r="W36" s="23">
        <f t="shared" si="73"/>
        <v>6.1888888888888891</v>
      </c>
      <c r="X36" s="23">
        <f t="shared" si="73"/>
        <v>6.6888888888888891</v>
      </c>
      <c r="Y36" s="23">
        <f t="shared" si="73"/>
        <v>7.1888888888888891</v>
      </c>
      <c r="Z36" s="23">
        <f t="shared" si="73"/>
        <v>7.6888888888888891</v>
      </c>
      <c r="AA36" s="23">
        <f t="shared" si="73"/>
        <v>8.18888888888889</v>
      </c>
      <c r="AB36" s="23">
        <f t="shared" si="73"/>
        <v>8.68888888888889</v>
      </c>
      <c r="AC36" s="23">
        <f t="shared" si="73"/>
        <v>0</v>
      </c>
      <c r="AD36" s="23">
        <f t="shared" si="73"/>
        <v>0</v>
      </c>
      <c r="AE36" s="23">
        <f t="shared" si="73"/>
        <v>0</v>
      </c>
      <c r="AF36" s="23">
        <f t="shared" si="73"/>
        <v>0</v>
      </c>
      <c r="AG36" s="23">
        <f t="shared" si="73"/>
        <v>0</v>
      </c>
      <c r="AH36" s="23">
        <f t="shared" si="73"/>
        <v>0</v>
      </c>
      <c r="AI36" s="23">
        <f t="shared" si="73"/>
        <v>0</v>
      </c>
      <c r="AJ36" s="23">
        <f t="shared" si="73"/>
        <v>0</v>
      </c>
      <c r="AK36" s="23">
        <f t="shared" si="73"/>
        <v>0</v>
      </c>
      <c r="AL36" s="23">
        <f t="shared" si="73"/>
        <v>0</v>
      </c>
      <c r="AM36" s="23">
        <f t="shared" si="73"/>
        <v>0</v>
      </c>
      <c r="AN36" s="23">
        <f t="shared" si="73"/>
        <v>0</v>
      </c>
      <c r="AO36" s="23">
        <f t="shared" si="73"/>
        <v>0</v>
      </c>
      <c r="AP36" s="23">
        <f t="shared" si="73"/>
        <v>0</v>
      </c>
      <c r="AQ36" s="23">
        <f t="shared" si="73"/>
        <v>0</v>
      </c>
      <c r="AR36" s="23">
        <f t="shared" si="73"/>
        <v>0</v>
      </c>
      <c r="AS36" s="23">
        <f t="shared" si="70"/>
        <v>0</v>
      </c>
      <c r="AT36" s="23">
        <f t="shared" si="70"/>
        <v>0</v>
      </c>
      <c r="AU36" s="23">
        <f t="shared" si="70"/>
        <v>0</v>
      </c>
      <c r="AV36" s="23">
        <f t="shared" si="70"/>
        <v>0</v>
      </c>
      <c r="AW36" s="23">
        <f t="shared" si="70"/>
        <v>0</v>
      </c>
      <c r="AX36" s="23">
        <f t="shared" si="70"/>
        <v>0</v>
      </c>
      <c r="AY36" s="23">
        <f t="shared" si="70"/>
        <v>0</v>
      </c>
      <c r="AZ36" s="23">
        <f t="shared" si="71"/>
        <v>0</v>
      </c>
      <c r="BA36" s="23">
        <f t="shared" si="71"/>
        <v>0</v>
      </c>
      <c r="BB36" s="23">
        <f t="shared" si="71"/>
        <v>0</v>
      </c>
      <c r="BC36" s="23">
        <f t="shared" si="71"/>
        <v>0</v>
      </c>
      <c r="BD36" s="23">
        <f t="shared" si="71"/>
        <v>0</v>
      </c>
      <c r="BE36" s="23">
        <f t="shared" si="71"/>
        <v>0</v>
      </c>
      <c r="BF36" s="23">
        <f t="shared" si="71"/>
        <v>0</v>
      </c>
      <c r="BG36" s="23">
        <f t="shared" si="71"/>
        <v>0</v>
      </c>
      <c r="BH36" s="23">
        <f t="shared" si="71"/>
        <v>0</v>
      </c>
      <c r="BI36" s="23">
        <f t="shared" si="71"/>
        <v>0</v>
      </c>
      <c r="BJ36" s="23">
        <f t="shared" si="71"/>
        <v>0</v>
      </c>
      <c r="BK36" s="23">
        <f t="shared" si="71"/>
        <v>0</v>
      </c>
      <c r="BL36" s="23">
        <f t="shared" si="71"/>
        <v>0</v>
      </c>
      <c r="BM36" s="23">
        <f t="shared" si="71"/>
        <v>0</v>
      </c>
      <c r="BN36" s="23">
        <f t="shared" si="71"/>
        <v>0</v>
      </c>
      <c r="BO36" s="23">
        <f t="shared" si="71"/>
        <v>0</v>
      </c>
      <c r="BP36" s="23">
        <f t="shared" si="72"/>
        <v>0</v>
      </c>
      <c r="BQ36" s="23">
        <f t="shared" si="72"/>
        <v>0</v>
      </c>
      <c r="BR36" s="23">
        <f t="shared" si="72"/>
        <v>0</v>
      </c>
      <c r="BS36" s="23">
        <f t="shared" si="72"/>
        <v>0</v>
      </c>
      <c r="BU36" s="23">
        <f t="shared" si="4"/>
        <v>2.25</v>
      </c>
      <c r="BV36" s="23">
        <f t="shared" si="5"/>
        <v>2.25</v>
      </c>
      <c r="BW36" s="23">
        <f t="shared" si="6"/>
        <v>2.25</v>
      </c>
      <c r="BX36" s="23">
        <f t="shared" si="7"/>
        <v>2.25</v>
      </c>
      <c r="BY36" s="23">
        <f t="shared" si="8"/>
        <v>2.25</v>
      </c>
      <c r="BZ36" s="23">
        <f t="shared" si="9"/>
        <v>2.25</v>
      </c>
      <c r="CA36" s="23">
        <f t="shared" si="10"/>
        <v>2.25</v>
      </c>
      <c r="CB36" s="23">
        <f t="shared" si="11"/>
        <v>2.25</v>
      </c>
      <c r="CC36" s="23">
        <f t="shared" si="12"/>
        <v>2.25</v>
      </c>
      <c r="CD36" s="23">
        <f t="shared" si="13"/>
        <v>2.25</v>
      </c>
      <c r="CE36" s="23">
        <f t="shared" si="14"/>
        <v>2.25</v>
      </c>
      <c r="CF36" s="23">
        <f t="shared" si="15"/>
        <v>2.25</v>
      </c>
      <c r="CG36" s="23">
        <f t="shared" si="16"/>
        <v>2.25</v>
      </c>
      <c r="CH36" s="23">
        <f t="shared" si="17"/>
        <v>2.25</v>
      </c>
      <c r="CI36" s="23">
        <f t="shared" si="18"/>
        <v>2.25</v>
      </c>
      <c r="CJ36" s="23">
        <f t="shared" si="19"/>
        <v>2.25</v>
      </c>
      <c r="CK36" s="23">
        <f t="shared" si="20"/>
        <v>2.25</v>
      </c>
      <c r="CL36" s="23">
        <f t="shared" si="21"/>
        <v>102.25</v>
      </c>
      <c r="CM36" s="23">
        <f t="shared" si="22"/>
        <v>0</v>
      </c>
      <c r="CN36" s="23">
        <f t="shared" si="23"/>
        <v>0</v>
      </c>
      <c r="CO36" s="23">
        <f t="shared" si="24"/>
        <v>0</v>
      </c>
      <c r="CP36" s="23">
        <f t="shared" si="25"/>
        <v>0</v>
      </c>
      <c r="CQ36" s="23">
        <f t="shared" si="26"/>
        <v>0</v>
      </c>
      <c r="CR36" s="23">
        <f t="shared" si="27"/>
        <v>0</v>
      </c>
      <c r="CS36" s="23">
        <f t="shared" si="28"/>
        <v>0</v>
      </c>
      <c r="CT36" s="23">
        <f t="shared" si="29"/>
        <v>0</v>
      </c>
      <c r="CU36" s="23">
        <f t="shared" si="30"/>
        <v>0</v>
      </c>
      <c r="CV36" s="23">
        <f t="shared" si="31"/>
        <v>0</v>
      </c>
      <c r="CW36" s="23">
        <f t="shared" si="32"/>
        <v>0</v>
      </c>
      <c r="CX36" s="23">
        <f t="shared" si="33"/>
        <v>0</v>
      </c>
      <c r="CY36" s="23">
        <f t="shared" si="34"/>
        <v>0</v>
      </c>
      <c r="CZ36" s="23">
        <f t="shared" si="35"/>
        <v>0</v>
      </c>
      <c r="DA36" s="23">
        <f t="shared" si="36"/>
        <v>0</v>
      </c>
      <c r="DB36" s="23">
        <f t="shared" si="37"/>
        <v>0</v>
      </c>
      <c r="DC36" s="23">
        <f t="shared" si="38"/>
        <v>0</v>
      </c>
      <c r="DD36" s="23">
        <f t="shared" si="39"/>
        <v>0</v>
      </c>
      <c r="DE36" s="23">
        <f t="shared" si="40"/>
        <v>0</v>
      </c>
      <c r="DF36" s="23">
        <f t="shared" si="41"/>
        <v>0</v>
      </c>
      <c r="DG36" s="23">
        <f t="shared" si="42"/>
        <v>0</v>
      </c>
      <c r="DH36" s="23">
        <f t="shared" si="43"/>
        <v>0</v>
      </c>
      <c r="DI36" s="23">
        <f t="shared" si="44"/>
        <v>0</v>
      </c>
      <c r="DJ36" s="23">
        <f t="shared" si="45"/>
        <v>0</v>
      </c>
      <c r="DK36" s="23">
        <f t="shared" si="46"/>
        <v>0</v>
      </c>
      <c r="DL36" s="23">
        <f t="shared" si="47"/>
        <v>0</v>
      </c>
      <c r="DM36" s="23">
        <f t="shared" si="48"/>
        <v>0</v>
      </c>
      <c r="DN36" s="23">
        <f t="shared" si="49"/>
        <v>0</v>
      </c>
      <c r="DO36" s="23">
        <f t="shared" si="50"/>
        <v>0</v>
      </c>
      <c r="DP36" s="23">
        <f t="shared" si="51"/>
        <v>0</v>
      </c>
      <c r="DQ36" s="23">
        <f t="shared" si="52"/>
        <v>0</v>
      </c>
      <c r="DR36" s="23">
        <f t="shared" si="53"/>
        <v>0</v>
      </c>
      <c r="DS36" s="23">
        <f t="shared" si="54"/>
        <v>0</v>
      </c>
      <c r="DT36" s="23">
        <f t="shared" si="55"/>
        <v>0</v>
      </c>
      <c r="DU36" s="23">
        <f t="shared" si="56"/>
        <v>0</v>
      </c>
      <c r="DV36" s="23">
        <f t="shared" si="57"/>
        <v>0</v>
      </c>
      <c r="DW36" s="23">
        <f t="shared" si="58"/>
        <v>0</v>
      </c>
      <c r="DX36" s="23">
        <f t="shared" si="59"/>
        <v>0</v>
      </c>
      <c r="DY36" s="23">
        <f t="shared" si="60"/>
        <v>0</v>
      </c>
      <c r="DZ36" s="23">
        <f t="shared" si="61"/>
        <v>0</v>
      </c>
      <c r="EA36" s="23">
        <f t="shared" si="62"/>
        <v>0</v>
      </c>
      <c r="EB36" s="23">
        <f t="shared" si="63"/>
        <v>0</v>
      </c>
    </row>
    <row r="37" spans="1:132">
      <c r="A37" s="23">
        <v>20160815.20487</v>
      </c>
      <c r="B37" s="23">
        <v>20070607</v>
      </c>
      <c r="C37" s="23">
        <v>20160815</v>
      </c>
      <c r="D37" s="23">
        <v>2</v>
      </c>
      <c r="E37" s="23">
        <v>4.875</v>
      </c>
      <c r="F37" s="23">
        <v>97.953125</v>
      </c>
      <c r="G37" s="23">
        <v>97.984375</v>
      </c>
      <c r="H37" s="26">
        <f t="shared" si="0"/>
        <v>9.1888888888888882</v>
      </c>
      <c r="I37" s="26">
        <f t="shared" si="1"/>
        <v>1.5166666666666666</v>
      </c>
      <c r="K37" s="26">
        <v>0.18888888888888888</v>
      </c>
      <c r="L37" s="23">
        <f t="shared" si="73"/>
        <v>0.68888888888888888</v>
      </c>
      <c r="M37" s="23">
        <f t="shared" si="73"/>
        <v>1.1888888888888889</v>
      </c>
      <c r="N37" s="23">
        <f t="shared" si="73"/>
        <v>1.6888888888888889</v>
      </c>
      <c r="O37" s="23">
        <f t="shared" si="73"/>
        <v>2.1888888888888891</v>
      </c>
      <c r="P37" s="23">
        <f t="shared" si="73"/>
        <v>2.6888888888888891</v>
      </c>
      <c r="Q37" s="23">
        <f t="shared" si="73"/>
        <v>3.1888888888888891</v>
      </c>
      <c r="R37" s="23">
        <f t="shared" si="73"/>
        <v>3.6888888888888891</v>
      </c>
      <c r="S37" s="23">
        <f t="shared" si="73"/>
        <v>4.1888888888888891</v>
      </c>
      <c r="T37" s="23">
        <f t="shared" si="73"/>
        <v>4.6888888888888891</v>
      </c>
      <c r="U37" s="23">
        <f t="shared" si="73"/>
        <v>5.1888888888888891</v>
      </c>
      <c r="V37" s="23">
        <f t="shared" si="73"/>
        <v>5.6888888888888891</v>
      </c>
      <c r="W37" s="23">
        <f t="shared" si="73"/>
        <v>6.1888888888888891</v>
      </c>
      <c r="X37" s="23">
        <f t="shared" si="73"/>
        <v>6.6888888888888891</v>
      </c>
      <c r="Y37" s="23">
        <f t="shared" si="73"/>
        <v>7.1888888888888891</v>
      </c>
      <c r="Z37" s="23">
        <f t="shared" si="73"/>
        <v>7.6888888888888891</v>
      </c>
      <c r="AA37" s="23">
        <f t="shared" si="73"/>
        <v>8.18888888888889</v>
      </c>
      <c r="AB37" s="23">
        <f t="shared" si="73"/>
        <v>8.68888888888889</v>
      </c>
      <c r="AC37" s="23">
        <f t="shared" si="73"/>
        <v>9.18888888888889</v>
      </c>
      <c r="AD37" s="23">
        <f t="shared" si="73"/>
        <v>0</v>
      </c>
      <c r="AE37" s="23">
        <f t="shared" si="73"/>
        <v>0</v>
      </c>
      <c r="AF37" s="23">
        <f t="shared" si="73"/>
        <v>0</v>
      </c>
      <c r="AG37" s="23">
        <f t="shared" si="73"/>
        <v>0</v>
      </c>
      <c r="AH37" s="23">
        <f t="shared" si="73"/>
        <v>0</v>
      </c>
      <c r="AI37" s="23">
        <f t="shared" si="73"/>
        <v>0</v>
      </c>
      <c r="AJ37" s="23">
        <f t="shared" si="73"/>
        <v>0</v>
      </c>
      <c r="AK37" s="23">
        <f t="shared" si="73"/>
        <v>0</v>
      </c>
      <c r="AL37" s="23">
        <f t="shared" si="73"/>
        <v>0</v>
      </c>
      <c r="AM37" s="23">
        <f t="shared" si="73"/>
        <v>0</v>
      </c>
      <c r="AN37" s="23">
        <f t="shared" si="73"/>
        <v>0</v>
      </c>
      <c r="AO37" s="23">
        <f t="shared" si="73"/>
        <v>0</v>
      </c>
      <c r="AP37" s="23">
        <f t="shared" si="73"/>
        <v>0</v>
      </c>
      <c r="AQ37" s="23">
        <f t="shared" si="73"/>
        <v>0</v>
      </c>
      <c r="AR37" s="23">
        <f t="shared" si="73"/>
        <v>0</v>
      </c>
      <c r="AS37" s="23">
        <f t="shared" si="70"/>
        <v>0</v>
      </c>
      <c r="AT37" s="23">
        <f t="shared" si="70"/>
        <v>0</v>
      </c>
      <c r="AU37" s="23">
        <f t="shared" si="70"/>
        <v>0</v>
      </c>
      <c r="AV37" s="23">
        <f t="shared" si="70"/>
        <v>0</v>
      </c>
      <c r="AW37" s="23">
        <f t="shared" si="70"/>
        <v>0</v>
      </c>
      <c r="AX37" s="23">
        <f t="shared" si="70"/>
        <v>0</v>
      </c>
      <c r="AY37" s="23">
        <f t="shared" si="70"/>
        <v>0</v>
      </c>
      <c r="AZ37" s="23">
        <f t="shared" si="71"/>
        <v>0</v>
      </c>
      <c r="BA37" s="23">
        <f t="shared" si="71"/>
        <v>0</v>
      </c>
      <c r="BB37" s="23">
        <f t="shared" si="71"/>
        <v>0</v>
      </c>
      <c r="BC37" s="23">
        <f t="shared" si="71"/>
        <v>0</v>
      </c>
      <c r="BD37" s="23">
        <f t="shared" si="71"/>
        <v>0</v>
      </c>
      <c r="BE37" s="23">
        <f t="shared" si="71"/>
        <v>0</v>
      </c>
      <c r="BF37" s="23">
        <f t="shared" si="71"/>
        <v>0</v>
      </c>
      <c r="BG37" s="23">
        <f t="shared" si="71"/>
        <v>0</v>
      </c>
      <c r="BH37" s="23">
        <f t="shared" si="71"/>
        <v>0</v>
      </c>
      <c r="BI37" s="23">
        <f t="shared" si="71"/>
        <v>0</v>
      </c>
      <c r="BJ37" s="23">
        <f t="shared" si="71"/>
        <v>0</v>
      </c>
      <c r="BK37" s="23">
        <f t="shared" si="71"/>
        <v>0</v>
      </c>
      <c r="BL37" s="23">
        <f t="shared" si="71"/>
        <v>0</v>
      </c>
      <c r="BM37" s="23">
        <f t="shared" si="71"/>
        <v>0</v>
      </c>
      <c r="BN37" s="23">
        <f t="shared" si="71"/>
        <v>0</v>
      </c>
      <c r="BO37" s="23">
        <f t="shared" si="71"/>
        <v>0</v>
      </c>
      <c r="BP37" s="23">
        <f t="shared" si="72"/>
        <v>0</v>
      </c>
      <c r="BQ37" s="23">
        <f t="shared" si="72"/>
        <v>0</v>
      </c>
      <c r="BR37" s="23">
        <f t="shared" si="72"/>
        <v>0</v>
      </c>
      <c r="BS37" s="23">
        <f t="shared" si="72"/>
        <v>0</v>
      </c>
      <c r="BU37" s="23">
        <f t="shared" si="4"/>
        <v>2.4375</v>
      </c>
      <c r="BV37" s="23">
        <f t="shared" si="5"/>
        <v>2.4375</v>
      </c>
      <c r="BW37" s="23">
        <f t="shared" si="6"/>
        <v>2.4375</v>
      </c>
      <c r="BX37" s="23">
        <f t="shared" si="7"/>
        <v>2.4375</v>
      </c>
      <c r="BY37" s="23">
        <f t="shared" si="8"/>
        <v>2.4375</v>
      </c>
      <c r="BZ37" s="23">
        <f t="shared" si="9"/>
        <v>2.4375</v>
      </c>
      <c r="CA37" s="23">
        <f t="shared" si="10"/>
        <v>2.4375</v>
      </c>
      <c r="CB37" s="23">
        <f t="shared" si="11"/>
        <v>2.4375</v>
      </c>
      <c r="CC37" s="23">
        <f t="shared" si="12"/>
        <v>2.4375</v>
      </c>
      <c r="CD37" s="23">
        <f t="shared" si="13"/>
        <v>2.4375</v>
      </c>
      <c r="CE37" s="23">
        <f t="shared" si="14"/>
        <v>2.4375</v>
      </c>
      <c r="CF37" s="23">
        <f t="shared" si="15"/>
        <v>2.4375</v>
      </c>
      <c r="CG37" s="23">
        <f t="shared" si="16"/>
        <v>2.4375</v>
      </c>
      <c r="CH37" s="23">
        <f t="shared" si="17"/>
        <v>2.4375</v>
      </c>
      <c r="CI37" s="23">
        <f t="shared" si="18"/>
        <v>2.4375</v>
      </c>
      <c r="CJ37" s="23">
        <f t="shared" si="19"/>
        <v>2.4375</v>
      </c>
      <c r="CK37" s="23">
        <f t="shared" si="20"/>
        <v>2.4375</v>
      </c>
      <c r="CL37" s="23">
        <f t="shared" si="21"/>
        <v>2.4375</v>
      </c>
      <c r="CM37" s="23">
        <f t="shared" si="22"/>
        <v>102.4375</v>
      </c>
      <c r="CN37" s="23">
        <f t="shared" si="23"/>
        <v>0</v>
      </c>
      <c r="CO37" s="23">
        <f t="shared" si="24"/>
        <v>0</v>
      </c>
      <c r="CP37" s="23">
        <f t="shared" si="25"/>
        <v>0</v>
      </c>
      <c r="CQ37" s="23">
        <f t="shared" si="26"/>
        <v>0</v>
      </c>
      <c r="CR37" s="23">
        <f t="shared" si="27"/>
        <v>0</v>
      </c>
      <c r="CS37" s="23">
        <f t="shared" si="28"/>
        <v>0</v>
      </c>
      <c r="CT37" s="23">
        <f t="shared" si="29"/>
        <v>0</v>
      </c>
      <c r="CU37" s="23">
        <f t="shared" si="30"/>
        <v>0</v>
      </c>
      <c r="CV37" s="23">
        <f t="shared" si="31"/>
        <v>0</v>
      </c>
      <c r="CW37" s="23">
        <f t="shared" si="32"/>
        <v>0</v>
      </c>
      <c r="CX37" s="23">
        <f t="shared" si="33"/>
        <v>0</v>
      </c>
      <c r="CY37" s="23">
        <f t="shared" si="34"/>
        <v>0</v>
      </c>
      <c r="CZ37" s="23">
        <f t="shared" si="35"/>
        <v>0</v>
      </c>
      <c r="DA37" s="23">
        <f t="shared" si="36"/>
        <v>0</v>
      </c>
      <c r="DB37" s="23">
        <f t="shared" si="37"/>
        <v>0</v>
      </c>
      <c r="DC37" s="23">
        <f t="shared" si="38"/>
        <v>0</v>
      </c>
      <c r="DD37" s="23">
        <f t="shared" si="39"/>
        <v>0</v>
      </c>
      <c r="DE37" s="23">
        <f t="shared" si="40"/>
        <v>0</v>
      </c>
      <c r="DF37" s="23">
        <f t="shared" si="41"/>
        <v>0</v>
      </c>
      <c r="DG37" s="23">
        <f t="shared" si="42"/>
        <v>0</v>
      </c>
      <c r="DH37" s="23">
        <f t="shared" si="43"/>
        <v>0</v>
      </c>
      <c r="DI37" s="23">
        <f t="shared" si="44"/>
        <v>0</v>
      </c>
      <c r="DJ37" s="23">
        <f t="shared" si="45"/>
        <v>0</v>
      </c>
      <c r="DK37" s="23">
        <f t="shared" si="46"/>
        <v>0</v>
      </c>
      <c r="DL37" s="23">
        <f t="shared" si="47"/>
        <v>0</v>
      </c>
      <c r="DM37" s="23">
        <f t="shared" si="48"/>
        <v>0</v>
      </c>
      <c r="DN37" s="23">
        <f t="shared" si="49"/>
        <v>0</v>
      </c>
      <c r="DO37" s="23">
        <f t="shared" si="50"/>
        <v>0</v>
      </c>
      <c r="DP37" s="23">
        <f t="shared" si="51"/>
        <v>0</v>
      </c>
      <c r="DQ37" s="23">
        <f t="shared" si="52"/>
        <v>0</v>
      </c>
      <c r="DR37" s="23">
        <f t="shared" si="53"/>
        <v>0</v>
      </c>
      <c r="DS37" s="23">
        <f t="shared" si="54"/>
        <v>0</v>
      </c>
      <c r="DT37" s="23">
        <f t="shared" si="55"/>
        <v>0</v>
      </c>
      <c r="DU37" s="23">
        <f t="shared" si="56"/>
        <v>0</v>
      </c>
      <c r="DV37" s="23">
        <f t="shared" si="57"/>
        <v>0</v>
      </c>
      <c r="DW37" s="23">
        <f t="shared" si="58"/>
        <v>0</v>
      </c>
      <c r="DX37" s="23">
        <f t="shared" si="59"/>
        <v>0</v>
      </c>
      <c r="DY37" s="23">
        <f t="shared" si="60"/>
        <v>0</v>
      </c>
      <c r="DZ37" s="23">
        <f t="shared" si="61"/>
        <v>0</v>
      </c>
      <c r="EA37" s="23">
        <f t="shared" si="62"/>
        <v>0</v>
      </c>
      <c r="EB37" s="23">
        <f t="shared" si="63"/>
        <v>0</v>
      </c>
    </row>
    <row r="38" spans="1:132">
      <c r="A38" s="23">
        <v>20170215.20462</v>
      </c>
      <c r="B38" s="23">
        <v>20070607</v>
      </c>
      <c r="C38" s="23">
        <v>20170215</v>
      </c>
      <c r="D38" s="23">
        <v>2</v>
      </c>
      <c r="E38" s="23">
        <v>4.625</v>
      </c>
      <c r="F38" s="23">
        <v>96.015625</v>
      </c>
      <c r="G38" s="23">
        <v>96.046875</v>
      </c>
      <c r="H38" s="26">
        <f t="shared" si="0"/>
        <v>9.6888888888888882</v>
      </c>
      <c r="I38" s="26">
        <f t="shared" si="1"/>
        <v>1.4388888888888889</v>
      </c>
      <c r="K38" s="26">
        <v>0.18888888888888888</v>
      </c>
      <c r="L38" s="23">
        <f t="shared" si="73"/>
        <v>0.68888888888888888</v>
      </c>
      <c r="M38" s="23">
        <f t="shared" si="73"/>
        <v>1.1888888888888889</v>
      </c>
      <c r="N38" s="23">
        <f t="shared" si="73"/>
        <v>1.6888888888888889</v>
      </c>
      <c r="O38" s="23">
        <f t="shared" si="73"/>
        <v>2.1888888888888891</v>
      </c>
      <c r="P38" s="23">
        <f t="shared" si="73"/>
        <v>2.6888888888888891</v>
      </c>
      <c r="Q38" s="23">
        <f t="shared" si="73"/>
        <v>3.1888888888888891</v>
      </c>
      <c r="R38" s="23">
        <f t="shared" si="73"/>
        <v>3.6888888888888891</v>
      </c>
      <c r="S38" s="23">
        <f t="shared" si="73"/>
        <v>4.1888888888888891</v>
      </c>
      <c r="T38" s="23">
        <f t="shared" si="73"/>
        <v>4.6888888888888891</v>
      </c>
      <c r="U38" s="23">
        <f t="shared" si="73"/>
        <v>5.1888888888888891</v>
      </c>
      <c r="V38" s="23">
        <f t="shared" si="73"/>
        <v>5.6888888888888891</v>
      </c>
      <c r="W38" s="23">
        <f t="shared" si="73"/>
        <v>6.1888888888888891</v>
      </c>
      <c r="X38" s="23">
        <f t="shared" si="73"/>
        <v>6.6888888888888891</v>
      </c>
      <c r="Y38" s="23">
        <f t="shared" si="73"/>
        <v>7.1888888888888891</v>
      </c>
      <c r="Z38" s="23">
        <f t="shared" si="73"/>
        <v>7.6888888888888891</v>
      </c>
      <c r="AA38" s="23">
        <f t="shared" si="73"/>
        <v>8.18888888888889</v>
      </c>
      <c r="AB38" s="23">
        <f t="shared" si="73"/>
        <v>8.68888888888889</v>
      </c>
      <c r="AC38" s="23">
        <f t="shared" si="73"/>
        <v>9.18888888888889</v>
      </c>
      <c r="AD38" s="23">
        <f t="shared" si="73"/>
        <v>9.68888888888889</v>
      </c>
      <c r="AE38" s="23">
        <f t="shared" si="73"/>
        <v>0</v>
      </c>
      <c r="AF38" s="23">
        <f t="shared" si="73"/>
        <v>0</v>
      </c>
      <c r="AG38" s="23">
        <f t="shared" si="73"/>
        <v>0</v>
      </c>
      <c r="AH38" s="23">
        <f t="shared" si="73"/>
        <v>0</v>
      </c>
      <c r="AI38" s="23">
        <f t="shared" si="73"/>
        <v>0</v>
      </c>
      <c r="AJ38" s="23">
        <f t="shared" si="73"/>
        <v>0</v>
      </c>
      <c r="AK38" s="23">
        <f t="shared" si="73"/>
        <v>0</v>
      </c>
      <c r="AL38" s="23">
        <f t="shared" si="73"/>
        <v>0</v>
      </c>
      <c r="AM38" s="23">
        <f t="shared" si="73"/>
        <v>0</v>
      </c>
      <c r="AN38" s="23">
        <f t="shared" si="73"/>
        <v>0</v>
      </c>
      <c r="AO38" s="23">
        <f t="shared" si="73"/>
        <v>0</v>
      </c>
      <c r="AP38" s="23">
        <f t="shared" si="73"/>
        <v>0</v>
      </c>
      <c r="AQ38" s="23">
        <f t="shared" si="73"/>
        <v>0</v>
      </c>
      <c r="AR38" s="23">
        <f t="shared" si="73"/>
        <v>0</v>
      </c>
      <c r="AS38" s="23">
        <f t="shared" si="70"/>
        <v>0</v>
      </c>
      <c r="AT38" s="23">
        <f t="shared" si="70"/>
        <v>0</v>
      </c>
      <c r="AU38" s="23">
        <f t="shared" si="70"/>
        <v>0</v>
      </c>
      <c r="AV38" s="23">
        <f t="shared" si="70"/>
        <v>0</v>
      </c>
      <c r="AW38" s="23">
        <f t="shared" si="70"/>
        <v>0</v>
      </c>
      <c r="AX38" s="23">
        <f t="shared" si="70"/>
        <v>0</v>
      </c>
      <c r="AY38" s="23">
        <f t="shared" si="70"/>
        <v>0</v>
      </c>
      <c r="AZ38" s="23">
        <f t="shared" si="71"/>
        <v>0</v>
      </c>
      <c r="BA38" s="23">
        <f t="shared" si="71"/>
        <v>0</v>
      </c>
      <c r="BB38" s="23">
        <f t="shared" si="71"/>
        <v>0</v>
      </c>
      <c r="BC38" s="23">
        <f t="shared" si="71"/>
        <v>0</v>
      </c>
      <c r="BD38" s="23">
        <f t="shared" si="71"/>
        <v>0</v>
      </c>
      <c r="BE38" s="23">
        <f t="shared" si="71"/>
        <v>0</v>
      </c>
      <c r="BF38" s="23">
        <f t="shared" si="71"/>
        <v>0</v>
      </c>
      <c r="BG38" s="23">
        <f t="shared" si="71"/>
        <v>0</v>
      </c>
      <c r="BH38" s="23">
        <f t="shared" si="71"/>
        <v>0</v>
      </c>
      <c r="BI38" s="23">
        <f t="shared" si="71"/>
        <v>0</v>
      </c>
      <c r="BJ38" s="23">
        <f t="shared" si="71"/>
        <v>0</v>
      </c>
      <c r="BK38" s="23">
        <f t="shared" si="71"/>
        <v>0</v>
      </c>
      <c r="BL38" s="23">
        <f t="shared" si="71"/>
        <v>0</v>
      </c>
      <c r="BM38" s="23">
        <f t="shared" si="71"/>
        <v>0</v>
      </c>
      <c r="BN38" s="23">
        <f t="shared" si="71"/>
        <v>0</v>
      </c>
      <c r="BO38" s="23">
        <f t="shared" si="71"/>
        <v>0</v>
      </c>
      <c r="BP38" s="23">
        <f t="shared" si="72"/>
        <v>0</v>
      </c>
      <c r="BQ38" s="23">
        <f t="shared" si="72"/>
        <v>0</v>
      </c>
      <c r="BR38" s="23">
        <f t="shared" si="72"/>
        <v>0</v>
      </c>
      <c r="BS38" s="23">
        <f t="shared" si="72"/>
        <v>0</v>
      </c>
      <c r="BU38" s="23">
        <f t="shared" si="4"/>
        <v>2.3125</v>
      </c>
      <c r="BV38" s="23">
        <f t="shared" si="5"/>
        <v>2.3125</v>
      </c>
      <c r="BW38" s="23">
        <f t="shared" si="6"/>
        <v>2.3125</v>
      </c>
      <c r="BX38" s="23">
        <f t="shared" si="7"/>
        <v>2.3125</v>
      </c>
      <c r="BY38" s="23">
        <f t="shared" si="8"/>
        <v>2.3125</v>
      </c>
      <c r="BZ38" s="23">
        <f t="shared" si="9"/>
        <v>2.3125</v>
      </c>
      <c r="CA38" s="23">
        <f t="shared" si="10"/>
        <v>2.3125</v>
      </c>
      <c r="CB38" s="23">
        <f t="shared" si="11"/>
        <v>2.3125</v>
      </c>
      <c r="CC38" s="23">
        <f t="shared" si="12"/>
        <v>2.3125</v>
      </c>
      <c r="CD38" s="23">
        <f t="shared" si="13"/>
        <v>2.3125</v>
      </c>
      <c r="CE38" s="23">
        <f t="shared" si="14"/>
        <v>2.3125</v>
      </c>
      <c r="CF38" s="23">
        <f t="shared" si="15"/>
        <v>2.3125</v>
      </c>
      <c r="CG38" s="23">
        <f t="shared" si="16"/>
        <v>2.3125</v>
      </c>
      <c r="CH38" s="23">
        <f t="shared" si="17"/>
        <v>2.3125</v>
      </c>
      <c r="CI38" s="23">
        <f t="shared" si="18"/>
        <v>2.3125</v>
      </c>
      <c r="CJ38" s="23">
        <f t="shared" si="19"/>
        <v>2.3125</v>
      </c>
      <c r="CK38" s="23">
        <f t="shared" si="20"/>
        <v>2.3125</v>
      </c>
      <c r="CL38" s="23">
        <f t="shared" si="21"/>
        <v>2.3125</v>
      </c>
      <c r="CM38" s="23">
        <f t="shared" si="22"/>
        <v>2.3125</v>
      </c>
      <c r="CN38" s="23">
        <f t="shared" si="23"/>
        <v>102.3125</v>
      </c>
      <c r="CO38" s="23">
        <f t="shared" si="24"/>
        <v>0</v>
      </c>
      <c r="CP38" s="23">
        <f t="shared" si="25"/>
        <v>0</v>
      </c>
      <c r="CQ38" s="23">
        <f t="shared" si="26"/>
        <v>0</v>
      </c>
      <c r="CR38" s="23">
        <f t="shared" si="27"/>
        <v>0</v>
      </c>
      <c r="CS38" s="23">
        <f t="shared" si="28"/>
        <v>0</v>
      </c>
      <c r="CT38" s="23">
        <f t="shared" si="29"/>
        <v>0</v>
      </c>
      <c r="CU38" s="23">
        <f t="shared" si="30"/>
        <v>0</v>
      </c>
      <c r="CV38" s="23">
        <f t="shared" si="31"/>
        <v>0</v>
      </c>
      <c r="CW38" s="23">
        <f t="shared" si="32"/>
        <v>0</v>
      </c>
      <c r="CX38" s="23">
        <f t="shared" si="33"/>
        <v>0</v>
      </c>
      <c r="CY38" s="23">
        <f t="shared" si="34"/>
        <v>0</v>
      </c>
      <c r="CZ38" s="23">
        <f t="shared" si="35"/>
        <v>0</v>
      </c>
      <c r="DA38" s="23">
        <f t="shared" si="36"/>
        <v>0</v>
      </c>
      <c r="DB38" s="23">
        <f t="shared" si="37"/>
        <v>0</v>
      </c>
      <c r="DC38" s="23">
        <f t="shared" si="38"/>
        <v>0</v>
      </c>
      <c r="DD38" s="23">
        <f t="shared" si="39"/>
        <v>0</v>
      </c>
      <c r="DE38" s="23">
        <f t="shared" si="40"/>
        <v>0</v>
      </c>
      <c r="DF38" s="23">
        <f t="shared" si="41"/>
        <v>0</v>
      </c>
      <c r="DG38" s="23">
        <f t="shared" si="42"/>
        <v>0</v>
      </c>
      <c r="DH38" s="23">
        <f t="shared" si="43"/>
        <v>0</v>
      </c>
      <c r="DI38" s="23">
        <f t="shared" si="44"/>
        <v>0</v>
      </c>
      <c r="DJ38" s="23">
        <f t="shared" si="45"/>
        <v>0</v>
      </c>
      <c r="DK38" s="23">
        <f t="shared" si="46"/>
        <v>0</v>
      </c>
      <c r="DL38" s="23">
        <f t="shared" si="47"/>
        <v>0</v>
      </c>
      <c r="DM38" s="23">
        <f t="shared" si="48"/>
        <v>0</v>
      </c>
      <c r="DN38" s="23">
        <f t="shared" si="49"/>
        <v>0</v>
      </c>
      <c r="DO38" s="23">
        <f t="shared" si="50"/>
        <v>0</v>
      </c>
      <c r="DP38" s="23">
        <f t="shared" si="51"/>
        <v>0</v>
      </c>
      <c r="DQ38" s="23">
        <f t="shared" si="52"/>
        <v>0</v>
      </c>
      <c r="DR38" s="23">
        <f t="shared" si="53"/>
        <v>0</v>
      </c>
      <c r="DS38" s="23">
        <f t="shared" si="54"/>
        <v>0</v>
      </c>
      <c r="DT38" s="23">
        <f t="shared" si="55"/>
        <v>0</v>
      </c>
      <c r="DU38" s="23">
        <f t="shared" si="56"/>
        <v>0</v>
      </c>
      <c r="DV38" s="23">
        <f t="shared" si="57"/>
        <v>0</v>
      </c>
      <c r="DW38" s="23">
        <f t="shared" si="58"/>
        <v>0</v>
      </c>
      <c r="DX38" s="23">
        <f t="shared" si="59"/>
        <v>0</v>
      </c>
      <c r="DY38" s="23">
        <f t="shared" si="60"/>
        <v>0</v>
      </c>
      <c r="DZ38" s="23">
        <f t="shared" si="61"/>
        <v>0</v>
      </c>
      <c r="EA38" s="23">
        <f t="shared" si="62"/>
        <v>0</v>
      </c>
      <c r="EB38" s="23">
        <f t="shared" si="63"/>
        <v>0</v>
      </c>
    </row>
    <row r="39" spans="1:132">
      <c r="A39" s="23">
        <v>20170815.10887</v>
      </c>
      <c r="B39" s="23">
        <v>20070607</v>
      </c>
      <c r="C39" s="23">
        <v>20170815</v>
      </c>
      <c r="D39" s="23">
        <v>1</v>
      </c>
      <c r="E39" s="23">
        <v>8.875</v>
      </c>
      <c r="F39" s="23">
        <v>128.8125</v>
      </c>
      <c r="G39" s="23">
        <v>128.875</v>
      </c>
      <c r="H39" s="26">
        <f t="shared" si="0"/>
        <v>10.188888888888888</v>
      </c>
      <c r="I39" s="26">
        <f t="shared" si="1"/>
        <v>2.7611111111111111</v>
      </c>
      <c r="K39" s="26">
        <v>0.18888888888888888</v>
      </c>
      <c r="L39" s="23">
        <f t="shared" si="73"/>
        <v>0.68888888888888888</v>
      </c>
      <c r="M39" s="23">
        <f t="shared" si="73"/>
        <v>1.1888888888888889</v>
      </c>
      <c r="N39" s="23">
        <f t="shared" si="73"/>
        <v>1.6888888888888889</v>
      </c>
      <c r="O39" s="23">
        <f t="shared" si="73"/>
        <v>2.1888888888888891</v>
      </c>
      <c r="P39" s="23">
        <f t="shared" si="73"/>
        <v>2.6888888888888891</v>
      </c>
      <c r="Q39" s="23">
        <f t="shared" si="73"/>
        <v>3.1888888888888891</v>
      </c>
      <c r="R39" s="23">
        <f t="shared" si="73"/>
        <v>3.6888888888888891</v>
      </c>
      <c r="S39" s="23">
        <f t="shared" si="73"/>
        <v>4.1888888888888891</v>
      </c>
      <c r="T39" s="23">
        <f t="shared" si="73"/>
        <v>4.6888888888888891</v>
      </c>
      <c r="U39" s="23">
        <f t="shared" si="73"/>
        <v>5.1888888888888891</v>
      </c>
      <c r="V39" s="23">
        <f t="shared" si="73"/>
        <v>5.6888888888888891</v>
      </c>
      <c r="W39" s="23">
        <f t="shared" si="73"/>
        <v>6.1888888888888891</v>
      </c>
      <c r="X39" s="23">
        <f t="shared" si="73"/>
        <v>6.6888888888888891</v>
      </c>
      <c r="Y39" s="23">
        <f t="shared" si="73"/>
        <v>7.1888888888888891</v>
      </c>
      <c r="Z39" s="23">
        <f t="shared" si="73"/>
        <v>7.6888888888888891</v>
      </c>
      <c r="AA39" s="23">
        <f t="shared" si="73"/>
        <v>8.18888888888889</v>
      </c>
      <c r="AB39" s="23">
        <f t="shared" si="73"/>
        <v>8.68888888888889</v>
      </c>
      <c r="AC39" s="23">
        <f t="shared" si="73"/>
        <v>9.18888888888889</v>
      </c>
      <c r="AD39" s="23">
        <f t="shared" si="73"/>
        <v>9.68888888888889</v>
      </c>
      <c r="AE39" s="23">
        <f t="shared" si="73"/>
        <v>10.18888888888889</v>
      </c>
      <c r="AF39" s="23">
        <f t="shared" si="73"/>
        <v>0</v>
      </c>
      <c r="AG39" s="23">
        <f t="shared" si="73"/>
        <v>0</v>
      </c>
      <c r="AH39" s="23">
        <f t="shared" si="73"/>
        <v>0</v>
      </c>
      <c r="AI39" s="23">
        <f t="shared" si="73"/>
        <v>0</v>
      </c>
      <c r="AJ39" s="23">
        <f t="shared" ref="AJ39:AR39" si="74">IF(AI39=0,0,IF(AI39&gt;=$H39,0,AI39+0.5))</f>
        <v>0</v>
      </c>
      <c r="AK39" s="23">
        <f t="shared" si="74"/>
        <v>0</v>
      </c>
      <c r="AL39" s="23">
        <f t="shared" si="74"/>
        <v>0</v>
      </c>
      <c r="AM39" s="23">
        <f t="shared" si="74"/>
        <v>0</v>
      </c>
      <c r="AN39" s="23">
        <f t="shared" si="74"/>
        <v>0</v>
      </c>
      <c r="AO39" s="23">
        <f t="shared" si="74"/>
        <v>0</v>
      </c>
      <c r="AP39" s="23">
        <f t="shared" si="74"/>
        <v>0</v>
      </c>
      <c r="AQ39" s="23">
        <f t="shared" si="74"/>
        <v>0</v>
      </c>
      <c r="AR39" s="23">
        <f t="shared" si="74"/>
        <v>0</v>
      </c>
      <c r="AS39" s="23">
        <f t="shared" si="70"/>
        <v>0</v>
      </c>
      <c r="AT39" s="23">
        <f t="shared" si="70"/>
        <v>0</v>
      </c>
      <c r="AU39" s="23">
        <f t="shared" si="70"/>
        <v>0</v>
      </c>
      <c r="AV39" s="23">
        <f t="shared" si="70"/>
        <v>0</v>
      </c>
      <c r="AW39" s="23">
        <f t="shared" si="70"/>
        <v>0</v>
      </c>
      <c r="AX39" s="23">
        <f t="shared" si="70"/>
        <v>0</v>
      </c>
      <c r="AY39" s="23">
        <f t="shared" si="70"/>
        <v>0</v>
      </c>
      <c r="AZ39" s="23">
        <f t="shared" si="71"/>
        <v>0</v>
      </c>
      <c r="BA39" s="23">
        <f t="shared" si="71"/>
        <v>0</v>
      </c>
      <c r="BB39" s="23">
        <f t="shared" si="71"/>
        <v>0</v>
      </c>
      <c r="BC39" s="23">
        <f t="shared" si="71"/>
        <v>0</v>
      </c>
      <c r="BD39" s="23">
        <f t="shared" si="71"/>
        <v>0</v>
      </c>
      <c r="BE39" s="23">
        <f t="shared" si="71"/>
        <v>0</v>
      </c>
      <c r="BF39" s="23">
        <f t="shared" si="71"/>
        <v>0</v>
      </c>
      <c r="BG39" s="23">
        <f t="shared" si="71"/>
        <v>0</v>
      </c>
      <c r="BH39" s="23">
        <f t="shared" si="71"/>
        <v>0</v>
      </c>
      <c r="BI39" s="23">
        <f t="shared" si="71"/>
        <v>0</v>
      </c>
      <c r="BJ39" s="23">
        <f t="shared" si="71"/>
        <v>0</v>
      </c>
      <c r="BK39" s="23">
        <f t="shared" si="71"/>
        <v>0</v>
      </c>
      <c r="BL39" s="23">
        <f t="shared" si="71"/>
        <v>0</v>
      </c>
      <c r="BM39" s="23">
        <f t="shared" si="71"/>
        <v>0</v>
      </c>
      <c r="BN39" s="23">
        <f t="shared" si="71"/>
        <v>0</v>
      </c>
      <c r="BO39" s="23">
        <f t="shared" si="71"/>
        <v>0</v>
      </c>
      <c r="BP39" s="23">
        <f t="shared" si="72"/>
        <v>0</v>
      </c>
      <c r="BQ39" s="23">
        <f t="shared" si="72"/>
        <v>0</v>
      </c>
      <c r="BR39" s="23">
        <f t="shared" si="72"/>
        <v>0</v>
      </c>
      <c r="BS39" s="23">
        <f t="shared" si="72"/>
        <v>0</v>
      </c>
      <c r="BU39" s="23">
        <f t="shared" si="4"/>
        <v>4.4375</v>
      </c>
      <c r="BV39" s="23">
        <f t="shared" si="5"/>
        <v>4.4375</v>
      </c>
      <c r="BW39" s="23">
        <f t="shared" si="6"/>
        <v>4.4375</v>
      </c>
      <c r="BX39" s="23">
        <f t="shared" si="7"/>
        <v>4.4375</v>
      </c>
      <c r="BY39" s="23">
        <f t="shared" si="8"/>
        <v>4.4375</v>
      </c>
      <c r="BZ39" s="23">
        <f t="shared" si="9"/>
        <v>4.4375</v>
      </c>
      <c r="CA39" s="23">
        <f t="shared" si="10"/>
        <v>4.4375</v>
      </c>
      <c r="CB39" s="23">
        <f t="shared" si="11"/>
        <v>4.4375</v>
      </c>
      <c r="CC39" s="23">
        <f t="shared" si="12"/>
        <v>4.4375</v>
      </c>
      <c r="CD39" s="23">
        <f t="shared" si="13"/>
        <v>4.4375</v>
      </c>
      <c r="CE39" s="23">
        <f t="shared" si="14"/>
        <v>4.4375</v>
      </c>
      <c r="CF39" s="23">
        <f t="shared" si="15"/>
        <v>4.4375</v>
      </c>
      <c r="CG39" s="23">
        <f t="shared" si="16"/>
        <v>4.4375</v>
      </c>
      <c r="CH39" s="23">
        <f t="shared" si="17"/>
        <v>4.4375</v>
      </c>
      <c r="CI39" s="23">
        <f t="shared" si="18"/>
        <v>4.4375</v>
      </c>
      <c r="CJ39" s="23">
        <f t="shared" si="19"/>
        <v>4.4375</v>
      </c>
      <c r="CK39" s="23">
        <f t="shared" si="20"/>
        <v>4.4375</v>
      </c>
      <c r="CL39" s="23">
        <f t="shared" si="21"/>
        <v>4.4375</v>
      </c>
      <c r="CM39" s="23">
        <f t="shared" si="22"/>
        <v>4.4375</v>
      </c>
      <c r="CN39" s="23">
        <f t="shared" si="23"/>
        <v>4.4375</v>
      </c>
      <c r="CO39" s="23">
        <f t="shared" si="24"/>
        <v>104.4375</v>
      </c>
      <c r="CP39" s="23">
        <f t="shared" si="25"/>
        <v>0</v>
      </c>
      <c r="CQ39" s="23">
        <f t="shared" si="26"/>
        <v>0</v>
      </c>
      <c r="CR39" s="23">
        <f t="shared" si="27"/>
        <v>0</v>
      </c>
      <c r="CS39" s="23">
        <f t="shared" si="28"/>
        <v>0</v>
      </c>
      <c r="CT39" s="23">
        <f t="shared" si="29"/>
        <v>0</v>
      </c>
      <c r="CU39" s="23">
        <f t="shared" si="30"/>
        <v>0</v>
      </c>
      <c r="CV39" s="23">
        <f t="shared" si="31"/>
        <v>0</v>
      </c>
      <c r="CW39" s="23">
        <f t="shared" si="32"/>
        <v>0</v>
      </c>
      <c r="CX39" s="23">
        <f t="shared" si="33"/>
        <v>0</v>
      </c>
      <c r="CY39" s="23">
        <f t="shared" si="34"/>
        <v>0</v>
      </c>
      <c r="CZ39" s="23">
        <f t="shared" si="35"/>
        <v>0</v>
      </c>
      <c r="DA39" s="23">
        <f t="shared" si="36"/>
        <v>0</v>
      </c>
      <c r="DB39" s="23">
        <f t="shared" si="37"/>
        <v>0</v>
      </c>
      <c r="DC39" s="23">
        <f t="shared" si="38"/>
        <v>0</v>
      </c>
      <c r="DD39" s="23">
        <f t="shared" si="39"/>
        <v>0</v>
      </c>
      <c r="DE39" s="23">
        <f t="shared" si="40"/>
        <v>0</v>
      </c>
      <c r="DF39" s="23">
        <f t="shared" si="41"/>
        <v>0</v>
      </c>
      <c r="DG39" s="23">
        <f t="shared" si="42"/>
        <v>0</v>
      </c>
      <c r="DH39" s="23">
        <f t="shared" si="43"/>
        <v>0</v>
      </c>
      <c r="DI39" s="23">
        <f t="shared" si="44"/>
        <v>0</v>
      </c>
      <c r="DJ39" s="23">
        <f t="shared" si="45"/>
        <v>0</v>
      </c>
      <c r="DK39" s="23">
        <f t="shared" si="46"/>
        <v>0</v>
      </c>
      <c r="DL39" s="23">
        <f t="shared" si="47"/>
        <v>0</v>
      </c>
      <c r="DM39" s="23">
        <f t="shared" si="48"/>
        <v>0</v>
      </c>
      <c r="DN39" s="23">
        <f t="shared" si="49"/>
        <v>0</v>
      </c>
      <c r="DO39" s="23">
        <f t="shared" si="50"/>
        <v>0</v>
      </c>
      <c r="DP39" s="23">
        <f t="shared" si="51"/>
        <v>0</v>
      </c>
      <c r="DQ39" s="23">
        <f t="shared" si="52"/>
        <v>0</v>
      </c>
      <c r="DR39" s="23">
        <f t="shared" si="53"/>
        <v>0</v>
      </c>
      <c r="DS39" s="23">
        <f t="shared" si="54"/>
        <v>0</v>
      </c>
      <c r="DT39" s="23">
        <f t="shared" si="55"/>
        <v>0</v>
      </c>
      <c r="DU39" s="23">
        <f t="shared" si="56"/>
        <v>0</v>
      </c>
      <c r="DV39" s="23">
        <f t="shared" si="57"/>
        <v>0</v>
      </c>
      <c r="DW39" s="23">
        <f t="shared" si="58"/>
        <v>0</v>
      </c>
      <c r="DX39" s="23">
        <f t="shared" si="59"/>
        <v>0</v>
      </c>
      <c r="DY39" s="23">
        <f t="shared" si="60"/>
        <v>0</v>
      </c>
      <c r="DZ39" s="23">
        <f t="shared" si="61"/>
        <v>0</v>
      </c>
      <c r="EA39" s="23">
        <f t="shared" si="62"/>
        <v>0</v>
      </c>
      <c r="EB39" s="23">
        <f t="shared" si="63"/>
        <v>0</v>
      </c>
    </row>
    <row r="40" spans="1:132">
      <c r="A40" s="23">
        <v>20190215.10887</v>
      </c>
      <c r="B40" s="23">
        <v>20070607</v>
      </c>
      <c r="C40" s="23">
        <v>20190215</v>
      </c>
      <c r="D40" s="23">
        <v>1</v>
      </c>
      <c r="E40" s="23">
        <v>8.875</v>
      </c>
      <c r="F40" s="23">
        <v>131.375</v>
      </c>
      <c r="G40" s="23">
        <v>131.4375</v>
      </c>
      <c r="H40" s="26">
        <f t="shared" si="0"/>
        <v>11.688888888888888</v>
      </c>
      <c r="I40" s="26">
        <f t="shared" si="1"/>
        <v>2.7611111111111111</v>
      </c>
      <c r="K40" s="26">
        <v>0.18888888888888888</v>
      </c>
      <c r="L40" s="23">
        <f t="shared" ref="L40:AR47" si="75">IF(K40=0,0,IF(K40&gt;=$H40,0,K40+0.5))</f>
        <v>0.68888888888888888</v>
      </c>
      <c r="M40" s="23">
        <f t="shared" si="75"/>
        <v>1.1888888888888889</v>
      </c>
      <c r="N40" s="23">
        <f t="shared" si="75"/>
        <v>1.6888888888888889</v>
      </c>
      <c r="O40" s="23">
        <f t="shared" si="75"/>
        <v>2.1888888888888891</v>
      </c>
      <c r="P40" s="23">
        <f t="shared" si="75"/>
        <v>2.6888888888888891</v>
      </c>
      <c r="Q40" s="23">
        <f t="shared" si="75"/>
        <v>3.1888888888888891</v>
      </c>
      <c r="R40" s="23">
        <f t="shared" si="75"/>
        <v>3.6888888888888891</v>
      </c>
      <c r="S40" s="23">
        <f t="shared" si="75"/>
        <v>4.1888888888888891</v>
      </c>
      <c r="T40" s="23">
        <f t="shared" si="75"/>
        <v>4.6888888888888891</v>
      </c>
      <c r="U40" s="23">
        <f t="shared" si="75"/>
        <v>5.1888888888888891</v>
      </c>
      <c r="V40" s="23">
        <f t="shared" si="75"/>
        <v>5.6888888888888891</v>
      </c>
      <c r="W40" s="23">
        <f t="shared" si="75"/>
        <v>6.1888888888888891</v>
      </c>
      <c r="X40" s="23">
        <f t="shared" si="75"/>
        <v>6.6888888888888891</v>
      </c>
      <c r="Y40" s="23">
        <f t="shared" si="75"/>
        <v>7.1888888888888891</v>
      </c>
      <c r="Z40" s="23">
        <f t="shared" si="75"/>
        <v>7.6888888888888891</v>
      </c>
      <c r="AA40" s="23">
        <f t="shared" si="75"/>
        <v>8.18888888888889</v>
      </c>
      <c r="AB40" s="23">
        <f t="shared" si="75"/>
        <v>8.68888888888889</v>
      </c>
      <c r="AC40" s="23">
        <f t="shared" si="75"/>
        <v>9.18888888888889</v>
      </c>
      <c r="AD40" s="23">
        <f t="shared" si="75"/>
        <v>9.68888888888889</v>
      </c>
      <c r="AE40" s="23">
        <f t="shared" si="75"/>
        <v>10.18888888888889</v>
      </c>
      <c r="AF40" s="23">
        <f t="shared" si="75"/>
        <v>10.68888888888889</v>
      </c>
      <c r="AG40" s="23">
        <f t="shared" si="75"/>
        <v>11.18888888888889</v>
      </c>
      <c r="AH40" s="23">
        <f t="shared" si="75"/>
        <v>11.68888888888889</v>
      </c>
      <c r="AI40" s="23">
        <f t="shared" si="75"/>
        <v>0</v>
      </c>
      <c r="AJ40" s="23">
        <f t="shared" si="75"/>
        <v>0</v>
      </c>
      <c r="AK40" s="23">
        <f t="shared" si="75"/>
        <v>0</v>
      </c>
      <c r="AL40" s="23">
        <f t="shared" si="75"/>
        <v>0</v>
      </c>
      <c r="AM40" s="23">
        <f t="shared" si="75"/>
        <v>0</v>
      </c>
      <c r="AN40" s="23">
        <f t="shared" si="75"/>
        <v>0</v>
      </c>
      <c r="AO40" s="23">
        <f t="shared" si="75"/>
        <v>0</v>
      </c>
      <c r="AP40" s="23">
        <f t="shared" si="75"/>
        <v>0</v>
      </c>
      <c r="AQ40" s="23">
        <f t="shared" si="75"/>
        <v>0</v>
      </c>
      <c r="AR40" s="23">
        <f t="shared" si="75"/>
        <v>0</v>
      </c>
      <c r="AS40" s="23">
        <f t="shared" si="70"/>
        <v>0</v>
      </c>
      <c r="AT40" s="23">
        <f t="shared" si="70"/>
        <v>0</v>
      </c>
      <c r="AU40" s="23">
        <f t="shared" si="70"/>
        <v>0</v>
      </c>
      <c r="AV40" s="23">
        <f t="shared" si="70"/>
        <v>0</v>
      </c>
      <c r="AW40" s="23">
        <f t="shared" si="70"/>
        <v>0</v>
      </c>
      <c r="AX40" s="23">
        <f t="shared" si="70"/>
        <v>0</v>
      </c>
      <c r="AY40" s="23">
        <f t="shared" si="70"/>
        <v>0</v>
      </c>
      <c r="AZ40" s="23">
        <f t="shared" si="71"/>
        <v>0</v>
      </c>
      <c r="BA40" s="23">
        <f t="shared" si="71"/>
        <v>0</v>
      </c>
      <c r="BB40" s="23">
        <f t="shared" si="71"/>
        <v>0</v>
      </c>
      <c r="BC40" s="23">
        <f t="shared" si="71"/>
        <v>0</v>
      </c>
      <c r="BD40" s="23">
        <f t="shared" si="71"/>
        <v>0</v>
      </c>
      <c r="BE40" s="23">
        <f t="shared" si="71"/>
        <v>0</v>
      </c>
      <c r="BF40" s="23">
        <f t="shared" si="71"/>
        <v>0</v>
      </c>
      <c r="BG40" s="23">
        <f t="shared" si="71"/>
        <v>0</v>
      </c>
      <c r="BH40" s="23">
        <f t="shared" si="71"/>
        <v>0</v>
      </c>
      <c r="BI40" s="23">
        <f t="shared" si="71"/>
        <v>0</v>
      </c>
      <c r="BJ40" s="23">
        <f t="shared" si="71"/>
        <v>0</v>
      </c>
      <c r="BK40" s="23">
        <f t="shared" si="71"/>
        <v>0</v>
      </c>
      <c r="BL40" s="23">
        <f t="shared" si="71"/>
        <v>0</v>
      </c>
      <c r="BM40" s="23">
        <f t="shared" si="71"/>
        <v>0</v>
      </c>
      <c r="BN40" s="23">
        <f t="shared" si="71"/>
        <v>0</v>
      </c>
      <c r="BO40" s="23">
        <f t="shared" si="71"/>
        <v>0</v>
      </c>
      <c r="BP40" s="23">
        <f t="shared" si="72"/>
        <v>0</v>
      </c>
      <c r="BQ40" s="23">
        <f t="shared" si="72"/>
        <v>0</v>
      </c>
      <c r="BR40" s="23">
        <f t="shared" si="72"/>
        <v>0</v>
      </c>
      <c r="BS40" s="23">
        <f t="shared" si="72"/>
        <v>0</v>
      </c>
      <c r="BU40" s="23">
        <f t="shared" si="4"/>
        <v>4.4375</v>
      </c>
      <c r="BV40" s="23">
        <f t="shared" si="5"/>
        <v>4.4375</v>
      </c>
      <c r="BW40" s="23">
        <f t="shared" si="6"/>
        <v>4.4375</v>
      </c>
      <c r="BX40" s="23">
        <f t="shared" si="7"/>
        <v>4.4375</v>
      </c>
      <c r="BY40" s="23">
        <f t="shared" si="8"/>
        <v>4.4375</v>
      </c>
      <c r="BZ40" s="23">
        <f t="shared" si="9"/>
        <v>4.4375</v>
      </c>
      <c r="CA40" s="23">
        <f t="shared" si="10"/>
        <v>4.4375</v>
      </c>
      <c r="CB40" s="23">
        <f t="shared" si="11"/>
        <v>4.4375</v>
      </c>
      <c r="CC40" s="23">
        <f t="shared" si="12"/>
        <v>4.4375</v>
      </c>
      <c r="CD40" s="23">
        <f t="shared" si="13"/>
        <v>4.4375</v>
      </c>
      <c r="CE40" s="23">
        <f t="shared" si="14"/>
        <v>4.4375</v>
      </c>
      <c r="CF40" s="23">
        <f t="shared" si="15"/>
        <v>4.4375</v>
      </c>
      <c r="CG40" s="23">
        <f t="shared" si="16"/>
        <v>4.4375</v>
      </c>
      <c r="CH40" s="23">
        <f t="shared" si="17"/>
        <v>4.4375</v>
      </c>
      <c r="CI40" s="23">
        <f t="shared" si="18"/>
        <v>4.4375</v>
      </c>
      <c r="CJ40" s="23">
        <f t="shared" si="19"/>
        <v>4.4375</v>
      </c>
      <c r="CK40" s="23">
        <f t="shared" si="20"/>
        <v>4.4375</v>
      </c>
      <c r="CL40" s="23">
        <f t="shared" si="21"/>
        <v>4.4375</v>
      </c>
      <c r="CM40" s="23">
        <f t="shared" si="22"/>
        <v>4.4375</v>
      </c>
      <c r="CN40" s="23">
        <f t="shared" si="23"/>
        <v>4.4375</v>
      </c>
      <c r="CO40" s="23">
        <f t="shared" si="24"/>
        <v>4.4375</v>
      </c>
      <c r="CP40" s="23">
        <f t="shared" si="25"/>
        <v>4.4375</v>
      </c>
      <c r="CQ40" s="23">
        <f t="shared" si="26"/>
        <v>4.4375</v>
      </c>
      <c r="CR40" s="23">
        <f t="shared" si="27"/>
        <v>104.4375</v>
      </c>
      <c r="CS40" s="23">
        <f t="shared" si="28"/>
        <v>0</v>
      </c>
      <c r="CT40" s="23">
        <f t="shared" si="29"/>
        <v>0</v>
      </c>
      <c r="CU40" s="23">
        <f t="shared" si="30"/>
        <v>0</v>
      </c>
      <c r="CV40" s="23">
        <f t="shared" si="31"/>
        <v>0</v>
      </c>
      <c r="CW40" s="23">
        <f t="shared" si="32"/>
        <v>0</v>
      </c>
      <c r="CX40" s="23">
        <f t="shared" si="33"/>
        <v>0</v>
      </c>
      <c r="CY40" s="23">
        <f t="shared" si="34"/>
        <v>0</v>
      </c>
      <c r="CZ40" s="23">
        <f t="shared" si="35"/>
        <v>0</v>
      </c>
      <c r="DA40" s="23">
        <f t="shared" si="36"/>
        <v>0</v>
      </c>
      <c r="DB40" s="23">
        <f t="shared" si="37"/>
        <v>0</v>
      </c>
      <c r="DC40" s="23">
        <f t="shared" si="38"/>
        <v>0</v>
      </c>
      <c r="DD40" s="23">
        <f t="shared" si="39"/>
        <v>0</v>
      </c>
      <c r="DE40" s="23">
        <f t="shared" si="40"/>
        <v>0</v>
      </c>
      <c r="DF40" s="23">
        <f t="shared" si="41"/>
        <v>0</v>
      </c>
      <c r="DG40" s="23">
        <f t="shared" si="42"/>
        <v>0</v>
      </c>
      <c r="DH40" s="23">
        <f t="shared" si="43"/>
        <v>0</v>
      </c>
      <c r="DI40" s="23">
        <f t="shared" si="44"/>
        <v>0</v>
      </c>
      <c r="DJ40" s="23">
        <f t="shared" si="45"/>
        <v>0</v>
      </c>
      <c r="DK40" s="23">
        <f t="shared" si="46"/>
        <v>0</v>
      </c>
      <c r="DL40" s="23">
        <f t="shared" si="47"/>
        <v>0</v>
      </c>
      <c r="DM40" s="23">
        <f t="shared" si="48"/>
        <v>0</v>
      </c>
      <c r="DN40" s="23">
        <f t="shared" si="49"/>
        <v>0</v>
      </c>
      <c r="DO40" s="23">
        <f t="shared" si="50"/>
        <v>0</v>
      </c>
      <c r="DP40" s="23">
        <f t="shared" si="51"/>
        <v>0</v>
      </c>
      <c r="DQ40" s="23">
        <f t="shared" si="52"/>
        <v>0</v>
      </c>
      <c r="DR40" s="23">
        <f t="shared" si="53"/>
        <v>0</v>
      </c>
      <c r="DS40" s="23">
        <f t="shared" si="54"/>
        <v>0</v>
      </c>
      <c r="DT40" s="23">
        <f t="shared" si="55"/>
        <v>0</v>
      </c>
      <c r="DU40" s="23">
        <f t="shared" si="56"/>
        <v>0</v>
      </c>
      <c r="DV40" s="23">
        <f t="shared" si="57"/>
        <v>0</v>
      </c>
      <c r="DW40" s="23">
        <f t="shared" si="58"/>
        <v>0</v>
      </c>
      <c r="DX40" s="23">
        <f t="shared" si="59"/>
        <v>0</v>
      </c>
      <c r="DY40" s="23">
        <f t="shared" si="60"/>
        <v>0</v>
      </c>
      <c r="DZ40" s="23">
        <f t="shared" si="61"/>
        <v>0</v>
      </c>
      <c r="EA40" s="23">
        <f t="shared" si="62"/>
        <v>0</v>
      </c>
      <c r="EB40" s="23">
        <f t="shared" si="63"/>
        <v>0</v>
      </c>
    </row>
    <row r="41" spans="1:132">
      <c r="A41" s="23">
        <v>20190815.108120002</v>
      </c>
      <c r="B41" s="23">
        <v>20070607</v>
      </c>
      <c r="C41" s="23">
        <v>20190815</v>
      </c>
      <c r="D41" s="23">
        <v>1</v>
      </c>
      <c r="E41" s="23">
        <v>8.125</v>
      </c>
      <c r="F41" s="23">
        <v>125.5</v>
      </c>
      <c r="G41" s="23">
        <v>125.5625</v>
      </c>
      <c r="H41" s="26">
        <f t="shared" si="0"/>
        <v>12.188888888888888</v>
      </c>
      <c r="I41" s="26">
        <f t="shared" si="1"/>
        <v>2.5277777777777777</v>
      </c>
      <c r="K41" s="26">
        <v>0.18888888888888888</v>
      </c>
      <c r="L41" s="23">
        <f t="shared" si="75"/>
        <v>0.68888888888888888</v>
      </c>
      <c r="M41" s="23">
        <f t="shared" si="75"/>
        <v>1.1888888888888889</v>
      </c>
      <c r="N41" s="23">
        <f t="shared" si="75"/>
        <v>1.6888888888888889</v>
      </c>
      <c r="O41" s="23">
        <f t="shared" si="75"/>
        <v>2.1888888888888891</v>
      </c>
      <c r="P41" s="23">
        <f t="shared" si="75"/>
        <v>2.6888888888888891</v>
      </c>
      <c r="Q41" s="23">
        <f t="shared" si="75"/>
        <v>3.1888888888888891</v>
      </c>
      <c r="R41" s="23">
        <f t="shared" si="75"/>
        <v>3.6888888888888891</v>
      </c>
      <c r="S41" s="23">
        <f t="shared" si="75"/>
        <v>4.1888888888888891</v>
      </c>
      <c r="T41" s="23">
        <f t="shared" si="75"/>
        <v>4.6888888888888891</v>
      </c>
      <c r="U41" s="23">
        <f t="shared" si="75"/>
        <v>5.1888888888888891</v>
      </c>
      <c r="V41" s="23">
        <f t="shared" si="75"/>
        <v>5.6888888888888891</v>
      </c>
      <c r="W41" s="23">
        <f t="shared" si="75"/>
        <v>6.1888888888888891</v>
      </c>
      <c r="X41" s="23">
        <f t="shared" si="75"/>
        <v>6.6888888888888891</v>
      </c>
      <c r="Y41" s="23">
        <f t="shared" si="75"/>
        <v>7.1888888888888891</v>
      </c>
      <c r="Z41" s="23">
        <f t="shared" si="75"/>
        <v>7.6888888888888891</v>
      </c>
      <c r="AA41" s="23">
        <f t="shared" si="75"/>
        <v>8.18888888888889</v>
      </c>
      <c r="AB41" s="23">
        <f t="shared" si="75"/>
        <v>8.68888888888889</v>
      </c>
      <c r="AC41" s="23">
        <f t="shared" si="75"/>
        <v>9.18888888888889</v>
      </c>
      <c r="AD41" s="23">
        <f t="shared" si="75"/>
        <v>9.68888888888889</v>
      </c>
      <c r="AE41" s="23">
        <f t="shared" si="75"/>
        <v>10.18888888888889</v>
      </c>
      <c r="AF41" s="23">
        <f t="shared" si="75"/>
        <v>10.68888888888889</v>
      </c>
      <c r="AG41" s="23">
        <f t="shared" si="75"/>
        <v>11.18888888888889</v>
      </c>
      <c r="AH41" s="23">
        <f t="shared" si="75"/>
        <v>11.68888888888889</v>
      </c>
      <c r="AI41" s="23">
        <f t="shared" si="75"/>
        <v>12.18888888888889</v>
      </c>
      <c r="AJ41" s="23">
        <f t="shared" si="75"/>
        <v>0</v>
      </c>
      <c r="AK41" s="23">
        <f t="shared" si="75"/>
        <v>0</v>
      </c>
      <c r="AL41" s="23">
        <f t="shared" si="75"/>
        <v>0</v>
      </c>
      <c r="AM41" s="23">
        <f t="shared" si="75"/>
        <v>0</v>
      </c>
      <c r="AN41" s="23">
        <f t="shared" si="75"/>
        <v>0</v>
      </c>
      <c r="AO41" s="23">
        <f t="shared" si="75"/>
        <v>0</v>
      </c>
      <c r="AP41" s="23">
        <f t="shared" si="75"/>
        <v>0</v>
      </c>
      <c r="AQ41" s="23">
        <f t="shared" si="75"/>
        <v>0</v>
      </c>
      <c r="AR41" s="23">
        <f t="shared" si="75"/>
        <v>0</v>
      </c>
      <c r="AS41" s="23">
        <f t="shared" si="70"/>
        <v>0</v>
      </c>
      <c r="AT41" s="23">
        <f t="shared" si="70"/>
        <v>0</v>
      </c>
      <c r="AU41" s="23">
        <f t="shared" si="70"/>
        <v>0</v>
      </c>
      <c r="AV41" s="23">
        <f t="shared" si="70"/>
        <v>0</v>
      </c>
      <c r="AW41" s="23">
        <f t="shared" si="70"/>
        <v>0</v>
      </c>
      <c r="AX41" s="23">
        <f t="shared" si="70"/>
        <v>0</v>
      </c>
      <c r="AY41" s="23">
        <f t="shared" si="70"/>
        <v>0</v>
      </c>
      <c r="AZ41" s="23">
        <f t="shared" si="71"/>
        <v>0</v>
      </c>
      <c r="BA41" s="23">
        <f t="shared" si="71"/>
        <v>0</v>
      </c>
      <c r="BB41" s="23">
        <f t="shared" si="71"/>
        <v>0</v>
      </c>
      <c r="BC41" s="23">
        <f t="shared" si="71"/>
        <v>0</v>
      </c>
      <c r="BD41" s="23">
        <f t="shared" si="71"/>
        <v>0</v>
      </c>
      <c r="BE41" s="23">
        <f t="shared" si="71"/>
        <v>0</v>
      </c>
      <c r="BF41" s="23">
        <f t="shared" si="71"/>
        <v>0</v>
      </c>
      <c r="BG41" s="23">
        <f t="shared" si="71"/>
        <v>0</v>
      </c>
      <c r="BH41" s="23">
        <f t="shared" si="71"/>
        <v>0</v>
      </c>
      <c r="BI41" s="23">
        <f t="shared" si="71"/>
        <v>0</v>
      </c>
      <c r="BJ41" s="23">
        <f t="shared" si="71"/>
        <v>0</v>
      </c>
      <c r="BK41" s="23">
        <f t="shared" si="71"/>
        <v>0</v>
      </c>
      <c r="BL41" s="23">
        <f t="shared" si="71"/>
        <v>0</v>
      </c>
      <c r="BM41" s="23">
        <f t="shared" si="71"/>
        <v>0</v>
      </c>
      <c r="BN41" s="23">
        <f t="shared" si="71"/>
        <v>0</v>
      </c>
      <c r="BO41" s="23">
        <f t="shared" si="71"/>
        <v>0</v>
      </c>
      <c r="BP41" s="23">
        <f t="shared" si="72"/>
        <v>0</v>
      </c>
      <c r="BQ41" s="23">
        <f t="shared" si="72"/>
        <v>0</v>
      </c>
      <c r="BR41" s="23">
        <f t="shared" si="72"/>
        <v>0</v>
      </c>
      <c r="BS41" s="23">
        <f t="shared" si="72"/>
        <v>0</v>
      </c>
      <c r="BU41" s="23">
        <f t="shared" si="4"/>
        <v>4.0625</v>
      </c>
      <c r="BV41" s="23">
        <f t="shared" si="5"/>
        <v>4.0625</v>
      </c>
      <c r="BW41" s="23">
        <f t="shared" si="6"/>
        <v>4.0625</v>
      </c>
      <c r="BX41" s="23">
        <f t="shared" si="7"/>
        <v>4.0625</v>
      </c>
      <c r="BY41" s="23">
        <f t="shared" si="8"/>
        <v>4.0625</v>
      </c>
      <c r="BZ41" s="23">
        <f t="shared" si="9"/>
        <v>4.0625</v>
      </c>
      <c r="CA41" s="23">
        <f t="shared" si="10"/>
        <v>4.0625</v>
      </c>
      <c r="CB41" s="23">
        <f t="shared" si="11"/>
        <v>4.0625</v>
      </c>
      <c r="CC41" s="23">
        <f t="shared" si="12"/>
        <v>4.0625</v>
      </c>
      <c r="CD41" s="23">
        <f t="shared" si="13"/>
        <v>4.0625</v>
      </c>
      <c r="CE41" s="23">
        <f t="shared" si="14"/>
        <v>4.0625</v>
      </c>
      <c r="CF41" s="23">
        <f t="shared" si="15"/>
        <v>4.0625</v>
      </c>
      <c r="CG41" s="23">
        <f t="shared" si="16"/>
        <v>4.0625</v>
      </c>
      <c r="CH41" s="23">
        <f t="shared" si="17"/>
        <v>4.0625</v>
      </c>
      <c r="CI41" s="23">
        <f t="shared" si="18"/>
        <v>4.0625</v>
      </c>
      <c r="CJ41" s="23">
        <f t="shared" si="19"/>
        <v>4.0625</v>
      </c>
      <c r="CK41" s="23">
        <f t="shared" si="20"/>
        <v>4.0625</v>
      </c>
      <c r="CL41" s="23">
        <f t="shared" si="21"/>
        <v>4.0625</v>
      </c>
      <c r="CM41" s="23">
        <f t="shared" si="22"/>
        <v>4.0625</v>
      </c>
      <c r="CN41" s="23">
        <f t="shared" si="23"/>
        <v>4.0625</v>
      </c>
      <c r="CO41" s="23">
        <f t="shared" si="24"/>
        <v>4.0625</v>
      </c>
      <c r="CP41" s="23">
        <f t="shared" si="25"/>
        <v>4.0625</v>
      </c>
      <c r="CQ41" s="23">
        <f t="shared" si="26"/>
        <v>4.0625</v>
      </c>
      <c r="CR41" s="23">
        <f t="shared" si="27"/>
        <v>4.0625</v>
      </c>
      <c r="CS41" s="23">
        <f t="shared" si="28"/>
        <v>104.0625</v>
      </c>
      <c r="CT41" s="23">
        <f t="shared" si="29"/>
        <v>0</v>
      </c>
      <c r="CU41" s="23">
        <f t="shared" si="30"/>
        <v>0</v>
      </c>
      <c r="CV41" s="23">
        <f t="shared" si="31"/>
        <v>0</v>
      </c>
      <c r="CW41" s="23">
        <f t="shared" si="32"/>
        <v>0</v>
      </c>
      <c r="CX41" s="23">
        <f t="shared" si="33"/>
        <v>0</v>
      </c>
      <c r="CY41" s="23">
        <f t="shared" si="34"/>
        <v>0</v>
      </c>
      <c r="CZ41" s="23">
        <f t="shared" si="35"/>
        <v>0</v>
      </c>
      <c r="DA41" s="23">
        <f t="shared" si="36"/>
        <v>0</v>
      </c>
      <c r="DB41" s="23">
        <f t="shared" si="37"/>
        <v>0</v>
      </c>
      <c r="DC41" s="23">
        <f t="shared" si="38"/>
        <v>0</v>
      </c>
      <c r="DD41" s="23">
        <f t="shared" si="39"/>
        <v>0</v>
      </c>
      <c r="DE41" s="23">
        <f t="shared" si="40"/>
        <v>0</v>
      </c>
      <c r="DF41" s="23">
        <f t="shared" si="41"/>
        <v>0</v>
      </c>
      <c r="DG41" s="23">
        <f t="shared" si="42"/>
        <v>0</v>
      </c>
      <c r="DH41" s="23">
        <f t="shared" si="43"/>
        <v>0</v>
      </c>
      <c r="DI41" s="23">
        <f t="shared" si="44"/>
        <v>0</v>
      </c>
      <c r="DJ41" s="23">
        <f t="shared" si="45"/>
        <v>0</v>
      </c>
      <c r="DK41" s="23">
        <f t="shared" si="46"/>
        <v>0</v>
      </c>
      <c r="DL41" s="23">
        <f t="shared" si="47"/>
        <v>0</v>
      </c>
      <c r="DM41" s="23">
        <f t="shared" si="48"/>
        <v>0</v>
      </c>
      <c r="DN41" s="23">
        <f t="shared" si="49"/>
        <v>0</v>
      </c>
      <c r="DO41" s="23">
        <f t="shared" si="50"/>
        <v>0</v>
      </c>
      <c r="DP41" s="23">
        <f t="shared" si="51"/>
        <v>0</v>
      </c>
      <c r="DQ41" s="23">
        <f t="shared" si="52"/>
        <v>0</v>
      </c>
      <c r="DR41" s="23">
        <f t="shared" si="53"/>
        <v>0</v>
      </c>
      <c r="DS41" s="23">
        <f t="shared" si="54"/>
        <v>0</v>
      </c>
      <c r="DT41" s="23">
        <f t="shared" si="55"/>
        <v>0</v>
      </c>
      <c r="DU41" s="23">
        <f t="shared" si="56"/>
        <v>0</v>
      </c>
      <c r="DV41" s="23">
        <f t="shared" si="57"/>
        <v>0</v>
      </c>
      <c r="DW41" s="23">
        <f t="shared" si="58"/>
        <v>0</v>
      </c>
      <c r="DX41" s="23">
        <f t="shared" si="59"/>
        <v>0</v>
      </c>
      <c r="DY41" s="23">
        <f t="shared" si="60"/>
        <v>0</v>
      </c>
      <c r="DZ41" s="23">
        <f t="shared" si="61"/>
        <v>0</v>
      </c>
      <c r="EA41" s="23">
        <f t="shared" si="62"/>
        <v>0</v>
      </c>
      <c r="EB41" s="23">
        <f t="shared" si="63"/>
        <v>0</v>
      </c>
    </row>
    <row r="42" spans="1:132">
      <c r="A42" s="23">
        <v>20200215.1085</v>
      </c>
      <c r="B42" s="23">
        <v>20070607</v>
      </c>
      <c r="C42" s="23">
        <v>20200215</v>
      </c>
      <c r="D42" s="23">
        <v>1</v>
      </c>
      <c r="E42" s="23">
        <v>8.5</v>
      </c>
      <c r="F42" s="23">
        <v>129.5625</v>
      </c>
      <c r="G42" s="23">
        <v>129.625</v>
      </c>
      <c r="H42" s="26">
        <f t="shared" si="0"/>
        <v>12.688888888888888</v>
      </c>
      <c r="I42" s="26">
        <f t="shared" si="1"/>
        <v>2.6444444444444444</v>
      </c>
      <c r="K42" s="26">
        <v>0.18888888888888888</v>
      </c>
      <c r="L42" s="23">
        <f t="shared" si="75"/>
        <v>0.68888888888888888</v>
      </c>
      <c r="M42" s="23">
        <f t="shared" si="75"/>
        <v>1.1888888888888889</v>
      </c>
      <c r="N42" s="23">
        <f t="shared" si="75"/>
        <v>1.6888888888888889</v>
      </c>
      <c r="O42" s="23">
        <f t="shared" si="75"/>
        <v>2.1888888888888891</v>
      </c>
      <c r="P42" s="23">
        <f t="shared" si="75"/>
        <v>2.6888888888888891</v>
      </c>
      <c r="Q42" s="23">
        <f t="shared" si="75"/>
        <v>3.1888888888888891</v>
      </c>
      <c r="R42" s="23">
        <f t="shared" si="75"/>
        <v>3.6888888888888891</v>
      </c>
      <c r="S42" s="23">
        <f t="shared" si="75"/>
        <v>4.1888888888888891</v>
      </c>
      <c r="T42" s="23">
        <f t="shared" si="75"/>
        <v>4.6888888888888891</v>
      </c>
      <c r="U42" s="23">
        <f t="shared" si="75"/>
        <v>5.1888888888888891</v>
      </c>
      <c r="V42" s="23">
        <f t="shared" si="75"/>
        <v>5.6888888888888891</v>
      </c>
      <c r="W42" s="23">
        <f t="shared" si="75"/>
        <v>6.1888888888888891</v>
      </c>
      <c r="X42" s="23">
        <f t="shared" si="75"/>
        <v>6.6888888888888891</v>
      </c>
      <c r="Y42" s="23">
        <f t="shared" si="75"/>
        <v>7.1888888888888891</v>
      </c>
      <c r="Z42" s="23">
        <f t="shared" si="75"/>
        <v>7.6888888888888891</v>
      </c>
      <c r="AA42" s="23">
        <f t="shared" si="75"/>
        <v>8.18888888888889</v>
      </c>
      <c r="AB42" s="23">
        <f t="shared" si="75"/>
        <v>8.68888888888889</v>
      </c>
      <c r="AC42" s="23">
        <f t="shared" si="75"/>
        <v>9.18888888888889</v>
      </c>
      <c r="AD42" s="23">
        <f t="shared" si="75"/>
        <v>9.68888888888889</v>
      </c>
      <c r="AE42" s="23">
        <f t="shared" si="75"/>
        <v>10.18888888888889</v>
      </c>
      <c r="AF42" s="23">
        <f t="shared" si="75"/>
        <v>10.68888888888889</v>
      </c>
      <c r="AG42" s="23">
        <f t="shared" si="75"/>
        <v>11.18888888888889</v>
      </c>
      <c r="AH42" s="23">
        <f t="shared" si="75"/>
        <v>11.68888888888889</v>
      </c>
      <c r="AI42" s="23">
        <f t="shared" si="75"/>
        <v>12.18888888888889</v>
      </c>
      <c r="AJ42" s="23">
        <f t="shared" si="75"/>
        <v>12.68888888888889</v>
      </c>
      <c r="AK42" s="23">
        <f t="shared" si="75"/>
        <v>0</v>
      </c>
      <c r="AL42" s="23">
        <f t="shared" si="75"/>
        <v>0</v>
      </c>
      <c r="AM42" s="23">
        <f t="shared" si="75"/>
        <v>0</v>
      </c>
      <c r="AN42" s="23">
        <f t="shared" si="75"/>
        <v>0</v>
      </c>
      <c r="AO42" s="23">
        <f t="shared" si="75"/>
        <v>0</v>
      </c>
      <c r="AP42" s="23">
        <f t="shared" si="75"/>
        <v>0</v>
      </c>
      <c r="AQ42" s="23">
        <f t="shared" si="75"/>
        <v>0</v>
      </c>
      <c r="AR42" s="23">
        <f t="shared" si="75"/>
        <v>0</v>
      </c>
      <c r="AS42" s="23">
        <f t="shared" si="70"/>
        <v>0</v>
      </c>
      <c r="AT42" s="23">
        <f t="shared" si="70"/>
        <v>0</v>
      </c>
      <c r="AU42" s="23">
        <f t="shared" si="70"/>
        <v>0</v>
      </c>
      <c r="AV42" s="23">
        <f t="shared" si="70"/>
        <v>0</v>
      </c>
      <c r="AW42" s="23">
        <f t="shared" si="70"/>
        <v>0</v>
      </c>
      <c r="AX42" s="23">
        <f t="shared" si="70"/>
        <v>0</v>
      </c>
      <c r="AY42" s="23">
        <f t="shared" si="70"/>
        <v>0</v>
      </c>
      <c r="AZ42" s="23">
        <f t="shared" si="71"/>
        <v>0</v>
      </c>
      <c r="BA42" s="23">
        <f t="shared" si="71"/>
        <v>0</v>
      </c>
      <c r="BB42" s="23">
        <f t="shared" si="71"/>
        <v>0</v>
      </c>
      <c r="BC42" s="23">
        <f t="shared" si="71"/>
        <v>0</v>
      </c>
      <c r="BD42" s="23">
        <f t="shared" si="71"/>
        <v>0</v>
      </c>
      <c r="BE42" s="23">
        <f t="shared" si="71"/>
        <v>0</v>
      </c>
      <c r="BF42" s="23">
        <f t="shared" si="71"/>
        <v>0</v>
      </c>
      <c r="BG42" s="23">
        <f t="shared" si="71"/>
        <v>0</v>
      </c>
      <c r="BH42" s="23">
        <f t="shared" si="71"/>
        <v>0</v>
      </c>
      <c r="BI42" s="23">
        <f t="shared" si="71"/>
        <v>0</v>
      </c>
      <c r="BJ42" s="23">
        <f t="shared" si="71"/>
        <v>0</v>
      </c>
      <c r="BK42" s="23">
        <f t="shared" si="71"/>
        <v>0</v>
      </c>
      <c r="BL42" s="23">
        <f t="shared" si="71"/>
        <v>0</v>
      </c>
      <c r="BM42" s="23">
        <f t="shared" si="71"/>
        <v>0</v>
      </c>
      <c r="BN42" s="23">
        <f t="shared" si="71"/>
        <v>0</v>
      </c>
      <c r="BO42" s="23">
        <f t="shared" si="71"/>
        <v>0</v>
      </c>
      <c r="BP42" s="23">
        <f t="shared" si="72"/>
        <v>0</v>
      </c>
      <c r="BQ42" s="23">
        <f t="shared" si="72"/>
        <v>0</v>
      </c>
      <c r="BR42" s="23">
        <f t="shared" si="72"/>
        <v>0</v>
      </c>
      <c r="BS42" s="23">
        <f t="shared" si="72"/>
        <v>0</v>
      </c>
      <c r="BU42" s="23">
        <f t="shared" si="4"/>
        <v>4.25</v>
      </c>
      <c r="BV42" s="23">
        <f t="shared" si="5"/>
        <v>4.25</v>
      </c>
      <c r="BW42" s="23">
        <f t="shared" si="6"/>
        <v>4.25</v>
      </c>
      <c r="BX42" s="23">
        <f t="shared" si="7"/>
        <v>4.25</v>
      </c>
      <c r="BY42" s="23">
        <f t="shared" si="8"/>
        <v>4.25</v>
      </c>
      <c r="BZ42" s="23">
        <f t="shared" si="9"/>
        <v>4.25</v>
      </c>
      <c r="CA42" s="23">
        <f t="shared" si="10"/>
        <v>4.25</v>
      </c>
      <c r="CB42" s="23">
        <f t="shared" si="11"/>
        <v>4.25</v>
      </c>
      <c r="CC42" s="23">
        <f t="shared" si="12"/>
        <v>4.25</v>
      </c>
      <c r="CD42" s="23">
        <f t="shared" si="13"/>
        <v>4.25</v>
      </c>
      <c r="CE42" s="23">
        <f t="shared" si="14"/>
        <v>4.25</v>
      </c>
      <c r="CF42" s="23">
        <f t="shared" si="15"/>
        <v>4.25</v>
      </c>
      <c r="CG42" s="23">
        <f t="shared" si="16"/>
        <v>4.25</v>
      </c>
      <c r="CH42" s="23">
        <f t="shared" si="17"/>
        <v>4.25</v>
      </c>
      <c r="CI42" s="23">
        <f t="shared" si="18"/>
        <v>4.25</v>
      </c>
      <c r="CJ42" s="23">
        <f t="shared" si="19"/>
        <v>4.25</v>
      </c>
      <c r="CK42" s="23">
        <f t="shared" si="20"/>
        <v>4.25</v>
      </c>
      <c r="CL42" s="23">
        <f t="shared" si="21"/>
        <v>4.25</v>
      </c>
      <c r="CM42" s="23">
        <f t="shared" si="22"/>
        <v>4.25</v>
      </c>
      <c r="CN42" s="23">
        <f t="shared" si="23"/>
        <v>4.25</v>
      </c>
      <c r="CO42" s="23">
        <f t="shared" si="24"/>
        <v>4.25</v>
      </c>
      <c r="CP42" s="23">
        <f t="shared" si="25"/>
        <v>4.25</v>
      </c>
      <c r="CQ42" s="23">
        <f t="shared" si="26"/>
        <v>4.25</v>
      </c>
      <c r="CR42" s="23">
        <f t="shared" si="27"/>
        <v>4.25</v>
      </c>
      <c r="CS42" s="23">
        <f t="shared" si="28"/>
        <v>4.25</v>
      </c>
      <c r="CT42" s="23">
        <f t="shared" si="29"/>
        <v>104.25</v>
      </c>
      <c r="CU42" s="23">
        <f t="shared" si="30"/>
        <v>0</v>
      </c>
      <c r="CV42" s="23">
        <f t="shared" si="31"/>
        <v>0</v>
      </c>
      <c r="CW42" s="23">
        <f t="shared" si="32"/>
        <v>0</v>
      </c>
      <c r="CX42" s="23">
        <f t="shared" si="33"/>
        <v>0</v>
      </c>
      <c r="CY42" s="23">
        <f t="shared" si="34"/>
        <v>0</v>
      </c>
      <c r="CZ42" s="23">
        <f t="shared" si="35"/>
        <v>0</v>
      </c>
      <c r="DA42" s="23">
        <f t="shared" si="36"/>
        <v>0</v>
      </c>
      <c r="DB42" s="23">
        <f t="shared" si="37"/>
        <v>0</v>
      </c>
      <c r="DC42" s="23">
        <f t="shared" si="38"/>
        <v>0</v>
      </c>
      <c r="DD42" s="23">
        <f t="shared" si="39"/>
        <v>0</v>
      </c>
      <c r="DE42" s="23">
        <f t="shared" si="40"/>
        <v>0</v>
      </c>
      <c r="DF42" s="23">
        <f t="shared" si="41"/>
        <v>0</v>
      </c>
      <c r="DG42" s="23">
        <f t="shared" si="42"/>
        <v>0</v>
      </c>
      <c r="DH42" s="23">
        <f t="shared" si="43"/>
        <v>0</v>
      </c>
      <c r="DI42" s="23">
        <f t="shared" si="44"/>
        <v>0</v>
      </c>
      <c r="DJ42" s="23">
        <f t="shared" si="45"/>
        <v>0</v>
      </c>
      <c r="DK42" s="23">
        <f t="shared" si="46"/>
        <v>0</v>
      </c>
      <c r="DL42" s="23">
        <f t="shared" si="47"/>
        <v>0</v>
      </c>
      <c r="DM42" s="23">
        <f t="shared" si="48"/>
        <v>0</v>
      </c>
      <c r="DN42" s="23">
        <f t="shared" si="49"/>
        <v>0</v>
      </c>
      <c r="DO42" s="23">
        <f t="shared" si="50"/>
        <v>0</v>
      </c>
      <c r="DP42" s="23">
        <f t="shared" si="51"/>
        <v>0</v>
      </c>
      <c r="DQ42" s="23">
        <f t="shared" si="52"/>
        <v>0</v>
      </c>
      <c r="DR42" s="23">
        <f t="shared" si="53"/>
        <v>0</v>
      </c>
      <c r="DS42" s="23">
        <f t="shared" si="54"/>
        <v>0</v>
      </c>
      <c r="DT42" s="23">
        <f t="shared" si="55"/>
        <v>0</v>
      </c>
      <c r="DU42" s="23">
        <f t="shared" si="56"/>
        <v>0</v>
      </c>
      <c r="DV42" s="23">
        <f t="shared" si="57"/>
        <v>0</v>
      </c>
      <c r="DW42" s="23">
        <f t="shared" si="58"/>
        <v>0</v>
      </c>
      <c r="DX42" s="23">
        <f t="shared" si="59"/>
        <v>0</v>
      </c>
      <c r="DY42" s="23">
        <f t="shared" si="60"/>
        <v>0</v>
      </c>
      <c r="DZ42" s="23">
        <f t="shared" si="61"/>
        <v>0</v>
      </c>
      <c r="EA42" s="23">
        <f t="shared" si="62"/>
        <v>0</v>
      </c>
      <c r="EB42" s="23">
        <f t="shared" si="63"/>
        <v>0</v>
      </c>
    </row>
    <row r="43" spans="1:132">
      <c r="A43" s="23">
        <v>20200815.108750001</v>
      </c>
      <c r="B43" s="23">
        <v>20070607</v>
      </c>
      <c r="C43" s="23">
        <v>20200815</v>
      </c>
      <c r="D43" s="23">
        <v>1</v>
      </c>
      <c r="E43" s="23">
        <v>8.75</v>
      </c>
      <c r="F43" s="23">
        <v>132.546875</v>
      </c>
      <c r="G43" s="23">
        <v>132.609375</v>
      </c>
      <c r="H43" s="26">
        <f t="shared" ref="H43:H59" si="76">YEARFRAC(DATE(LEFT($B$11,4),MID($B$11,5,2),RIGHT($B$11,2)),DATE(LEFT(C43,4),MID(C43,5,2),RIGHT(C43,2)))</f>
        <v>13.188888888888888</v>
      </c>
      <c r="I43" s="26">
        <f t="shared" ref="I43:I59" si="77">E43*YEARFRAC(DATE($L$6,$M$6,$N$6),DATE($L$7,$M$7,$N$7))</f>
        <v>2.7222222222222223</v>
      </c>
      <c r="K43" s="26">
        <v>0.18888888888888888</v>
      </c>
      <c r="L43" s="23">
        <f t="shared" si="75"/>
        <v>0.68888888888888888</v>
      </c>
      <c r="M43" s="23">
        <f t="shared" si="75"/>
        <v>1.1888888888888889</v>
      </c>
      <c r="N43" s="23">
        <f t="shared" si="75"/>
        <v>1.6888888888888889</v>
      </c>
      <c r="O43" s="23">
        <f t="shared" si="75"/>
        <v>2.1888888888888891</v>
      </c>
      <c r="P43" s="23">
        <f t="shared" si="75"/>
        <v>2.6888888888888891</v>
      </c>
      <c r="Q43" s="23">
        <f t="shared" si="75"/>
        <v>3.1888888888888891</v>
      </c>
      <c r="R43" s="23">
        <f t="shared" si="75"/>
        <v>3.6888888888888891</v>
      </c>
      <c r="S43" s="23">
        <f t="shared" si="75"/>
        <v>4.1888888888888891</v>
      </c>
      <c r="T43" s="23">
        <f t="shared" si="75"/>
        <v>4.6888888888888891</v>
      </c>
      <c r="U43" s="23">
        <f t="shared" si="75"/>
        <v>5.1888888888888891</v>
      </c>
      <c r="V43" s="23">
        <f t="shared" si="75"/>
        <v>5.6888888888888891</v>
      </c>
      <c r="W43" s="23">
        <f t="shared" si="75"/>
        <v>6.1888888888888891</v>
      </c>
      <c r="X43" s="23">
        <f t="shared" si="75"/>
        <v>6.6888888888888891</v>
      </c>
      <c r="Y43" s="23">
        <f t="shared" si="75"/>
        <v>7.1888888888888891</v>
      </c>
      <c r="Z43" s="23">
        <f t="shared" si="75"/>
        <v>7.6888888888888891</v>
      </c>
      <c r="AA43" s="23">
        <f t="shared" si="75"/>
        <v>8.18888888888889</v>
      </c>
      <c r="AB43" s="23">
        <f t="shared" si="75"/>
        <v>8.68888888888889</v>
      </c>
      <c r="AC43" s="23">
        <f t="shared" si="75"/>
        <v>9.18888888888889</v>
      </c>
      <c r="AD43" s="23">
        <f t="shared" si="75"/>
        <v>9.68888888888889</v>
      </c>
      <c r="AE43" s="23">
        <f t="shared" si="75"/>
        <v>10.18888888888889</v>
      </c>
      <c r="AF43" s="23">
        <f t="shared" si="75"/>
        <v>10.68888888888889</v>
      </c>
      <c r="AG43" s="23">
        <f t="shared" si="75"/>
        <v>11.18888888888889</v>
      </c>
      <c r="AH43" s="23">
        <f t="shared" si="75"/>
        <v>11.68888888888889</v>
      </c>
      <c r="AI43" s="23">
        <f t="shared" si="75"/>
        <v>12.18888888888889</v>
      </c>
      <c r="AJ43" s="23">
        <f t="shared" si="75"/>
        <v>12.68888888888889</v>
      </c>
      <c r="AK43" s="23">
        <f t="shared" si="75"/>
        <v>13.18888888888889</v>
      </c>
      <c r="AL43" s="23">
        <f t="shared" si="75"/>
        <v>0</v>
      </c>
      <c r="AM43" s="23">
        <f t="shared" si="75"/>
        <v>0</v>
      </c>
      <c r="AN43" s="23">
        <f t="shared" si="75"/>
        <v>0</v>
      </c>
      <c r="AO43" s="23">
        <f t="shared" si="75"/>
        <v>0</v>
      </c>
      <c r="AP43" s="23">
        <f t="shared" si="75"/>
        <v>0</v>
      </c>
      <c r="AQ43" s="23">
        <f t="shared" si="75"/>
        <v>0</v>
      </c>
      <c r="AR43" s="23">
        <f t="shared" si="75"/>
        <v>0</v>
      </c>
      <c r="AS43" s="23">
        <f t="shared" si="70"/>
        <v>0</v>
      </c>
      <c r="AT43" s="23">
        <f t="shared" si="70"/>
        <v>0</v>
      </c>
      <c r="AU43" s="23">
        <f t="shared" si="70"/>
        <v>0</v>
      </c>
      <c r="AV43" s="23">
        <f t="shared" si="70"/>
        <v>0</v>
      </c>
      <c r="AW43" s="23">
        <f t="shared" si="70"/>
        <v>0</v>
      </c>
      <c r="AX43" s="23">
        <f t="shared" si="70"/>
        <v>0</v>
      </c>
      <c r="AY43" s="23">
        <f t="shared" si="70"/>
        <v>0</v>
      </c>
      <c r="AZ43" s="23">
        <f t="shared" si="71"/>
        <v>0</v>
      </c>
      <c r="BA43" s="23">
        <f t="shared" si="71"/>
        <v>0</v>
      </c>
      <c r="BB43" s="23">
        <f t="shared" si="71"/>
        <v>0</v>
      </c>
      <c r="BC43" s="23">
        <f t="shared" si="71"/>
        <v>0</v>
      </c>
      <c r="BD43" s="23">
        <f t="shared" si="71"/>
        <v>0</v>
      </c>
      <c r="BE43" s="23">
        <f t="shared" si="71"/>
        <v>0</v>
      </c>
      <c r="BF43" s="23">
        <f t="shared" si="71"/>
        <v>0</v>
      </c>
      <c r="BG43" s="23">
        <f t="shared" si="71"/>
        <v>0</v>
      </c>
      <c r="BH43" s="23">
        <f t="shared" si="71"/>
        <v>0</v>
      </c>
      <c r="BI43" s="23">
        <f t="shared" si="71"/>
        <v>0</v>
      </c>
      <c r="BJ43" s="23">
        <f t="shared" si="71"/>
        <v>0</v>
      </c>
      <c r="BK43" s="23">
        <f t="shared" si="71"/>
        <v>0</v>
      </c>
      <c r="BL43" s="23">
        <f t="shared" si="71"/>
        <v>0</v>
      </c>
      <c r="BM43" s="23">
        <f t="shared" si="71"/>
        <v>0</v>
      </c>
      <c r="BN43" s="23">
        <f t="shared" si="71"/>
        <v>0</v>
      </c>
      <c r="BO43" s="23">
        <f t="shared" si="71"/>
        <v>0</v>
      </c>
      <c r="BP43" s="23">
        <f t="shared" si="72"/>
        <v>0</v>
      </c>
      <c r="BQ43" s="23">
        <f t="shared" si="72"/>
        <v>0</v>
      </c>
      <c r="BR43" s="23">
        <f t="shared" si="72"/>
        <v>0</v>
      </c>
      <c r="BS43" s="23">
        <f t="shared" si="72"/>
        <v>0</v>
      </c>
      <c r="BU43" s="23">
        <f t="shared" ref="BU43:BU59" si="78">IF(K43&gt;0,IF(L43=0,100+$E43/2,$E43/2),0)</f>
        <v>4.375</v>
      </c>
      <c r="BV43" s="23">
        <f t="shared" ref="BV43:BV59" si="79">IF(L43&gt;0,IF(M43=0,100+$E43/2,$E43/2),0)</f>
        <v>4.375</v>
      </c>
      <c r="BW43" s="23">
        <f t="shared" ref="BW43:BW59" si="80">IF(M43&gt;0,IF(N43=0,100+$E43/2,$E43/2),0)</f>
        <v>4.375</v>
      </c>
      <c r="BX43" s="23">
        <f t="shared" ref="BX43:BX59" si="81">IF(N43&gt;0,IF(O43=0,100+$E43/2,$E43/2),0)</f>
        <v>4.375</v>
      </c>
      <c r="BY43" s="23">
        <f t="shared" ref="BY43:BY59" si="82">IF(O43&gt;0,IF(P43=0,100+$E43/2,$E43/2),0)</f>
        <v>4.375</v>
      </c>
      <c r="BZ43" s="23">
        <f t="shared" ref="BZ43:BZ59" si="83">IF(P43&gt;0,IF(Q43=0,100+$E43/2,$E43/2),0)</f>
        <v>4.375</v>
      </c>
      <c r="CA43" s="23">
        <f t="shared" ref="CA43:CA59" si="84">IF(Q43&gt;0,IF(R43=0,100+$E43/2,$E43/2),0)</f>
        <v>4.375</v>
      </c>
      <c r="CB43" s="23">
        <f t="shared" ref="CB43:CB59" si="85">IF(R43&gt;0,IF(S43=0,100+$E43/2,$E43/2),0)</f>
        <v>4.375</v>
      </c>
      <c r="CC43" s="23">
        <f t="shared" ref="CC43:CC59" si="86">IF(S43&gt;0,IF(T43=0,100+$E43/2,$E43/2),0)</f>
        <v>4.375</v>
      </c>
      <c r="CD43" s="23">
        <f t="shared" ref="CD43:CD59" si="87">IF(T43&gt;0,IF(U43=0,100+$E43/2,$E43/2),0)</f>
        <v>4.375</v>
      </c>
      <c r="CE43" s="23">
        <f t="shared" ref="CE43:CE59" si="88">IF(U43&gt;0,IF(V43=0,100+$E43/2,$E43/2),0)</f>
        <v>4.375</v>
      </c>
      <c r="CF43" s="23">
        <f t="shared" ref="CF43:CF59" si="89">IF(V43&gt;0,IF(W43=0,100+$E43/2,$E43/2),0)</f>
        <v>4.375</v>
      </c>
      <c r="CG43" s="23">
        <f t="shared" ref="CG43:CG59" si="90">IF(W43&gt;0,IF(X43=0,100+$E43/2,$E43/2),0)</f>
        <v>4.375</v>
      </c>
      <c r="CH43" s="23">
        <f t="shared" ref="CH43:CH59" si="91">IF(X43&gt;0,IF(Y43=0,100+$E43/2,$E43/2),0)</f>
        <v>4.375</v>
      </c>
      <c r="CI43" s="23">
        <f t="shared" ref="CI43:CI59" si="92">IF(Y43&gt;0,IF(Z43=0,100+$E43/2,$E43/2),0)</f>
        <v>4.375</v>
      </c>
      <c r="CJ43" s="23">
        <f t="shared" ref="CJ43:CJ59" si="93">IF(Z43&gt;0,IF(AA43=0,100+$E43/2,$E43/2),0)</f>
        <v>4.375</v>
      </c>
      <c r="CK43" s="23">
        <f t="shared" ref="CK43:CK59" si="94">IF(AA43&gt;0,IF(AB43=0,100+$E43/2,$E43/2),0)</f>
        <v>4.375</v>
      </c>
      <c r="CL43" s="23">
        <f t="shared" ref="CL43:CL59" si="95">IF(AB43&gt;0,IF(AC43=0,100+$E43/2,$E43/2),0)</f>
        <v>4.375</v>
      </c>
      <c r="CM43" s="23">
        <f t="shared" ref="CM43:CM59" si="96">IF(AC43&gt;0,IF(AD43=0,100+$E43/2,$E43/2),0)</f>
        <v>4.375</v>
      </c>
      <c r="CN43" s="23">
        <f t="shared" ref="CN43:CN59" si="97">IF(AD43&gt;0,IF(AE43=0,100+$E43/2,$E43/2),0)</f>
        <v>4.375</v>
      </c>
      <c r="CO43" s="23">
        <f t="shared" ref="CO43:CO59" si="98">IF(AE43&gt;0,IF(AF43=0,100+$E43/2,$E43/2),0)</f>
        <v>4.375</v>
      </c>
      <c r="CP43" s="23">
        <f t="shared" ref="CP43:CP59" si="99">IF(AF43&gt;0,IF(AG43=0,100+$E43/2,$E43/2),0)</f>
        <v>4.375</v>
      </c>
      <c r="CQ43" s="23">
        <f t="shared" ref="CQ43:CQ59" si="100">IF(AG43&gt;0,IF(AH43=0,100+$E43/2,$E43/2),0)</f>
        <v>4.375</v>
      </c>
      <c r="CR43" s="23">
        <f t="shared" ref="CR43:CR59" si="101">IF(AH43&gt;0,IF(AI43=0,100+$E43/2,$E43/2),0)</f>
        <v>4.375</v>
      </c>
      <c r="CS43" s="23">
        <f t="shared" ref="CS43:CS59" si="102">IF(AI43&gt;0,IF(AJ43=0,100+$E43/2,$E43/2),0)</f>
        <v>4.375</v>
      </c>
      <c r="CT43" s="23">
        <f t="shared" ref="CT43:CT59" si="103">IF(AJ43&gt;0,IF(AK43=0,100+$E43/2,$E43/2),0)</f>
        <v>4.375</v>
      </c>
      <c r="CU43" s="23">
        <f t="shared" ref="CU43:CU59" si="104">IF(AK43&gt;0,IF(AL43=0,100+$E43/2,$E43/2),0)</f>
        <v>104.375</v>
      </c>
      <c r="CV43" s="23">
        <f t="shared" ref="CV43:CV59" si="105">IF(AL43&gt;0,IF(AM43=0,100+$E43/2,$E43/2),0)</f>
        <v>0</v>
      </c>
      <c r="CW43" s="23">
        <f t="shared" ref="CW43:CW59" si="106">IF(AM43&gt;0,IF(AN43=0,100+$E43/2,$E43/2),0)</f>
        <v>0</v>
      </c>
      <c r="CX43" s="23">
        <f t="shared" ref="CX43:CX59" si="107">IF(AN43&gt;0,IF(AO43=0,100+$E43/2,$E43/2),0)</f>
        <v>0</v>
      </c>
      <c r="CY43" s="23">
        <f t="shared" ref="CY43:CY59" si="108">IF(AO43&gt;0,IF(AP43=0,100+$E43/2,$E43/2),0)</f>
        <v>0</v>
      </c>
      <c r="CZ43" s="23">
        <f t="shared" ref="CZ43:CZ59" si="109">IF(AP43&gt;0,IF(AQ43=0,100+$E43/2,$E43/2),0)</f>
        <v>0</v>
      </c>
      <c r="DA43" s="23">
        <f t="shared" ref="DA43:DA59" si="110">IF(AQ43&gt;0,IF(AR43=0,100+$E43/2,$E43/2),0)</f>
        <v>0</v>
      </c>
      <c r="DB43" s="23">
        <f t="shared" ref="DB43:DB59" si="111">IF(AR43&gt;0,IF(AS43=0,100+$E43/2,$E43/2),0)</f>
        <v>0</v>
      </c>
      <c r="DC43" s="23">
        <f t="shared" ref="DC43:DC59" si="112">IF(AS43&gt;0,IF(AT43=0,100+$E43/2,$E43/2),0)</f>
        <v>0</v>
      </c>
      <c r="DD43" s="23">
        <f t="shared" ref="DD43:DD59" si="113">IF(AT43&gt;0,IF(AU43=0,100+$E43/2,$E43/2),0)</f>
        <v>0</v>
      </c>
      <c r="DE43" s="23">
        <f t="shared" ref="DE43:DE59" si="114">IF(AU43&gt;0,IF(AV43=0,100+$E43/2,$E43/2),0)</f>
        <v>0</v>
      </c>
      <c r="DF43" s="23">
        <f t="shared" ref="DF43:DF59" si="115">IF(AV43&gt;0,IF(AW43=0,100+$E43/2,$E43/2),0)</f>
        <v>0</v>
      </c>
      <c r="DG43" s="23">
        <f t="shared" ref="DG43:DG59" si="116">IF(AW43&gt;0,IF(AX43=0,100+$E43/2,$E43/2),0)</f>
        <v>0</v>
      </c>
      <c r="DH43" s="23">
        <f t="shared" ref="DH43:DH59" si="117">IF(AX43&gt;0,IF(AY43=0,100+$E43/2,$E43/2),0)</f>
        <v>0</v>
      </c>
      <c r="DI43" s="23">
        <f t="shared" ref="DI43:DI59" si="118">IF(AY43&gt;0,IF(AZ43=0,100+$E43/2,$E43/2),0)</f>
        <v>0</v>
      </c>
      <c r="DJ43" s="23">
        <f t="shared" ref="DJ43:DJ59" si="119">IF(AZ43&gt;0,IF(BA43=0,100+$E43/2,$E43/2),0)</f>
        <v>0</v>
      </c>
      <c r="DK43" s="23">
        <f t="shared" ref="DK43:DK59" si="120">IF(BA43&gt;0,IF(BB43=0,100+$E43/2,$E43/2),0)</f>
        <v>0</v>
      </c>
      <c r="DL43" s="23">
        <f t="shared" ref="DL43:DL59" si="121">IF(BB43&gt;0,IF(BC43=0,100+$E43/2,$E43/2),0)</f>
        <v>0</v>
      </c>
      <c r="DM43" s="23">
        <f t="shared" ref="DM43:DM59" si="122">IF(BC43&gt;0,IF(BD43=0,100+$E43/2,$E43/2),0)</f>
        <v>0</v>
      </c>
      <c r="DN43" s="23">
        <f t="shared" ref="DN43:DN59" si="123">IF(BD43&gt;0,IF(BE43=0,100+$E43/2,$E43/2),0)</f>
        <v>0</v>
      </c>
      <c r="DO43" s="23">
        <f t="shared" ref="DO43:DO59" si="124">IF(BE43&gt;0,IF(BF43=0,100+$E43/2,$E43/2),0)</f>
        <v>0</v>
      </c>
      <c r="DP43" s="23">
        <f t="shared" ref="DP43:DP59" si="125">IF(BF43&gt;0,IF(BG43=0,100+$E43/2,$E43/2),0)</f>
        <v>0</v>
      </c>
      <c r="DQ43" s="23">
        <f t="shared" ref="DQ43:DQ59" si="126">IF(BG43&gt;0,IF(BH43=0,100+$E43/2,$E43/2),0)</f>
        <v>0</v>
      </c>
      <c r="DR43" s="23">
        <f t="shared" ref="DR43:DR59" si="127">IF(BH43&gt;0,IF(BI43=0,100+$E43/2,$E43/2),0)</f>
        <v>0</v>
      </c>
      <c r="DS43" s="23">
        <f t="shared" ref="DS43:DS59" si="128">IF(BI43&gt;0,IF(BJ43=0,100+$E43/2,$E43/2),0)</f>
        <v>0</v>
      </c>
      <c r="DT43" s="23">
        <f t="shared" ref="DT43:DT59" si="129">IF(BJ43&gt;0,IF(BK43=0,100+$E43/2,$E43/2),0)</f>
        <v>0</v>
      </c>
      <c r="DU43" s="23">
        <f t="shared" ref="DU43:DU59" si="130">IF(BK43&gt;0,IF(BL43=0,100+$E43/2,$E43/2),0)</f>
        <v>0</v>
      </c>
      <c r="DV43" s="23">
        <f t="shared" ref="DV43:DV59" si="131">IF(BL43&gt;0,IF(BM43=0,100+$E43/2,$E43/2),0)</f>
        <v>0</v>
      </c>
      <c r="DW43" s="23">
        <f t="shared" ref="DW43:DW59" si="132">IF(BM43&gt;0,IF(BN43=0,100+$E43/2,$E43/2),0)</f>
        <v>0</v>
      </c>
      <c r="DX43" s="23">
        <f t="shared" ref="DX43:DX59" si="133">IF(BN43&gt;0,IF(BO43=0,100+$E43/2,$E43/2),0)</f>
        <v>0</v>
      </c>
      <c r="DY43" s="23">
        <f t="shared" ref="DY43:DY59" si="134">IF(BO43&gt;0,IF(BP43=0,100+$E43/2,$E43/2),0)</f>
        <v>0</v>
      </c>
      <c r="DZ43" s="23">
        <f t="shared" ref="DZ43:DZ59" si="135">IF(BP43&gt;0,IF(BQ43=0,100+$E43/2,$E43/2),0)</f>
        <v>0</v>
      </c>
      <c r="EA43" s="23">
        <f t="shared" ref="EA43:EA59" si="136">IF(BQ43&gt;0,IF(BR43=0,100+$E43/2,$E43/2),0)</f>
        <v>0</v>
      </c>
      <c r="EB43" s="23">
        <f t="shared" ref="EB43:EB59" si="137">IF(BR43&gt;0,IF(BS43=0,100+$E43/2,$E43/2),0)</f>
        <v>0</v>
      </c>
    </row>
    <row r="44" spans="1:132">
      <c r="A44" s="23">
        <v>20210215.107870001</v>
      </c>
      <c r="B44" s="23">
        <v>20070607</v>
      </c>
      <c r="C44" s="23">
        <v>20210215</v>
      </c>
      <c r="D44" s="23">
        <v>1</v>
      </c>
      <c r="E44" s="23">
        <v>7.875</v>
      </c>
      <c r="F44" s="23">
        <v>124.78125</v>
      </c>
      <c r="G44" s="23">
        <v>124.84375</v>
      </c>
      <c r="H44" s="26">
        <f t="shared" si="76"/>
        <v>13.688888888888888</v>
      </c>
      <c r="I44" s="26">
        <f t="shared" si="77"/>
        <v>2.4500000000000002</v>
      </c>
      <c r="K44" s="26">
        <v>0.18888888888888888</v>
      </c>
      <c r="L44" s="23">
        <f t="shared" si="75"/>
        <v>0.68888888888888888</v>
      </c>
      <c r="M44" s="23">
        <f t="shared" si="75"/>
        <v>1.1888888888888889</v>
      </c>
      <c r="N44" s="23">
        <f t="shared" si="75"/>
        <v>1.6888888888888889</v>
      </c>
      <c r="O44" s="23">
        <f t="shared" si="75"/>
        <v>2.1888888888888891</v>
      </c>
      <c r="P44" s="23">
        <f t="shared" si="75"/>
        <v>2.6888888888888891</v>
      </c>
      <c r="Q44" s="23">
        <f t="shared" si="75"/>
        <v>3.1888888888888891</v>
      </c>
      <c r="R44" s="23">
        <f t="shared" si="75"/>
        <v>3.6888888888888891</v>
      </c>
      <c r="S44" s="23">
        <f t="shared" si="75"/>
        <v>4.1888888888888891</v>
      </c>
      <c r="T44" s="23">
        <f t="shared" si="75"/>
        <v>4.6888888888888891</v>
      </c>
      <c r="U44" s="23">
        <f t="shared" si="75"/>
        <v>5.1888888888888891</v>
      </c>
      <c r="V44" s="23">
        <f t="shared" si="75"/>
        <v>5.6888888888888891</v>
      </c>
      <c r="W44" s="23">
        <f t="shared" si="75"/>
        <v>6.1888888888888891</v>
      </c>
      <c r="X44" s="23">
        <f t="shared" si="75"/>
        <v>6.6888888888888891</v>
      </c>
      <c r="Y44" s="23">
        <f t="shared" si="75"/>
        <v>7.1888888888888891</v>
      </c>
      <c r="Z44" s="23">
        <f t="shared" si="75"/>
        <v>7.6888888888888891</v>
      </c>
      <c r="AA44" s="23">
        <f t="shared" si="75"/>
        <v>8.18888888888889</v>
      </c>
      <c r="AB44" s="23">
        <f t="shared" si="75"/>
        <v>8.68888888888889</v>
      </c>
      <c r="AC44" s="23">
        <f t="shared" si="75"/>
        <v>9.18888888888889</v>
      </c>
      <c r="AD44" s="23">
        <f t="shared" si="75"/>
        <v>9.68888888888889</v>
      </c>
      <c r="AE44" s="23">
        <f t="shared" si="75"/>
        <v>10.18888888888889</v>
      </c>
      <c r="AF44" s="23">
        <f t="shared" si="75"/>
        <v>10.68888888888889</v>
      </c>
      <c r="AG44" s="23">
        <f t="shared" si="75"/>
        <v>11.18888888888889</v>
      </c>
      <c r="AH44" s="23">
        <f t="shared" si="75"/>
        <v>11.68888888888889</v>
      </c>
      <c r="AI44" s="23">
        <f t="shared" si="75"/>
        <v>12.18888888888889</v>
      </c>
      <c r="AJ44" s="23">
        <f t="shared" si="75"/>
        <v>12.68888888888889</v>
      </c>
      <c r="AK44" s="23">
        <f t="shared" si="75"/>
        <v>13.18888888888889</v>
      </c>
      <c r="AL44" s="23">
        <f t="shared" si="75"/>
        <v>13.68888888888889</v>
      </c>
      <c r="AM44" s="23">
        <f t="shared" si="75"/>
        <v>0</v>
      </c>
      <c r="AN44" s="23">
        <f t="shared" si="75"/>
        <v>0</v>
      </c>
      <c r="AO44" s="23">
        <f t="shared" si="75"/>
        <v>0</v>
      </c>
      <c r="AP44" s="23">
        <f t="shared" si="75"/>
        <v>0</v>
      </c>
      <c r="AQ44" s="23">
        <f t="shared" si="75"/>
        <v>0</v>
      </c>
      <c r="AR44" s="23">
        <f t="shared" si="75"/>
        <v>0</v>
      </c>
      <c r="AS44" s="23">
        <f t="shared" si="70"/>
        <v>0</v>
      </c>
      <c r="AT44" s="23">
        <f t="shared" si="70"/>
        <v>0</v>
      </c>
      <c r="AU44" s="23">
        <f t="shared" si="70"/>
        <v>0</v>
      </c>
      <c r="AV44" s="23">
        <f t="shared" si="70"/>
        <v>0</v>
      </c>
      <c r="AW44" s="23">
        <f t="shared" si="70"/>
        <v>0</v>
      </c>
      <c r="AX44" s="23">
        <f t="shared" si="70"/>
        <v>0</v>
      </c>
      <c r="AY44" s="23">
        <f t="shared" si="70"/>
        <v>0</v>
      </c>
      <c r="AZ44" s="23">
        <f t="shared" si="71"/>
        <v>0</v>
      </c>
      <c r="BA44" s="23">
        <f t="shared" si="71"/>
        <v>0</v>
      </c>
      <c r="BB44" s="23">
        <f t="shared" si="71"/>
        <v>0</v>
      </c>
      <c r="BC44" s="23">
        <f t="shared" si="71"/>
        <v>0</v>
      </c>
      <c r="BD44" s="23">
        <f t="shared" si="71"/>
        <v>0</v>
      </c>
      <c r="BE44" s="23">
        <f t="shared" si="71"/>
        <v>0</v>
      </c>
      <c r="BF44" s="23">
        <f t="shared" si="71"/>
        <v>0</v>
      </c>
      <c r="BG44" s="23">
        <f t="shared" si="71"/>
        <v>0</v>
      </c>
      <c r="BH44" s="23">
        <f t="shared" si="71"/>
        <v>0</v>
      </c>
      <c r="BI44" s="23">
        <f t="shared" si="71"/>
        <v>0</v>
      </c>
      <c r="BJ44" s="23">
        <f t="shared" si="71"/>
        <v>0</v>
      </c>
      <c r="BK44" s="23">
        <f t="shared" si="71"/>
        <v>0</v>
      </c>
      <c r="BL44" s="23">
        <f t="shared" si="71"/>
        <v>0</v>
      </c>
      <c r="BM44" s="23">
        <f t="shared" si="71"/>
        <v>0</v>
      </c>
      <c r="BN44" s="23">
        <f t="shared" si="71"/>
        <v>0</v>
      </c>
      <c r="BO44" s="23">
        <f t="shared" si="71"/>
        <v>0</v>
      </c>
      <c r="BP44" s="23">
        <f t="shared" si="72"/>
        <v>0</v>
      </c>
      <c r="BQ44" s="23">
        <f t="shared" si="72"/>
        <v>0</v>
      </c>
      <c r="BR44" s="23">
        <f t="shared" si="72"/>
        <v>0</v>
      </c>
      <c r="BS44" s="23">
        <f t="shared" si="72"/>
        <v>0</v>
      </c>
      <c r="BU44" s="23">
        <f t="shared" si="78"/>
        <v>3.9375</v>
      </c>
      <c r="BV44" s="23">
        <f t="shared" si="79"/>
        <v>3.9375</v>
      </c>
      <c r="BW44" s="23">
        <f t="shared" si="80"/>
        <v>3.9375</v>
      </c>
      <c r="BX44" s="23">
        <f t="shared" si="81"/>
        <v>3.9375</v>
      </c>
      <c r="BY44" s="23">
        <f t="shared" si="82"/>
        <v>3.9375</v>
      </c>
      <c r="BZ44" s="23">
        <f t="shared" si="83"/>
        <v>3.9375</v>
      </c>
      <c r="CA44" s="23">
        <f t="shared" si="84"/>
        <v>3.9375</v>
      </c>
      <c r="CB44" s="23">
        <f t="shared" si="85"/>
        <v>3.9375</v>
      </c>
      <c r="CC44" s="23">
        <f t="shared" si="86"/>
        <v>3.9375</v>
      </c>
      <c r="CD44" s="23">
        <f t="shared" si="87"/>
        <v>3.9375</v>
      </c>
      <c r="CE44" s="23">
        <f t="shared" si="88"/>
        <v>3.9375</v>
      </c>
      <c r="CF44" s="23">
        <f t="shared" si="89"/>
        <v>3.9375</v>
      </c>
      <c r="CG44" s="23">
        <f t="shared" si="90"/>
        <v>3.9375</v>
      </c>
      <c r="CH44" s="23">
        <f t="shared" si="91"/>
        <v>3.9375</v>
      </c>
      <c r="CI44" s="23">
        <f t="shared" si="92"/>
        <v>3.9375</v>
      </c>
      <c r="CJ44" s="23">
        <f t="shared" si="93"/>
        <v>3.9375</v>
      </c>
      <c r="CK44" s="23">
        <f t="shared" si="94"/>
        <v>3.9375</v>
      </c>
      <c r="CL44" s="23">
        <f t="shared" si="95"/>
        <v>3.9375</v>
      </c>
      <c r="CM44" s="23">
        <f t="shared" si="96"/>
        <v>3.9375</v>
      </c>
      <c r="CN44" s="23">
        <f t="shared" si="97"/>
        <v>3.9375</v>
      </c>
      <c r="CO44" s="23">
        <f t="shared" si="98"/>
        <v>3.9375</v>
      </c>
      <c r="CP44" s="23">
        <f t="shared" si="99"/>
        <v>3.9375</v>
      </c>
      <c r="CQ44" s="23">
        <f t="shared" si="100"/>
        <v>3.9375</v>
      </c>
      <c r="CR44" s="23">
        <f t="shared" si="101"/>
        <v>3.9375</v>
      </c>
      <c r="CS44" s="23">
        <f t="shared" si="102"/>
        <v>3.9375</v>
      </c>
      <c r="CT44" s="23">
        <f t="shared" si="103"/>
        <v>3.9375</v>
      </c>
      <c r="CU44" s="23">
        <f t="shared" si="104"/>
        <v>3.9375</v>
      </c>
      <c r="CV44" s="23">
        <f t="shared" si="105"/>
        <v>103.9375</v>
      </c>
      <c r="CW44" s="23">
        <f t="shared" si="106"/>
        <v>0</v>
      </c>
      <c r="CX44" s="23">
        <f t="shared" si="107"/>
        <v>0</v>
      </c>
      <c r="CY44" s="23">
        <f t="shared" si="108"/>
        <v>0</v>
      </c>
      <c r="CZ44" s="23">
        <f t="shared" si="109"/>
        <v>0</v>
      </c>
      <c r="DA44" s="23">
        <f t="shared" si="110"/>
        <v>0</v>
      </c>
      <c r="DB44" s="23">
        <f t="shared" si="111"/>
        <v>0</v>
      </c>
      <c r="DC44" s="23">
        <f t="shared" si="112"/>
        <v>0</v>
      </c>
      <c r="DD44" s="23">
        <f t="shared" si="113"/>
        <v>0</v>
      </c>
      <c r="DE44" s="23">
        <f t="shared" si="114"/>
        <v>0</v>
      </c>
      <c r="DF44" s="23">
        <f t="shared" si="115"/>
        <v>0</v>
      </c>
      <c r="DG44" s="23">
        <f t="shared" si="116"/>
        <v>0</v>
      </c>
      <c r="DH44" s="23">
        <f t="shared" si="117"/>
        <v>0</v>
      </c>
      <c r="DI44" s="23">
        <f t="shared" si="118"/>
        <v>0</v>
      </c>
      <c r="DJ44" s="23">
        <f t="shared" si="119"/>
        <v>0</v>
      </c>
      <c r="DK44" s="23">
        <f t="shared" si="120"/>
        <v>0</v>
      </c>
      <c r="DL44" s="23">
        <f t="shared" si="121"/>
        <v>0</v>
      </c>
      <c r="DM44" s="23">
        <f t="shared" si="122"/>
        <v>0</v>
      </c>
      <c r="DN44" s="23">
        <f t="shared" si="123"/>
        <v>0</v>
      </c>
      <c r="DO44" s="23">
        <f t="shared" si="124"/>
        <v>0</v>
      </c>
      <c r="DP44" s="23">
        <f t="shared" si="125"/>
        <v>0</v>
      </c>
      <c r="DQ44" s="23">
        <f t="shared" si="126"/>
        <v>0</v>
      </c>
      <c r="DR44" s="23">
        <f t="shared" si="127"/>
        <v>0</v>
      </c>
      <c r="DS44" s="23">
        <f t="shared" si="128"/>
        <v>0</v>
      </c>
      <c r="DT44" s="23">
        <f t="shared" si="129"/>
        <v>0</v>
      </c>
      <c r="DU44" s="23">
        <f t="shared" si="130"/>
        <v>0</v>
      </c>
      <c r="DV44" s="23">
        <f t="shared" si="131"/>
        <v>0</v>
      </c>
      <c r="DW44" s="23">
        <f t="shared" si="132"/>
        <v>0</v>
      </c>
      <c r="DX44" s="23">
        <f t="shared" si="133"/>
        <v>0</v>
      </c>
      <c r="DY44" s="23">
        <f t="shared" si="134"/>
        <v>0</v>
      </c>
      <c r="DZ44" s="23">
        <f t="shared" si="135"/>
        <v>0</v>
      </c>
      <c r="EA44" s="23">
        <f t="shared" si="136"/>
        <v>0</v>
      </c>
      <c r="EB44" s="23">
        <f t="shared" si="137"/>
        <v>0</v>
      </c>
    </row>
    <row r="45" spans="1:132">
      <c r="A45" s="23">
        <v>20220815.107250001</v>
      </c>
      <c r="B45" s="23">
        <v>20070607</v>
      </c>
      <c r="C45" s="23">
        <v>20220815</v>
      </c>
      <c r="D45" s="23">
        <v>1</v>
      </c>
      <c r="E45" s="23">
        <v>7.25</v>
      </c>
      <c r="F45" s="23">
        <v>119.828125</v>
      </c>
      <c r="G45" s="23">
        <v>119.890625</v>
      </c>
      <c r="H45" s="26">
        <f t="shared" si="76"/>
        <v>15.188888888888888</v>
      </c>
      <c r="I45" s="26">
        <f t="shared" si="77"/>
        <v>2.2555555555555555</v>
      </c>
      <c r="K45" s="26">
        <v>0.18888888888888888</v>
      </c>
      <c r="L45" s="23">
        <f t="shared" si="75"/>
        <v>0.68888888888888888</v>
      </c>
      <c r="M45" s="23">
        <f t="shared" si="75"/>
        <v>1.1888888888888889</v>
      </c>
      <c r="N45" s="23">
        <f t="shared" si="75"/>
        <v>1.6888888888888889</v>
      </c>
      <c r="O45" s="23">
        <f t="shared" si="75"/>
        <v>2.1888888888888891</v>
      </c>
      <c r="P45" s="23">
        <f t="shared" si="75"/>
        <v>2.6888888888888891</v>
      </c>
      <c r="Q45" s="23">
        <f t="shared" si="75"/>
        <v>3.1888888888888891</v>
      </c>
      <c r="R45" s="23">
        <f t="shared" si="75"/>
        <v>3.6888888888888891</v>
      </c>
      <c r="S45" s="23">
        <f t="shared" si="75"/>
        <v>4.1888888888888891</v>
      </c>
      <c r="T45" s="23">
        <f t="shared" si="75"/>
        <v>4.6888888888888891</v>
      </c>
      <c r="U45" s="23">
        <f t="shared" si="75"/>
        <v>5.1888888888888891</v>
      </c>
      <c r="V45" s="23">
        <f t="shared" si="75"/>
        <v>5.6888888888888891</v>
      </c>
      <c r="W45" s="23">
        <f t="shared" si="75"/>
        <v>6.1888888888888891</v>
      </c>
      <c r="X45" s="23">
        <f t="shared" si="75"/>
        <v>6.6888888888888891</v>
      </c>
      <c r="Y45" s="23">
        <f t="shared" si="75"/>
        <v>7.1888888888888891</v>
      </c>
      <c r="Z45" s="23">
        <f t="shared" si="75"/>
        <v>7.6888888888888891</v>
      </c>
      <c r="AA45" s="23">
        <f t="shared" si="75"/>
        <v>8.18888888888889</v>
      </c>
      <c r="AB45" s="23">
        <f t="shared" si="75"/>
        <v>8.68888888888889</v>
      </c>
      <c r="AC45" s="23">
        <f t="shared" si="75"/>
        <v>9.18888888888889</v>
      </c>
      <c r="AD45" s="23">
        <f t="shared" si="75"/>
        <v>9.68888888888889</v>
      </c>
      <c r="AE45" s="23">
        <f t="shared" si="75"/>
        <v>10.18888888888889</v>
      </c>
      <c r="AF45" s="23">
        <f t="shared" si="75"/>
        <v>10.68888888888889</v>
      </c>
      <c r="AG45" s="23">
        <f t="shared" si="75"/>
        <v>11.18888888888889</v>
      </c>
      <c r="AH45" s="23">
        <f t="shared" si="75"/>
        <v>11.68888888888889</v>
      </c>
      <c r="AI45" s="23">
        <f t="shared" si="75"/>
        <v>12.18888888888889</v>
      </c>
      <c r="AJ45" s="23">
        <f t="shared" si="75"/>
        <v>12.68888888888889</v>
      </c>
      <c r="AK45" s="23">
        <f t="shared" si="75"/>
        <v>13.18888888888889</v>
      </c>
      <c r="AL45" s="23">
        <f t="shared" si="75"/>
        <v>13.68888888888889</v>
      </c>
      <c r="AM45" s="23">
        <f t="shared" si="75"/>
        <v>14.18888888888889</v>
      </c>
      <c r="AN45" s="23">
        <f t="shared" si="75"/>
        <v>14.68888888888889</v>
      </c>
      <c r="AO45" s="23">
        <f t="shared" si="75"/>
        <v>15.18888888888889</v>
      </c>
      <c r="AP45" s="23">
        <f t="shared" si="75"/>
        <v>0</v>
      </c>
      <c r="AQ45" s="23">
        <f t="shared" si="75"/>
        <v>0</v>
      </c>
      <c r="AR45" s="23">
        <f t="shared" si="75"/>
        <v>0</v>
      </c>
      <c r="AS45" s="23">
        <f t="shared" si="70"/>
        <v>0</v>
      </c>
      <c r="AT45" s="23">
        <f t="shared" si="70"/>
        <v>0</v>
      </c>
      <c r="AU45" s="23">
        <f t="shared" si="70"/>
        <v>0</v>
      </c>
      <c r="AV45" s="23">
        <f t="shared" si="70"/>
        <v>0</v>
      </c>
      <c r="AW45" s="23">
        <f t="shared" si="70"/>
        <v>0</v>
      </c>
      <c r="AX45" s="23">
        <f t="shared" si="70"/>
        <v>0</v>
      </c>
      <c r="AY45" s="23">
        <f t="shared" si="70"/>
        <v>0</v>
      </c>
      <c r="AZ45" s="23">
        <f t="shared" si="71"/>
        <v>0</v>
      </c>
      <c r="BA45" s="23">
        <f t="shared" si="71"/>
        <v>0</v>
      </c>
      <c r="BB45" s="23">
        <f t="shared" si="71"/>
        <v>0</v>
      </c>
      <c r="BC45" s="23">
        <f t="shared" si="71"/>
        <v>0</v>
      </c>
      <c r="BD45" s="23">
        <f t="shared" si="71"/>
        <v>0</v>
      </c>
      <c r="BE45" s="23">
        <f t="shared" si="71"/>
        <v>0</v>
      </c>
      <c r="BF45" s="23">
        <f t="shared" si="71"/>
        <v>0</v>
      </c>
      <c r="BG45" s="23">
        <f t="shared" si="71"/>
        <v>0</v>
      </c>
      <c r="BH45" s="23">
        <f t="shared" si="71"/>
        <v>0</v>
      </c>
      <c r="BI45" s="23">
        <f t="shared" si="71"/>
        <v>0</v>
      </c>
      <c r="BJ45" s="23">
        <f t="shared" si="71"/>
        <v>0</v>
      </c>
      <c r="BK45" s="23">
        <f t="shared" si="71"/>
        <v>0</v>
      </c>
      <c r="BL45" s="23">
        <f t="shared" si="71"/>
        <v>0</v>
      </c>
      <c r="BM45" s="23">
        <f t="shared" si="71"/>
        <v>0</v>
      </c>
      <c r="BN45" s="23">
        <f t="shared" si="71"/>
        <v>0</v>
      </c>
      <c r="BO45" s="23">
        <f t="shared" si="71"/>
        <v>0</v>
      </c>
      <c r="BP45" s="23">
        <f t="shared" si="72"/>
        <v>0</v>
      </c>
      <c r="BQ45" s="23">
        <f t="shared" si="72"/>
        <v>0</v>
      </c>
      <c r="BR45" s="23">
        <f t="shared" si="72"/>
        <v>0</v>
      </c>
      <c r="BS45" s="23">
        <f t="shared" si="72"/>
        <v>0</v>
      </c>
      <c r="BU45" s="23">
        <f t="shared" si="78"/>
        <v>3.625</v>
      </c>
      <c r="BV45" s="23">
        <f t="shared" si="79"/>
        <v>3.625</v>
      </c>
      <c r="BW45" s="23">
        <f t="shared" si="80"/>
        <v>3.625</v>
      </c>
      <c r="BX45" s="23">
        <f t="shared" si="81"/>
        <v>3.625</v>
      </c>
      <c r="BY45" s="23">
        <f t="shared" si="82"/>
        <v>3.625</v>
      </c>
      <c r="BZ45" s="23">
        <f t="shared" si="83"/>
        <v>3.625</v>
      </c>
      <c r="CA45" s="23">
        <f t="shared" si="84"/>
        <v>3.625</v>
      </c>
      <c r="CB45" s="23">
        <f t="shared" si="85"/>
        <v>3.625</v>
      </c>
      <c r="CC45" s="23">
        <f t="shared" si="86"/>
        <v>3.625</v>
      </c>
      <c r="CD45" s="23">
        <f t="shared" si="87"/>
        <v>3.625</v>
      </c>
      <c r="CE45" s="23">
        <f t="shared" si="88"/>
        <v>3.625</v>
      </c>
      <c r="CF45" s="23">
        <f t="shared" si="89"/>
        <v>3.625</v>
      </c>
      <c r="CG45" s="23">
        <f t="shared" si="90"/>
        <v>3.625</v>
      </c>
      <c r="CH45" s="23">
        <f t="shared" si="91"/>
        <v>3.625</v>
      </c>
      <c r="CI45" s="23">
        <f t="shared" si="92"/>
        <v>3.625</v>
      </c>
      <c r="CJ45" s="23">
        <f t="shared" si="93"/>
        <v>3.625</v>
      </c>
      <c r="CK45" s="23">
        <f t="shared" si="94"/>
        <v>3.625</v>
      </c>
      <c r="CL45" s="23">
        <f t="shared" si="95"/>
        <v>3.625</v>
      </c>
      <c r="CM45" s="23">
        <f t="shared" si="96"/>
        <v>3.625</v>
      </c>
      <c r="CN45" s="23">
        <f t="shared" si="97"/>
        <v>3.625</v>
      </c>
      <c r="CO45" s="23">
        <f t="shared" si="98"/>
        <v>3.625</v>
      </c>
      <c r="CP45" s="23">
        <f t="shared" si="99"/>
        <v>3.625</v>
      </c>
      <c r="CQ45" s="23">
        <f t="shared" si="100"/>
        <v>3.625</v>
      </c>
      <c r="CR45" s="23">
        <f t="shared" si="101"/>
        <v>3.625</v>
      </c>
      <c r="CS45" s="23">
        <f t="shared" si="102"/>
        <v>3.625</v>
      </c>
      <c r="CT45" s="23">
        <f t="shared" si="103"/>
        <v>3.625</v>
      </c>
      <c r="CU45" s="23">
        <f t="shared" si="104"/>
        <v>3.625</v>
      </c>
      <c r="CV45" s="23">
        <f t="shared" si="105"/>
        <v>3.625</v>
      </c>
      <c r="CW45" s="23">
        <f t="shared" si="106"/>
        <v>3.625</v>
      </c>
      <c r="CX45" s="23">
        <f t="shared" si="107"/>
        <v>3.625</v>
      </c>
      <c r="CY45" s="23">
        <f t="shared" si="108"/>
        <v>103.625</v>
      </c>
      <c r="CZ45" s="23">
        <f t="shared" si="109"/>
        <v>0</v>
      </c>
      <c r="DA45" s="23">
        <f t="shared" si="110"/>
        <v>0</v>
      </c>
      <c r="DB45" s="23">
        <f t="shared" si="111"/>
        <v>0</v>
      </c>
      <c r="DC45" s="23">
        <f t="shared" si="112"/>
        <v>0</v>
      </c>
      <c r="DD45" s="23">
        <f t="shared" si="113"/>
        <v>0</v>
      </c>
      <c r="DE45" s="23">
        <f t="shared" si="114"/>
        <v>0</v>
      </c>
      <c r="DF45" s="23">
        <f t="shared" si="115"/>
        <v>0</v>
      </c>
      <c r="DG45" s="23">
        <f t="shared" si="116"/>
        <v>0</v>
      </c>
      <c r="DH45" s="23">
        <f t="shared" si="117"/>
        <v>0</v>
      </c>
      <c r="DI45" s="23">
        <f t="shared" si="118"/>
        <v>0</v>
      </c>
      <c r="DJ45" s="23">
        <f t="shared" si="119"/>
        <v>0</v>
      </c>
      <c r="DK45" s="23">
        <f t="shared" si="120"/>
        <v>0</v>
      </c>
      <c r="DL45" s="23">
        <f t="shared" si="121"/>
        <v>0</v>
      </c>
      <c r="DM45" s="23">
        <f t="shared" si="122"/>
        <v>0</v>
      </c>
      <c r="DN45" s="23">
        <f t="shared" si="123"/>
        <v>0</v>
      </c>
      <c r="DO45" s="23">
        <f t="shared" si="124"/>
        <v>0</v>
      </c>
      <c r="DP45" s="23">
        <f t="shared" si="125"/>
        <v>0</v>
      </c>
      <c r="DQ45" s="23">
        <f t="shared" si="126"/>
        <v>0</v>
      </c>
      <c r="DR45" s="23">
        <f t="shared" si="127"/>
        <v>0</v>
      </c>
      <c r="DS45" s="23">
        <f t="shared" si="128"/>
        <v>0</v>
      </c>
      <c r="DT45" s="23">
        <f t="shared" si="129"/>
        <v>0</v>
      </c>
      <c r="DU45" s="23">
        <f t="shared" si="130"/>
        <v>0</v>
      </c>
      <c r="DV45" s="23">
        <f t="shared" si="131"/>
        <v>0</v>
      </c>
      <c r="DW45" s="23">
        <f t="shared" si="132"/>
        <v>0</v>
      </c>
      <c r="DX45" s="23">
        <f t="shared" si="133"/>
        <v>0</v>
      </c>
      <c r="DY45" s="23">
        <f t="shared" si="134"/>
        <v>0</v>
      </c>
      <c r="DZ45" s="23">
        <f t="shared" si="135"/>
        <v>0</v>
      </c>
      <c r="EA45" s="23">
        <f t="shared" si="136"/>
        <v>0</v>
      </c>
      <c r="EB45" s="23">
        <f t="shared" si="137"/>
        <v>0</v>
      </c>
    </row>
    <row r="46" spans="1:132">
      <c r="A46" s="23">
        <v>20230215.10712</v>
      </c>
      <c r="B46" s="23">
        <v>20070607</v>
      </c>
      <c r="C46" s="23">
        <v>20230215</v>
      </c>
      <c r="D46" s="23">
        <v>1</v>
      </c>
      <c r="E46" s="23">
        <v>7.125</v>
      </c>
      <c r="F46" s="23">
        <v>118.859375</v>
      </c>
      <c r="G46" s="23">
        <v>118.921875</v>
      </c>
      <c r="H46" s="26">
        <f t="shared" si="76"/>
        <v>15.688888888888888</v>
      </c>
      <c r="I46" s="26">
        <f t="shared" si="77"/>
        <v>2.2166666666666668</v>
      </c>
      <c r="K46" s="26">
        <v>0.18888888888888888</v>
      </c>
      <c r="L46" s="23">
        <f t="shared" si="75"/>
        <v>0.68888888888888888</v>
      </c>
      <c r="M46" s="23">
        <f t="shared" si="75"/>
        <v>1.1888888888888889</v>
      </c>
      <c r="N46" s="23">
        <f t="shared" si="75"/>
        <v>1.6888888888888889</v>
      </c>
      <c r="O46" s="23">
        <f t="shared" si="75"/>
        <v>2.1888888888888891</v>
      </c>
      <c r="P46" s="23">
        <f t="shared" si="75"/>
        <v>2.6888888888888891</v>
      </c>
      <c r="Q46" s="23">
        <f t="shared" si="75"/>
        <v>3.1888888888888891</v>
      </c>
      <c r="R46" s="23">
        <f t="shared" si="75"/>
        <v>3.6888888888888891</v>
      </c>
      <c r="S46" s="23">
        <f t="shared" si="75"/>
        <v>4.1888888888888891</v>
      </c>
      <c r="T46" s="23">
        <f t="shared" si="75"/>
        <v>4.6888888888888891</v>
      </c>
      <c r="U46" s="23">
        <f t="shared" si="75"/>
        <v>5.1888888888888891</v>
      </c>
      <c r="V46" s="23">
        <f t="shared" si="75"/>
        <v>5.6888888888888891</v>
      </c>
      <c r="W46" s="23">
        <f t="shared" si="75"/>
        <v>6.1888888888888891</v>
      </c>
      <c r="X46" s="23">
        <f t="shared" si="75"/>
        <v>6.6888888888888891</v>
      </c>
      <c r="Y46" s="23">
        <f t="shared" si="75"/>
        <v>7.1888888888888891</v>
      </c>
      <c r="Z46" s="23">
        <f t="shared" si="75"/>
        <v>7.6888888888888891</v>
      </c>
      <c r="AA46" s="23">
        <f t="shared" si="75"/>
        <v>8.18888888888889</v>
      </c>
      <c r="AB46" s="23">
        <f t="shared" si="75"/>
        <v>8.68888888888889</v>
      </c>
      <c r="AC46" s="23">
        <f t="shared" si="75"/>
        <v>9.18888888888889</v>
      </c>
      <c r="AD46" s="23">
        <f t="shared" si="75"/>
        <v>9.68888888888889</v>
      </c>
      <c r="AE46" s="23">
        <f t="shared" si="75"/>
        <v>10.18888888888889</v>
      </c>
      <c r="AF46" s="23">
        <f t="shared" si="75"/>
        <v>10.68888888888889</v>
      </c>
      <c r="AG46" s="23">
        <f t="shared" si="75"/>
        <v>11.18888888888889</v>
      </c>
      <c r="AH46" s="23">
        <f t="shared" si="75"/>
        <v>11.68888888888889</v>
      </c>
      <c r="AI46" s="23">
        <f t="shared" si="75"/>
        <v>12.18888888888889</v>
      </c>
      <c r="AJ46" s="23">
        <f t="shared" si="75"/>
        <v>12.68888888888889</v>
      </c>
      <c r="AK46" s="23">
        <f t="shared" si="75"/>
        <v>13.18888888888889</v>
      </c>
      <c r="AL46" s="23">
        <f t="shared" si="75"/>
        <v>13.68888888888889</v>
      </c>
      <c r="AM46" s="23">
        <f t="shared" si="75"/>
        <v>14.18888888888889</v>
      </c>
      <c r="AN46" s="23">
        <f t="shared" si="75"/>
        <v>14.68888888888889</v>
      </c>
      <c r="AO46" s="23">
        <f t="shared" si="75"/>
        <v>15.18888888888889</v>
      </c>
      <c r="AP46" s="23">
        <f t="shared" si="75"/>
        <v>15.68888888888889</v>
      </c>
      <c r="AQ46" s="23">
        <f t="shared" si="75"/>
        <v>0</v>
      </c>
      <c r="AR46" s="23">
        <f t="shared" si="75"/>
        <v>0</v>
      </c>
      <c r="AS46" s="23">
        <f t="shared" si="70"/>
        <v>0</v>
      </c>
      <c r="AT46" s="23">
        <f t="shared" si="70"/>
        <v>0</v>
      </c>
      <c r="AU46" s="23">
        <f t="shared" si="70"/>
        <v>0</v>
      </c>
      <c r="AV46" s="23">
        <f t="shared" si="70"/>
        <v>0</v>
      </c>
      <c r="AW46" s="23">
        <f t="shared" si="70"/>
        <v>0</v>
      </c>
      <c r="AX46" s="23">
        <f t="shared" si="70"/>
        <v>0</v>
      </c>
      <c r="AY46" s="23">
        <f t="shared" si="70"/>
        <v>0</v>
      </c>
      <c r="AZ46" s="23">
        <f t="shared" si="71"/>
        <v>0</v>
      </c>
      <c r="BA46" s="23">
        <f t="shared" si="71"/>
        <v>0</v>
      </c>
      <c r="BB46" s="23">
        <f t="shared" si="71"/>
        <v>0</v>
      </c>
      <c r="BC46" s="23">
        <f t="shared" si="71"/>
        <v>0</v>
      </c>
      <c r="BD46" s="23">
        <f t="shared" si="71"/>
        <v>0</v>
      </c>
      <c r="BE46" s="23">
        <f t="shared" si="71"/>
        <v>0</v>
      </c>
      <c r="BF46" s="23">
        <f t="shared" si="71"/>
        <v>0</v>
      </c>
      <c r="BG46" s="23">
        <f t="shared" si="71"/>
        <v>0</v>
      </c>
      <c r="BH46" s="23">
        <f t="shared" si="71"/>
        <v>0</v>
      </c>
      <c r="BI46" s="23">
        <f t="shared" si="71"/>
        <v>0</v>
      </c>
      <c r="BJ46" s="23">
        <f t="shared" si="71"/>
        <v>0</v>
      </c>
      <c r="BK46" s="23">
        <f t="shared" si="71"/>
        <v>0</v>
      </c>
      <c r="BL46" s="23">
        <f t="shared" si="71"/>
        <v>0</v>
      </c>
      <c r="BM46" s="23">
        <f t="shared" si="71"/>
        <v>0</v>
      </c>
      <c r="BN46" s="23">
        <f t="shared" si="71"/>
        <v>0</v>
      </c>
      <c r="BO46" s="23">
        <f t="shared" ref="BO46:BS59" si="138">IF(BN46=0,0,IF(BN46&gt;=$H46,0,BN46+0.5))</f>
        <v>0</v>
      </c>
      <c r="BP46" s="23">
        <f t="shared" si="138"/>
        <v>0</v>
      </c>
      <c r="BQ46" s="23">
        <f t="shared" si="138"/>
        <v>0</v>
      </c>
      <c r="BR46" s="23">
        <f t="shared" si="72"/>
        <v>0</v>
      </c>
      <c r="BS46" s="23">
        <f t="shared" si="72"/>
        <v>0</v>
      </c>
      <c r="BU46" s="23">
        <f t="shared" si="78"/>
        <v>3.5625</v>
      </c>
      <c r="BV46" s="23">
        <f t="shared" si="79"/>
        <v>3.5625</v>
      </c>
      <c r="BW46" s="23">
        <f t="shared" si="80"/>
        <v>3.5625</v>
      </c>
      <c r="BX46" s="23">
        <f t="shared" si="81"/>
        <v>3.5625</v>
      </c>
      <c r="BY46" s="23">
        <f t="shared" si="82"/>
        <v>3.5625</v>
      </c>
      <c r="BZ46" s="23">
        <f t="shared" si="83"/>
        <v>3.5625</v>
      </c>
      <c r="CA46" s="23">
        <f t="shared" si="84"/>
        <v>3.5625</v>
      </c>
      <c r="CB46" s="23">
        <f t="shared" si="85"/>
        <v>3.5625</v>
      </c>
      <c r="CC46" s="23">
        <f t="shared" si="86"/>
        <v>3.5625</v>
      </c>
      <c r="CD46" s="23">
        <f t="shared" si="87"/>
        <v>3.5625</v>
      </c>
      <c r="CE46" s="23">
        <f t="shared" si="88"/>
        <v>3.5625</v>
      </c>
      <c r="CF46" s="23">
        <f t="shared" si="89"/>
        <v>3.5625</v>
      </c>
      <c r="CG46" s="23">
        <f t="shared" si="90"/>
        <v>3.5625</v>
      </c>
      <c r="CH46" s="23">
        <f t="shared" si="91"/>
        <v>3.5625</v>
      </c>
      <c r="CI46" s="23">
        <f t="shared" si="92"/>
        <v>3.5625</v>
      </c>
      <c r="CJ46" s="23">
        <f t="shared" si="93"/>
        <v>3.5625</v>
      </c>
      <c r="CK46" s="23">
        <f t="shared" si="94"/>
        <v>3.5625</v>
      </c>
      <c r="CL46" s="23">
        <f t="shared" si="95"/>
        <v>3.5625</v>
      </c>
      <c r="CM46" s="23">
        <f t="shared" si="96"/>
        <v>3.5625</v>
      </c>
      <c r="CN46" s="23">
        <f t="shared" si="97"/>
        <v>3.5625</v>
      </c>
      <c r="CO46" s="23">
        <f t="shared" si="98"/>
        <v>3.5625</v>
      </c>
      <c r="CP46" s="23">
        <f t="shared" si="99"/>
        <v>3.5625</v>
      </c>
      <c r="CQ46" s="23">
        <f t="shared" si="100"/>
        <v>3.5625</v>
      </c>
      <c r="CR46" s="23">
        <f t="shared" si="101"/>
        <v>3.5625</v>
      </c>
      <c r="CS46" s="23">
        <f t="shared" si="102"/>
        <v>3.5625</v>
      </c>
      <c r="CT46" s="23">
        <f t="shared" si="103"/>
        <v>3.5625</v>
      </c>
      <c r="CU46" s="23">
        <f t="shared" si="104"/>
        <v>3.5625</v>
      </c>
      <c r="CV46" s="23">
        <f t="shared" si="105"/>
        <v>3.5625</v>
      </c>
      <c r="CW46" s="23">
        <f t="shared" si="106"/>
        <v>3.5625</v>
      </c>
      <c r="CX46" s="23">
        <f t="shared" si="107"/>
        <v>3.5625</v>
      </c>
      <c r="CY46" s="23">
        <f t="shared" si="108"/>
        <v>3.5625</v>
      </c>
      <c r="CZ46" s="23">
        <f t="shared" si="109"/>
        <v>103.5625</v>
      </c>
      <c r="DA46" s="23">
        <f t="shared" si="110"/>
        <v>0</v>
      </c>
      <c r="DB46" s="23">
        <f t="shared" si="111"/>
        <v>0</v>
      </c>
      <c r="DC46" s="23">
        <f t="shared" si="112"/>
        <v>0</v>
      </c>
      <c r="DD46" s="23">
        <f t="shared" si="113"/>
        <v>0</v>
      </c>
      <c r="DE46" s="23">
        <f t="shared" si="114"/>
        <v>0</v>
      </c>
      <c r="DF46" s="23">
        <f t="shared" si="115"/>
        <v>0</v>
      </c>
      <c r="DG46" s="23">
        <f t="shared" si="116"/>
        <v>0</v>
      </c>
      <c r="DH46" s="23">
        <f t="shared" si="117"/>
        <v>0</v>
      </c>
      <c r="DI46" s="23">
        <f t="shared" si="118"/>
        <v>0</v>
      </c>
      <c r="DJ46" s="23">
        <f t="shared" si="119"/>
        <v>0</v>
      </c>
      <c r="DK46" s="23">
        <f t="shared" si="120"/>
        <v>0</v>
      </c>
      <c r="DL46" s="23">
        <f t="shared" si="121"/>
        <v>0</v>
      </c>
      <c r="DM46" s="23">
        <f t="shared" si="122"/>
        <v>0</v>
      </c>
      <c r="DN46" s="23">
        <f t="shared" si="123"/>
        <v>0</v>
      </c>
      <c r="DO46" s="23">
        <f t="shared" si="124"/>
        <v>0</v>
      </c>
      <c r="DP46" s="23">
        <f t="shared" si="125"/>
        <v>0</v>
      </c>
      <c r="DQ46" s="23">
        <f t="shared" si="126"/>
        <v>0</v>
      </c>
      <c r="DR46" s="23">
        <f t="shared" si="127"/>
        <v>0</v>
      </c>
      <c r="DS46" s="23">
        <f t="shared" si="128"/>
        <v>0</v>
      </c>
      <c r="DT46" s="23">
        <f t="shared" si="129"/>
        <v>0</v>
      </c>
      <c r="DU46" s="23">
        <f t="shared" si="130"/>
        <v>0</v>
      </c>
      <c r="DV46" s="23">
        <f t="shared" si="131"/>
        <v>0</v>
      </c>
      <c r="DW46" s="23">
        <f t="shared" si="132"/>
        <v>0</v>
      </c>
      <c r="DX46" s="23">
        <f t="shared" si="133"/>
        <v>0</v>
      </c>
      <c r="DY46" s="23">
        <f t="shared" si="134"/>
        <v>0</v>
      </c>
      <c r="DZ46" s="23">
        <f t="shared" si="135"/>
        <v>0</v>
      </c>
      <c r="EA46" s="23">
        <f t="shared" si="136"/>
        <v>0</v>
      </c>
      <c r="EB46" s="23">
        <f t="shared" si="137"/>
        <v>0</v>
      </c>
    </row>
    <row r="47" spans="1:132">
      <c r="A47" s="23">
        <v>20230815.106249999</v>
      </c>
      <c r="B47" s="23">
        <v>20070607</v>
      </c>
      <c r="C47" s="23">
        <v>20230815</v>
      </c>
      <c r="D47" s="23">
        <v>1</v>
      </c>
      <c r="E47" s="23">
        <v>6.25</v>
      </c>
      <c r="F47" s="23">
        <v>109.84375</v>
      </c>
      <c r="G47" s="23">
        <v>109.90625</v>
      </c>
      <c r="H47" s="26">
        <f t="shared" si="76"/>
        <v>16.18888888888889</v>
      </c>
      <c r="I47" s="26">
        <f t="shared" si="77"/>
        <v>1.9444444444444444</v>
      </c>
      <c r="K47" s="26">
        <v>0.18888888888888888</v>
      </c>
      <c r="L47" s="23">
        <f t="shared" si="75"/>
        <v>0.68888888888888888</v>
      </c>
      <c r="M47" s="23">
        <f t="shared" si="75"/>
        <v>1.1888888888888889</v>
      </c>
      <c r="N47" s="23">
        <f t="shared" si="75"/>
        <v>1.6888888888888889</v>
      </c>
      <c r="O47" s="23">
        <f t="shared" si="75"/>
        <v>2.1888888888888891</v>
      </c>
      <c r="P47" s="23">
        <f t="shared" si="75"/>
        <v>2.6888888888888891</v>
      </c>
      <c r="Q47" s="23">
        <f t="shared" si="75"/>
        <v>3.1888888888888891</v>
      </c>
      <c r="R47" s="23">
        <f t="shared" si="75"/>
        <v>3.6888888888888891</v>
      </c>
      <c r="S47" s="23">
        <f t="shared" si="75"/>
        <v>4.1888888888888891</v>
      </c>
      <c r="T47" s="23">
        <f t="shared" si="75"/>
        <v>4.6888888888888891</v>
      </c>
      <c r="U47" s="23">
        <f t="shared" si="75"/>
        <v>5.1888888888888891</v>
      </c>
      <c r="V47" s="23">
        <f t="shared" si="75"/>
        <v>5.6888888888888891</v>
      </c>
      <c r="W47" s="23">
        <f t="shared" si="75"/>
        <v>6.1888888888888891</v>
      </c>
      <c r="X47" s="23">
        <f t="shared" si="75"/>
        <v>6.6888888888888891</v>
      </c>
      <c r="Y47" s="23">
        <f t="shared" si="75"/>
        <v>7.1888888888888891</v>
      </c>
      <c r="Z47" s="23">
        <f t="shared" si="75"/>
        <v>7.6888888888888891</v>
      </c>
      <c r="AA47" s="23">
        <f t="shared" si="75"/>
        <v>8.18888888888889</v>
      </c>
      <c r="AB47" s="23">
        <f t="shared" si="75"/>
        <v>8.68888888888889</v>
      </c>
      <c r="AC47" s="23">
        <f t="shared" si="75"/>
        <v>9.18888888888889</v>
      </c>
      <c r="AD47" s="23">
        <f t="shared" si="75"/>
        <v>9.68888888888889</v>
      </c>
      <c r="AE47" s="23">
        <f t="shared" si="75"/>
        <v>10.18888888888889</v>
      </c>
      <c r="AF47" s="23">
        <f t="shared" si="75"/>
        <v>10.68888888888889</v>
      </c>
      <c r="AG47" s="23">
        <f t="shared" si="75"/>
        <v>11.18888888888889</v>
      </c>
      <c r="AH47" s="23">
        <f t="shared" si="75"/>
        <v>11.68888888888889</v>
      </c>
      <c r="AI47" s="23">
        <f t="shared" si="75"/>
        <v>12.18888888888889</v>
      </c>
      <c r="AJ47" s="23">
        <f t="shared" ref="AJ47:AY59" si="139">IF(AI47=0,0,IF(AI47&gt;=$H47,0,AI47+0.5))</f>
        <v>12.68888888888889</v>
      </c>
      <c r="AK47" s="23">
        <f t="shared" si="139"/>
        <v>13.18888888888889</v>
      </c>
      <c r="AL47" s="23">
        <f t="shared" si="139"/>
        <v>13.68888888888889</v>
      </c>
      <c r="AM47" s="23">
        <f t="shared" si="139"/>
        <v>14.18888888888889</v>
      </c>
      <c r="AN47" s="23">
        <f t="shared" si="139"/>
        <v>14.68888888888889</v>
      </c>
      <c r="AO47" s="23">
        <f t="shared" si="139"/>
        <v>15.18888888888889</v>
      </c>
      <c r="AP47" s="23">
        <f t="shared" si="139"/>
        <v>15.68888888888889</v>
      </c>
      <c r="AQ47" s="23">
        <f t="shared" si="139"/>
        <v>16.18888888888889</v>
      </c>
      <c r="AR47" s="23">
        <f t="shared" si="139"/>
        <v>0</v>
      </c>
      <c r="AS47" s="23">
        <f t="shared" si="139"/>
        <v>0</v>
      </c>
      <c r="AT47" s="23">
        <f t="shared" si="139"/>
        <v>0</v>
      </c>
      <c r="AU47" s="23">
        <f t="shared" si="139"/>
        <v>0</v>
      </c>
      <c r="AV47" s="23">
        <f t="shared" si="139"/>
        <v>0</v>
      </c>
      <c r="AW47" s="23">
        <f t="shared" si="139"/>
        <v>0</v>
      </c>
      <c r="AX47" s="23">
        <f t="shared" si="139"/>
        <v>0</v>
      </c>
      <c r="AY47" s="23">
        <f t="shared" si="139"/>
        <v>0</v>
      </c>
      <c r="AZ47" s="23">
        <f t="shared" ref="AZ47:BO59" si="140">IF(AY47=0,0,IF(AY47&gt;=$H47,0,AY47+0.5))</f>
        <v>0</v>
      </c>
      <c r="BA47" s="23">
        <f t="shared" si="140"/>
        <v>0</v>
      </c>
      <c r="BB47" s="23">
        <f t="shared" si="140"/>
        <v>0</v>
      </c>
      <c r="BC47" s="23">
        <f t="shared" si="140"/>
        <v>0</v>
      </c>
      <c r="BD47" s="23">
        <f t="shared" si="140"/>
        <v>0</v>
      </c>
      <c r="BE47" s="23">
        <f t="shared" si="140"/>
        <v>0</v>
      </c>
      <c r="BF47" s="23">
        <f t="shared" si="140"/>
        <v>0</v>
      </c>
      <c r="BG47" s="23">
        <f t="shared" si="140"/>
        <v>0</v>
      </c>
      <c r="BH47" s="23">
        <f t="shared" si="140"/>
        <v>0</v>
      </c>
      <c r="BI47" s="23">
        <f t="shared" si="140"/>
        <v>0</v>
      </c>
      <c r="BJ47" s="23">
        <f t="shared" si="140"/>
        <v>0</v>
      </c>
      <c r="BK47" s="23">
        <f t="shared" si="140"/>
        <v>0</v>
      </c>
      <c r="BL47" s="23">
        <f t="shared" si="140"/>
        <v>0</v>
      </c>
      <c r="BM47" s="23">
        <f t="shared" si="140"/>
        <v>0</v>
      </c>
      <c r="BN47" s="23">
        <f t="shared" si="140"/>
        <v>0</v>
      </c>
      <c r="BO47" s="23">
        <f t="shared" si="140"/>
        <v>0</v>
      </c>
      <c r="BP47" s="23">
        <f t="shared" si="138"/>
        <v>0</v>
      </c>
      <c r="BQ47" s="23">
        <f t="shared" si="138"/>
        <v>0</v>
      </c>
      <c r="BR47" s="23">
        <f t="shared" si="138"/>
        <v>0</v>
      </c>
      <c r="BS47" s="23">
        <f t="shared" si="138"/>
        <v>0</v>
      </c>
      <c r="BU47" s="23">
        <f t="shared" si="78"/>
        <v>3.125</v>
      </c>
      <c r="BV47" s="23">
        <f t="shared" si="79"/>
        <v>3.125</v>
      </c>
      <c r="BW47" s="23">
        <f t="shared" si="80"/>
        <v>3.125</v>
      </c>
      <c r="BX47" s="23">
        <f t="shared" si="81"/>
        <v>3.125</v>
      </c>
      <c r="BY47" s="23">
        <f t="shared" si="82"/>
        <v>3.125</v>
      </c>
      <c r="BZ47" s="23">
        <f t="shared" si="83"/>
        <v>3.125</v>
      </c>
      <c r="CA47" s="23">
        <f t="shared" si="84"/>
        <v>3.125</v>
      </c>
      <c r="CB47" s="23">
        <f t="shared" si="85"/>
        <v>3.125</v>
      </c>
      <c r="CC47" s="23">
        <f t="shared" si="86"/>
        <v>3.125</v>
      </c>
      <c r="CD47" s="23">
        <f t="shared" si="87"/>
        <v>3.125</v>
      </c>
      <c r="CE47" s="23">
        <f t="shared" si="88"/>
        <v>3.125</v>
      </c>
      <c r="CF47" s="23">
        <f t="shared" si="89"/>
        <v>3.125</v>
      </c>
      <c r="CG47" s="23">
        <f t="shared" si="90"/>
        <v>3.125</v>
      </c>
      <c r="CH47" s="23">
        <f t="shared" si="91"/>
        <v>3.125</v>
      </c>
      <c r="CI47" s="23">
        <f t="shared" si="92"/>
        <v>3.125</v>
      </c>
      <c r="CJ47" s="23">
        <f t="shared" si="93"/>
        <v>3.125</v>
      </c>
      <c r="CK47" s="23">
        <f t="shared" si="94"/>
        <v>3.125</v>
      </c>
      <c r="CL47" s="23">
        <f t="shared" si="95"/>
        <v>3.125</v>
      </c>
      <c r="CM47" s="23">
        <f t="shared" si="96"/>
        <v>3.125</v>
      </c>
      <c r="CN47" s="23">
        <f t="shared" si="97"/>
        <v>3.125</v>
      </c>
      <c r="CO47" s="23">
        <f t="shared" si="98"/>
        <v>3.125</v>
      </c>
      <c r="CP47" s="23">
        <f t="shared" si="99"/>
        <v>3.125</v>
      </c>
      <c r="CQ47" s="23">
        <f t="shared" si="100"/>
        <v>3.125</v>
      </c>
      <c r="CR47" s="23">
        <f t="shared" si="101"/>
        <v>3.125</v>
      </c>
      <c r="CS47" s="23">
        <f t="shared" si="102"/>
        <v>3.125</v>
      </c>
      <c r="CT47" s="23">
        <f t="shared" si="103"/>
        <v>3.125</v>
      </c>
      <c r="CU47" s="23">
        <f t="shared" si="104"/>
        <v>3.125</v>
      </c>
      <c r="CV47" s="23">
        <f t="shared" si="105"/>
        <v>3.125</v>
      </c>
      <c r="CW47" s="23">
        <f t="shared" si="106"/>
        <v>3.125</v>
      </c>
      <c r="CX47" s="23">
        <f t="shared" si="107"/>
        <v>3.125</v>
      </c>
      <c r="CY47" s="23">
        <f t="shared" si="108"/>
        <v>3.125</v>
      </c>
      <c r="CZ47" s="23">
        <f t="shared" si="109"/>
        <v>3.125</v>
      </c>
      <c r="DA47" s="23">
        <f t="shared" si="110"/>
        <v>103.125</v>
      </c>
      <c r="DB47" s="23">
        <f t="shared" si="111"/>
        <v>0</v>
      </c>
      <c r="DC47" s="23">
        <f t="shared" si="112"/>
        <v>0</v>
      </c>
      <c r="DD47" s="23">
        <f t="shared" si="113"/>
        <v>0</v>
      </c>
      <c r="DE47" s="23">
        <f t="shared" si="114"/>
        <v>0</v>
      </c>
      <c r="DF47" s="23">
        <f t="shared" si="115"/>
        <v>0</v>
      </c>
      <c r="DG47" s="23">
        <f t="shared" si="116"/>
        <v>0</v>
      </c>
      <c r="DH47" s="23">
        <f t="shared" si="117"/>
        <v>0</v>
      </c>
      <c r="DI47" s="23">
        <f t="shared" si="118"/>
        <v>0</v>
      </c>
      <c r="DJ47" s="23">
        <f t="shared" si="119"/>
        <v>0</v>
      </c>
      <c r="DK47" s="23">
        <f t="shared" si="120"/>
        <v>0</v>
      </c>
      <c r="DL47" s="23">
        <f t="shared" si="121"/>
        <v>0</v>
      </c>
      <c r="DM47" s="23">
        <f t="shared" si="122"/>
        <v>0</v>
      </c>
      <c r="DN47" s="23">
        <f t="shared" si="123"/>
        <v>0</v>
      </c>
      <c r="DO47" s="23">
        <f t="shared" si="124"/>
        <v>0</v>
      </c>
      <c r="DP47" s="23">
        <f t="shared" si="125"/>
        <v>0</v>
      </c>
      <c r="DQ47" s="23">
        <f t="shared" si="126"/>
        <v>0</v>
      </c>
      <c r="DR47" s="23">
        <f t="shared" si="127"/>
        <v>0</v>
      </c>
      <c r="DS47" s="23">
        <f t="shared" si="128"/>
        <v>0</v>
      </c>
      <c r="DT47" s="23">
        <f t="shared" si="129"/>
        <v>0</v>
      </c>
      <c r="DU47" s="23">
        <f t="shared" si="130"/>
        <v>0</v>
      </c>
      <c r="DV47" s="23">
        <f t="shared" si="131"/>
        <v>0</v>
      </c>
      <c r="DW47" s="23">
        <f t="shared" si="132"/>
        <v>0</v>
      </c>
      <c r="DX47" s="23">
        <f t="shared" si="133"/>
        <v>0</v>
      </c>
      <c r="DY47" s="23">
        <f t="shared" si="134"/>
        <v>0</v>
      </c>
      <c r="DZ47" s="23">
        <f t="shared" si="135"/>
        <v>0</v>
      </c>
      <c r="EA47" s="23">
        <f t="shared" si="136"/>
        <v>0</v>
      </c>
      <c r="EB47" s="23">
        <f t="shared" si="137"/>
        <v>0</v>
      </c>
    </row>
    <row r="48" spans="1:132">
      <c r="A48" s="23">
        <v>20250215.107620001</v>
      </c>
      <c r="B48" s="23">
        <v>20070607</v>
      </c>
      <c r="C48" s="23">
        <v>20250215</v>
      </c>
      <c r="D48" s="23">
        <v>1</v>
      </c>
      <c r="E48" s="23">
        <v>7.625</v>
      </c>
      <c r="F48" s="23">
        <v>126.0625</v>
      </c>
      <c r="G48" s="23">
        <v>126.125</v>
      </c>
      <c r="H48" s="26">
        <f t="shared" si="76"/>
        <v>17.68888888888889</v>
      </c>
      <c r="I48" s="26">
        <f t="shared" si="77"/>
        <v>2.3722222222222222</v>
      </c>
      <c r="K48" s="26">
        <v>0.18888888888888888</v>
      </c>
      <c r="L48" s="23">
        <f t="shared" ref="L48:AR55" si="141">IF(K48=0,0,IF(K48&gt;=$H48,0,K48+0.5))</f>
        <v>0.68888888888888888</v>
      </c>
      <c r="M48" s="23">
        <f t="shared" si="141"/>
        <v>1.1888888888888889</v>
      </c>
      <c r="N48" s="23">
        <f t="shared" si="141"/>
        <v>1.6888888888888889</v>
      </c>
      <c r="O48" s="23">
        <f t="shared" si="141"/>
        <v>2.1888888888888891</v>
      </c>
      <c r="P48" s="23">
        <f t="shared" si="141"/>
        <v>2.6888888888888891</v>
      </c>
      <c r="Q48" s="23">
        <f t="shared" si="141"/>
        <v>3.1888888888888891</v>
      </c>
      <c r="R48" s="23">
        <f t="shared" si="141"/>
        <v>3.6888888888888891</v>
      </c>
      <c r="S48" s="23">
        <f t="shared" si="141"/>
        <v>4.1888888888888891</v>
      </c>
      <c r="T48" s="23">
        <f t="shared" si="141"/>
        <v>4.6888888888888891</v>
      </c>
      <c r="U48" s="23">
        <f t="shared" si="141"/>
        <v>5.1888888888888891</v>
      </c>
      <c r="V48" s="23">
        <f t="shared" si="141"/>
        <v>5.6888888888888891</v>
      </c>
      <c r="W48" s="23">
        <f t="shared" si="141"/>
        <v>6.1888888888888891</v>
      </c>
      <c r="X48" s="23">
        <f t="shared" si="141"/>
        <v>6.6888888888888891</v>
      </c>
      <c r="Y48" s="23">
        <f t="shared" si="141"/>
        <v>7.1888888888888891</v>
      </c>
      <c r="Z48" s="23">
        <f t="shared" si="141"/>
        <v>7.6888888888888891</v>
      </c>
      <c r="AA48" s="23">
        <f t="shared" si="141"/>
        <v>8.18888888888889</v>
      </c>
      <c r="AB48" s="23">
        <f t="shared" si="141"/>
        <v>8.68888888888889</v>
      </c>
      <c r="AC48" s="23">
        <f t="shared" si="141"/>
        <v>9.18888888888889</v>
      </c>
      <c r="AD48" s="23">
        <f t="shared" si="141"/>
        <v>9.68888888888889</v>
      </c>
      <c r="AE48" s="23">
        <f t="shared" si="141"/>
        <v>10.18888888888889</v>
      </c>
      <c r="AF48" s="23">
        <f t="shared" si="141"/>
        <v>10.68888888888889</v>
      </c>
      <c r="AG48" s="23">
        <f t="shared" si="141"/>
        <v>11.18888888888889</v>
      </c>
      <c r="AH48" s="23">
        <f t="shared" si="141"/>
        <v>11.68888888888889</v>
      </c>
      <c r="AI48" s="23">
        <f t="shared" si="141"/>
        <v>12.18888888888889</v>
      </c>
      <c r="AJ48" s="23">
        <f t="shared" si="141"/>
        <v>12.68888888888889</v>
      </c>
      <c r="AK48" s="23">
        <f t="shared" si="141"/>
        <v>13.18888888888889</v>
      </c>
      <c r="AL48" s="23">
        <f t="shared" si="141"/>
        <v>13.68888888888889</v>
      </c>
      <c r="AM48" s="23">
        <f t="shared" si="141"/>
        <v>14.18888888888889</v>
      </c>
      <c r="AN48" s="23">
        <f t="shared" si="141"/>
        <v>14.68888888888889</v>
      </c>
      <c r="AO48" s="23">
        <f t="shared" si="141"/>
        <v>15.18888888888889</v>
      </c>
      <c r="AP48" s="23">
        <f t="shared" si="141"/>
        <v>15.68888888888889</v>
      </c>
      <c r="AQ48" s="23">
        <f t="shared" si="141"/>
        <v>16.18888888888889</v>
      </c>
      <c r="AR48" s="23">
        <f t="shared" si="141"/>
        <v>16.68888888888889</v>
      </c>
      <c r="AS48" s="23">
        <f t="shared" si="139"/>
        <v>17.18888888888889</v>
      </c>
      <c r="AT48" s="23">
        <f t="shared" si="139"/>
        <v>17.68888888888889</v>
      </c>
      <c r="AU48" s="23">
        <f t="shared" si="139"/>
        <v>0</v>
      </c>
      <c r="AV48" s="23">
        <f t="shared" si="139"/>
        <v>0</v>
      </c>
      <c r="AW48" s="23">
        <f t="shared" si="139"/>
        <v>0</v>
      </c>
      <c r="AX48" s="23">
        <f t="shared" si="139"/>
        <v>0</v>
      </c>
      <c r="AY48" s="23">
        <f t="shared" si="139"/>
        <v>0</v>
      </c>
      <c r="AZ48" s="23">
        <f t="shared" si="140"/>
        <v>0</v>
      </c>
      <c r="BA48" s="23">
        <f t="shared" si="140"/>
        <v>0</v>
      </c>
      <c r="BB48" s="23">
        <f t="shared" si="140"/>
        <v>0</v>
      </c>
      <c r="BC48" s="23">
        <f t="shared" si="140"/>
        <v>0</v>
      </c>
      <c r="BD48" s="23">
        <f t="shared" si="140"/>
        <v>0</v>
      </c>
      <c r="BE48" s="23">
        <f t="shared" si="140"/>
        <v>0</v>
      </c>
      <c r="BF48" s="23">
        <f t="shared" si="140"/>
        <v>0</v>
      </c>
      <c r="BG48" s="23">
        <f t="shared" si="140"/>
        <v>0</v>
      </c>
      <c r="BH48" s="23">
        <f t="shared" si="140"/>
        <v>0</v>
      </c>
      <c r="BI48" s="23">
        <f t="shared" si="140"/>
        <v>0</v>
      </c>
      <c r="BJ48" s="23">
        <f t="shared" si="140"/>
        <v>0</v>
      </c>
      <c r="BK48" s="23">
        <f t="shared" si="140"/>
        <v>0</v>
      </c>
      <c r="BL48" s="23">
        <f t="shared" si="140"/>
        <v>0</v>
      </c>
      <c r="BM48" s="23">
        <f t="shared" si="140"/>
        <v>0</v>
      </c>
      <c r="BN48" s="23">
        <f t="shared" si="140"/>
        <v>0</v>
      </c>
      <c r="BO48" s="23">
        <f t="shared" si="140"/>
        <v>0</v>
      </c>
      <c r="BP48" s="23">
        <f t="shared" si="138"/>
        <v>0</v>
      </c>
      <c r="BQ48" s="23">
        <f t="shared" si="138"/>
        <v>0</v>
      </c>
      <c r="BR48" s="23">
        <f t="shared" si="138"/>
        <v>0</v>
      </c>
      <c r="BS48" s="23">
        <f t="shared" si="138"/>
        <v>0</v>
      </c>
      <c r="BU48" s="23">
        <f t="shared" si="78"/>
        <v>3.8125</v>
      </c>
      <c r="BV48" s="23">
        <f t="shared" si="79"/>
        <v>3.8125</v>
      </c>
      <c r="BW48" s="23">
        <f t="shared" si="80"/>
        <v>3.8125</v>
      </c>
      <c r="BX48" s="23">
        <f t="shared" si="81"/>
        <v>3.8125</v>
      </c>
      <c r="BY48" s="23">
        <f t="shared" si="82"/>
        <v>3.8125</v>
      </c>
      <c r="BZ48" s="23">
        <f t="shared" si="83"/>
        <v>3.8125</v>
      </c>
      <c r="CA48" s="23">
        <f t="shared" si="84"/>
        <v>3.8125</v>
      </c>
      <c r="CB48" s="23">
        <f t="shared" si="85"/>
        <v>3.8125</v>
      </c>
      <c r="CC48" s="23">
        <f t="shared" si="86"/>
        <v>3.8125</v>
      </c>
      <c r="CD48" s="23">
        <f t="shared" si="87"/>
        <v>3.8125</v>
      </c>
      <c r="CE48" s="23">
        <f t="shared" si="88"/>
        <v>3.8125</v>
      </c>
      <c r="CF48" s="23">
        <f t="shared" si="89"/>
        <v>3.8125</v>
      </c>
      <c r="CG48" s="23">
        <f t="shared" si="90"/>
        <v>3.8125</v>
      </c>
      <c r="CH48" s="23">
        <f t="shared" si="91"/>
        <v>3.8125</v>
      </c>
      <c r="CI48" s="23">
        <f t="shared" si="92"/>
        <v>3.8125</v>
      </c>
      <c r="CJ48" s="23">
        <f t="shared" si="93"/>
        <v>3.8125</v>
      </c>
      <c r="CK48" s="23">
        <f t="shared" si="94"/>
        <v>3.8125</v>
      </c>
      <c r="CL48" s="23">
        <f t="shared" si="95"/>
        <v>3.8125</v>
      </c>
      <c r="CM48" s="23">
        <f t="shared" si="96"/>
        <v>3.8125</v>
      </c>
      <c r="CN48" s="23">
        <f t="shared" si="97"/>
        <v>3.8125</v>
      </c>
      <c r="CO48" s="23">
        <f t="shared" si="98"/>
        <v>3.8125</v>
      </c>
      <c r="CP48" s="23">
        <f t="shared" si="99"/>
        <v>3.8125</v>
      </c>
      <c r="CQ48" s="23">
        <f t="shared" si="100"/>
        <v>3.8125</v>
      </c>
      <c r="CR48" s="23">
        <f t="shared" si="101"/>
        <v>3.8125</v>
      </c>
      <c r="CS48" s="23">
        <f t="shared" si="102"/>
        <v>3.8125</v>
      </c>
      <c r="CT48" s="23">
        <f t="shared" si="103"/>
        <v>3.8125</v>
      </c>
      <c r="CU48" s="23">
        <f t="shared" si="104"/>
        <v>3.8125</v>
      </c>
      <c r="CV48" s="23">
        <f t="shared" si="105"/>
        <v>3.8125</v>
      </c>
      <c r="CW48" s="23">
        <f t="shared" si="106"/>
        <v>3.8125</v>
      </c>
      <c r="CX48" s="23">
        <f t="shared" si="107"/>
        <v>3.8125</v>
      </c>
      <c r="CY48" s="23">
        <f t="shared" si="108"/>
        <v>3.8125</v>
      </c>
      <c r="CZ48" s="23">
        <f t="shared" si="109"/>
        <v>3.8125</v>
      </c>
      <c r="DA48" s="23">
        <f t="shared" si="110"/>
        <v>3.8125</v>
      </c>
      <c r="DB48" s="23">
        <f t="shared" si="111"/>
        <v>3.8125</v>
      </c>
      <c r="DC48" s="23">
        <f t="shared" si="112"/>
        <v>3.8125</v>
      </c>
      <c r="DD48" s="23">
        <f t="shared" si="113"/>
        <v>103.8125</v>
      </c>
      <c r="DE48" s="23">
        <f t="shared" si="114"/>
        <v>0</v>
      </c>
      <c r="DF48" s="23">
        <f t="shared" si="115"/>
        <v>0</v>
      </c>
      <c r="DG48" s="23">
        <f t="shared" si="116"/>
        <v>0</v>
      </c>
      <c r="DH48" s="23">
        <f t="shared" si="117"/>
        <v>0</v>
      </c>
      <c r="DI48" s="23">
        <f t="shared" si="118"/>
        <v>0</v>
      </c>
      <c r="DJ48" s="23">
        <f t="shared" si="119"/>
        <v>0</v>
      </c>
      <c r="DK48" s="23">
        <f t="shared" si="120"/>
        <v>0</v>
      </c>
      <c r="DL48" s="23">
        <f t="shared" si="121"/>
        <v>0</v>
      </c>
      <c r="DM48" s="23">
        <f t="shared" si="122"/>
        <v>0</v>
      </c>
      <c r="DN48" s="23">
        <f t="shared" si="123"/>
        <v>0</v>
      </c>
      <c r="DO48" s="23">
        <f t="shared" si="124"/>
        <v>0</v>
      </c>
      <c r="DP48" s="23">
        <f t="shared" si="125"/>
        <v>0</v>
      </c>
      <c r="DQ48" s="23">
        <f t="shared" si="126"/>
        <v>0</v>
      </c>
      <c r="DR48" s="23">
        <f t="shared" si="127"/>
        <v>0</v>
      </c>
      <c r="DS48" s="23">
        <f t="shared" si="128"/>
        <v>0</v>
      </c>
      <c r="DT48" s="23">
        <f t="shared" si="129"/>
        <v>0</v>
      </c>
      <c r="DU48" s="23">
        <f t="shared" si="130"/>
        <v>0</v>
      </c>
      <c r="DV48" s="23">
        <f t="shared" si="131"/>
        <v>0</v>
      </c>
      <c r="DW48" s="23">
        <f t="shared" si="132"/>
        <v>0</v>
      </c>
      <c r="DX48" s="23">
        <f t="shared" si="133"/>
        <v>0</v>
      </c>
      <c r="DY48" s="23">
        <f t="shared" si="134"/>
        <v>0</v>
      </c>
      <c r="DZ48" s="23">
        <f t="shared" si="135"/>
        <v>0</v>
      </c>
      <c r="EA48" s="23">
        <f t="shared" si="136"/>
        <v>0</v>
      </c>
      <c r="EB48" s="23">
        <f t="shared" si="137"/>
        <v>0</v>
      </c>
    </row>
    <row r="49" spans="1:132">
      <c r="A49" s="23">
        <v>20250815.106869999</v>
      </c>
      <c r="B49" s="23">
        <v>20070607</v>
      </c>
      <c r="C49" s="23">
        <v>20250815</v>
      </c>
      <c r="D49" s="23">
        <v>1</v>
      </c>
      <c r="E49" s="23">
        <v>6.875</v>
      </c>
      <c r="F49" s="23">
        <v>117.84375</v>
      </c>
      <c r="G49" s="23">
        <v>117.90625</v>
      </c>
      <c r="H49" s="26">
        <f t="shared" si="76"/>
        <v>18.18888888888889</v>
      </c>
      <c r="I49" s="26">
        <f t="shared" si="77"/>
        <v>2.1388888888888888</v>
      </c>
      <c r="K49" s="26">
        <v>0.18888888888888888</v>
      </c>
      <c r="L49" s="23">
        <f t="shared" si="141"/>
        <v>0.68888888888888888</v>
      </c>
      <c r="M49" s="23">
        <f t="shared" si="141"/>
        <v>1.1888888888888889</v>
      </c>
      <c r="N49" s="23">
        <f t="shared" si="141"/>
        <v>1.6888888888888889</v>
      </c>
      <c r="O49" s="23">
        <f t="shared" si="141"/>
        <v>2.1888888888888891</v>
      </c>
      <c r="P49" s="23">
        <f t="shared" si="141"/>
        <v>2.6888888888888891</v>
      </c>
      <c r="Q49" s="23">
        <f t="shared" si="141"/>
        <v>3.1888888888888891</v>
      </c>
      <c r="R49" s="23">
        <f t="shared" si="141"/>
        <v>3.6888888888888891</v>
      </c>
      <c r="S49" s="23">
        <f t="shared" si="141"/>
        <v>4.1888888888888891</v>
      </c>
      <c r="T49" s="23">
        <f t="shared" si="141"/>
        <v>4.6888888888888891</v>
      </c>
      <c r="U49" s="23">
        <f t="shared" si="141"/>
        <v>5.1888888888888891</v>
      </c>
      <c r="V49" s="23">
        <f t="shared" si="141"/>
        <v>5.6888888888888891</v>
      </c>
      <c r="W49" s="23">
        <f t="shared" si="141"/>
        <v>6.1888888888888891</v>
      </c>
      <c r="X49" s="23">
        <f t="shared" si="141"/>
        <v>6.6888888888888891</v>
      </c>
      <c r="Y49" s="23">
        <f t="shared" si="141"/>
        <v>7.1888888888888891</v>
      </c>
      <c r="Z49" s="23">
        <f t="shared" si="141"/>
        <v>7.6888888888888891</v>
      </c>
      <c r="AA49" s="23">
        <f t="shared" si="141"/>
        <v>8.18888888888889</v>
      </c>
      <c r="AB49" s="23">
        <f t="shared" si="141"/>
        <v>8.68888888888889</v>
      </c>
      <c r="AC49" s="23">
        <f t="shared" si="141"/>
        <v>9.18888888888889</v>
      </c>
      <c r="AD49" s="23">
        <f t="shared" si="141"/>
        <v>9.68888888888889</v>
      </c>
      <c r="AE49" s="23">
        <f t="shared" si="141"/>
        <v>10.18888888888889</v>
      </c>
      <c r="AF49" s="23">
        <f t="shared" si="141"/>
        <v>10.68888888888889</v>
      </c>
      <c r="AG49" s="23">
        <f t="shared" si="141"/>
        <v>11.18888888888889</v>
      </c>
      <c r="AH49" s="23">
        <f t="shared" si="141"/>
        <v>11.68888888888889</v>
      </c>
      <c r="AI49" s="23">
        <f t="shared" si="141"/>
        <v>12.18888888888889</v>
      </c>
      <c r="AJ49" s="23">
        <f t="shared" si="141"/>
        <v>12.68888888888889</v>
      </c>
      <c r="AK49" s="23">
        <f t="shared" si="141"/>
        <v>13.18888888888889</v>
      </c>
      <c r="AL49" s="23">
        <f t="shared" si="141"/>
        <v>13.68888888888889</v>
      </c>
      <c r="AM49" s="23">
        <f t="shared" si="141"/>
        <v>14.18888888888889</v>
      </c>
      <c r="AN49" s="23">
        <f t="shared" si="141"/>
        <v>14.68888888888889</v>
      </c>
      <c r="AO49" s="23">
        <f t="shared" si="141"/>
        <v>15.18888888888889</v>
      </c>
      <c r="AP49" s="23">
        <f t="shared" si="141"/>
        <v>15.68888888888889</v>
      </c>
      <c r="AQ49" s="23">
        <f t="shared" si="141"/>
        <v>16.18888888888889</v>
      </c>
      <c r="AR49" s="23">
        <f t="shared" si="141"/>
        <v>16.68888888888889</v>
      </c>
      <c r="AS49" s="23">
        <f t="shared" si="139"/>
        <v>17.18888888888889</v>
      </c>
      <c r="AT49" s="23">
        <f t="shared" si="139"/>
        <v>17.68888888888889</v>
      </c>
      <c r="AU49" s="23">
        <f t="shared" si="139"/>
        <v>18.18888888888889</v>
      </c>
      <c r="AV49" s="23">
        <f t="shared" si="139"/>
        <v>0</v>
      </c>
      <c r="AW49" s="23">
        <f t="shared" si="139"/>
        <v>0</v>
      </c>
      <c r="AX49" s="23">
        <f t="shared" si="139"/>
        <v>0</v>
      </c>
      <c r="AY49" s="23">
        <f t="shared" si="139"/>
        <v>0</v>
      </c>
      <c r="AZ49" s="23">
        <f t="shared" si="140"/>
        <v>0</v>
      </c>
      <c r="BA49" s="23">
        <f t="shared" si="140"/>
        <v>0</v>
      </c>
      <c r="BB49" s="23">
        <f t="shared" si="140"/>
        <v>0</v>
      </c>
      <c r="BC49" s="23">
        <f t="shared" si="140"/>
        <v>0</v>
      </c>
      <c r="BD49" s="23">
        <f t="shared" si="140"/>
        <v>0</v>
      </c>
      <c r="BE49" s="23">
        <f t="shared" si="140"/>
        <v>0</v>
      </c>
      <c r="BF49" s="23">
        <f t="shared" si="140"/>
        <v>0</v>
      </c>
      <c r="BG49" s="23">
        <f t="shared" si="140"/>
        <v>0</v>
      </c>
      <c r="BH49" s="23">
        <f t="shared" si="140"/>
        <v>0</v>
      </c>
      <c r="BI49" s="23">
        <f t="shared" si="140"/>
        <v>0</v>
      </c>
      <c r="BJ49" s="23">
        <f t="shared" si="140"/>
        <v>0</v>
      </c>
      <c r="BK49" s="23">
        <f t="shared" si="140"/>
        <v>0</v>
      </c>
      <c r="BL49" s="23">
        <f t="shared" si="140"/>
        <v>0</v>
      </c>
      <c r="BM49" s="23">
        <f t="shared" si="140"/>
        <v>0</v>
      </c>
      <c r="BN49" s="23">
        <f t="shared" si="140"/>
        <v>0</v>
      </c>
      <c r="BO49" s="23">
        <f t="shared" si="140"/>
        <v>0</v>
      </c>
      <c r="BP49" s="23">
        <f t="shared" si="138"/>
        <v>0</v>
      </c>
      <c r="BQ49" s="23">
        <f t="shared" si="138"/>
        <v>0</v>
      </c>
      <c r="BR49" s="23">
        <f t="shared" si="138"/>
        <v>0</v>
      </c>
      <c r="BS49" s="23">
        <f t="shared" si="138"/>
        <v>0</v>
      </c>
      <c r="BU49" s="23">
        <f t="shared" si="78"/>
        <v>3.4375</v>
      </c>
      <c r="BV49" s="23">
        <f t="shared" si="79"/>
        <v>3.4375</v>
      </c>
      <c r="BW49" s="23">
        <f t="shared" si="80"/>
        <v>3.4375</v>
      </c>
      <c r="BX49" s="23">
        <f t="shared" si="81"/>
        <v>3.4375</v>
      </c>
      <c r="BY49" s="23">
        <f t="shared" si="82"/>
        <v>3.4375</v>
      </c>
      <c r="BZ49" s="23">
        <f t="shared" si="83"/>
        <v>3.4375</v>
      </c>
      <c r="CA49" s="23">
        <f t="shared" si="84"/>
        <v>3.4375</v>
      </c>
      <c r="CB49" s="23">
        <f t="shared" si="85"/>
        <v>3.4375</v>
      </c>
      <c r="CC49" s="23">
        <f t="shared" si="86"/>
        <v>3.4375</v>
      </c>
      <c r="CD49" s="23">
        <f t="shared" si="87"/>
        <v>3.4375</v>
      </c>
      <c r="CE49" s="23">
        <f t="shared" si="88"/>
        <v>3.4375</v>
      </c>
      <c r="CF49" s="23">
        <f t="shared" si="89"/>
        <v>3.4375</v>
      </c>
      <c r="CG49" s="23">
        <f t="shared" si="90"/>
        <v>3.4375</v>
      </c>
      <c r="CH49" s="23">
        <f t="shared" si="91"/>
        <v>3.4375</v>
      </c>
      <c r="CI49" s="23">
        <f t="shared" si="92"/>
        <v>3.4375</v>
      </c>
      <c r="CJ49" s="23">
        <f t="shared" si="93"/>
        <v>3.4375</v>
      </c>
      <c r="CK49" s="23">
        <f t="shared" si="94"/>
        <v>3.4375</v>
      </c>
      <c r="CL49" s="23">
        <f t="shared" si="95"/>
        <v>3.4375</v>
      </c>
      <c r="CM49" s="23">
        <f t="shared" si="96"/>
        <v>3.4375</v>
      </c>
      <c r="CN49" s="23">
        <f t="shared" si="97"/>
        <v>3.4375</v>
      </c>
      <c r="CO49" s="23">
        <f t="shared" si="98"/>
        <v>3.4375</v>
      </c>
      <c r="CP49" s="23">
        <f t="shared" si="99"/>
        <v>3.4375</v>
      </c>
      <c r="CQ49" s="23">
        <f t="shared" si="100"/>
        <v>3.4375</v>
      </c>
      <c r="CR49" s="23">
        <f t="shared" si="101"/>
        <v>3.4375</v>
      </c>
      <c r="CS49" s="23">
        <f t="shared" si="102"/>
        <v>3.4375</v>
      </c>
      <c r="CT49" s="23">
        <f t="shared" si="103"/>
        <v>3.4375</v>
      </c>
      <c r="CU49" s="23">
        <f t="shared" si="104"/>
        <v>3.4375</v>
      </c>
      <c r="CV49" s="23">
        <f t="shared" si="105"/>
        <v>3.4375</v>
      </c>
      <c r="CW49" s="23">
        <f t="shared" si="106"/>
        <v>3.4375</v>
      </c>
      <c r="CX49" s="23">
        <f t="shared" si="107"/>
        <v>3.4375</v>
      </c>
      <c r="CY49" s="23">
        <f t="shared" si="108"/>
        <v>3.4375</v>
      </c>
      <c r="CZ49" s="23">
        <f t="shared" si="109"/>
        <v>3.4375</v>
      </c>
      <c r="DA49" s="23">
        <f t="shared" si="110"/>
        <v>3.4375</v>
      </c>
      <c r="DB49" s="23">
        <f t="shared" si="111"/>
        <v>3.4375</v>
      </c>
      <c r="DC49" s="23">
        <f t="shared" si="112"/>
        <v>3.4375</v>
      </c>
      <c r="DD49" s="23">
        <f t="shared" si="113"/>
        <v>3.4375</v>
      </c>
      <c r="DE49" s="23">
        <f t="shared" si="114"/>
        <v>103.4375</v>
      </c>
      <c r="DF49" s="23">
        <f t="shared" si="115"/>
        <v>0</v>
      </c>
      <c r="DG49" s="23">
        <f t="shared" si="116"/>
        <v>0</v>
      </c>
      <c r="DH49" s="23">
        <f t="shared" si="117"/>
        <v>0</v>
      </c>
      <c r="DI49" s="23">
        <f t="shared" si="118"/>
        <v>0</v>
      </c>
      <c r="DJ49" s="23">
        <f t="shared" si="119"/>
        <v>0</v>
      </c>
      <c r="DK49" s="23">
        <f t="shared" si="120"/>
        <v>0</v>
      </c>
      <c r="DL49" s="23">
        <f t="shared" si="121"/>
        <v>0</v>
      </c>
      <c r="DM49" s="23">
        <f t="shared" si="122"/>
        <v>0</v>
      </c>
      <c r="DN49" s="23">
        <f t="shared" si="123"/>
        <v>0</v>
      </c>
      <c r="DO49" s="23">
        <f t="shared" si="124"/>
        <v>0</v>
      </c>
      <c r="DP49" s="23">
        <f t="shared" si="125"/>
        <v>0</v>
      </c>
      <c r="DQ49" s="23">
        <f t="shared" si="126"/>
        <v>0</v>
      </c>
      <c r="DR49" s="23">
        <f t="shared" si="127"/>
        <v>0</v>
      </c>
      <c r="DS49" s="23">
        <f t="shared" si="128"/>
        <v>0</v>
      </c>
      <c r="DT49" s="23">
        <f t="shared" si="129"/>
        <v>0</v>
      </c>
      <c r="DU49" s="23">
        <f t="shared" si="130"/>
        <v>0</v>
      </c>
      <c r="DV49" s="23">
        <f t="shared" si="131"/>
        <v>0</v>
      </c>
      <c r="DW49" s="23">
        <f t="shared" si="132"/>
        <v>0</v>
      </c>
      <c r="DX49" s="23">
        <f t="shared" si="133"/>
        <v>0</v>
      </c>
      <c r="DY49" s="23">
        <f t="shared" si="134"/>
        <v>0</v>
      </c>
      <c r="DZ49" s="23">
        <f t="shared" si="135"/>
        <v>0</v>
      </c>
      <c r="EA49" s="23">
        <f t="shared" si="136"/>
        <v>0</v>
      </c>
      <c r="EB49" s="23">
        <f t="shared" si="137"/>
        <v>0</v>
      </c>
    </row>
    <row r="50" spans="1:132">
      <c r="A50" s="23">
        <v>20260215.105999999</v>
      </c>
      <c r="B50" s="23">
        <v>20070607</v>
      </c>
      <c r="C50" s="23">
        <v>20260215</v>
      </c>
      <c r="D50" s="23">
        <v>1</v>
      </c>
      <c r="E50" s="23">
        <v>6</v>
      </c>
      <c r="F50" s="23">
        <v>107.875</v>
      </c>
      <c r="G50" s="23">
        <v>107.9375</v>
      </c>
      <c r="H50" s="26">
        <f t="shared" si="76"/>
        <v>18.68888888888889</v>
      </c>
      <c r="I50" s="26">
        <f t="shared" si="77"/>
        <v>1.8666666666666667</v>
      </c>
      <c r="K50" s="26">
        <v>0.18888888888888888</v>
      </c>
      <c r="L50" s="23">
        <f t="shared" si="141"/>
        <v>0.68888888888888888</v>
      </c>
      <c r="M50" s="23">
        <f t="shared" si="141"/>
        <v>1.1888888888888889</v>
      </c>
      <c r="N50" s="23">
        <f t="shared" si="141"/>
        <v>1.6888888888888889</v>
      </c>
      <c r="O50" s="23">
        <f t="shared" si="141"/>
        <v>2.1888888888888891</v>
      </c>
      <c r="P50" s="23">
        <f t="shared" si="141"/>
        <v>2.6888888888888891</v>
      </c>
      <c r="Q50" s="23">
        <f t="shared" si="141"/>
        <v>3.1888888888888891</v>
      </c>
      <c r="R50" s="23">
        <f t="shared" si="141"/>
        <v>3.6888888888888891</v>
      </c>
      <c r="S50" s="23">
        <f t="shared" si="141"/>
        <v>4.1888888888888891</v>
      </c>
      <c r="T50" s="23">
        <f t="shared" si="141"/>
        <v>4.6888888888888891</v>
      </c>
      <c r="U50" s="23">
        <f t="shared" si="141"/>
        <v>5.1888888888888891</v>
      </c>
      <c r="V50" s="23">
        <f t="shared" si="141"/>
        <v>5.6888888888888891</v>
      </c>
      <c r="W50" s="23">
        <f t="shared" si="141"/>
        <v>6.1888888888888891</v>
      </c>
      <c r="X50" s="23">
        <f t="shared" si="141"/>
        <v>6.6888888888888891</v>
      </c>
      <c r="Y50" s="23">
        <f t="shared" si="141"/>
        <v>7.1888888888888891</v>
      </c>
      <c r="Z50" s="23">
        <f t="shared" si="141"/>
        <v>7.6888888888888891</v>
      </c>
      <c r="AA50" s="23">
        <f t="shared" si="141"/>
        <v>8.18888888888889</v>
      </c>
      <c r="AB50" s="23">
        <f t="shared" si="141"/>
        <v>8.68888888888889</v>
      </c>
      <c r="AC50" s="23">
        <f t="shared" si="141"/>
        <v>9.18888888888889</v>
      </c>
      <c r="AD50" s="23">
        <f t="shared" si="141"/>
        <v>9.68888888888889</v>
      </c>
      <c r="AE50" s="23">
        <f t="shared" si="141"/>
        <v>10.18888888888889</v>
      </c>
      <c r="AF50" s="23">
        <f t="shared" si="141"/>
        <v>10.68888888888889</v>
      </c>
      <c r="AG50" s="23">
        <f t="shared" si="141"/>
        <v>11.18888888888889</v>
      </c>
      <c r="AH50" s="23">
        <f t="shared" si="141"/>
        <v>11.68888888888889</v>
      </c>
      <c r="AI50" s="23">
        <f t="shared" si="141"/>
        <v>12.18888888888889</v>
      </c>
      <c r="AJ50" s="23">
        <f t="shared" si="141"/>
        <v>12.68888888888889</v>
      </c>
      <c r="AK50" s="23">
        <f t="shared" si="141"/>
        <v>13.18888888888889</v>
      </c>
      <c r="AL50" s="23">
        <f t="shared" si="141"/>
        <v>13.68888888888889</v>
      </c>
      <c r="AM50" s="23">
        <f t="shared" si="141"/>
        <v>14.18888888888889</v>
      </c>
      <c r="AN50" s="23">
        <f t="shared" si="141"/>
        <v>14.68888888888889</v>
      </c>
      <c r="AO50" s="23">
        <f t="shared" si="141"/>
        <v>15.18888888888889</v>
      </c>
      <c r="AP50" s="23">
        <f t="shared" si="141"/>
        <v>15.68888888888889</v>
      </c>
      <c r="AQ50" s="23">
        <f t="shared" si="141"/>
        <v>16.18888888888889</v>
      </c>
      <c r="AR50" s="23">
        <f t="shared" si="141"/>
        <v>16.68888888888889</v>
      </c>
      <c r="AS50" s="23">
        <f t="shared" si="139"/>
        <v>17.18888888888889</v>
      </c>
      <c r="AT50" s="23">
        <f t="shared" si="139"/>
        <v>17.68888888888889</v>
      </c>
      <c r="AU50" s="23">
        <f t="shared" si="139"/>
        <v>18.18888888888889</v>
      </c>
      <c r="AV50" s="23">
        <f t="shared" si="139"/>
        <v>18.68888888888889</v>
      </c>
      <c r="AW50" s="23">
        <f t="shared" si="139"/>
        <v>0</v>
      </c>
      <c r="AX50" s="23">
        <f t="shared" si="139"/>
        <v>0</v>
      </c>
      <c r="AY50" s="23">
        <f t="shared" si="139"/>
        <v>0</v>
      </c>
      <c r="AZ50" s="23">
        <f t="shared" si="140"/>
        <v>0</v>
      </c>
      <c r="BA50" s="23">
        <f t="shared" si="140"/>
        <v>0</v>
      </c>
      <c r="BB50" s="23">
        <f t="shared" si="140"/>
        <v>0</v>
      </c>
      <c r="BC50" s="23">
        <f t="shared" si="140"/>
        <v>0</v>
      </c>
      <c r="BD50" s="23">
        <f t="shared" si="140"/>
        <v>0</v>
      </c>
      <c r="BE50" s="23">
        <f t="shared" si="140"/>
        <v>0</v>
      </c>
      <c r="BF50" s="23">
        <f t="shared" si="140"/>
        <v>0</v>
      </c>
      <c r="BG50" s="23">
        <f t="shared" si="140"/>
        <v>0</v>
      </c>
      <c r="BH50" s="23">
        <f t="shared" si="140"/>
        <v>0</v>
      </c>
      <c r="BI50" s="23">
        <f t="shared" si="140"/>
        <v>0</v>
      </c>
      <c r="BJ50" s="23">
        <f t="shared" si="140"/>
        <v>0</v>
      </c>
      <c r="BK50" s="23">
        <f t="shared" si="140"/>
        <v>0</v>
      </c>
      <c r="BL50" s="23">
        <f t="shared" si="140"/>
        <v>0</v>
      </c>
      <c r="BM50" s="23">
        <f t="shared" si="140"/>
        <v>0</v>
      </c>
      <c r="BN50" s="23">
        <f t="shared" si="140"/>
        <v>0</v>
      </c>
      <c r="BO50" s="23">
        <f t="shared" si="140"/>
        <v>0</v>
      </c>
      <c r="BP50" s="23">
        <f t="shared" si="138"/>
        <v>0</v>
      </c>
      <c r="BQ50" s="23">
        <f t="shared" si="138"/>
        <v>0</v>
      </c>
      <c r="BR50" s="23">
        <f t="shared" si="138"/>
        <v>0</v>
      </c>
      <c r="BS50" s="23">
        <f t="shared" si="138"/>
        <v>0</v>
      </c>
      <c r="BU50" s="23">
        <f t="shared" si="78"/>
        <v>3</v>
      </c>
      <c r="BV50" s="23">
        <f t="shared" si="79"/>
        <v>3</v>
      </c>
      <c r="BW50" s="23">
        <f t="shared" si="80"/>
        <v>3</v>
      </c>
      <c r="BX50" s="23">
        <f t="shared" si="81"/>
        <v>3</v>
      </c>
      <c r="BY50" s="23">
        <f t="shared" si="82"/>
        <v>3</v>
      </c>
      <c r="BZ50" s="23">
        <f t="shared" si="83"/>
        <v>3</v>
      </c>
      <c r="CA50" s="23">
        <f t="shared" si="84"/>
        <v>3</v>
      </c>
      <c r="CB50" s="23">
        <f t="shared" si="85"/>
        <v>3</v>
      </c>
      <c r="CC50" s="23">
        <f t="shared" si="86"/>
        <v>3</v>
      </c>
      <c r="CD50" s="23">
        <f t="shared" si="87"/>
        <v>3</v>
      </c>
      <c r="CE50" s="23">
        <f t="shared" si="88"/>
        <v>3</v>
      </c>
      <c r="CF50" s="23">
        <f t="shared" si="89"/>
        <v>3</v>
      </c>
      <c r="CG50" s="23">
        <f t="shared" si="90"/>
        <v>3</v>
      </c>
      <c r="CH50" s="23">
        <f t="shared" si="91"/>
        <v>3</v>
      </c>
      <c r="CI50" s="23">
        <f t="shared" si="92"/>
        <v>3</v>
      </c>
      <c r="CJ50" s="23">
        <f t="shared" si="93"/>
        <v>3</v>
      </c>
      <c r="CK50" s="23">
        <f t="shared" si="94"/>
        <v>3</v>
      </c>
      <c r="CL50" s="23">
        <f t="shared" si="95"/>
        <v>3</v>
      </c>
      <c r="CM50" s="23">
        <f t="shared" si="96"/>
        <v>3</v>
      </c>
      <c r="CN50" s="23">
        <f t="shared" si="97"/>
        <v>3</v>
      </c>
      <c r="CO50" s="23">
        <f t="shared" si="98"/>
        <v>3</v>
      </c>
      <c r="CP50" s="23">
        <f t="shared" si="99"/>
        <v>3</v>
      </c>
      <c r="CQ50" s="23">
        <f t="shared" si="100"/>
        <v>3</v>
      </c>
      <c r="CR50" s="23">
        <f t="shared" si="101"/>
        <v>3</v>
      </c>
      <c r="CS50" s="23">
        <f t="shared" si="102"/>
        <v>3</v>
      </c>
      <c r="CT50" s="23">
        <f t="shared" si="103"/>
        <v>3</v>
      </c>
      <c r="CU50" s="23">
        <f t="shared" si="104"/>
        <v>3</v>
      </c>
      <c r="CV50" s="23">
        <f t="shared" si="105"/>
        <v>3</v>
      </c>
      <c r="CW50" s="23">
        <f t="shared" si="106"/>
        <v>3</v>
      </c>
      <c r="CX50" s="23">
        <f t="shared" si="107"/>
        <v>3</v>
      </c>
      <c r="CY50" s="23">
        <f t="shared" si="108"/>
        <v>3</v>
      </c>
      <c r="CZ50" s="23">
        <f t="shared" si="109"/>
        <v>3</v>
      </c>
      <c r="DA50" s="23">
        <f t="shared" si="110"/>
        <v>3</v>
      </c>
      <c r="DB50" s="23">
        <f t="shared" si="111"/>
        <v>3</v>
      </c>
      <c r="DC50" s="23">
        <f t="shared" si="112"/>
        <v>3</v>
      </c>
      <c r="DD50" s="23">
        <f t="shared" si="113"/>
        <v>3</v>
      </c>
      <c r="DE50" s="23">
        <f t="shared" si="114"/>
        <v>3</v>
      </c>
      <c r="DF50" s="23">
        <f t="shared" si="115"/>
        <v>103</v>
      </c>
      <c r="DG50" s="23">
        <f t="shared" si="116"/>
        <v>0</v>
      </c>
      <c r="DH50" s="23">
        <f t="shared" si="117"/>
        <v>0</v>
      </c>
      <c r="DI50" s="23">
        <f t="shared" si="118"/>
        <v>0</v>
      </c>
      <c r="DJ50" s="23">
        <f t="shared" si="119"/>
        <v>0</v>
      </c>
      <c r="DK50" s="23">
        <f t="shared" si="120"/>
        <v>0</v>
      </c>
      <c r="DL50" s="23">
        <f t="shared" si="121"/>
        <v>0</v>
      </c>
      <c r="DM50" s="23">
        <f t="shared" si="122"/>
        <v>0</v>
      </c>
      <c r="DN50" s="23">
        <f t="shared" si="123"/>
        <v>0</v>
      </c>
      <c r="DO50" s="23">
        <f t="shared" si="124"/>
        <v>0</v>
      </c>
      <c r="DP50" s="23">
        <f t="shared" si="125"/>
        <v>0</v>
      </c>
      <c r="DQ50" s="23">
        <f t="shared" si="126"/>
        <v>0</v>
      </c>
      <c r="DR50" s="23">
        <f t="shared" si="127"/>
        <v>0</v>
      </c>
      <c r="DS50" s="23">
        <f t="shared" si="128"/>
        <v>0</v>
      </c>
      <c r="DT50" s="23">
        <f t="shared" si="129"/>
        <v>0</v>
      </c>
      <c r="DU50" s="23">
        <f t="shared" si="130"/>
        <v>0</v>
      </c>
      <c r="DV50" s="23">
        <f t="shared" si="131"/>
        <v>0</v>
      </c>
      <c r="DW50" s="23">
        <f t="shared" si="132"/>
        <v>0</v>
      </c>
      <c r="DX50" s="23">
        <f t="shared" si="133"/>
        <v>0</v>
      </c>
      <c r="DY50" s="23">
        <f t="shared" si="134"/>
        <v>0</v>
      </c>
      <c r="DZ50" s="23">
        <f t="shared" si="135"/>
        <v>0</v>
      </c>
      <c r="EA50" s="23">
        <f t="shared" si="136"/>
        <v>0</v>
      </c>
      <c r="EB50" s="23">
        <f t="shared" si="137"/>
        <v>0</v>
      </c>
    </row>
    <row r="51" spans="1:132">
      <c r="A51" s="23">
        <v>20260815.10675</v>
      </c>
      <c r="B51" s="23">
        <v>20070607</v>
      </c>
      <c r="C51" s="23">
        <v>20260815</v>
      </c>
      <c r="D51" s="23">
        <v>1</v>
      </c>
      <c r="E51" s="23">
        <v>6.75</v>
      </c>
      <c r="F51" s="23">
        <v>116.984375</v>
      </c>
      <c r="G51" s="23">
        <v>117.046875</v>
      </c>
      <c r="H51" s="26">
        <f t="shared" si="76"/>
        <v>19.18888888888889</v>
      </c>
      <c r="I51" s="26">
        <f t="shared" si="77"/>
        <v>2.1</v>
      </c>
      <c r="K51" s="26">
        <v>0.18888888888888888</v>
      </c>
      <c r="L51" s="23">
        <f t="shared" si="141"/>
        <v>0.68888888888888888</v>
      </c>
      <c r="M51" s="23">
        <f t="shared" si="141"/>
        <v>1.1888888888888889</v>
      </c>
      <c r="N51" s="23">
        <f t="shared" si="141"/>
        <v>1.6888888888888889</v>
      </c>
      <c r="O51" s="23">
        <f t="shared" si="141"/>
        <v>2.1888888888888891</v>
      </c>
      <c r="P51" s="23">
        <f t="shared" si="141"/>
        <v>2.6888888888888891</v>
      </c>
      <c r="Q51" s="23">
        <f t="shared" si="141"/>
        <v>3.1888888888888891</v>
      </c>
      <c r="R51" s="23">
        <f t="shared" si="141"/>
        <v>3.6888888888888891</v>
      </c>
      <c r="S51" s="23">
        <f t="shared" si="141"/>
        <v>4.1888888888888891</v>
      </c>
      <c r="T51" s="23">
        <f t="shared" si="141"/>
        <v>4.6888888888888891</v>
      </c>
      <c r="U51" s="23">
        <f t="shared" si="141"/>
        <v>5.1888888888888891</v>
      </c>
      <c r="V51" s="23">
        <f t="shared" si="141"/>
        <v>5.6888888888888891</v>
      </c>
      <c r="W51" s="23">
        <f t="shared" si="141"/>
        <v>6.1888888888888891</v>
      </c>
      <c r="X51" s="23">
        <f t="shared" si="141"/>
        <v>6.6888888888888891</v>
      </c>
      <c r="Y51" s="23">
        <f t="shared" si="141"/>
        <v>7.1888888888888891</v>
      </c>
      <c r="Z51" s="23">
        <f t="shared" si="141"/>
        <v>7.6888888888888891</v>
      </c>
      <c r="AA51" s="23">
        <f t="shared" si="141"/>
        <v>8.18888888888889</v>
      </c>
      <c r="AB51" s="23">
        <f t="shared" si="141"/>
        <v>8.68888888888889</v>
      </c>
      <c r="AC51" s="23">
        <f t="shared" si="141"/>
        <v>9.18888888888889</v>
      </c>
      <c r="AD51" s="23">
        <f t="shared" si="141"/>
        <v>9.68888888888889</v>
      </c>
      <c r="AE51" s="23">
        <f t="shared" si="141"/>
        <v>10.18888888888889</v>
      </c>
      <c r="AF51" s="23">
        <f t="shared" si="141"/>
        <v>10.68888888888889</v>
      </c>
      <c r="AG51" s="23">
        <f t="shared" si="141"/>
        <v>11.18888888888889</v>
      </c>
      <c r="AH51" s="23">
        <f t="shared" si="141"/>
        <v>11.68888888888889</v>
      </c>
      <c r="AI51" s="23">
        <f t="shared" si="141"/>
        <v>12.18888888888889</v>
      </c>
      <c r="AJ51" s="23">
        <f t="shared" si="141"/>
        <v>12.68888888888889</v>
      </c>
      <c r="AK51" s="23">
        <f t="shared" si="141"/>
        <v>13.18888888888889</v>
      </c>
      <c r="AL51" s="23">
        <f t="shared" si="141"/>
        <v>13.68888888888889</v>
      </c>
      <c r="AM51" s="23">
        <f t="shared" si="141"/>
        <v>14.18888888888889</v>
      </c>
      <c r="AN51" s="23">
        <f t="shared" si="141"/>
        <v>14.68888888888889</v>
      </c>
      <c r="AO51" s="23">
        <f t="shared" si="141"/>
        <v>15.18888888888889</v>
      </c>
      <c r="AP51" s="23">
        <f t="shared" si="141"/>
        <v>15.68888888888889</v>
      </c>
      <c r="AQ51" s="23">
        <f t="shared" si="141"/>
        <v>16.18888888888889</v>
      </c>
      <c r="AR51" s="23">
        <f t="shared" si="141"/>
        <v>16.68888888888889</v>
      </c>
      <c r="AS51" s="23">
        <f t="shared" si="139"/>
        <v>17.18888888888889</v>
      </c>
      <c r="AT51" s="23">
        <f t="shared" si="139"/>
        <v>17.68888888888889</v>
      </c>
      <c r="AU51" s="23">
        <f t="shared" si="139"/>
        <v>18.18888888888889</v>
      </c>
      <c r="AV51" s="23">
        <f t="shared" si="139"/>
        <v>18.68888888888889</v>
      </c>
      <c r="AW51" s="23">
        <f t="shared" si="139"/>
        <v>19.18888888888889</v>
      </c>
      <c r="AX51" s="23">
        <f t="shared" si="139"/>
        <v>0</v>
      </c>
      <c r="AY51" s="23">
        <f t="shared" si="139"/>
        <v>0</v>
      </c>
      <c r="AZ51" s="23">
        <f t="shared" si="140"/>
        <v>0</v>
      </c>
      <c r="BA51" s="23">
        <f t="shared" si="140"/>
        <v>0</v>
      </c>
      <c r="BB51" s="23">
        <f t="shared" si="140"/>
        <v>0</v>
      </c>
      <c r="BC51" s="23">
        <f t="shared" si="140"/>
        <v>0</v>
      </c>
      <c r="BD51" s="23">
        <f t="shared" si="140"/>
        <v>0</v>
      </c>
      <c r="BE51" s="23">
        <f t="shared" si="140"/>
        <v>0</v>
      </c>
      <c r="BF51" s="23">
        <f t="shared" si="140"/>
        <v>0</v>
      </c>
      <c r="BG51" s="23">
        <f t="shared" si="140"/>
        <v>0</v>
      </c>
      <c r="BH51" s="23">
        <f t="shared" si="140"/>
        <v>0</v>
      </c>
      <c r="BI51" s="23">
        <f t="shared" si="140"/>
        <v>0</v>
      </c>
      <c r="BJ51" s="23">
        <f t="shared" si="140"/>
        <v>0</v>
      </c>
      <c r="BK51" s="23">
        <f t="shared" si="140"/>
        <v>0</v>
      </c>
      <c r="BL51" s="23">
        <f t="shared" si="140"/>
        <v>0</v>
      </c>
      <c r="BM51" s="23">
        <f t="shared" si="140"/>
        <v>0</v>
      </c>
      <c r="BN51" s="23">
        <f t="shared" si="140"/>
        <v>0</v>
      </c>
      <c r="BO51" s="23">
        <f t="shared" si="140"/>
        <v>0</v>
      </c>
      <c r="BP51" s="23">
        <f t="shared" si="138"/>
        <v>0</v>
      </c>
      <c r="BQ51" s="23">
        <f t="shared" si="138"/>
        <v>0</v>
      </c>
      <c r="BR51" s="23">
        <f t="shared" si="138"/>
        <v>0</v>
      </c>
      <c r="BS51" s="23">
        <f t="shared" si="138"/>
        <v>0</v>
      </c>
      <c r="BU51" s="23">
        <f t="shared" si="78"/>
        <v>3.375</v>
      </c>
      <c r="BV51" s="23">
        <f t="shared" si="79"/>
        <v>3.375</v>
      </c>
      <c r="BW51" s="23">
        <f t="shared" si="80"/>
        <v>3.375</v>
      </c>
      <c r="BX51" s="23">
        <f t="shared" si="81"/>
        <v>3.375</v>
      </c>
      <c r="BY51" s="23">
        <f t="shared" si="82"/>
        <v>3.375</v>
      </c>
      <c r="BZ51" s="23">
        <f t="shared" si="83"/>
        <v>3.375</v>
      </c>
      <c r="CA51" s="23">
        <f t="shared" si="84"/>
        <v>3.375</v>
      </c>
      <c r="CB51" s="23">
        <f t="shared" si="85"/>
        <v>3.375</v>
      </c>
      <c r="CC51" s="23">
        <f t="shared" si="86"/>
        <v>3.375</v>
      </c>
      <c r="CD51" s="23">
        <f t="shared" si="87"/>
        <v>3.375</v>
      </c>
      <c r="CE51" s="23">
        <f t="shared" si="88"/>
        <v>3.375</v>
      </c>
      <c r="CF51" s="23">
        <f t="shared" si="89"/>
        <v>3.375</v>
      </c>
      <c r="CG51" s="23">
        <f t="shared" si="90"/>
        <v>3.375</v>
      </c>
      <c r="CH51" s="23">
        <f t="shared" si="91"/>
        <v>3.375</v>
      </c>
      <c r="CI51" s="23">
        <f t="shared" si="92"/>
        <v>3.375</v>
      </c>
      <c r="CJ51" s="23">
        <f t="shared" si="93"/>
        <v>3.375</v>
      </c>
      <c r="CK51" s="23">
        <f t="shared" si="94"/>
        <v>3.375</v>
      </c>
      <c r="CL51" s="23">
        <f t="shared" si="95"/>
        <v>3.375</v>
      </c>
      <c r="CM51" s="23">
        <f t="shared" si="96"/>
        <v>3.375</v>
      </c>
      <c r="CN51" s="23">
        <f t="shared" si="97"/>
        <v>3.375</v>
      </c>
      <c r="CO51" s="23">
        <f t="shared" si="98"/>
        <v>3.375</v>
      </c>
      <c r="CP51" s="23">
        <f t="shared" si="99"/>
        <v>3.375</v>
      </c>
      <c r="CQ51" s="23">
        <f t="shared" si="100"/>
        <v>3.375</v>
      </c>
      <c r="CR51" s="23">
        <f t="shared" si="101"/>
        <v>3.375</v>
      </c>
      <c r="CS51" s="23">
        <f t="shared" si="102"/>
        <v>3.375</v>
      </c>
      <c r="CT51" s="23">
        <f t="shared" si="103"/>
        <v>3.375</v>
      </c>
      <c r="CU51" s="23">
        <f t="shared" si="104"/>
        <v>3.375</v>
      </c>
      <c r="CV51" s="23">
        <f t="shared" si="105"/>
        <v>3.375</v>
      </c>
      <c r="CW51" s="23">
        <f t="shared" si="106"/>
        <v>3.375</v>
      </c>
      <c r="CX51" s="23">
        <f t="shared" si="107"/>
        <v>3.375</v>
      </c>
      <c r="CY51" s="23">
        <f t="shared" si="108"/>
        <v>3.375</v>
      </c>
      <c r="CZ51" s="23">
        <f t="shared" si="109"/>
        <v>3.375</v>
      </c>
      <c r="DA51" s="23">
        <f t="shared" si="110"/>
        <v>3.375</v>
      </c>
      <c r="DB51" s="23">
        <f t="shared" si="111"/>
        <v>3.375</v>
      </c>
      <c r="DC51" s="23">
        <f t="shared" si="112"/>
        <v>3.375</v>
      </c>
      <c r="DD51" s="23">
        <f t="shared" si="113"/>
        <v>3.375</v>
      </c>
      <c r="DE51" s="23">
        <f t="shared" si="114"/>
        <v>3.375</v>
      </c>
      <c r="DF51" s="23">
        <f t="shared" si="115"/>
        <v>3.375</v>
      </c>
      <c r="DG51" s="23">
        <f t="shared" si="116"/>
        <v>103.375</v>
      </c>
      <c r="DH51" s="23">
        <f t="shared" si="117"/>
        <v>0</v>
      </c>
      <c r="DI51" s="23">
        <f t="shared" si="118"/>
        <v>0</v>
      </c>
      <c r="DJ51" s="23">
        <f t="shared" si="119"/>
        <v>0</v>
      </c>
      <c r="DK51" s="23">
        <f t="shared" si="120"/>
        <v>0</v>
      </c>
      <c r="DL51" s="23">
        <f t="shared" si="121"/>
        <v>0</v>
      </c>
      <c r="DM51" s="23">
        <f t="shared" si="122"/>
        <v>0</v>
      </c>
      <c r="DN51" s="23">
        <f t="shared" si="123"/>
        <v>0</v>
      </c>
      <c r="DO51" s="23">
        <f t="shared" si="124"/>
        <v>0</v>
      </c>
      <c r="DP51" s="23">
        <f t="shared" si="125"/>
        <v>0</v>
      </c>
      <c r="DQ51" s="23">
        <f t="shared" si="126"/>
        <v>0</v>
      </c>
      <c r="DR51" s="23">
        <f t="shared" si="127"/>
        <v>0</v>
      </c>
      <c r="DS51" s="23">
        <f t="shared" si="128"/>
        <v>0</v>
      </c>
      <c r="DT51" s="23">
        <f t="shared" si="129"/>
        <v>0</v>
      </c>
      <c r="DU51" s="23">
        <f t="shared" si="130"/>
        <v>0</v>
      </c>
      <c r="DV51" s="23">
        <f t="shared" si="131"/>
        <v>0</v>
      </c>
      <c r="DW51" s="23">
        <f t="shared" si="132"/>
        <v>0</v>
      </c>
      <c r="DX51" s="23">
        <f t="shared" si="133"/>
        <v>0</v>
      </c>
      <c r="DY51" s="23">
        <f t="shared" si="134"/>
        <v>0</v>
      </c>
      <c r="DZ51" s="23">
        <f t="shared" si="135"/>
        <v>0</v>
      </c>
      <c r="EA51" s="23">
        <f t="shared" si="136"/>
        <v>0</v>
      </c>
      <c r="EB51" s="23">
        <f t="shared" si="137"/>
        <v>0</v>
      </c>
    </row>
    <row r="52" spans="1:132">
      <c r="A52" s="23">
        <v>20270215.106619999</v>
      </c>
      <c r="B52" s="23">
        <v>20070607</v>
      </c>
      <c r="C52" s="23">
        <v>20270215</v>
      </c>
      <c r="D52" s="23">
        <v>1</v>
      </c>
      <c r="E52" s="23">
        <v>6.625</v>
      </c>
      <c r="F52" s="23">
        <v>115.75</v>
      </c>
      <c r="G52" s="23">
        <v>115.8125</v>
      </c>
      <c r="H52" s="26">
        <f t="shared" si="76"/>
        <v>19.68888888888889</v>
      </c>
      <c r="I52" s="26">
        <f t="shared" si="77"/>
        <v>2.0611111111111113</v>
      </c>
      <c r="K52" s="26">
        <v>0.18888888888888888</v>
      </c>
      <c r="L52" s="23">
        <f t="shared" si="141"/>
        <v>0.68888888888888888</v>
      </c>
      <c r="M52" s="23">
        <f t="shared" si="141"/>
        <v>1.1888888888888889</v>
      </c>
      <c r="N52" s="23">
        <f t="shared" si="141"/>
        <v>1.6888888888888889</v>
      </c>
      <c r="O52" s="23">
        <f t="shared" si="141"/>
        <v>2.1888888888888891</v>
      </c>
      <c r="P52" s="23">
        <f t="shared" si="141"/>
        <v>2.6888888888888891</v>
      </c>
      <c r="Q52" s="23">
        <f t="shared" si="141"/>
        <v>3.1888888888888891</v>
      </c>
      <c r="R52" s="23">
        <f t="shared" si="141"/>
        <v>3.6888888888888891</v>
      </c>
      <c r="S52" s="23">
        <f t="shared" si="141"/>
        <v>4.1888888888888891</v>
      </c>
      <c r="T52" s="23">
        <f t="shared" si="141"/>
        <v>4.6888888888888891</v>
      </c>
      <c r="U52" s="23">
        <f t="shared" si="141"/>
        <v>5.1888888888888891</v>
      </c>
      <c r="V52" s="23">
        <f t="shared" si="141"/>
        <v>5.6888888888888891</v>
      </c>
      <c r="W52" s="23">
        <f t="shared" si="141"/>
        <v>6.1888888888888891</v>
      </c>
      <c r="X52" s="23">
        <f t="shared" si="141"/>
        <v>6.6888888888888891</v>
      </c>
      <c r="Y52" s="23">
        <f t="shared" si="141"/>
        <v>7.1888888888888891</v>
      </c>
      <c r="Z52" s="23">
        <f t="shared" si="141"/>
        <v>7.6888888888888891</v>
      </c>
      <c r="AA52" s="23">
        <f t="shared" si="141"/>
        <v>8.18888888888889</v>
      </c>
      <c r="AB52" s="23">
        <f t="shared" si="141"/>
        <v>8.68888888888889</v>
      </c>
      <c r="AC52" s="23">
        <f t="shared" si="141"/>
        <v>9.18888888888889</v>
      </c>
      <c r="AD52" s="23">
        <f t="shared" si="141"/>
        <v>9.68888888888889</v>
      </c>
      <c r="AE52" s="23">
        <f t="shared" si="141"/>
        <v>10.18888888888889</v>
      </c>
      <c r="AF52" s="23">
        <f t="shared" si="141"/>
        <v>10.68888888888889</v>
      </c>
      <c r="AG52" s="23">
        <f t="shared" si="141"/>
        <v>11.18888888888889</v>
      </c>
      <c r="AH52" s="23">
        <f t="shared" si="141"/>
        <v>11.68888888888889</v>
      </c>
      <c r="AI52" s="23">
        <f t="shared" si="141"/>
        <v>12.18888888888889</v>
      </c>
      <c r="AJ52" s="23">
        <f t="shared" si="141"/>
        <v>12.68888888888889</v>
      </c>
      <c r="AK52" s="23">
        <f t="shared" si="141"/>
        <v>13.18888888888889</v>
      </c>
      <c r="AL52" s="23">
        <f t="shared" si="141"/>
        <v>13.68888888888889</v>
      </c>
      <c r="AM52" s="23">
        <f t="shared" si="141"/>
        <v>14.18888888888889</v>
      </c>
      <c r="AN52" s="23">
        <f t="shared" si="141"/>
        <v>14.68888888888889</v>
      </c>
      <c r="AO52" s="23">
        <f t="shared" si="141"/>
        <v>15.18888888888889</v>
      </c>
      <c r="AP52" s="23">
        <f t="shared" si="141"/>
        <v>15.68888888888889</v>
      </c>
      <c r="AQ52" s="23">
        <f t="shared" si="141"/>
        <v>16.18888888888889</v>
      </c>
      <c r="AR52" s="23">
        <f t="shared" si="141"/>
        <v>16.68888888888889</v>
      </c>
      <c r="AS52" s="23">
        <f t="shared" si="139"/>
        <v>17.18888888888889</v>
      </c>
      <c r="AT52" s="23">
        <f t="shared" si="139"/>
        <v>17.68888888888889</v>
      </c>
      <c r="AU52" s="23">
        <f t="shared" si="139"/>
        <v>18.18888888888889</v>
      </c>
      <c r="AV52" s="23">
        <f t="shared" si="139"/>
        <v>18.68888888888889</v>
      </c>
      <c r="AW52" s="23">
        <f t="shared" si="139"/>
        <v>19.18888888888889</v>
      </c>
      <c r="AX52" s="23">
        <f t="shared" si="139"/>
        <v>19.68888888888889</v>
      </c>
      <c r="AY52" s="23">
        <f t="shared" si="139"/>
        <v>0</v>
      </c>
      <c r="AZ52" s="23">
        <f t="shared" si="140"/>
        <v>0</v>
      </c>
      <c r="BA52" s="23">
        <f t="shared" si="140"/>
        <v>0</v>
      </c>
      <c r="BB52" s="23">
        <f t="shared" si="140"/>
        <v>0</v>
      </c>
      <c r="BC52" s="23">
        <f t="shared" si="140"/>
        <v>0</v>
      </c>
      <c r="BD52" s="23">
        <f t="shared" si="140"/>
        <v>0</v>
      </c>
      <c r="BE52" s="23">
        <f t="shared" si="140"/>
        <v>0</v>
      </c>
      <c r="BF52" s="23">
        <f t="shared" si="140"/>
        <v>0</v>
      </c>
      <c r="BG52" s="23">
        <f t="shared" si="140"/>
        <v>0</v>
      </c>
      <c r="BH52" s="23">
        <f t="shared" si="140"/>
        <v>0</v>
      </c>
      <c r="BI52" s="23">
        <f t="shared" si="140"/>
        <v>0</v>
      </c>
      <c r="BJ52" s="23">
        <f t="shared" si="140"/>
        <v>0</v>
      </c>
      <c r="BK52" s="23">
        <f t="shared" si="140"/>
        <v>0</v>
      </c>
      <c r="BL52" s="23">
        <f t="shared" si="140"/>
        <v>0</v>
      </c>
      <c r="BM52" s="23">
        <f t="shared" si="140"/>
        <v>0</v>
      </c>
      <c r="BN52" s="23">
        <f t="shared" si="140"/>
        <v>0</v>
      </c>
      <c r="BO52" s="23">
        <f t="shared" si="140"/>
        <v>0</v>
      </c>
      <c r="BP52" s="23">
        <f t="shared" si="138"/>
        <v>0</v>
      </c>
      <c r="BQ52" s="23">
        <f t="shared" si="138"/>
        <v>0</v>
      </c>
      <c r="BR52" s="23">
        <f t="shared" si="138"/>
        <v>0</v>
      </c>
      <c r="BS52" s="23">
        <f t="shared" si="138"/>
        <v>0</v>
      </c>
      <c r="BU52" s="23">
        <f t="shared" si="78"/>
        <v>3.3125</v>
      </c>
      <c r="BV52" s="23">
        <f t="shared" si="79"/>
        <v>3.3125</v>
      </c>
      <c r="BW52" s="23">
        <f t="shared" si="80"/>
        <v>3.3125</v>
      </c>
      <c r="BX52" s="23">
        <f t="shared" si="81"/>
        <v>3.3125</v>
      </c>
      <c r="BY52" s="23">
        <f t="shared" si="82"/>
        <v>3.3125</v>
      </c>
      <c r="BZ52" s="23">
        <f t="shared" si="83"/>
        <v>3.3125</v>
      </c>
      <c r="CA52" s="23">
        <f t="shared" si="84"/>
        <v>3.3125</v>
      </c>
      <c r="CB52" s="23">
        <f t="shared" si="85"/>
        <v>3.3125</v>
      </c>
      <c r="CC52" s="23">
        <f t="shared" si="86"/>
        <v>3.3125</v>
      </c>
      <c r="CD52" s="23">
        <f t="shared" si="87"/>
        <v>3.3125</v>
      </c>
      <c r="CE52" s="23">
        <f t="shared" si="88"/>
        <v>3.3125</v>
      </c>
      <c r="CF52" s="23">
        <f t="shared" si="89"/>
        <v>3.3125</v>
      </c>
      <c r="CG52" s="23">
        <f t="shared" si="90"/>
        <v>3.3125</v>
      </c>
      <c r="CH52" s="23">
        <f t="shared" si="91"/>
        <v>3.3125</v>
      </c>
      <c r="CI52" s="23">
        <f t="shared" si="92"/>
        <v>3.3125</v>
      </c>
      <c r="CJ52" s="23">
        <f t="shared" si="93"/>
        <v>3.3125</v>
      </c>
      <c r="CK52" s="23">
        <f t="shared" si="94"/>
        <v>3.3125</v>
      </c>
      <c r="CL52" s="23">
        <f t="shared" si="95"/>
        <v>3.3125</v>
      </c>
      <c r="CM52" s="23">
        <f t="shared" si="96"/>
        <v>3.3125</v>
      </c>
      <c r="CN52" s="23">
        <f t="shared" si="97"/>
        <v>3.3125</v>
      </c>
      <c r="CO52" s="23">
        <f t="shared" si="98"/>
        <v>3.3125</v>
      </c>
      <c r="CP52" s="23">
        <f t="shared" si="99"/>
        <v>3.3125</v>
      </c>
      <c r="CQ52" s="23">
        <f t="shared" si="100"/>
        <v>3.3125</v>
      </c>
      <c r="CR52" s="23">
        <f t="shared" si="101"/>
        <v>3.3125</v>
      </c>
      <c r="CS52" s="23">
        <f t="shared" si="102"/>
        <v>3.3125</v>
      </c>
      <c r="CT52" s="23">
        <f t="shared" si="103"/>
        <v>3.3125</v>
      </c>
      <c r="CU52" s="23">
        <f t="shared" si="104"/>
        <v>3.3125</v>
      </c>
      <c r="CV52" s="23">
        <f t="shared" si="105"/>
        <v>3.3125</v>
      </c>
      <c r="CW52" s="23">
        <f t="shared" si="106"/>
        <v>3.3125</v>
      </c>
      <c r="CX52" s="23">
        <f t="shared" si="107"/>
        <v>3.3125</v>
      </c>
      <c r="CY52" s="23">
        <f t="shared" si="108"/>
        <v>3.3125</v>
      </c>
      <c r="CZ52" s="23">
        <f t="shared" si="109"/>
        <v>3.3125</v>
      </c>
      <c r="DA52" s="23">
        <f t="shared" si="110"/>
        <v>3.3125</v>
      </c>
      <c r="DB52" s="23">
        <f t="shared" si="111"/>
        <v>3.3125</v>
      </c>
      <c r="DC52" s="23">
        <f t="shared" si="112"/>
        <v>3.3125</v>
      </c>
      <c r="DD52" s="23">
        <f t="shared" si="113"/>
        <v>3.3125</v>
      </c>
      <c r="DE52" s="23">
        <f t="shared" si="114"/>
        <v>3.3125</v>
      </c>
      <c r="DF52" s="23">
        <f t="shared" si="115"/>
        <v>3.3125</v>
      </c>
      <c r="DG52" s="23">
        <f t="shared" si="116"/>
        <v>3.3125</v>
      </c>
      <c r="DH52" s="23">
        <f t="shared" si="117"/>
        <v>103.3125</v>
      </c>
      <c r="DI52" s="23">
        <f t="shared" si="118"/>
        <v>0</v>
      </c>
      <c r="DJ52" s="23">
        <f t="shared" si="119"/>
        <v>0</v>
      </c>
      <c r="DK52" s="23">
        <f t="shared" si="120"/>
        <v>0</v>
      </c>
      <c r="DL52" s="23">
        <f t="shared" si="121"/>
        <v>0</v>
      </c>
      <c r="DM52" s="23">
        <f t="shared" si="122"/>
        <v>0</v>
      </c>
      <c r="DN52" s="23">
        <f t="shared" si="123"/>
        <v>0</v>
      </c>
      <c r="DO52" s="23">
        <f t="shared" si="124"/>
        <v>0</v>
      </c>
      <c r="DP52" s="23">
        <f t="shared" si="125"/>
        <v>0</v>
      </c>
      <c r="DQ52" s="23">
        <f t="shared" si="126"/>
        <v>0</v>
      </c>
      <c r="DR52" s="23">
        <f t="shared" si="127"/>
        <v>0</v>
      </c>
      <c r="DS52" s="23">
        <f t="shared" si="128"/>
        <v>0</v>
      </c>
      <c r="DT52" s="23">
        <f t="shared" si="129"/>
        <v>0</v>
      </c>
      <c r="DU52" s="23">
        <f t="shared" si="130"/>
        <v>0</v>
      </c>
      <c r="DV52" s="23">
        <f t="shared" si="131"/>
        <v>0</v>
      </c>
      <c r="DW52" s="23">
        <f t="shared" si="132"/>
        <v>0</v>
      </c>
      <c r="DX52" s="23">
        <f t="shared" si="133"/>
        <v>0</v>
      </c>
      <c r="DY52" s="23">
        <f t="shared" si="134"/>
        <v>0</v>
      </c>
      <c r="DZ52" s="23">
        <f t="shared" si="135"/>
        <v>0</v>
      </c>
      <c r="EA52" s="23">
        <f t="shared" si="136"/>
        <v>0</v>
      </c>
      <c r="EB52" s="23">
        <f t="shared" si="137"/>
        <v>0</v>
      </c>
    </row>
    <row r="53" spans="1:132">
      <c r="A53" s="23">
        <v>20270815.106369998</v>
      </c>
      <c r="B53" s="23">
        <v>20070607</v>
      </c>
      <c r="C53" s="23">
        <v>20270815</v>
      </c>
      <c r="D53" s="23">
        <v>1</v>
      </c>
      <c r="E53" s="23">
        <v>6.375</v>
      </c>
      <c r="F53" s="23">
        <v>112.921875</v>
      </c>
      <c r="G53" s="23">
        <v>112.984375</v>
      </c>
      <c r="H53" s="26">
        <f t="shared" si="76"/>
        <v>20.18888888888889</v>
      </c>
      <c r="I53" s="26">
        <f t="shared" si="77"/>
        <v>1.9833333333333334</v>
      </c>
      <c r="K53" s="26">
        <v>0.18888888888888888</v>
      </c>
      <c r="L53" s="23">
        <f t="shared" si="141"/>
        <v>0.68888888888888888</v>
      </c>
      <c r="M53" s="23">
        <f t="shared" si="141"/>
        <v>1.1888888888888889</v>
      </c>
      <c r="N53" s="23">
        <f t="shared" si="141"/>
        <v>1.6888888888888889</v>
      </c>
      <c r="O53" s="23">
        <f t="shared" si="141"/>
        <v>2.1888888888888891</v>
      </c>
      <c r="P53" s="23">
        <f t="shared" si="141"/>
        <v>2.6888888888888891</v>
      </c>
      <c r="Q53" s="23">
        <f t="shared" si="141"/>
        <v>3.1888888888888891</v>
      </c>
      <c r="R53" s="23">
        <f t="shared" si="141"/>
        <v>3.6888888888888891</v>
      </c>
      <c r="S53" s="23">
        <f t="shared" si="141"/>
        <v>4.1888888888888891</v>
      </c>
      <c r="T53" s="23">
        <f t="shared" si="141"/>
        <v>4.6888888888888891</v>
      </c>
      <c r="U53" s="23">
        <f t="shared" si="141"/>
        <v>5.1888888888888891</v>
      </c>
      <c r="V53" s="23">
        <f t="shared" si="141"/>
        <v>5.6888888888888891</v>
      </c>
      <c r="W53" s="23">
        <f t="shared" si="141"/>
        <v>6.1888888888888891</v>
      </c>
      <c r="X53" s="23">
        <f t="shared" si="141"/>
        <v>6.6888888888888891</v>
      </c>
      <c r="Y53" s="23">
        <f t="shared" si="141"/>
        <v>7.1888888888888891</v>
      </c>
      <c r="Z53" s="23">
        <f t="shared" si="141"/>
        <v>7.6888888888888891</v>
      </c>
      <c r="AA53" s="23">
        <f t="shared" si="141"/>
        <v>8.18888888888889</v>
      </c>
      <c r="AB53" s="23">
        <f t="shared" si="141"/>
        <v>8.68888888888889</v>
      </c>
      <c r="AC53" s="23">
        <f t="shared" si="141"/>
        <v>9.18888888888889</v>
      </c>
      <c r="AD53" s="23">
        <f t="shared" si="141"/>
        <v>9.68888888888889</v>
      </c>
      <c r="AE53" s="23">
        <f t="shared" si="141"/>
        <v>10.18888888888889</v>
      </c>
      <c r="AF53" s="23">
        <f t="shared" si="141"/>
        <v>10.68888888888889</v>
      </c>
      <c r="AG53" s="23">
        <f t="shared" si="141"/>
        <v>11.18888888888889</v>
      </c>
      <c r="AH53" s="23">
        <f t="shared" si="141"/>
        <v>11.68888888888889</v>
      </c>
      <c r="AI53" s="23">
        <f t="shared" si="141"/>
        <v>12.18888888888889</v>
      </c>
      <c r="AJ53" s="23">
        <f t="shared" si="141"/>
        <v>12.68888888888889</v>
      </c>
      <c r="AK53" s="23">
        <f t="shared" si="141"/>
        <v>13.18888888888889</v>
      </c>
      <c r="AL53" s="23">
        <f t="shared" si="141"/>
        <v>13.68888888888889</v>
      </c>
      <c r="AM53" s="23">
        <f t="shared" si="141"/>
        <v>14.18888888888889</v>
      </c>
      <c r="AN53" s="23">
        <f t="shared" si="141"/>
        <v>14.68888888888889</v>
      </c>
      <c r="AO53" s="23">
        <f t="shared" si="141"/>
        <v>15.18888888888889</v>
      </c>
      <c r="AP53" s="23">
        <f t="shared" si="141"/>
        <v>15.68888888888889</v>
      </c>
      <c r="AQ53" s="23">
        <f t="shared" si="141"/>
        <v>16.18888888888889</v>
      </c>
      <c r="AR53" s="23">
        <f t="shared" si="141"/>
        <v>16.68888888888889</v>
      </c>
      <c r="AS53" s="23">
        <f t="shared" si="139"/>
        <v>17.18888888888889</v>
      </c>
      <c r="AT53" s="23">
        <f t="shared" si="139"/>
        <v>17.68888888888889</v>
      </c>
      <c r="AU53" s="23">
        <f t="shared" si="139"/>
        <v>18.18888888888889</v>
      </c>
      <c r="AV53" s="23">
        <f t="shared" si="139"/>
        <v>18.68888888888889</v>
      </c>
      <c r="AW53" s="23">
        <f t="shared" si="139"/>
        <v>19.18888888888889</v>
      </c>
      <c r="AX53" s="23">
        <f t="shared" si="139"/>
        <v>19.68888888888889</v>
      </c>
      <c r="AY53" s="23">
        <f t="shared" si="139"/>
        <v>20.18888888888889</v>
      </c>
      <c r="AZ53" s="23">
        <f t="shared" si="140"/>
        <v>0</v>
      </c>
      <c r="BA53" s="23">
        <f t="shared" si="140"/>
        <v>0</v>
      </c>
      <c r="BB53" s="23">
        <f t="shared" si="140"/>
        <v>0</v>
      </c>
      <c r="BC53" s="23">
        <f t="shared" si="140"/>
        <v>0</v>
      </c>
      <c r="BD53" s="23">
        <f t="shared" si="140"/>
        <v>0</v>
      </c>
      <c r="BE53" s="23">
        <f t="shared" si="140"/>
        <v>0</v>
      </c>
      <c r="BF53" s="23">
        <f t="shared" si="140"/>
        <v>0</v>
      </c>
      <c r="BG53" s="23">
        <f t="shared" si="140"/>
        <v>0</v>
      </c>
      <c r="BH53" s="23">
        <f t="shared" si="140"/>
        <v>0</v>
      </c>
      <c r="BI53" s="23">
        <f t="shared" si="140"/>
        <v>0</v>
      </c>
      <c r="BJ53" s="23">
        <f t="shared" si="140"/>
        <v>0</v>
      </c>
      <c r="BK53" s="23">
        <f t="shared" si="140"/>
        <v>0</v>
      </c>
      <c r="BL53" s="23">
        <f t="shared" si="140"/>
        <v>0</v>
      </c>
      <c r="BM53" s="23">
        <f t="shared" si="140"/>
        <v>0</v>
      </c>
      <c r="BN53" s="23">
        <f t="shared" si="140"/>
        <v>0</v>
      </c>
      <c r="BO53" s="23">
        <f t="shared" si="140"/>
        <v>0</v>
      </c>
      <c r="BP53" s="23">
        <f t="shared" si="138"/>
        <v>0</v>
      </c>
      <c r="BQ53" s="23">
        <f t="shared" si="138"/>
        <v>0</v>
      </c>
      <c r="BR53" s="23">
        <f t="shared" si="138"/>
        <v>0</v>
      </c>
      <c r="BS53" s="23">
        <f t="shared" si="138"/>
        <v>0</v>
      </c>
      <c r="BU53" s="23">
        <f t="shared" si="78"/>
        <v>3.1875</v>
      </c>
      <c r="BV53" s="23">
        <f t="shared" si="79"/>
        <v>3.1875</v>
      </c>
      <c r="BW53" s="23">
        <f t="shared" si="80"/>
        <v>3.1875</v>
      </c>
      <c r="BX53" s="23">
        <f t="shared" si="81"/>
        <v>3.1875</v>
      </c>
      <c r="BY53" s="23">
        <f t="shared" si="82"/>
        <v>3.1875</v>
      </c>
      <c r="BZ53" s="23">
        <f t="shared" si="83"/>
        <v>3.1875</v>
      </c>
      <c r="CA53" s="23">
        <f t="shared" si="84"/>
        <v>3.1875</v>
      </c>
      <c r="CB53" s="23">
        <f t="shared" si="85"/>
        <v>3.1875</v>
      </c>
      <c r="CC53" s="23">
        <f t="shared" si="86"/>
        <v>3.1875</v>
      </c>
      <c r="CD53" s="23">
        <f t="shared" si="87"/>
        <v>3.1875</v>
      </c>
      <c r="CE53" s="23">
        <f t="shared" si="88"/>
        <v>3.1875</v>
      </c>
      <c r="CF53" s="23">
        <f t="shared" si="89"/>
        <v>3.1875</v>
      </c>
      <c r="CG53" s="23">
        <f t="shared" si="90"/>
        <v>3.1875</v>
      </c>
      <c r="CH53" s="23">
        <f t="shared" si="91"/>
        <v>3.1875</v>
      </c>
      <c r="CI53" s="23">
        <f t="shared" si="92"/>
        <v>3.1875</v>
      </c>
      <c r="CJ53" s="23">
        <f t="shared" si="93"/>
        <v>3.1875</v>
      </c>
      <c r="CK53" s="23">
        <f t="shared" si="94"/>
        <v>3.1875</v>
      </c>
      <c r="CL53" s="23">
        <f t="shared" si="95"/>
        <v>3.1875</v>
      </c>
      <c r="CM53" s="23">
        <f t="shared" si="96"/>
        <v>3.1875</v>
      </c>
      <c r="CN53" s="23">
        <f t="shared" si="97"/>
        <v>3.1875</v>
      </c>
      <c r="CO53" s="23">
        <f t="shared" si="98"/>
        <v>3.1875</v>
      </c>
      <c r="CP53" s="23">
        <f t="shared" si="99"/>
        <v>3.1875</v>
      </c>
      <c r="CQ53" s="23">
        <f t="shared" si="100"/>
        <v>3.1875</v>
      </c>
      <c r="CR53" s="23">
        <f t="shared" si="101"/>
        <v>3.1875</v>
      </c>
      <c r="CS53" s="23">
        <f t="shared" si="102"/>
        <v>3.1875</v>
      </c>
      <c r="CT53" s="23">
        <f t="shared" si="103"/>
        <v>3.1875</v>
      </c>
      <c r="CU53" s="23">
        <f t="shared" si="104"/>
        <v>3.1875</v>
      </c>
      <c r="CV53" s="23">
        <f t="shared" si="105"/>
        <v>3.1875</v>
      </c>
      <c r="CW53" s="23">
        <f t="shared" si="106"/>
        <v>3.1875</v>
      </c>
      <c r="CX53" s="23">
        <f t="shared" si="107"/>
        <v>3.1875</v>
      </c>
      <c r="CY53" s="23">
        <f t="shared" si="108"/>
        <v>3.1875</v>
      </c>
      <c r="CZ53" s="23">
        <f t="shared" si="109"/>
        <v>3.1875</v>
      </c>
      <c r="DA53" s="23">
        <f t="shared" si="110"/>
        <v>3.1875</v>
      </c>
      <c r="DB53" s="23">
        <f t="shared" si="111"/>
        <v>3.1875</v>
      </c>
      <c r="DC53" s="23">
        <f t="shared" si="112"/>
        <v>3.1875</v>
      </c>
      <c r="DD53" s="23">
        <f t="shared" si="113"/>
        <v>3.1875</v>
      </c>
      <c r="DE53" s="23">
        <f t="shared" si="114"/>
        <v>3.1875</v>
      </c>
      <c r="DF53" s="23">
        <f t="shared" si="115"/>
        <v>3.1875</v>
      </c>
      <c r="DG53" s="23">
        <f t="shared" si="116"/>
        <v>3.1875</v>
      </c>
      <c r="DH53" s="23">
        <f t="shared" si="117"/>
        <v>3.1875</v>
      </c>
      <c r="DI53" s="23">
        <f t="shared" si="118"/>
        <v>103.1875</v>
      </c>
      <c r="DJ53" s="23">
        <f t="shared" si="119"/>
        <v>0</v>
      </c>
      <c r="DK53" s="23">
        <f t="shared" si="120"/>
        <v>0</v>
      </c>
      <c r="DL53" s="23">
        <f t="shared" si="121"/>
        <v>0</v>
      </c>
      <c r="DM53" s="23">
        <f t="shared" si="122"/>
        <v>0</v>
      </c>
      <c r="DN53" s="23">
        <f t="shared" si="123"/>
        <v>0</v>
      </c>
      <c r="DO53" s="23">
        <f t="shared" si="124"/>
        <v>0</v>
      </c>
      <c r="DP53" s="23">
        <f t="shared" si="125"/>
        <v>0</v>
      </c>
      <c r="DQ53" s="23">
        <f t="shared" si="126"/>
        <v>0</v>
      </c>
      <c r="DR53" s="23">
        <f t="shared" si="127"/>
        <v>0</v>
      </c>
      <c r="DS53" s="23">
        <f t="shared" si="128"/>
        <v>0</v>
      </c>
      <c r="DT53" s="23">
        <f t="shared" si="129"/>
        <v>0</v>
      </c>
      <c r="DU53" s="23">
        <f t="shared" si="130"/>
        <v>0</v>
      </c>
      <c r="DV53" s="23">
        <f t="shared" si="131"/>
        <v>0</v>
      </c>
      <c r="DW53" s="23">
        <f t="shared" si="132"/>
        <v>0</v>
      </c>
      <c r="DX53" s="23">
        <f t="shared" si="133"/>
        <v>0</v>
      </c>
      <c r="DY53" s="23">
        <f t="shared" si="134"/>
        <v>0</v>
      </c>
      <c r="DZ53" s="23">
        <f t="shared" si="135"/>
        <v>0</v>
      </c>
      <c r="EA53" s="23">
        <f t="shared" si="136"/>
        <v>0</v>
      </c>
      <c r="EB53" s="23">
        <f t="shared" si="137"/>
        <v>0</v>
      </c>
    </row>
    <row r="54" spans="1:132">
      <c r="A54" s="23">
        <v>20280815.105500001</v>
      </c>
      <c r="B54" s="23">
        <v>20070607</v>
      </c>
      <c r="C54" s="23">
        <v>20280815</v>
      </c>
      <c r="D54" s="23">
        <v>1</v>
      </c>
      <c r="E54" s="23">
        <v>5.5</v>
      </c>
      <c r="F54" s="23">
        <v>102.375</v>
      </c>
      <c r="G54" s="23">
        <v>102.4375</v>
      </c>
      <c r="H54" s="26">
        <f t="shared" si="76"/>
        <v>21.18888888888889</v>
      </c>
      <c r="I54" s="26">
        <f t="shared" si="77"/>
        <v>1.7111111111111112</v>
      </c>
      <c r="K54" s="26">
        <v>0.18888888888888888</v>
      </c>
      <c r="L54" s="23">
        <f t="shared" si="141"/>
        <v>0.68888888888888888</v>
      </c>
      <c r="M54" s="23">
        <f t="shared" si="141"/>
        <v>1.1888888888888889</v>
      </c>
      <c r="N54" s="23">
        <f t="shared" si="141"/>
        <v>1.6888888888888889</v>
      </c>
      <c r="O54" s="23">
        <f t="shared" si="141"/>
        <v>2.1888888888888891</v>
      </c>
      <c r="P54" s="23">
        <f t="shared" si="141"/>
        <v>2.6888888888888891</v>
      </c>
      <c r="Q54" s="23">
        <f t="shared" si="141"/>
        <v>3.1888888888888891</v>
      </c>
      <c r="R54" s="23">
        <f t="shared" si="141"/>
        <v>3.6888888888888891</v>
      </c>
      <c r="S54" s="23">
        <f t="shared" si="141"/>
        <v>4.1888888888888891</v>
      </c>
      <c r="T54" s="23">
        <f t="shared" si="141"/>
        <v>4.6888888888888891</v>
      </c>
      <c r="U54" s="23">
        <f t="shared" si="141"/>
        <v>5.1888888888888891</v>
      </c>
      <c r="V54" s="23">
        <f t="shared" si="141"/>
        <v>5.6888888888888891</v>
      </c>
      <c r="W54" s="23">
        <f t="shared" si="141"/>
        <v>6.1888888888888891</v>
      </c>
      <c r="X54" s="23">
        <f t="shared" si="141"/>
        <v>6.6888888888888891</v>
      </c>
      <c r="Y54" s="23">
        <f t="shared" si="141"/>
        <v>7.1888888888888891</v>
      </c>
      <c r="Z54" s="23">
        <f t="shared" si="141"/>
        <v>7.6888888888888891</v>
      </c>
      <c r="AA54" s="23">
        <f t="shared" si="141"/>
        <v>8.18888888888889</v>
      </c>
      <c r="AB54" s="23">
        <f t="shared" si="141"/>
        <v>8.68888888888889</v>
      </c>
      <c r="AC54" s="23">
        <f t="shared" si="141"/>
        <v>9.18888888888889</v>
      </c>
      <c r="AD54" s="23">
        <f t="shared" si="141"/>
        <v>9.68888888888889</v>
      </c>
      <c r="AE54" s="23">
        <f t="shared" si="141"/>
        <v>10.18888888888889</v>
      </c>
      <c r="AF54" s="23">
        <f t="shared" si="141"/>
        <v>10.68888888888889</v>
      </c>
      <c r="AG54" s="23">
        <f t="shared" si="141"/>
        <v>11.18888888888889</v>
      </c>
      <c r="AH54" s="23">
        <f t="shared" si="141"/>
        <v>11.68888888888889</v>
      </c>
      <c r="AI54" s="23">
        <f t="shared" si="141"/>
        <v>12.18888888888889</v>
      </c>
      <c r="AJ54" s="23">
        <f t="shared" si="141"/>
        <v>12.68888888888889</v>
      </c>
      <c r="AK54" s="23">
        <f t="shared" si="141"/>
        <v>13.18888888888889</v>
      </c>
      <c r="AL54" s="23">
        <f t="shared" si="141"/>
        <v>13.68888888888889</v>
      </c>
      <c r="AM54" s="23">
        <f t="shared" si="141"/>
        <v>14.18888888888889</v>
      </c>
      <c r="AN54" s="23">
        <f t="shared" si="141"/>
        <v>14.68888888888889</v>
      </c>
      <c r="AO54" s="23">
        <f t="shared" si="141"/>
        <v>15.18888888888889</v>
      </c>
      <c r="AP54" s="23">
        <f t="shared" si="141"/>
        <v>15.68888888888889</v>
      </c>
      <c r="AQ54" s="23">
        <f t="shared" si="141"/>
        <v>16.18888888888889</v>
      </c>
      <c r="AR54" s="23">
        <f t="shared" si="141"/>
        <v>16.68888888888889</v>
      </c>
      <c r="AS54" s="23">
        <f t="shared" si="139"/>
        <v>17.18888888888889</v>
      </c>
      <c r="AT54" s="23">
        <f t="shared" si="139"/>
        <v>17.68888888888889</v>
      </c>
      <c r="AU54" s="23">
        <f t="shared" si="139"/>
        <v>18.18888888888889</v>
      </c>
      <c r="AV54" s="23">
        <f t="shared" si="139"/>
        <v>18.68888888888889</v>
      </c>
      <c r="AW54" s="23">
        <f t="shared" si="139"/>
        <v>19.18888888888889</v>
      </c>
      <c r="AX54" s="23">
        <f t="shared" si="139"/>
        <v>19.68888888888889</v>
      </c>
      <c r="AY54" s="23">
        <f t="shared" si="139"/>
        <v>20.18888888888889</v>
      </c>
      <c r="AZ54" s="23">
        <f t="shared" si="140"/>
        <v>20.68888888888889</v>
      </c>
      <c r="BA54" s="23">
        <f t="shared" si="140"/>
        <v>21.18888888888889</v>
      </c>
      <c r="BB54" s="23">
        <f t="shared" si="140"/>
        <v>0</v>
      </c>
      <c r="BC54" s="23">
        <f t="shared" si="140"/>
        <v>0</v>
      </c>
      <c r="BD54" s="23">
        <f t="shared" si="140"/>
        <v>0</v>
      </c>
      <c r="BE54" s="23">
        <f t="shared" si="140"/>
        <v>0</v>
      </c>
      <c r="BF54" s="23">
        <f t="shared" si="140"/>
        <v>0</v>
      </c>
      <c r="BG54" s="23">
        <f t="shared" si="140"/>
        <v>0</v>
      </c>
      <c r="BH54" s="23">
        <f t="shared" si="140"/>
        <v>0</v>
      </c>
      <c r="BI54" s="23">
        <f t="shared" si="140"/>
        <v>0</v>
      </c>
      <c r="BJ54" s="23">
        <f t="shared" si="140"/>
        <v>0</v>
      </c>
      <c r="BK54" s="23">
        <f t="shared" si="140"/>
        <v>0</v>
      </c>
      <c r="BL54" s="23">
        <f t="shared" si="140"/>
        <v>0</v>
      </c>
      <c r="BM54" s="23">
        <f t="shared" si="140"/>
        <v>0</v>
      </c>
      <c r="BN54" s="23">
        <f t="shared" si="140"/>
        <v>0</v>
      </c>
      <c r="BO54" s="23">
        <f t="shared" si="140"/>
        <v>0</v>
      </c>
      <c r="BP54" s="23">
        <f t="shared" si="138"/>
        <v>0</v>
      </c>
      <c r="BQ54" s="23">
        <f t="shared" si="138"/>
        <v>0</v>
      </c>
      <c r="BR54" s="23">
        <f t="shared" si="138"/>
        <v>0</v>
      </c>
      <c r="BS54" s="23">
        <f t="shared" si="138"/>
        <v>0</v>
      </c>
      <c r="BU54" s="23">
        <f t="shared" si="78"/>
        <v>2.75</v>
      </c>
      <c r="BV54" s="23">
        <f t="shared" si="79"/>
        <v>2.75</v>
      </c>
      <c r="BW54" s="23">
        <f t="shared" si="80"/>
        <v>2.75</v>
      </c>
      <c r="BX54" s="23">
        <f t="shared" si="81"/>
        <v>2.75</v>
      </c>
      <c r="BY54" s="23">
        <f t="shared" si="82"/>
        <v>2.75</v>
      </c>
      <c r="BZ54" s="23">
        <f t="shared" si="83"/>
        <v>2.75</v>
      </c>
      <c r="CA54" s="23">
        <f t="shared" si="84"/>
        <v>2.75</v>
      </c>
      <c r="CB54" s="23">
        <f t="shared" si="85"/>
        <v>2.75</v>
      </c>
      <c r="CC54" s="23">
        <f t="shared" si="86"/>
        <v>2.75</v>
      </c>
      <c r="CD54" s="23">
        <f t="shared" si="87"/>
        <v>2.75</v>
      </c>
      <c r="CE54" s="23">
        <f t="shared" si="88"/>
        <v>2.75</v>
      </c>
      <c r="CF54" s="23">
        <f t="shared" si="89"/>
        <v>2.75</v>
      </c>
      <c r="CG54" s="23">
        <f t="shared" si="90"/>
        <v>2.75</v>
      </c>
      <c r="CH54" s="23">
        <f t="shared" si="91"/>
        <v>2.75</v>
      </c>
      <c r="CI54" s="23">
        <f t="shared" si="92"/>
        <v>2.75</v>
      </c>
      <c r="CJ54" s="23">
        <f t="shared" si="93"/>
        <v>2.75</v>
      </c>
      <c r="CK54" s="23">
        <f t="shared" si="94"/>
        <v>2.75</v>
      </c>
      <c r="CL54" s="23">
        <f t="shared" si="95"/>
        <v>2.75</v>
      </c>
      <c r="CM54" s="23">
        <f t="shared" si="96"/>
        <v>2.75</v>
      </c>
      <c r="CN54" s="23">
        <f t="shared" si="97"/>
        <v>2.75</v>
      </c>
      <c r="CO54" s="23">
        <f t="shared" si="98"/>
        <v>2.75</v>
      </c>
      <c r="CP54" s="23">
        <f t="shared" si="99"/>
        <v>2.75</v>
      </c>
      <c r="CQ54" s="23">
        <f t="shared" si="100"/>
        <v>2.75</v>
      </c>
      <c r="CR54" s="23">
        <f t="shared" si="101"/>
        <v>2.75</v>
      </c>
      <c r="CS54" s="23">
        <f t="shared" si="102"/>
        <v>2.75</v>
      </c>
      <c r="CT54" s="23">
        <f t="shared" si="103"/>
        <v>2.75</v>
      </c>
      <c r="CU54" s="23">
        <f t="shared" si="104"/>
        <v>2.75</v>
      </c>
      <c r="CV54" s="23">
        <f t="shared" si="105"/>
        <v>2.75</v>
      </c>
      <c r="CW54" s="23">
        <f t="shared" si="106"/>
        <v>2.75</v>
      </c>
      <c r="CX54" s="23">
        <f t="shared" si="107"/>
        <v>2.75</v>
      </c>
      <c r="CY54" s="23">
        <f t="shared" si="108"/>
        <v>2.75</v>
      </c>
      <c r="CZ54" s="23">
        <f t="shared" si="109"/>
        <v>2.75</v>
      </c>
      <c r="DA54" s="23">
        <f t="shared" si="110"/>
        <v>2.75</v>
      </c>
      <c r="DB54" s="23">
        <f t="shared" si="111"/>
        <v>2.75</v>
      </c>
      <c r="DC54" s="23">
        <f t="shared" si="112"/>
        <v>2.75</v>
      </c>
      <c r="DD54" s="23">
        <f t="shared" si="113"/>
        <v>2.75</v>
      </c>
      <c r="DE54" s="23">
        <f t="shared" si="114"/>
        <v>2.75</v>
      </c>
      <c r="DF54" s="23">
        <f t="shared" si="115"/>
        <v>2.75</v>
      </c>
      <c r="DG54" s="23">
        <f t="shared" si="116"/>
        <v>2.75</v>
      </c>
      <c r="DH54" s="23">
        <f t="shared" si="117"/>
        <v>2.75</v>
      </c>
      <c r="DI54" s="23">
        <f t="shared" si="118"/>
        <v>2.75</v>
      </c>
      <c r="DJ54" s="23">
        <f t="shared" si="119"/>
        <v>2.75</v>
      </c>
      <c r="DK54" s="23">
        <f t="shared" si="120"/>
        <v>102.75</v>
      </c>
      <c r="DL54" s="23">
        <f t="shared" si="121"/>
        <v>0</v>
      </c>
      <c r="DM54" s="23">
        <f t="shared" si="122"/>
        <v>0</v>
      </c>
      <c r="DN54" s="23">
        <f t="shared" si="123"/>
        <v>0</v>
      </c>
      <c r="DO54" s="23">
        <f t="shared" si="124"/>
        <v>0</v>
      </c>
      <c r="DP54" s="23">
        <f t="shared" si="125"/>
        <v>0</v>
      </c>
      <c r="DQ54" s="23">
        <f t="shared" si="126"/>
        <v>0</v>
      </c>
      <c r="DR54" s="23">
        <f t="shared" si="127"/>
        <v>0</v>
      </c>
      <c r="DS54" s="23">
        <f t="shared" si="128"/>
        <v>0</v>
      </c>
      <c r="DT54" s="23">
        <f t="shared" si="129"/>
        <v>0</v>
      </c>
      <c r="DU54" s="23">
        <f t="shared" si="130"/>
        <v>0</v>
      </c>
      <c r="DV54" s="23">
        <f t="shared" si="131"/>
        <v>0</v>
      </c>
      <c r="DW54" s="23">
        <f t="shared" si="132"/>
        <v>0</v>
      </c>
      <c r="DX54" s="23">
        <f t="shared" si="133"/>
        <v>0</v>
      </c>
      <c r="DY54" s="23">
        <f t="shared" si="134"/>
        <v>0</v>
      </c>
      <c r="DZ54" s="23">
        <f t="shared" si="135"/>
        <v>0</v>
      </c>
      <c r="EA54" s="23">
        <f t="shared" si="136"/>
        <v>0</v>
      </c>
      <c r="EB54" s="23">
        <f t="shared" si="137"/>
        <v>0</v>
      </c>
    </row>
    <row r="55" spans="1:132">
      <c r="A55" s="23">
        <v>20290215.105250001</v>
      </c>
      <c r="B55" s="23">
        <v>20070607</v>
      </c>
      <c r="C55" s="23">
        <v>20290215</v>
      </c>
      <c r="D55" s="23">
        <v>1</v>
      </c>
      <c r="E55" s="23">
        <v>5.25</v>
      </c>
      <c r="F55" s="23">
        <v>99.3125</v>
      </c>
      <c r="G55" s="23">
        <v>99.375</v>
      </c>
      <c r="H55" s="26">
        <f t="shared" si="76"/>
        <v>21.68888888888889</v>
      </c>
      <c r="I55" s="26">
        <f t="shared" si="77"/>
        <v>1.6333333333333333</v>
      </c>
      <c r="K55" s="26">
        <v>0.18888888888888888</v>
      </c>
      <c r="L55" s="23">
        <f t="shared" si="141"/>
        <v>0.68888888888888888</v>
      </c>
      <c r="M55" s="23">
        <f t="shared" si="141"/>
        <v>1.1888888888888889</v>
      </c>
      <c r="N55" s="23">
        <f t="shared" si="141"/>
        <v>1.6888888888888889</v>
      </c>
      <c r="O55" s="23">
        <f t="shared" si="141"/>
        <v>2.1888888888888891</v>
      </c>
      <c r="P55" s="23">
        <f t="shared" si="141"/>
        <v>2.6888888888888891</v>
      </c>
      <c r="Q55" s="23">
        <f t="shared" si="141"/>
        <v>3.1888888888888891</v>
      </c>
      <c r="R55" s="23">
        <f t="shared" si="141"/>
        <v>3.6888888888888891</v>
      </c>
      <c r="S55" s="23">
        <f t="shared" si="141"/>
        <v>4.1888888888888891</v>
      </c>
      <c r="T55" s="23">
        <f t="shared" si="141"/>
        <v>4.6888888888888891</v>
      </c>
      <c r="U55" s="23">
        <f t="shared" si="141"/>
        <v>5.1888888888888891</v>
      </c>
      <c r="V55" s="23">
        <f t="shared" si="141"/>
        <v>5.6888888888888891</v>
      </c>
      <c r="W55" s="23">
        <f t="shared" si="141"/>
        <v>6.1888888888888891</v>
      </c>
      <c r="X55" s="23">
        <f t="shared" si="141"/>
        <v>6.6888888888888891</v>
      </c>
      <c r="Y55" s="23">
        <f t="shared" si="141"/>
        <v>7.1888888888888891</v>
      </c>
      <c r="Z55" s="23">
        <f t="shared" si="141"/>
        <v>7.6888888888888891</v>
      </c>
      <c r="AA55" s="23">
        <f t="shared" si="141"/>
        <v>8.18888888888889</v>
      </c>
      <c r="AB55" s="23">
        <f t="shared" si="141"/>
        <v>8.68888888888889</v>
      </c>
      <c r="AC55" s="23">
        <f t="shared" si="141"/>
        <v>9.18888888888889</v>
      </c>
      <c r="AD55" s="23">
        <f t="shared" si="141"/>
        <v>9.68888888888889</v>
      </c>
      <c r="AE55" s="23">
        <f t="shared" si="141"/>
        <v>10.18888888888889</v>
      </c>
      <c r="AF55" s="23">
        <f t="shared" si="141"/>
        <v>10.68888888888889</v>
      </c>
      <c r="AG55" s="23">
        <f t="shared" si="141"/>
        <v>11.18888888888889</v>
      </c>
      <c r="AH55" s="23">
        <f t="shared" si="141"/>
        <v>11.68888888888889</v>
      </c>
      <c r="AI55" s="23">
        <f t="shared" si="141"/>
        <v>12.18888888888889</v>
      </c>
      <c r="AJ55" s="23">
        <f t="shared" ref="AJ55:AR55" si="142">IF(AI55=0,0,IF(AI55&gt;=$H55,0,AI55+0.5))</f>
        <v>12.68888888888889</v>
      </c>
      <c r="AK55" s="23">
        <f t="shared" si="142"/>
        <v>13.18888888888889</v>
      </c>
      <c r="AL55" s="23">
        <f t="shared" si="142"/>
        <v>13.68888888888889</v>
      </c>
      <c r="AM55" s="23">
        <f t="shared" si="142"/>
        <v>14.18888888888889</v>
      </c>
      <c r="AN55" s="23">
        <f t="shared" si="142"/>
        <v>14.68888888888889</v>
      </c>
      <c r="AO55" s="23">
        <f t="shared" si="142"/>
        <v>15.18888888888889</v>
      </c>
      <c r="AP55" s="23">
        <f t="shared" si="142"/>
        <v>15.68888888888889</v>
      </c>
      <c r="AQ55" s="23">
        <f t="shared" si="142"/>
        <v>16.18888888888889</v>
      </c>
      <c r="AR55" s="23">
        <f t="shared" si="142"/>
        <v>16.68888888888889</v>
      </c>
      <c r="AS55" s="23">
        <f t="shared" si="139"/>
        <v>17.18888888888889</v>
      </c>
      <c r="AT55" s="23">
        <f t="shared" si="139"/>
        <v>17.68888888888889</v>
      </c>
      <c r="AU55" s="23">
        <f t="shared" si="139"/>
        <v>18.18888888888889</v>
      </c>
      <c r="AV55" s="23">
        <f t="shared" si="139"/>
        <v>18.68888888888889</v>
      </c>
      <c r="AW55" s="23">
        <f t="shared" si="139"/>
        <v>19.18888888888889</v>
      </c>
      <c r="AX55" s="23">
        <f t="shared" si="139"/>
        <v>19.68888888888889</v>
      </c>
      <c r="AY55" s="23">
        <f t="shared" si="139"/>
        <v>20.18888888888889</v>
      </c>
      <c r="AZ55" s="23">
        <f t="shared" si="140"/>
        <v>20.68888888888889</v>
      </c>
      <c r="BA55" s="23">
        <f t="shared" si="140"/>
        <v>21.18888888888889</v>
      </c>
      <c r="BB55" s="23">
        <f t="shared" si="140"/>
        <v>21.68888888888889</v>
      </c>
      <c r="BC55" s="23">
        <f t="shared" si="140"/>
        <v>0</v>
      </c>
      <c r="BD55" s="23">
        <f t="shared" si="140"/>
        <v>0</v>
      </c>
      <c r="BE55" s="23">
        <f t="shared" si="140"/>
        <v>0</v>
      </c>
      <c r="BF55" s="23">
        <f t="shared" si="140"/>
        <v>0</v>
      </c>
      <c r="BG55" s="23">
        <f t="shared" si="140"/>
        <v>0</v>
      </c>
      <c r="BH55" s="23">
        <f t="shared" si="140"/>
        <v>0</v>
      </c>
      <c r="BI55" s="23">
        <f t="shared" si="140"/>
        <v>0</v>
      </c>
      <c r="BJ55" s="23">
        <f t="shared" si="140"/>
        <v>0</v>
      </c>
      <c r="BK55" s="23">
        <f t="shared" si="140"/>
        <v>0</v>
      </c>
      <c r="BL55" s="23">
        <f t="shared" si="140"/>
        <v>0</v>
      </c>
      <c r="BM55" s="23">
        <f t="shared" si="140"/>
        <v>0</v>
      </c>
      <c r="BN55" s="23">
        <f t="shared" si="140"/>
        <v>0</v>
      </c>
      <c r="BO55" s="23">
        <f t="shared" si="140"/>
        <v>0</v>
      </c>
      <c r="BP55" s="23">
        <f t="shared" si="138"/>
        <v>0</v>
      </c>
      <c r="BQ55" s="23">
        <f t="shared" si="138"/>
        <v>0</v>
      </c>
      <c r="BR55" s="23">
        <f t="shared" si="138"/>
        <v>0</v>
      </c>
      <c r="BS55" s="23">
        <f t="shared" si="138"/>
        <v>0</v>
      </c>
      <c r="BU55" s="23">
        <f t="shared" si="78"/>
        <v>2.625</v>
      </c>
      <c r="BV55" s="23">
        <f t="shared" si="79"/>
        <v>2.625</v>
      </c>
      <c r="BW55" s="23">
        <f t="shared" si="80"/>
        <v>2.625</v>
      </c>
      <c r="BX55" s="23">
        <f t="shared" si="81"/>
        <v>2.625</v>
      </c>
      <c r="BY55" s="23">
        <f t="shared" si="82"/>
        <v>2.625</v>
      </c>
      <c r="BZ55" s="23">
        <f t="shared" si="83"/>
        <v>2.625</v>
      </c>
      <c r="CA55" s="23">
        <f t="shared" si="84"/>
        <v>2.625</v>
      </c>
      <c r="CB55" s="23">
        <f t="shared" si="85"/>
        <v>2.625</v>
      </c>
      <c r="CC55" s="23">
        <f t="shared" si="86"/>
        <v>2.625</v>
      </c>
      <c r="CD55" s="23">
        <f t="shared" si="87"/>
        <v>2.625</v>
      </c>
      <c r="CE55" s="23">
        <f t="shared" si="88"/>
        <v>2.625</v>
      </c>
      <c r="CF55" s="23">
        <f t="shared" si="89"/>
        <v>2.625</v>
      </c>
      <c r="CG55" s="23">
        <f t="shared" si="90"/>
        <v>2.625</v>
      </c>
      <c r="CH55" s="23">
        <f t="shared" si="91"/>
        <v>2.625</v>
      </c>
      <c r="CI55" s="23">
        <f t="shared" si="92"/>
        <v>2.625</v>
      </c>
      <c r="CJ55" s="23">
        <f t="shared" si="93"/>
        <v>2.625</v>
      </c>
      <c r="CK55" s="23">
        <f t="shared" si="94"/>
        <v>2.625</v>
      </c>
      <c r="CL55" s="23">
        <f t="shared" si="95"/>
        <v>2.625</v>
      </c>
      <c r="CM55" s="23">
        <f t="shared" si="96"/>
        <v>2.625</v>
      </c>
      <c r="CN55" s="23">
        <f t="shared" si="97"/>
        <v>2.625</v>
      </c>
      <c r="CO55" s="23">
        <f t="shared" si="98"/>
        <v>2.625</v>
      </c>
      <c r="CP55" s="23">
        <f t="shared" si="99"/>
        <v>2.625</v>
      </c>
      <c r="CQ55" s="23">
        <f t="shared" si="100"/>
        <v>2.625</v>
      </c>
      <c r="CR55" s="23">
        <f t="shared" si="101"/>
        <v>2.625</v>
      </c>
      <c r="CS55" s="23">
        <f t="shared" si="102"/>
        <v>2.625</v>
      </c>
      <c r="CT55" s="23">
        <f t="shared" si="103"/>
        <v>2.625</v>
      </c>
      <c r="CU55" s="23">
        <f t="shared" si="104"/>
        <v>2.625</v>
      </c>
      <c r="CV55" s="23">
        <f t="shared" si="105"/>
        <v>2.625</v>
      </c>
      <c r="CW55" s="23">
        <f t="shared" si="106"/>
        <v>2.625</v>
      </c>
      <c r="CX55" s="23">
        <f t="shared" si="107"/>
        <v>2.625</v>
      </c>
      <c r="CY55" s="23">
        <f t="shared" si="108"/>
        <v>2.625</v>
      </c>
      <c r="CZ55" s="23">
        <f t="shared" si="109"/>
        <v>2.625</v>
      </c>
      <c r="DA55" s="23">
        <f t="shared" si="110"/>
        <v>2.625</v>
      </c>
      <c r="DB55" s="23">
        <f t="shared" si="111"/>
        <v>2.625</v>
      </c>
      <c r="DC55" s="23">
        <f t="shared" si="112"/>
        <v>2.625</v>
      </c>
      <c r="DD55" s="23">
        <f t="shared" si="113"/>
        <v>2.625</v>
      </c>
      <c r="DE55" s="23">
        <f t="shared" si="114"/>
        <v>2.625</v>
      </c>
      <c r="DF55" s="23">
        <f t="shared" si="115"/>
        <v>2.625</v>
      </c>
      <c r="DG55" s="23">
        <f t="shared" si="116"/>
        <v>2.625</v>
      </c>
      <c r="DH55" s="23">
        <f t="shared" si="117"/>
        <v>2.625</v>
      </c>
      <c r="DI55" s="23">
        <f t="shared" si="118"/>
        <v>2.625</v>
      </c>
      <c r="DJ55" s="23">
        <f t="shared" si="119"/>
        <v>2.625</v>
      </c>
      <c r="DK55" s="23">
        <f t="shared" si="120"/>
        <v>2.625</v>
      </c>
      <c r="DL55" s="23">
        <f t="shared" si="121"/>
        <v>102.625</v>
      </c>
      <c r="DM55" s="23">
        <f t="shared" si="122"/>
        <v>0</v>
      </c>
      <c r="DN55" s="23">
        <f t="shared" si="123"/>
        <v>0</v>
      </c>
      <c r="DO55" s="23">
        <f t="shared" si="124"/>
        <v>0</v>
      </c>
      <c r="DP55" s="23">
        <f t="shared" si="125"/>
        <v>0</v>
      </c>
      <c r="DQ55" s="23">
        <f t="shared" si="126"/>
        <v>0</v>
      </c>
      <c r="DR55" s="23">
        <f t="shared" si="127"/>
        <v>0</v>
      </c>
      <c r="DS55" s="23">
        <f t="shared" si="128"/>
        <v>0</v>
      </c>
      <c r="DT55" s="23">
        <f t="shared" si="129"/>
        <v>0</v>
      </c>
      <c r="DU55" s="23">
        <f t="shared" si="130"/>
        <v>0</v>
      </c>
      <c r="DV55" s="23">
        <f t="shared" si="131"/>
        <v>0</v>
      </c>
      <c r="DW55" s="23">
        <f t="shared" si="132"/>
        <v>0</v>
      </c>
      <c r="DX55" s="23">
        <f t="shared" si="133"/>
        <v>0</v>
      </c>
      <c r="DY55" s="23">
        <f t="shared" si="134"/>
        <v>0</v>
      </c>
      <c r="DZ55" s="23">
        <f t="shared" si="135"/>
        <v>0</v>
      </c>
      <c r="EA55" s="23">
        <f t="shared" si="136"/>
        <v>0</v>
      </c>
      <c r="EB55" s="23">
        <f t="shared" si="137"/>
        <v>0</v>
      </c>
    </row>
    <row r="56" spans="1:132">
      <c r="A56" s="23">
        <v>20290815.106120002</v>
      </c>
      <c r="B56" s="23">
        <v>20070607</v>
      </c>
      <c r="C56" s="23">
        <v>20290815</v>
      </c>
      <c r="D56" s="23">
        <v>1</v>
      </c>
      <c r="E56" s="23">
        <v>6.125</v>
      </c>
      <c r="F56" s="23">
        <v>110.6875</v>
      </c>
      <c r="G56" s="23">
        <v>110.75</v>
      </c>
      <c r="H56" s="26">
        <f t="shared" si="76"/>
        <v>22.18888888888889</v>
      </c>
      <c r="I56" s="26">
        <f t="shared" si="77"/>
        <v>1.9055555555555557</v>
      </c>
      <c r="K56" s="26">
        <v>0.18888888888888888</v>
      </c>
      <c r="L56" s="23">
        <f t="shared" ref="L56:AR59" si="143">IF(K56=0,0,IF(K56&gt;=$H56,0,K56+0.5))</f>
        <v>0.68888888888888888</v>
      </c>
      <c r="M56" s="23">
        <f t="shared" si="143"/>
        <v>1.1888888888888889</v>
      </c>
      <c r="N56" s="23">
        <f t="shared" si="143"/>
        <v>1.6888888888888889</v>
      </c>
      <c r="O56" s="23">
        <f t="shared" si="143"/>
        <v>2.1888888888888891</v>
      </c>
      <c r="P56" s="23">
        <f t="shared" si="143"/>
        <v>2.6888888888888891</v>
      </c>
      <c r="Q56" s="23">
        <f t="shared" si="143"/>
        <v>3.1888888888888891</v>
      </c>
      <c r="R56" s="23">
        <f t="shared" si="143"/>
        <v>3.6888888888888891</v>
      </c>
      <c r="S56" s="23">
        <f t="shared" si="143"/>
        <v>4.1888888888888891</v>
      </c>
      <c r="T56" s="23">
        <f t="shared" si="143"/>
        <v>4.6888888888888891</v>
      </c>
      <c r="U56" s="23">
        <f t="shared" si="143"/>
        <v>5.1888888888888891</v>
      </c>
      <c r="V56" s="23">
        <f t="shared" si="143"/>
        <v>5.6888888888888891</v>
      </c>
      <c r="W56" s="23">
        <f t="shared" si="143"/>
        <v>6.1888888888888891</v>
      </c>
      <c r="X56" s="23">
        <f t="shared" si="143"/>
        <v>6.6888888888888891</v>
      </c>
      <c r="Y56" s="23">
        <f t="shared" si="143"/>
        <v>7.1888888888888891</v>
      </c>
      <c r="Z56" s="23">
        <f t="shared" si="143"/>
        <v>7.6888888888888891</v>
      </c>
      <c r="AA56" s="23">
        <f t="shared" si="143"/>
        <v>8.18888888888889</v>
      </c>
      <c r="AB56" s="23">
        <f t="shared" si="143"/>
        <v>8.68888888888889</v>
      </c>
      <c r="AC56" s="23">
        <f t="shared" si="143"/>
        <v>9.18888888888889</v>
      </c>
      <c r="AD56" s="23">
        <f t="shared" si="143"/>
        <v>9.68888888888889</v>
      </c>
      <c r="AE56" s="23">
        <f t="shared" si="143"/>
        <v>10.18888888888889</v>
      </c>
      <c r="AF56" s="23">
        <f t="shared" si="143"/>
        <v>10.68888888888889</v>
      </c>
      <c r="AG56" s="23">
        <f t="shared" si="143"/>
        <v>11.18888888888889</v>
      </c>
      <c r="AH56" s="23">
        <f t="shared" si="143"/>
        <v>11.68888888888889</v>
      </c>
      <c r="AI56" s="23">
        <f t="shared" si="143"/>
        <v>12.18888888888889</v>
      </c>
      <c r="AJ56" s="23">
        <f t="shared" si="143"/>
        <v>12.68888888888889</v>
      </c>
      <c r="AK56" s="23">
        <f t="shared" si="143"/>
        <v>13.18888888888889</v>
      </c>
      <c r="AL56" s="23">
        <f t="shared" si="143"/>
        <v>13.68888888888889</v>
      </c>
      <c r="AM56" s="23">
        <f t="shared" si="143"/>
        <v>14.18888888888889</v>
      </c>
      <c r="AN56" s="23">
        <f t="shared" si="143"/>
        <v>14.68888888888889</v>
      </c>
      <c r="AO56" s="23">
        <f t="shared" si="143"/>
        <v>15.18888888888889</v>
      </c>
      <c r="AP56" s="23">
        <f t="shared" si="143"/>
        <v>15.68888888888889</v>
      </c>
      <c r="AQ56" s="23">
        <f t="shared" si="143"/>
        <v>16.18888888888889</v>
      </c>
      <c r="AR56" s="23">
        <f t="shared" si="143"/>
        <v>16.68888888888889</v>
      </c>
      <c r="AS56" s="23">
        <f t="shared" si="139"/>
        <v>17.18888888888889</v>
      </c>
      <c r="AT56" s="23">
        <f t="shared" si="139"/>
        <v>17.68888888888889</v>
      </c>
      <c r="AU56" s="23">
        <f t="shared" si="139"/>
        <v>18.18888888888889</v>
      </c>
      <c r="AV56" s="23">
        <f t="shared" si="139"/>
        <v>18.68888888888889</v>
      </c>
      <c r="AW56" s="23">
        <f t="shared" si="139"/>
        <v>19.18888888888889</v>
      </c>
      <c r="AX56" s="23">
        <f t="shared" si="139"/>
        <v>19.68888888888889</v>
      </c>
      <c r="AY56" s="23">
        <f t="shared" si="139"/>
        <v>20.18888888888889</v>
      </c>
      <c r="AZ56" s="23">
        <f t="shared" si="140"/>
        <v>20.68888888888889</v>
      </c>
      <c r="BA56" s="23">
        <f t="shared" si="140"/>
        <v>21.18888888888889</v>
      </c>
      <c r="BB56" s="23">
        <f t="shared" si="140"/>
        <v>21.68888888888889</v>
      </c>
      <c r="BC56" s="23">
        <f t="shared" si="140"/>
        <v>22.18888888888889</v>
      </c>
      <c r="BD56" s="23">
        <f t="shared" si="140"/>
        <v>0</v>
      </c>
      <c r="BE56" s="23">
        <f t="shared" si="140"/>
        <v>0</v>
      </c>
      <c r="BF56" s="23">
        <f t="shared" si="140"/>
        <v>0</v>
      </c>
      <c r="BG56" s="23">
        <f t="shared" si="140"/>
        <v>0</v>
      </c>
      <c r="BH56" s="23">
        <f t="shared" si="140"/>
        <v>0</v>
      </c>
      <c r="BI56" s="23">
        <f t="shared" si="140"/>
        <v>0</v>
      </c>
      <c r="BJ56" s="23">
        <f t="shared" si="140"/>
        <v>0</v>
      </c>
      <c r="BK56" s="23">
        <f t="shared" si="140"/>
        <v>0</v>
      </c>
      <c r="BL56" s="23">
        <f t="shared" si="140"/>
        <v>0</v>
      </c>
      <c r="BM56" s="23">
        <f t="shared" si="140"/>
        <v>0</v>
      </c>
      <c r="BN56" s="23">
        <f t="shared" si="140"/>
        <v>0</v>
      </c>
      <c r="BO56" s="23">
        <f t="shared" si="140"/>
        <v>0</v>
      </c>
      <c r="BP56" s="23">
        <f t="shared" si="138"/>
        <v>0</v>
      </c>
      <c r="BQ56" s="23">
        <f t="shared" si="138"/>
        <v>0</v>
      </c>
      <c r="BR56" s="23">
        <f t="shared" si="138"/>
        <v>0</v>
      </c>
      <c r="BS56" s="23">
        <f t="shared" si="138"/>
        <v>0</v>
      </c>
      <c r="BU56" s="23">
        <f t="shared" si="78"/>
        <v>3.0625</v>
      </c>
      <c r="BV56" s="23">
        <f t="shared" si="79"/>
        <v>3.0625</v>
      </c>
      <c r="BW56" s="23">
        <f t="shared" si="80"/>
        <v>3.0625</v>
      </c>
      <c r="BX56" s="23">
        <f t="shared" si="81"/>
        <v>3.0625</v>
      </c>
      <c r="BY56" s="23">
        <f t="shared" si="82"/>
        <v>3.0625</v>
      </c>
      <c r="BZ56" s="23">
        <f t="shared" si="83"/>
        <v>3.0625</v>
      </c>
      <c r="CA56" s="23">
        <f t="shared" si="84"/>
        <v>3.0625</v>
      </c>
      <c r="CB56" s="23">
        <f t="shared" si="85"/>
        <v>3.0625</v>
      </c>
      <c r="CC56" s="23">
        <f t="shared" si="86"/>
        <v>3.0625</v>
      </c>
      <c r="CD56" s="23">
        <f t="shared" si="87"/>
        <v>3.0625</v>
      </c>
      <c r="CE56" s="23">
        <f t="shared" si="88"/>
        <v>3.0625</v>
      </c>
      <c r="CF56" s="23">
        <f t="shared" si="89"/>
        <v>3.0625</v>
      </c>
      <c r="CG56" s="23">
        <f t="shared" si="90"/>
        <v>3.0625</v>
      </c>
      <c r="CH56" s="23">
        <f t="shared" si="91"/>
        <v>3.0625</v>
      </c>
      <c r="CI56" s="23">
        <f t="shared" si="92"/>
        <v>3.0625</v>
      </c>
      <c r="CJ56" s="23">
        <f t="shared" si="93"/>
        <v>3.0625</v>
      </c>
      <c r="CK56" s="23">
        <f t="shared" si="94"/>
        <v>3.0625</v>
      </c>
      <c r="CL56" s="23">
        <f t="shared" si="95"/>
        <v>3.0625</v>
      </c>
      <c r="CM56" s="23">
        <f t="shared" si="96"/>
        <v>3.0625</v>
      </c>
      <c r="CN56" s="23">
        <f t="shared" si="97"/>
        <v>3.0625</v>
      </c>
      <c r="CO56" s="23">
        <f t="shared" si="98"/>
        <v>3.0625</v>
      </c>
      <c r="CP56" s="23">
        <f t="shared" si="99"/>
        <v>3.0625</v>
      </c>
      <c r="CQ56" s="23">
        <f t="shared" si="100"/>
        <v>3.0625</v>
      </c>
      <c r="CR56" s="23">
        <f t="shared" si="101"/>
        <v>3.0625</v>
      </c>
      <c r="CS56" s="23">
        <f t="shared" si="102"/>
        <v>3.0625</v>
      </c>
      <c r="CT56" s="23">
        <f t="shared" si="103"/>
        <v>3.0625</v>
      </c>
      <c r="CU56" s="23">
        <f t="shared" si="104"/>
        <v>3.0625</v>
      </c>
      <c r="CV56" s="23">
        <f t="shared" si="105"/>
        <v>3.0625</v>
      </c>
      <c r="CW56" s="23">
        <f t="shared" si="106"/>
        <v>3.0625</v>
      </c>
      <c r="CX56" s="23">
        <f t="shared" si="107"/>
        <v>3.0625</v>
      </c>
      <c r="CY56" s="23">
        <f t="shared" si="108"/>
        <v>3.0625</v>
      </c>
      <c r="CZ56" s="23">
        <f t="shared" si="109"/>
        <v>3.0625</v>
      </c>
      <c r="DA56" s="23">
        <f t="shared" si="110"/>
        <v>3.0625</v>
      </c>
      <c r="DB56" s="23">
        <f t="shared" si="111"/>
        <v>3.0625</v>
      </c>
      <c r="DC56" s="23">
        <f t="shared" si="112"/>
        <v>3.0625</v>
      </c>
      <c r="DD56" s="23">
        <f t="shared" si="113"/>
        <v>3.0625</v>
      </c>
      <c r="DE56" s="23">
        <f t="shared" si="114"/>
        <v>3.0625</v>
      </c>
      <c r="DF56" s="23">
        <f t="shared" si="115"/>
        <v>3.0625</v>
      </c>
      <c r="DG56" s="23">
        <f t="shared" si="116"/>
        <v>3.0625</v>
      </c>
      <c r="DH56" s="23">
        <f t="shared" si="117"/>
        <v>3.0625</v>
      </c>
      <c r="DI56" s="23">
        <f t="shared" si="118"/>
        <v>3.0625</v>
      </c>
      <c r="DJ56" s="23">
        <f t="shared" si="119"/>
        <v>3.0625</v>
      </c>
      <c r="DK56" s="23">
        <f t="shared" si="120"/>
        <v>3.0625</v>
      </c>
      <c r="DL56" s="23">
        <f t="shared" si="121"/>
        <v>3.0625</v>
      </c>
      <c r="DM56" s="23">
        <f t="shared" si="122"/>
        <v>103.0625</v>
      </c>
      <c r="DN56" s="23">
        <f t="shared" si="123"/>
        <v>0</v>
      </c>
      <c r="DO56" s="23">
        <f t="shared" si="124"/>
        <v>0</v>
      </c>
      <c r="DP56" s="23">
        <f t="shared" si="125"/>
        <v>0</v>
      </c>
      <c r="DQ56" s="23">
        <f t="shared" si="126"/>
        <v>0</v>
      </c>
      <c r="DR56" s="23">
        <f t="shared" si="127"/>
        <v>0</v>
      </c>
      <c r="DS56" s="23">
        <f t="shared" si="128"/>
        <v>0</v>
      </c>
      <c r="DT56" s="23">
        <f t="shared" si="129"/>
        <v>0</v>
      </c>
      <c r="DU56" s="23">
        <f t="shared" si="130"/>
        <v>0</v>
      </c>
      <c r="DV56" s="23">
        <f t="shared" si="131"/>
        <v>0</v>
      </c>
      <c r="DW56" s="23">
        <f t="shared" si="132"/>
        <v>0</v>
      </c>
      <c r="DX56" s="23">
        <f t="shared" si="133"/>
        <v>0</v>
      </c>
      <c r="DY56" s="23">
        <f t="shared" si="134"/>
        <v>0</v>
      </c>
      <c r="DZ56" s="23">
        <f t="shared" si="135"/>
        <v>0</v>
      </c>
      <c r="EA56" s="23">
        <f t="shared" si="136"/>
        <v>0</v>
      </c>
      <c r="EB56" s="23">
        <f t="shared" si="137"/>
        <v>0</v>
      </c>
    </row>
    <row r="57" spans="1:132">
      <c r="A57" s="23">
        <v>20310215.10537</v>
      </c>
      <c r="B57" s="23">
        <v>20070607</v>
      </c>
      <c r="C57" s="23">
        <v>20310215</v>
      </c>
      <c r="D57" s="23">
        <v>1</v>
      </c>
      <c r="E57" s="23">
        <v>5.375</v>
      </c>
      <c r="F57" s="23">
        <v>101.234375</v>
      </c>
      <c r="G57" s="23">
        <v>101.296875</v>
      </c>
      <c r="H57" s="26">
        <f t="shared" si="76"/>
        <v>23.68888888888889</v>
      </c>
      <c r="I57" s="26">
        <f t="shared" si="77"/>
        <v>1.6722222222222223</v>
      </c>
      <c r="K57" s="26">
        <v>0.18888888888888888</v>
      </c>
      <c r="L57" s="23">
        <f t="shared" si="143"/>
        <v>0.68888888888888888</v>
      </c>
      <c r="M57" s="23">
        <f t="shared" si="143"/>
        <v>1.1888888888888889</v>
      </c>
      <c r="N57" s="23">
        <f t="shared" si="143"/>
        <v>1.6888888888888889</v>
      </c>
      <c r="O57" s="23">
        <f t="shared" si="143"/>
        <v>2.1888888888888891</v>
      </c>
      <c r="P57" s="23">
        <f t="shared" si="143"/>
        <v>2.6888888888888891</v>
      </c>
      <c r="Q57" s="23">
        <f t="shared" si="143"/>
        <v>3.1888888888888891</v>
      </c>
      <c r="R57" s="23">
        <f t="shared" si="143"/>
        <v>3.6888888888888891</v>
      </c>
      <c r="S57" s="23">
        <f t="shared" si="143"/>
        <v>4.1888888888888891</v>
      </c>
      <c r="T57" s="23">
        <f t="shared" si="143"/>
        <v>4.6888888888888891</v>
      </c>
      <c r="U57" s="23">
        <f t="shared" si="143"/>
        <v>5.1888888888888891</v>
      </c>
      <c r="V57" s="23">
        <f t="shared" si="143"/>
        <v>5.6888888888888891</v>
      </c>
      <c r="W57" s="23">
        <f t="shared" si="143"/>
        <v>6.1888888888888891</v>
      </c>
      <c r="X57" s="23">
        <f t="shared" si="143"/>
        <v>6.6888888888888891</v>
      </c>
      <c r="Y57" s="23">
        <f t="shared" si="143"/>
        <v>7.1888888888888891</v>
      </c>
      <c r="Z57" s="23">
        <f t="shared" si="143"/>
        <v>7.6888888888888891</v>
      </c>
      <c r="AA57" s="23">
        <f t="shared" si="143"/>
        <v>8.18888888888889</v>
      </c>
      <c r="AB57" s="23">
        <f t="shared" si="143"/>
        <v>8.68888888888889</v>
      </c>
      <c r="AC57" s="23">
        <f t="shared" si="143"/>
        <v>9.18888888888889</v>
      </c>
      <c r="AD57" s="23">
        <f t="shared" si="143"/>
        <v>9.68888888888889</v>
      </c>
      <c r="AE57" s="23">
        <f t="shared" si="143"/>
        <v>10.18888888888889</v>
      </c>
      <c r="AF57" s="23">
        <f t="shared" si="143"/>
        <v>10.68888888888889</v>
      </c>
      <c r="AG57" s="23">
        <f t="shared" si="143"/>
        <v>11.18888888888889</v>
      </c>
      <c r="AH57" s="23">
        <f t="shared" si="143"/>
        <v>11.68888888888889</v>
      </c>
      <c r="AI57" s="23">
        <f t="shared" si="143"/>
        <v>12.18888888888889</v>
      </c>
      <c r="AJ57" s="23">
        <f t="shared" si="143"/>
        <v>12.68888888888889</v>
      </c>
      <c r="AK57" s="23">
        <f t="shared" si="143"/>
        <v>13.18888888888889</v>
      </c>
      <c r="AL57" s="23">
        <f t="shared" si="143"/>
        <v>13.68888888888889</v>
      </c>
      <c r="AM57" s="23">
        <f t="shared" si="143"/>
        <v>14.18888888888889</v>
      </c>
      <c r="AN57" s="23">
        <f t="shared" si="143"/>
        <v>14.68888888888889</v>
      </c>
      <c r="AO57" s="23">
        <f t="shared" si="143"/>
        <v>15.18888888888889</v>
      </c>
      <c r="AP57" s="23">
        <f t="shared" si="143"/>
        <v>15.68888888888889</v>
      </c>
      <c r="AQ57" s="23">
        <f t="shared" si="143"/>
        <v>16.18888888888889</v>
      </c>
      <c r="AR57" s="23">
        <f t="shared" si="143"/>
        <v>16.68888888888889</v>
      </c>
      <c r="AS57" s="23">
        <f t="shared" si="139"/>
        <v>17.18888888888889</v>
      </c>
      <c r="AT57" s="23">
        <f t="shared" si="139"/>
        <v>17.68888888888889</v>
      </c>
      <c r="AU57" s="23">
        <f t="shared" si="139"/>
        <v>18.18888888888889</v>
      </c>
      <c r="AV57" s="23">
        <f t="shared" si="139"/>
        <v>18.68888888888889</v>
      </c>
      <c r="AW57" s="23">
        <f t="shared" si="139"/>
        <v>19.18888888888889</v>
      </c>
      <c r="AX57" s="23">
        <f t="shared" si="139"/>
        <v>19.68888888888889</v>
      </c>
      <c r="AY57" s="23">
        <f t="shared" si="139"/>
        <v>20.18888888888889</v>
      </c>
      <c r="AZ57" s="23">
        <f t="shared" si="140"/>
        <v>20.68888888888889</v>
      </c>
      <c r="BA57" s="23">
        <f t="shared" si="140"/>
        <v>21.18888888888889</v>
      </c>
      <c r="BB57" s="23">
        <f t="shared" si="140"/>
        <v>21.68888888888889</v>
      </c>
      <c r="BC57" s="23">
        <f t="shared" si="140"/>
        <v>22.18888888888889</v>
      </c>
      <c r="BD57" s="23">
        <f t="shared" si="140"/>
        <v>22.68888888888889</v>
      </c>
      <c r="BE57" s="23">
        <f t="shared" si="140"/>
        <v>23.18888888888889</v>
      </c>
      <c r="BF57" s="23">
        <f t="shared" si="140"/>
        <v>23.68888888888889</v>
      </c>
      <c r="BG57" s="23">
        <f t="shared" si="140"/>
        <v>0</v>
      </c>
      <c r="BH57" s="23">
        <f t="shared" si="140"/>
        <v>0</v>
      </c>
      <c r="BI57" s="23">
        <f t="shared" si="140"/>
        <v>0</v>
      </c>
      <c r="BJ57" s="23">
        <f t="shared" si="140"/>
        <v>0</v>
      </c>
      <c r="BK57" s="23">
        <f t="shared" si="140"/>
        <v>0</v>
      </c>
      <c r="BL57" s="23">
        <f t="shared" si="140"/>
        <v>0</v>
      </c>
      <c r="BM57" s="23">
        <f t="shared" si="140"/>
        <v>0</v>
      </c>
      <c r="BN57" s="23">
        <f t="shared" si="140"/>
        <v>0</v>
      </c>
      <c r="BO57" s="23">
        <f t="shared" si="140"/>
        <v>0</v>
      </c>
      <c r="BP57" s="23">
        <f t="shared" si="138"/>
        <v>0</v>
      </c>
      <c r="BQ57" s="23">
        <f t="shared" si="138"/>
        <v>0</v>
      </c>
      <c r="BR57" s="23">
        <f t="shared" si="138"/>
        <v>0</v>
      </c>
      <c r="BS57" s="23">
        <f t="shared" si="138"/>
        <v>0</v>
      </c>
      <c r="BU57" s="23">
        <f t="shared" si="78"/>
        <v>2.6875</v>
      </c>
      <c r="BV57" s="23">
        <f t="shared" si="79"/>
        <v>2.6875</v>
      </c>
      <c r="BW57" s="23">
        <f t="shared" si="80"/>
        <v>2.6875</v>
      </c>
      <c r="BX57" s="23">
        <f t="shared" si="81"/>
        <v>2.6875</v>
      </c>
      <c r="BY57" s="23">
        <f t="shared" si="82"/>
        <v>2.6875</v>
      </c>
      <c r="BZ57" s="23">
        <f t="shared" si="83"/>
        <v>2.6875</v>
      </c>
      <c r="CA57" s="23">
        <f t="shared" si="84"/>
        <v>2.6875</v>
      </c>
      <c r="CB57" s="23">
        <f t="shared" si="85"/>
        <v>2.6875</v>
      </c>
      <c r="CC57" s="23">
        <f t="shared" si="86"/>
        <v>2.6875</v>
      </c>
      <c r="CD57" s="23">
        <f t="shared" si="87"/>
        <v>2.6875</v>
      </c>
      <c r="CE57" s="23">
        <f t="shared" si="88"/>
        <v>2.6875</v>
      </c>
      <c r="CF57" s="23">
        <f t="shared" si="89"/>
        <v>2.6875</v>
      </c>
      <c r="CG57" s="23">
        <f t="shared" si="90"/>
        <v>2.6875</v>
      </c>
      <c r="CH57" s="23">
        <f t="shared" si="91"/>
        <v>2.6875</v>
      </c>
      <c r="CI57" s="23">
        <f t="shared" si="92"/>
        <v>2.6875</v>
      </c>
      <c r="CJ57" s="23">
        <f t="shared" si="93"/>
        <v>2.6875</v>
      </c>
      <c r="CK57" s="23">
        <f t="shared" si="94"/>
        <v>2.6875</v>
      </c>
      <c r="CL57" s="23">
        <f t="shared" si="95"/>
        <v>2.6875</v>
      </c>
      <c r="CM57" s="23">
        <f t="shared" si="96"/>
        <v>2.6875</v>
      </c>
      <c r="CN57" s="23">
        <f t="shared" si="97"/>
        <v>2.6875</v>
      </c>
      <c r="CO57" s="23">
        <f t="shared" si="98"/>
        <v>2.6875</v>
      </c>
      <c r="CP57" s="23">
        <f t="shared" si="99"/>
        <v>2.6875</v>
      </c>
      <c r="CQ57" s="23">
        <f t="shared" si="100"/>
        <v>2.6875</v>
      </c>
      <c r="CR57" s="23">
        <f t="shared" si="101"/>
        <v>2.6875</v>
      </c>
      <c r="CS57" s="23">
        <f t="shared" si="102"/>
        <v>2.6875</v>
      </c>
      <c r="CT57" s="23">
        <f t="shared" si="103"/>
        <v>2.6875</v>
      </c>
      <c r="CU57" s="23">
        <f t="shared" si="104"/>
        <v>2.6875</v>
      </c>
      <c r="CV57" s="23">
        <f t="shared" si="105"/>
        <v>2.6875</v>
      </c>
      <c r="CW57" s="23">
        <f t="shared" si="106"/>
        <v>2.6875</v>
      </c>
      <c r="CX57" s="23">
        <f t="shared" si="107"/>
        <v>2.6875</v>
      </c>
      <c r="CY57" s="23">
        <f t="shared" si="108"/>
        <v>2.6875</v>
      </c>
      <c r="CZ57" s="23">
        <f t="shared" si="109"/>
        <v>2.6875</v>
      </c>
      <c r="DA57" s="23">
        <f t="shared" si="110"/>
        <v>2.6875</v>
      </c>
      <c r="DB57" s="23">
        <f t="shared" si="111"/>
        <v>2.6875</v>
      </c>
      <c r="DC57" s="23">
        <f t="shared" si="112"/>
        <v>2.6875</v>
      </c>
      <c r="DD57" s="23">
        <f t="shared" si="113"/>
        <v>2.6875</v>
      </c>
      <c r="DE57" s="23">
        <f t="shared" si="114"/>
        <v>2.6875</v>
      </c>
      <c r="DF57" s="23">
        <f t="shared" si="115"/>
        <v>2.6875</v>
      </c>
      <c r="DG57" s="23">
        <f t="shared" si="116"/>
        <v>2.6875</v>
      </c>
      <c r="DH57" s="23">
        <f t="shared" si="117"/>
        <v>2.6875</v>
      </c>
      <c r="DI57" s="23">
        <f t="shared" si="118"/>
        <v>2.6875</v>
      </c>
      <c r="DJ57" s="23">
        <f t="shared" si="119"/>
        <v>2.6875</v>
      </c>
      <c r="DK57" s="23">
        <f t="shared" si="120"/>
        <v>2.6875</v>
      </c>
      <c r="DL57" s="23">
        <f t="shared" si="121"/>
        <v>2.6875</v>
      </c>
      <c r="DM57" s="23">
        <f t="shared" si="122"/>
        <v>2.6875</v>
      </c>
      <c r="DN57" s="23">
        <f t="shared" si="123"/>
        <v>2.6875</v>
      </c>
      <c r="DO57" s="23">
        <f t="shared" si="124"/>
        <v>2.6875</v>
      </c>
      <c r="DP57" s="23">
        <f t="shared" si="125"/>
        <v>102.6875</v>
      </c>
      <c r="DQ57" s="23">
        <f t="shared" si="126"/>
        <v>0</v>
      </c>
      <c r="DR57" s="23">
        <f t="shared" si="127"/>
        <v>0</v>
      </c>
      <c r="DS57" s="23">
        <f t="shared" si="128"/>
        <v>0</v>
      </c>
      <c r="DT57" s="23">
        <f t="shared" si="129"/>
        <v>0</v>
      </c>
      <c r="DU57" s="23">
        <f t="shared" si="130"/>
        <v>0</v>
      </c>
      <c r="DV57" s="23">
        <f t="shared" si="131"/>
        <v>0</v>
      </c>
      <c r="DW57" s="23">
        <f t="shared" si="132"/>
        <v>0</v>
      </c>
      <c r="DX57" s="23">
        <f t="shared" si="133"/>
        <v>0</v>
      </c>
      <c r="DY57" s="23">
        <f t="shared" si="134"/>
        <v>0</v>
      </c>
      <c r="DZ57" s="23">
        <f t="shared" si="135"/>
        <v>0</v>
      </c>
      <c r="EA57" s="23">
        <f t="shared" si="136"/>
        <v>0</v>
      </c>
      <c r="EB57" s="23">
        <f t="shared" si="137"/>
        <v>0</v>
      </c>
    </row>
    <row r="58" spans="1:132">
      <c r="A58" s="23">
        <v>20360215.104499999</v>
      </c>
      <c r="B58" s="23">
        <v>20070607</v>
      </c>
      <c r="C58" s="23">
        <v>20360215</v>
      </c>
      <c r="D58" s="23">
        <v>1</v>
      </c>
      <c r="E58" s="23">
        <v>4.5</v>
      </c>
      <c r="F58" s="23">
        <v>89.015625</v>
      </c>
      <c r="G58" s="23">
        <v>89.078125</v>
      </c>
      <c r="H58" s="26">
        <f t="shared" si="76"/>
        <v>28.68888888888889</v>
      </c>
      <c r="I58" s="26">
        <f t="shared" si="77"/>
        <v>1.4</v>
      </c>
      <c r="K58" s="26">
        <v>0.18888888888888888</v>
      </c>
      <c r="L58" s="23">
        <f t="shared" si="143"/>
        <v>0.68888888888888888</v>
      </c>
      <c r="M58" s="23">
        <f t="shared" si="143"/>
        <v>1.1888888888888889</v>
      </c>
      <c r="N58" s="23">
        <f t="shared" si="143"/>
        <v>1.6888888888888889</v>
      </c>
      <c r="O58" s="23">
        <f t="shared" si="143"/>
        <v>2.1888888888888891</v>
      </c>
      <c r="P58" s="23">
        <f t="shared" si="143"/>
        <v>2.6888888888888891</v>
      </c>
      <c r="Q58" s="23">
        <f t="shared" si="143"/>
        <v>3.1888888888888891</v>
      </c>
      <c r="R58" s="23">
        <f t="shared" si="143"/>
        <v>3.6888888888888891</v>
      </c>
      <c r="S58" s="23">
        <f t="shared" si="143"/>
        <v>4.1888888888888891</v>
      </c>
      <c r="T58" s="23">
        <f t="shared" si="143"/>
        <v>4.6888888888888891</v>
      </c>
      <c r="U58" s="23">
        <f t="shared" si="143"/>
        <v>5.1888888888888891</v>
      </c>
      <c r="V58" s="23">
        <f t="shared" si="143"/>
        <v>5.6888888888888891</v>
      </c>
      <c r="W58" s="23">
        <f t="shared" si="143"/>
        <v>6.1888888888888891</v>
      </c>
      <c r="X58" s="23">
        <f t="shared" si="143"/>
        <v>6.6888888888888891</v>
      </c>
      <c r="Y58" s="23">
        <f t="shared" si="143"/>
        <v>7.1888888888888891</v>
      </c>
      <c r="Z58" s="23">
        <f t="shared" si="143"/>
        <v>7.6888888888888891</v>
      </c>
      <c r="AA58" s="23">
        <f t="shared" si="143"/>
        <v>8.18888888888889</v>
      </c>
      <c r="AB58" s="23">
        <f t="shared" si="143"/>
        <v>8.68888888888889</v>
      </c>
      <c r="AC58" s="23">
        <f t="shared" si="143"/>
        <v>9.18888888888889</v>
      </c>
      <c r="AD58" s="23">
        <f t="shared" si="143"/>
        <v>9.68888888888889</v>
      </c>
      <c r="AE58" s="23">
        <f t="shared" si="143"/>
        <v>10.18888888888889</v>
      </c>
      <c r="AF58" s="23">
        <f t="shared" si="143"/>
        <v>10.68888888888889</v>
      </c>
      <c r="AG58" s="23">
        <f t="shared" si="143"/>
        <v>11.18888888888889</v>
      </c>
      <c r="AH58" s="23">
        <f t="shared" si="143"/>
        <v>11.68888888888889</v>
      </c>
      <c r="AI58" s="23">
        <f t="shared" si="143"/>
        <v>12.18888888888889</v>
      </c>
      <c r="AJ58" s="23">
        <f t="shared" si="143"/>
        <v>12.68888888888889</v>
      </c>
      <c r="AK58" s="23">
        <f t="shared" si="143"/>
        <v>13.18888888888889</v>
      </c>
      <c r="AL58" s="23">
        <f t="shared" si="143"/>
        <v>13.68888888888889</v>
      </c>
      <c r="AM58" s="23">
        <f t="shared" si="143"/>
        <v>14.18888888888889</v>
      </c>
      <c r="AN58" s="23">
        <f t="shared" si="143"/>
        <v>14.68888888888889</v>
      </c>
      <c r="AO58" s="23">
        <f t="shared" si="143"/>
        <v>15.18888888888889</v>
      </c>
      <c r="AP58" s="23">
        <f t="shared" si="143"/>
        <v>15.68888888888889</v>
      </c>
      <c r="AQ58" s="23">
        <f t="shared" si="143"/>
        <v>16.18888888888889</v>
      </c>
      <c r="AR58" s="23">
        <f t="shared" si="143"/>
        <v>16.68888888888889</v>
      </c>
      <c r="AS58" s="23">
        <f t="shared" si="139"/>
        <v>17.18888888888889</v>
      </c>
      <c r="AT58" s="23">
        <f t="shared" si="139"/>
        <v>17.68888888888889</v>
      </c>
      <c r="AU58" s="23">
        <f t="shared" si="139"/>
        <v>18.18888888888889</v>
      </c>
      <c r="AV58" s="23">
        <f t="shared" si="139"/>
        <v>18.68888888888889</v>
      </c>
      <c r="AW58" s="23">
        <f t="shared" si="139"/>
        <v>19.18888888888889</v>
      </c>
      <c r="AX58" s="23">
        <f t="shared" si="139"/>
        <v>19.68888888888889</v>
      </c>
      <c r="AY58" s="23">
        <f t="shared" si="139"/>
        <v>20.18888888888889</v>
      </c>
      <c r="AZ58" s="23">
        <f t="shared" si="140"/>
        <v>20.68888888888889</v>
      </c>
      <c r="BA58" s="23">
        <f t="shared" si="140"/>
        <v>21.18888888888889</v>
      </c>
      <c r="BB58" s="23">
        <f t="shared" si="140"/>
        <v>21.68888888888889</v>
      </c>
      <c r="BC58" s="23">
        <f t="shared" si="140"/>
        <v>22.18888888888889</v>
      </c>
      <c r="BD58" s="23">
        <f t="shared" si="140"/>
        <v>22.68888888888889</v>
      </c>
      <c r="BE58" s="23">
        <f t="shared" si="140"/>
        <v>23.18888888888889</v>
      </c>
      <c r="BF58" s="23">
        <f t="shared" si="140"/>
        <v>23.68888888888889</v>
      </c>
      <c r="BG58" s="23">
        <f t="shared" si="140"/>
        <v>24.18888888888889</v>
      </c>
      <c r="BH58" s="23">
        <f t="shared" si="140"/>
        <v>24.68888888888889</v>
      </c>
      <c r="BI58" s="23">
        <f t="shared" si="140"/>
        <v>25.18888888888889</v>
      </c>
      <c r="BJ58" s="23">
        <f t="shared" si="140"/>
        <v>25.68888888888889</v>
      </c>
      <c r="BK58" s="23">
        <f t="shared" si="140"/>
        <v>26.18888888888889</v>
      </c>
      <c r="BL58" s="23">
        <f t="shared" si="140"/>
        <v>26.68888888888889</v>
      </c>
      <c r="BM58" s="23">
        <f t="shared" si="140"/>
        <v>27.18888888888889</v>
      </c>
      <c r="BN58" s="23">
        <f t="shared" si="140"/>
        <v>27.68888888888889</v>
      </c>
      <c r="BO58" s="23">
        <f t="shared" si="140"/>
        <v>28.18888888888889</v>
      </c>
      <c r="BP58" s="23">
        <f t="shared" si="138"/>
        <v>28.68888888888889</v>
      </c>
      <c r="BQ58" s="23">
        <f t="shared" si="138"/>
        <v>0</v>
      </c>
      <c r="BR58" s="23">
        <f t="shared" si="138"/>
        <v>0</v>
      </c>
      <c r="BS58" s="23">
        <f t="shared" si="138"/>
        <v>0</v>
      </c>
      <c r="BU58" s="23">
        <f t="shared" si="78"/>
        <v>2.25</v>
      </c>
      <c r="BV58" s="23">
        <f t="shared" si="79"/>
        <v>2.25</v>
      </c>
      <c r="BW58" s="23">
        <f t="shared" si="80"/>
        <v>2.25</v>
      </c>
      <c r="BX58" s="23">
        <f t="shared" si="81"/>
        <v>2.25</v>
      </c>
      <c r="BY58" s="23">
        <f t="shared" si="82"/>
        <v>2.25</v>
      </c>
      <c r="BZ58" s="23">
        <f t="shared" si="83"/>
        <v>2.25</v>
      </c>
      <c r="CA58" s="23">
        <f t="shared" si="84"/>
        <v>2.25</v>
      </c>
      <c r="CB58" s="23">
        <f t="shared" si="85"/>
        <v>2.25</v>
      </c>
      <c r="CC58" s="23">
        <f t="shared" si="86"/>
        <v>2.25</v>
      </c>
      <c r="CD58" s="23">
        <f t="shared" si="87"/>
        <v>2.25</v>
      </c>
      <c r="CE58" s="23">
        <f t="shared" si="88"/>
        <v>2.25</v>
      </c>
      <c r="CF58" s="23">
        <f t="shared" si="89"/>
        <v>2.25</v>
      </c>
      <c r="CG58" s="23">
        <f t="shared" si="90"/>
        <v>2.25</v>
      </c>
      <c r="CH58" s="23">
        <f t="shared" si="91"/>
        <v>2.25</v>
      </c>
      <c r="CI58" s="23">
        <f t="shared" si="92"/>
        <v>2.25</v>
      </c>
      <c r="CJ58" s="23">
        <f t="shared" si="93"/>
        <v>2.25</v>
      </c>
      <c r="CK58" s="23">
        <f t="shared" si="94"/>
        <v>2.25</v>
      </c>
      <c r="CL58" s="23">
        <f t="shared" si="95"/>
        <v>2.25</v>
      </c>
      <c r="CM58" s="23">
        <f t="shared" si="96"/>
        <v>2.25</v>
      </c>
      <c r="CN58" s="23">
        <f t="shared" si="97"/>
        <v>2.25</v>
      </c>
      <c r="CO58" s="23">
        <f t="shared" si="98"/>
        <v>2.25</v>
      </c>
      <c r="CP58" s="23">
        <f t="shared" si="99"/>
        <v>2.25</v>
      </c>
      <c r="CQ58" s="23">
        <f t="shared" si="100"/>
        <v>2.25</v>
      </c>
      <c r="CR58" s="23">
        <f t="shared" si="101"/>
        <v>2.25</v>
      </c>
      <c r="CS58" s="23">
        <f t="shared" si="102"/>
        <v>2.25</v>
      </c>
      <c r="CT58" s="23">
        <f t="shared" si="103"/>
        <v>2.25</v>
      </c>
      <c r="CU58" s="23">
        <f t="shared" si="104"/>
        <v>2.25</v>
      </c>
      <c r="CV58" s="23">
        <f t="shared" si="105"/>
        <v>2.25</v>
      </c>
      <c r="CW58" s="23">
        <f t="shared" si="106"/>
        <v>2.25</v>
      </c>
      <c r="CX58" s="23">
        <f t="shared" si="107"/>
        <v>2.25</v>
      </c>
      <c r="CY58" s="23">
        <f t="shared" si="108"/>
        <v>2.25</v>
      </c>
      <c r="CZ58" s="23">
        <f t="shared" si="109"/>
        <v>2.25</v>
      </c>
      <c r="DA58" s="23">
        <f t="shared" si="110"/>
        <v>2.25</v>
      </c>
      <c r="DB58" s="23">
        <f t="shared" si="111"/>
        <v>2.25</v>
      </c>
      <c r="DC58" s="23">
        <f t="shared" si="112"/>
        <v>2.25</v>
      </c>
      <c r="DD58" s="23">
        <f t="shared" si="113"/>
        <v>2.25</v>
      </c>
      <c r="DE58" s="23">
        <f t="shared" si="114"/>
        <v>2.25</v>
      </c>
      <c r="DF58" s="23">
        <f t="shared" si="115"/>
        <v>2.25</v>
      </c>
      <c r="DG58" s="23">
        <f t="shared" si="116"/>
        <v>2.25</v>
      </c>
      <c r="DH58" s="23">
        <f t="shared" si="117"/>
        <v>2.25</v>
      </c>
      <c r="DI58" s="23">
        <f t="shared" si="118"/>
        <v>2.25</v>
      </c>
      <c r="DJ58" s="23">
        <f t="shared" si="119"/>
        <v>2.25</v>
      </c>
      <c r="DK58" s="23">
        <f t="shared" si="120"/>
        <v>2.25</v>
      </c>
      <c r="DL58" s="23">
        <f t="shared" si="121"/>
        <v>2.25</v>
      </c>
      <c r="DM58" s="23">
        <f t="shared" si="122"/>
        <v>2.25</v>
      </c>
      <c r="DN58" s="23">
        <f t="shared" si="123"/>
        <v>2.25</v>
      </c>
      <c r="DO58" s="23">
        <f t="shared" si="124"/>
        <v>2.25</v>
      </c>
      <c r="DP58" s="23">
        <f t="shared" si="125"/>
        <v>2.25</v>
      </c>
      <c r="DQ58" s="23">
        <f t="shared" si="126"/>
        <v>2.25</v>
      </c>
      <c r="DR58" s="23">
        <f t="shared" si="127"/>
        <v>2.25</v>
      </c>
      <c r="DS58" s="23">
        <f t="shared" si="128"/>
        <v>2.25</v>
      </c>
      <c r="DT58" s="23">
        <f t="shared" si="129"/>
        <v>2.25</v>
      </c>
      <c r="DU58" s="23">
        <f t="shared" si="130"/>
        <v>2.25</v>
      </c>
      <c r="DV58" s="23">
        <f t="shared" si="131"/>
        <v>2.25</v>
      </c>
      <c r="DW58" s="23">
        <f t="shared" si="132"/>
        <v>2.25</v>
      </c>
      <c r="DX58" s="23">
        <f t="shared" si="133"/>
        <v>2.25</v>
      </c>
      <c r="DY58" s="23">
        <f t="shared" si="134"/>
        <v>2.25</v>
      </c>
      <c r="DZ58" s="23">
        <f t="shared" si="135"/>
        <v>102.25</v>
      </c>
      <c r="EA58" s="23">
        <f t="shared" si="136"/>
        <v>0</v>
      </c>
      <c r="EB58" s="23">
        <f t="shared" si="137"/>
        <v>0</v>
      </c>
    </row>
    <row r="59" spans="1:132">
      <c r="A59" s="23">
        <v>20370215.10475</v>
      </c>
      <c r="B59" s="23">
        <v>20070607</v>
      </c>
      <c r="C59" s="23">
        <v>20370215</v>
      </c>
      <c r="D59" s="23">
        <v>1</v>
      </c>
      <c r="E59" s="23">
        <v>4.75</v>
      </c>
      <c r="F59" s="23">
        <v>92.765625</v>
      </c>
      <c r="G59" s="23">
        <v>92.796875</v>
      </c>
      <c r="H59" s="26">
        <f t="shared" si="76"/>
        <v>29.68888888888889</v>
      </c>
      <c r="I59" s="26">
        <f t="shared" si="77"/>
        <v>1.4777777777777779</v>
      </c>
      <c r="K59" s="26">
        <v>0.18888888888888888</v>
      </c>
      <c r="L59" s="23">
        <f t="shared" si="143"/>
        <v>0.68888888888888888</v>
      </c>
      <c r="M59" s="23">
        <f t="shared" si="143"/>
        <v>1.1888888888888889</v>
      </c>
      <c r="N59" s="23">
        <f t="shared" si="143"/>
        <v>1.6888888888888889</v>
      </c>
      <c r="O59" s="23">
        <f t="shared" si="143"/>
        <v>2.1888888888888891</v>
      </c>
      <c r="P59" s="23">
        <f t="shared" si="143"/>
        <v>2.6888888888888891</v>
      </c>
      <c r="Q59" s="23">
        <f t="shared" si="143"/>
        <v>3.1888888888888891</v>
      </c>
      <c r="R59" s="23">
        <f t="shared" si="143"/>
        <v>3.6888888888888891</v>
      </c>
      <c r="S59" s="23">
        <f t="shared" si="143"/>
        <v>4.1888888888888891</v>
      </c>
      <c r="T59" s="23">
        <f t="shared" si="143"/>
        <v>4.6888888888888891</v>
      </c>
      <c r="U59" s="23">
        <f t="shared" si="143"/>
        <v>5.1888888888888891</v>
      </c>
      <c r="V59" s="23">
        <f t="shared" si="143"/>
        <v>5.6888888888888891</v>
      </c>
      <c r="W59" s="23">
        <f t="shared" si="143"/>
        <v>6.1888888888888891</v>
      </c>
      <c r="X59" s="23">
        <f t="shared" si="143"/>
        <v>6.6888888888888891</v>
      </c>
      <c r="Y59" s="23">
        <f t="shared" si="143"/>
        <v>7.1888888888888891</v>
      </c>
      <c r="Z59" s="23">
        <f t="shared" si="143"/>
        <v>7.6888888888888891</v>
      </c>
      <c r="AA59" s="23">
        <f t="shared" si="143"/>
        <v>8.18888888888889</v>
      </c>
      <c r="AB59" s="23">
        <f t="shared" si="143"/>
        <v>8.68888888888889</v>
      </c>
      <c r="AC59" s="23">
        <f t="shared" si="143"/>
        <v>9.18888888888889</v>
      </c>
      <c r="AD59" s="23">
        <f t="shared" si="143"/>
        <v>9.68888888888889</v>
      </c>
      <c r="AE59" s="23">
        <f t="shared" si="143"/>
        <v>10.18888888888889</v>
      </c>
      <c r="AF59" s="23">
        <f t="shared" si="143"/>
        <v>10.68888888888889</v>
      </c>
      <c r="AG59" s="23">
        <f t="shared" si="143"/>
        <v>11.18888888888889</v>
      </c>
      <c r="AH59" s="23">
        <f t="shared" si="143"/>
        <v>11.68888888888889</v>
      </c>
      <c r="AI59" s="23">
        <f t="shared" si="143"/>
        <v>12.18888888888889</v>
      </c>
      <c r="AJ59" s="23">
        <f t="shared" si="143"/>
        <v>12.68888888888889</v>
      </c>
      <c r="AK59" s="23">
        <f t="shared" si="143"/>
        <v>13.18888888888889</v>
      </c>
      <c r="AL59" s="23">
        <f t="shared" si="143"/>
        <v>13.68888888888889</v>
      </c>
      <c r="AM59" s="23">
        <f t="shared" si="143"/>
        <v>14.18888888888889</v>
      </c>
      <c r="AN59" s="23">
        <f t="shared" si="143"/>
        <v>14.68888888888889</v>
      </c>
      <c r="AO59" s="23">
        <f t="shared" si="143"/>
        <v>15.18888888888889</v>
      </c>
      <c r="AP59" s="23">
        <f t="shared" si="143"/>
        <v>15.68888888888889</v>
      </c>
      <c r="AQ59" s="23">
        <f t="shared" si="143"/>
        <v>16.18888888888889</v>
      </c>
      <c r="AR59" s="23">
        <f t="shared" si="143"/>
        <v>16.68888888888889</v>
      </c>
      <c r="AS59" s="23">
        <f t="shared" si="139"/>
        <v>17.18888888888889</v>
      </c>
      <c r="AT59" s="23">
        <f t="shared" si="139"/>
        <v>17.68888888888889</v>
      </c>
      <c r="AU59" s="23">
        <f t="shared" si="139"/>
        <v>18.18888888888889</v>
      </c>
      <c r="AV59" s="23">
        <f t="shared" si="139"/>
        <v>18.68888888888889</v>
      </c>
      <c r="AW59" s="23">
        <f t="shared" si="139"/>
        <v>19.18888888888889</v>
      </c>
      <c r="AX59" s="23">
        <f t="shared" si="139"/>
        <v>19.68888888888889</v>
      </c>
      <c r="AY59" s="23">
        <f t="shared" si="139"/>
        <v>20.18888888888889</v>
      </c>
      <c r="AZ59" s="23">
        <f t="shared" si="140"/>
        <v>20.68888888888889</v>
      </c>
      <c r="BA59" s="23">
        <f t="shared" si="140"/>
        <v>21.18888888888889</v>
      </c>
      <c r="BB59" s="23">
        <f t="shared" si="140"/>
        <v>21.68888888888889</v>
      </c>
      <c r="BC59" s="23">
        <f t="shared" si="140"/>
        <v>22.18888888888889</v>
      </c>
      <c r="BD59" s="23">
        <f t="shared" si="140"/>
        <v>22.68888888888889</v>
      </c>
      <c r="BE59" s="23">
        <f t="shared" si="140"/>
        <v>23.18888888888889</v>
      </c>
      <c r="BF59" s="23">
        <f t="shared" si="140"/>
        <v>23.68888888888889</v>
      </c>
      <c r="BG59" s="23">
        <f t="shared" si="140"/>
        <v>24.18888888888889</v>
      </c>
      <c r="BH59" s="23">
        <f t="shared" si="140"/>
        <v>24.68888888888889</v>
      </c>
      <c r="BI59" s="23">
        <f t="shared" si="140"/>
        <v>25.18888888888889</v>
      </c>
      <c r="BJ59" s="23">
        <f t="shared" si="140"/>
        <v>25.68888888888889</v>
      </c>
      <c r="BK59" s="23">
        <f t="shared" si="140"/>
        <v>26.18888888888889</v>
      </c>
      <c r="BL59" s="23">
        <f t="shared" si="140"/>
        <v>26.68888888888889</v>
      </c>
      <c r="BM59" s="23">
        <f t="shared" si="140"/>
        <v>27.18888888888889</v>
      </c>
      <c r="BN59" s="23">
        <f t="shared" si="140"/>
        <v>27.68888888888889</v>
      </c>
      <c r="BO59" s="23">
        <f t="shared" si="140"/>
        <v>28.18888888888889</v>
      </c>
      <c r="BP59" s="23">
        <f t="shared" si="138"/>
        <v>28.68888888888889</v>
      </c>
      <c r="BQ59" s="23">
        <f t="shared" si="138"/>
        <v>29.18888888888889</v>
      </c>
      <c r="BR59" s="23">
        <f t="shared" si="138"/>
        <v>29.68888888888889</v>
      </c>
      <c r="BS59" s="23">
        <f t="shared" si="138"/>
        <v>0</v>
      </c>
      <c r="BU59" s="23">
        <f t="shared" si="78"/>
        <v>2.375</v>
      </c>
      <c r="BV59" s="23">
        <f t="shared" si="79"/>
        <v>2.375</v>
      </c>
      <c r="BW59" s="23">
        <f t="shared" si="80"/>
        <v>2.375</v>
      </c>
      <c r="BX59" s="23">
        <f t="shared" si="81"/>
        <v>2.375</v>
      </c>
      <c r="BY59" s="23">
        <f t="shared" si="82"/>
        <v>2.375</v>
      </c>
      <c r="BZ59" s="23">
        <f t="shared" si="83"/>
        <v>2.375</v>
      </c>
      <c r="CA59" s="23">
        <f t="shared" si="84"/>
        <v>2.375</v>
      </c>
      <c r="CB59" s="23">
        <f t="shared" si="85"/>
        <v>2.375</v>
      </c>
      <c r="CC59" s="23">
        <f t="shared" si="86"/>
        <v>2.375</v>
      </c>
      <c r="CD59" s="23">
        <f t="shared" si="87"/>
        <v>2.375</v>
      </c>
      <c r="CE59" s="23">
        <f t="shared" si="88"/>
        <v>2.375</v>
      </c>
      <c r="CF59" s="23">
        <f t="shared" si="89"/>
        <v>2.375</v>
      </c>
      <c r="CG59" s="23">
        <f t="shared" si="90"/>
        <v>2.375</v>
      </c>
      <c r="CH59" s="23">
        <f t="shared" si="91"/>
        <v>2.375</v>
      </c>
      <c r="CI59" s="23">
        <f t="shared" si="92"/>
        <v>2.375</v>
      </c>
      <c r="CJ59" s="23">
        <f t="shared" si="93"/>
        <v>2.375</v>
      </c>
      <c r="CK59" s="23">
        <f t="shared" si="94"/>
        <v>2.375</v>
      </c>
      <c r="CL59" s="23">
        <f t="shared" si="95"/>
        <v>2.375</v>
      </c>
      <c r="CM59" s="23">
        <f t="shared" si="96"/>
        <v>2.375</v>
      </c>
      <c r="CN59" s="23">
        <f t="shared" si="97"/>
        <v>2.375</v>
      </c>
      <c r="CO59" s="23">
        <f t="shared" si="98"/>
        <v>2.375</v>
      </c>
      <c r="CP59" s="23">
        <f t="shared" si="99"/>
        <v>2.375</v>
      </c>
      <c r="CQ59" s="23">
        <f t="shared" si="100"/>
        <v>2.375</v>
      </c>
      <c r="CR59" s="23">
        <f t="shared" si="101"/>
        <v>2.375</v>
      </c>
      <c r="CS59" s="23">
        <f t="shared" si="102"/>
        <v>2.375</v>
      </c>
      <c r="CT59" s="23">
        <f t="shared" si="103"/>
        <v>2.375</v>
      </c>
      <c r="CU59" s="23">
        <f t="shared" si="104"/>
        <v>2.375</v>
      </c>
      <c r="CV59" s="23">
        <f t="shared" si="105"/>
        <v>2.375</v>
      </c>
      <c r="CW59" s="23">
        <f t="shared" si="106"/>
        <v>2.375</v>
      </c>
      <c r="CX59" s="23">
        <f t="shared" si="107"/>
        <v>2.375</v>
      </c>
      <c r="CY59" s="23">
        <f t="shared" si="108"/>
        <v>2.375</v>
      </c>
      <c r="CZ59" s="23">
        <f t="shared" si="109"/>
        <v>2.375</v>
      </c>
      <c r="DA59" s="23">
        <f t="shared" si="110"/>
        <v>2.375</v>
      </c>
      <c r="DB59" s="23">
        <f t="shared" si="111"/>
        <v>2.375</v>
      </c>
      <c r="DC59" s="23">
        <f t="shared" si="112"/>
        <v>2.375</v>
      </c>
      <c r="DD59" s="23">
        <f t="shared" si="113"/>
        <v>2.375</v>
      </c>
      <c r="DE59" s="23">
        <f t="shared" si="114"/>
        <v>2.375</v>
      </c>
      <c r="DF59" s="23">
        <f t="shared" si="115"/>
        <v>2.375</v>
      </c>
      <c r="DG59" s="23">
        <f t="shared" si="116"/>
        <v>2.375</v>
      </c>
      <c r="DH59" s="23">
        <f t="shared" si="117"/>
        <v>2.375</v>
      </c>
      <c r="DI59" s="23">
        <f t="shared" si="118"/>
        <v>2.375</v>
      </c>
      <c r="DJ59" s="23">
        <f t="shared" si="119"/>
        <v>2.375</v>
      </c>
      <c r="DK59" s="23">
        <f t="shared" si="120"/>
        <v>2.375</v>
      </c>
      <c r="DL59" s="23">
        <f t="shared" si="121"/>
        <v>2.375</v>
      </c>
      <c r="DM59" s="23">
        <f t="shared" si="122"/>
        <v>2.375</v>
      </c>
      <c r="DN59" s="23">
        <f t="shared" si="123"/>
        <v>2.375</v>
      </c>
      <c r="DO59" s="23">
        <f t="shared" si="124"/>
        <v>2.375</v>
      </c>
      <c r="DP59" s="23">
        <f t="shared" si="125"/>
        <v>2.375</v>
      </c>
      <c r="DQ59" s="23">
        <f t="shared" si="126"/>
        <v>2.375</v>
      </c>
      <c r="DR59" s="23">
        <f t="shared" si="127"/>
        <v>2.375</v>
      </c>
      <c r="DS59" s="23">
        <f t="shared" si="128"/>
        <v>2.375</v>
      </c>
      <c r="DT59" s="23">
        <f t="shared" si="129"/>
        <v>2.375</v>
      </c>
      <c r="DU59" s="23">
        <f t="shared" si="130"/>
        <v>2.375</v>
      </c>
      <c r="DV59" s="23">
        <f t="shared" si="131"/>
        <v>2.375</v>
      </c>
      <c r="DW59" s="23">
        <f t="shared" si="132"/>
        <v>2.375</v>
      </c>
      <c r="DX59" s="23">
        <f t="shared" si="133"/>
        <v>2.375</v>
      </c>
      <c r="DY59" s="23">
        <f t="shared" si="134"/>
        <v>2.375</v>
      </c>
      <c r="DZ59" s="23">
        <f t="shared" si="135"/>
        <v>2.375</v>
      </c>
      <c r="EA59" s="23">
        <f t="shared" si="136"/>
        <v>2.375</v>
      </c>
      <c r="EB59" s="23">
        <f t="shared" si="137"/>
        <v>102.375</v>
      </c>
    </row>
    <row r="60" spans="1:132">
      <c r="AJ60" s="24"/>
    </row>
    <row r="61" spans="1:132">
      <c r="AJ61" s="24"/>
    </row>
    <row r="62" spans="1:132">
      <c r="AJ62" s="24"/>
    </row>
    <row r="63" spans="1:132">
      <c r="AJ63" s="24"/>
    </row>
    <row r="64" spans="1:132">
      <c r="AJ64" s="24"/>
    </row>
    <row r="65" spans="36:36">
      <c r="AJ65" s="24"/>
    </row>
    <row r="66" spans="36:36">
      <c r="AJ66" s="24"/>
    </row>
    <row r="67" spans="36:36">
      <c r="AJ67" s="24"/>
    </row>
    <row r="68" spans="36:36">
      <c r="AJ68" s="24"/>
    </row>
    <row r="69" spans="36:36">
      <c r="AJ69" s="24"/>
    </row>
    <row r="70" spans="36:36">
      <c r="AJ70" s="24"/>
    </row>
    <row r="71" spans="36:36">
      <c r="AJ71" s="24"/>
    </row>
    <row r="72" spans="36:36">
      <c r="AJ72" s="24"/>
    </row>
    <row r="73" spans="36:36">
      <c r="AJ73" s="24"/>
    </row>
    <row r="74" spans="36:36">
      <c r="AJ74" s="24"/>
    </row>
    <row r="75" spans="36:36">
      <c r="AJ75" s="24"/>
    </row>
    <row r="76" spans="36:36">
      <c r="AJ76" s="24"/>
    </row>
    <row r="77" spans="36:36">
      <c r="AJ77" s="24"/>
    </row>
    <row r="78" spans="36:36">
      <c r="AJ78" s="24"/>
    </row>
    <row r="79" spans="36:36">
      <c r="AJ79" s="24"/>
    </row>
    <row r="80" spans="36:36">
      <c r="AJ80" s="24"/>
    </row>
    <row r="81" spans="36:36">
      <c r="AJ81" s="24"/>
    </row>
    <row r="82" spans="36:36">
      <c r="AJ82" s="24"/>
    </row>
    <row r="83" spans="36:36">
      <c r="AJ83" s="24"/>
    </row>
    <row r="84" spans="36:36">
      <c r="AJ84" s="24"/>
    </row>
    <row r="85" spans="36:36">
      <c r="AJ85" s="24"/>
    </row>
    <row r="86" spans="36:36">
      <c r="AJ86" s="24"/>
    </row>
    <row r="87" spans="36:36">
      <c r="AJ87" s="24"/>
    </row>
    <row r="88" spans="36:36">
      <c r="AJ88" s="24"/>
    </row>
    <row r="89" spans="36:36">
      <c r="AJ89" s="24"/>
    </row>
    <row r="90" spans="36:36">
      <c r="AJ90" s="24"/>
    </row>
    <row r="91" spans="36:36">
      <c r="AJ91" s="24"/>
    </row>
    <row r="92" spans="36:36">
      <c r="AJ92" s="24"/>
    </row>
    <row r="93" spans="36:36">
      <c r="AJ93" s="24"/>
    </row>
    <row r="94" spans="36:36">
      <c r="AJ94" s="24"/>
    </row>
    <row r="95" spans="36:36">
      <c r="AJ95" s="24"/>
    </row>
    <row r="96" spans="36:36">
      <c r="AJ96" s="24"/>
    </row>
    <row r="97" spans="36:36">
      <c r="AJ97" s="24"/>
    </row>
    <row r="98" spans="36:36">
      <c r="AJ98" s="24"/>
    </row>
    <row r="99" spans="36:36">
      <c r="AJ99" s="24"/>
    </row>
    <row r="100" spans="36:36">
      <c r="AJ100" s="24"/>
    </row>
    <row r="101" spans="36:36">
      <c r="AJ101" s="24"/>
    </row>
    <row r="102" spans="36:36">
      <c r="AJ102" s="24"/>
    </row>
    <row r="103" spans="36:36">
      <c r="AJ103" s="24"/>
    </row>
    <row r="104" spans="36:36">
      <c r="AJ104" s="24"/>
    </row>
    <row r="105" spans="36:36">
      <c r="AJ105" s="24"/>
    </row>
    <row r="106" spans="36:36">
      <c r="AJ106" s="24"/>
    </row>
    <row r="107" spans="36:36">
      <c r="AJ107" s="24"/>
    </row>
    <row r="108" spans="36:36">
      <c r="AJ108" s="24"/>
    </row>
    <row r="109" spans="36:36">
      <c r="AJ109" s="24"/>
    </row>
    <row r="110" spans="36:36">
      <c r="AJ110" s="24"/>
    </row>
    <row r="111" spans="36:36">
      <c r="AJ111" s="24"/>
    </row>
    <row r="112" spans="36:36">
      <c r="AJ112" s="24"/>
    </row>
    <row r="113" spans="36:36">
      <c r="AJ113" s="24"/>
    </row>
    <row r="114" spans="36:36">
      <c r="AJ114" s="24"/>
    </row>
    <row r="115" spans="36:36">
      <c r="AJ115" s="24"/>
    </row>
    <row r="116" spans="36:36">
      <c r="AJ116" s="24"/>
    </row>
    <row r="117" spans="36:36">
      <c r="AJ117" s="24"/>
    </row>
    <row r="118" spans="36:36">
      <c r="AJ118" s="24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tabColor rgb="FF00B050"/>
  </sheetPr>
  <dimension ref="A1:EU79"/>
  <sheetViews>
    <sheetView workbookViewId="0"/>
  </sheetViews>
  <sheetFormatPr baseColWidth="10" defaultColWidth="9.1640625" defaultRowHeight="15" outlineLevelCol="1"/>
  <cols>
    <col min="1" max="1" width="9.1640625" style="23"/>
    <col min="2" max="2" width="9.33203125" style="27" bestFit="1" customWidth="1"/>
    <col min="3" max="3" width="9.6640625" style="28" bestFit="1" customWidth="1"/>
    <col min="4" max="4" width="9" style="28" bestFit="1" customWidth="1"/>
    <col min="5" max="5" width="9" style="28" customWidth="1"/>
    <col min="6" max="6" width="10.1640625" style="28" bestFit="1" customWidth="1"/>
    <col min="7" max="7" width="9.33203125" style="28" bestFit="1" customWidth="1"/>
    <col min="8" max="8" width="9.1640625" style="41"/>
    <col min="9" max="66" width="7.6640625" style="41" hidden="1" customWidth="1" outlineLevel="1"/>
    <col min="67" max="67" width="9.1640625" style="41" collapsed="1"/>
    <col min="68" max="68" width="9.1640625" style="41"/>
    <col min="69" max="126" width="9.1640625" style="41" hidden="1" customWidth="1" outlineLevel="1"/>
    <col min="127" max="127" width="9.1640625" style="41" collapsed="1"/>
    <col min="128" max="128" width="8" style="23" bestFit="1" customWidth="1"/>
    <col min="129" max="129" width="9.6640625" style="23" bestFit="1" customWidth="1"/>
    <col min="130" max="130" width="5.83203125" style="23" customWidth="1"/>
    <col min="131" max="131" width="10" style="23" bestFit="1" customWidth="1"/>
    <col min="132" max="132" width="7.6640625" style="28" bestFit="1" customWidth="1"/>
    <col min="133" max="133" width="7.6640625" style="23" bestFit="1" customWidth="1"/>
    <col min="134" max="134" width="8" style="28" bestFit="1" customWidth="1"/>
    <col min="135" max="138" width="9.1640625" style="23"/>
    <col min="139" max="139" width="10.6640625" style="23" bestFit="1" customWidth="1"/>
    <col min="140" max="16384" width="9.1640625" style="23"/>
  </cols>
  <sheetData>
    <row r="1" spans="2:151" s="89" customFormat="1">
      <c r="B1" s="90" t="s">
        <v>675</v>
      </c>
      <c r="O1" s="91"/>
      <c r="P1" s="92"/>
      <c r="Q1" s="93"/>
      <c r="R1" s="94"/>
      <c r="S1" s="92"/>
      <c r="T1" s="92"/>
      <c r="U1" s="92"/>
      <c r="V1" s="92"/>
      <c r="W1" s="92"/>
      <c r="X1" s="92"/>
      <c r="Y1" s="92"/>
      <c r="Z1" s="92"/>
      <c r="AA1" s="92"/>
      <c r="AB1" s="92"/>
      <c r="AD1" s="95"/>
    </row>
    <row r="2" spans="2:151" s="89" customFormat="1">
      <c r="B2" s="96" t="s">
        <v>676</v>
      </c>
      <c r="O2" s="91"/>
      <c r="P2" s="92"/>
      <c r="Q2" s="93"/>
      <c r="R2" s="94"/>
      <c r="S2" s="92"/>
      <c r="T2" s="92"/>
      <c r="U2" s="92"/>
      <c r="V2" s="92"/>
      <c r="W2" s="92"/>
      <c r="X2" s="92"/>
      <c r="Y2" s="92"/>
      <c r="Z2" s="92"/>
      <c r="AA2" s="92"/>
      <c r="AB2" s="92"/>
      <c r="AD2" s="95"/>
    </row>
    <row r="3" spans="2:151" s="89" customFormat="1">
      <c r="B3" s="97"/>
      <c r="O3" s="91"/>
      <c r="P3" s="92"/>
      <c r="Q3" s="93"/>
      <c r="R3" s="94"/>
      <c r="S3" s="92"/>
      <c r="T3" s="92"/>
      <c r="U3" s="92"/>
      <c r="V3" s="92"/>
      <c r="W3" s="92"/>
      <c r="X3" s="92"/>
      <c r="Y3" s="92"/>
      <c r="Z3" s="92"/>
      <c r="AA3" s="92"/>
      <c r="AB3" s="92"/>
      <c r="AD3" s="95"/>
    </row>
    <row r="4" spans="2:151" s="98" customFormat="1">
      <c r="D4" s="59"/>
      <c r="E4" s="59"/>
      <c r="F4" s="59"/>
      <c r="G4" s="59"/>
      <c r="I4" s="59"/>
      <c r="J4" s="59"/>
      <c r="K4" s="99"/>
      <c r="L4" s="100"/>
      <c r="M4" s="100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99"/>
      <c r="AB4" s="101"/>
      <c r="AC4" s="101"/>
      <c r="AD4" s="101"/>
      <c r="AE4" s="101"/>
      <c r="AF4" s="101"/>
      <c r="AG4" s="101"/>
      <c r="AH4" s="101"/>
      <c r="AI4" s="101"/>
      <c r="AJ4" s="101"/>
      <c r="AK4" s="101"/>
      <c r="AL4" s="101"/>
      <c r="AM4" s="101"/>
      <c r="AN4" s="101"/>
      <c r="AO4" s="101"/>
      <c r="AP4" s="101"/>
      <c r="AQ4" s="101"/>
      <c r="AR4" s="101"/>
    </row>
    <row r="6" spans="2:151">
      <c r="B6" s="28" t="s">
        <v>33</v>
      </c>
      <c r="C6" s="50">
        <v>5.3663700787030172E-2</v>
      </c>
      <c r="D6" s="51"/>
      <c r="E6" s="51"/>
      <c r="F6" s="50"/>
      <c r="G6" s="51"/>
    </row>
    <row r="7" spans="2:151">
      <c r="B7" s="28" t="s">
        <v>34</v>
      </c>
      <c r="C7" s="50">
        <v>-1.3304389617595704E-3</v>
      </c>
      <c r="D7" s="51"/>
      <c r="E7" s="51"/>
      <c r="F7" s="50"/>
      <c r="G7" s="51"/>
    </row>
    <row r="8" spans="2:151">
      <c r="B8" s="48" t="s">
        <v>35</v>
      </c>
      <c r="C8" s="50">
        <v>-1.2687383717052272E-2</v>
      </c>
      <c r="D8" s="51"/>
      <c r="E8" s="51"/>
      <c r="F8" s="50"/>
      <c r="G8" s="51"/>
      <c r="DY8" s="35">
        <f>SUM(DY12:DY79)</f>
        <v>7.8267285529723294</v>
      </c>
    </row>
    <row r="9" spans="2:151">
      <c r="B9" s="28" t="s">
        <v>642</v>
      </c>
      <c r="C9" s="50">
        <v>1.3201960505285733</v>
      </c>
      <c r="D9" s="51"/>
      <c r="E9" s="51"/>
      <c r="F9" s="50"/>
      <c r="G9" s="51"/>
    </row>
    <row r="10" spans="2:151">
      <c r="H10" s="106" t="s">
        <v>649</v>
      </c>
      <c r="I10" s="106"/>
      <c r="J10" s="106"/>
      <c r="K10" s="106"/>
      <c r="L10" s="106"/>
      <c r="M10" s="106"/>
      <c r="N10" s="106"/>
      <c r="O10" s="106"/>
      <c r="P10" s="106"/>
      <c r="Q10" s="106"/>
      <c r="R10" s="106"/>
      <c r="S10" s="106"/>
      <c r="T10" s="106"/>
      <c r="U10" s="106"/>
      <c r="V10" s="106"/>
      <c r="W10" s="106"/>
      <c r="X10" s="106"/>
      <c r="Y10" s="106"/>
      <c r="Z10" s="106"/>
      <c r="AA10" s="106"/>
      <c r="AB10" s="106"/>
      <c r="AC10" s="106"/>
      <c r="AD10" s="106"/>
      <c r="AE10" s="106"/>
      <c r="AF10" s="106"/>
      <c r="AG10" s="106"/>
      <c r="AH10" s="106"/>
      <c r="AI10" s="106"/>
      <c r="AJ10" s="106"/>
      <c r="AK10" s="106"/>
      <c r="AL10" s="106"/>
      <c r="AM10" s="106"/>
      <c r="AN10" s="106"/>
      <c r="AO10" s="106"/>
      <c r="AP10" s="106"/>
      <c r="AQ10" s="106"/>
      <c r="AR10" s="106"/>
      <c r="AS10" s="106"/>
      <c r="AT10" s="106"/>
      <c r="AU10" s="106"/>
      <c r="AV10" s="106"/>
      <c r="AW10" s="106"/>
      <c r="AX10" s="106"/>
      <c r="AY10" s="106"/>
      <c r="AZ10" s="106"/>
      <c r="BA10" s="106"/>
      <c r="BB10" s="106"/>
      <c r="BC10" s="106"/>
      <c r="BD10" s="106"/>
      <c r="BE10" s="106"/>
      <c r="BF10" s="106"/>
      <c r="BG10" s="106"/>
      <c r="BH10" s="106"/>
      <c r="BI10" s="106"/>
      <c r="BJ10" s="106"/>
      <c r="BK10" s="106"/>
      <c r="BL10" s="106"/>
      <c r="BM10" s="106"/>
      <c r="BN10" s="106"/>
      <c r="BO10" s="106"/>
      <c r="BP10" s="107" t="s">
        <v>650</v>
      </c>
      <c r="BQ10" s="107"/>
      <c r="BR10" s="107"/>
      <c r="BS10" s="107"/>
      <c r="BT10" s="107"/>
      <c r="BU10" s="107"/>
      <c r="BV10" s="107"/>
      <c r="BW10" s="107"/>
      <c r="BX10" s="107"/>
      <c r="BY10" s="107"/>
      <c r="BZ10" s="107"/>
      <c r="CA10" s="107"/>
      <c r="CB10" s="107"/>
      <c r="CC10" s="107"/>
      <c r="CD10" s="107"/>
      <c r="CE10" s="107"/>
      <c r="CF10" s="107"/>
      <c r="CG10" s="107"/>
      <c r="CH10" s="107"/>
      <c r="CI10" s="107"/>
      <c r="CJ10" s="107"/>
      <c r="CK10" s="107"/>
      <c r="CL10" s="107"/>
      <c r="CM10" s="107"/>
      <c r="CN10" s="107"/>
      <c r="CO10" s="107"/>
      <c r="CP10" s="107"/>
      <c r="CQ10" s="107"/>
      <c r="CR10" s="107"/>
      <c r="CS10" s="107"/>
      <c r="CT10" s="107"/>
      <c r="CU10" s="107"/>
      <c r="CV10" s="107"/>
      <c r="CW10" s="107"/>
      <c r="CX10" s="107"/>
      <c r="CY10" s="107"/>
      <c r="CZ10" s="107"/>
      <c r="DA10" s="107"/>
      <c r="DB10" s="107"/>
      <c r="DC10" s="107"/>
      <c r="DD10" s="107"/>
      <c r="DE10" s="107"/>
      <c r="DF10" s="107"/>
      <c r="DG10" s="107"/>
      <c r="DH10" s="107"/>
      <c r="DI10" s="107"/>
      <c r="DJ10" s="107"/>
      <c r="DK10" s="107"/>
      <c r="DL10" s="107"/>
      <c r="DM10" s="107"/>
      <c r="DN10" s="107"/>
      <c r="DO10" s="107"/>
      <c r="DP10" s="107"/>
      <c r="DQ10" s="107"/>
      <c r="DR10" s="107"/>
      <c r="DS10" s="107"/>
      <c r="DT10" s="107"/>
      <c r="DU10" s="107"/>
      <c r="DV10" s="107"/>
      <c r="DW10" s="107"/>
    </row>
    <row r="11" spans="2:151" s="31" customFormat="1" ht="18">
      <c r="B11" s="30" t="s">
        <v>672</v>
      </c>
      <c r="C11" s="31" t="s">
        <v>673</v>
      </c>
      <c r="D11" s="31" t="s">
        <v>674</v>
      </c>
      <c r="E11" s="31" t="s">
        <v>652</v>
      </c>
      <c r="F11" s="31" t="s">
        <v>24</v>
      </c>
      <c r="G11" s="31" t="s">
        <v>643</v>
      </c>
      <c r="H11" s="44">
        <v>1</v>
      </c>
      <c r="I11" s="44">
        <f>H11+1</f>
        <v>2</v>
      </c>
      <c r="J11" s="44">
        <f t="shared" ref="J11:BO11" si="0">I11+1</f>
        <v>3</v>
      </c>
      <c r="K11" s="44">
        <f t="shared" si="0"/>
        <v>4</v>
      </c>
      <c r="L11" s="44">
        <f t="shared" si="0"/>
        <v>5</v>
      </c>
      <c r="M11" s="44">
        <f t="shared" si="0"/>
        <v>6</v>
      </c>
      <c r="N11" s="44">
        <f t="shared" si="0"/>
        <v>7</v>
      </c>
      <c r="O11" s="44">
        <f t="shared" si="0"/>
        <v>8</v>
      </c>
      <c r="P11" s="44">
        <f t="shared" si="0"/>
        <v>9</v>
      </c>
      <c r="Q11" s="44">
        <f t="shared" si="0"/>
        <v>10</v>
      </c>
      <c r="R11" s="44">
        <f t="shared" si="0"/>
        <v>11</v>
      </c>
      <c r="S11" s="44">
        <f t="shared" si="0"/>
        <v>12</v>
      </c>
      <c r="T11" s="44">
        <f t="shared" si="0"/>
        <v>13</v>
      </c>
      <c r="U11" s="44">
        <f t="shared" si="0"/>
        <v>14</v>
      </c>
      <c r="V11" s="44">
        <f t="shared" si="0"/>
        <v>15</v>
      </c>
      <c r="W11" s="44">
        <f t="shared" si="0"/>
        <v>16</v>
      </c>
      <c r="X11" s="44">
        <f t="shared" si="0"/>
        <v>17</v>
      </c>
      <c r="Y11" s="44">
        <f t="shared" si="0"/>
        <v>18</v>
      </c>
      <c r="Z11" s="44">
        <f t="shared" si="0"/>
        <v>19</v>
      </c>
      <c r="AA11" s="44">
        <f t="shared" si="0"/>
        <v>20</v>
      </c>
      <c r="AB11" s="44">
        <f t="shared" si="0"/>
        <v>21</v>
      </c>
      <c r="AC11" s="44">
        <f t="shared" si="0"/>
        <v>22</v>
      </c>
      <c r="AD11" s="44">
        <f t="shared" si="0"/>
        <v>23</v>
      </c>
      <c r="AE11" s="44">
        <f t="shared" si="0"/>
        <v>24</v>
      </c>
      <c r="AF11" s="44">
        <f t="shared" si="0"/>
        <v>25</v>
      </c>
      <c r="AG11" s="44">
        <f t="shared" si="0"/>
        <v>26</v>
      </c>
      <c r="AH11" s="44">
        <f t="shared" si="0"/>
        <v>27</v>
      </c>
      <c r="AI11" s="44">
        <f t="shared" si="0"/>
        <v>28</v>
      </c>
      <c r="AJ11" s="44">
        <f t="shared" si="0"/>
        <v>29</v>
      </c>
      <c r="AK11" s="44">
        <f t="shared" si="0"/>
        <v>30</v>
      </c>
      <c r="AL11" s="44">
        <f t="shared" si="0"/>
        <v>31</v>
      </c>
      <c r="AM11" s="44">
        <f t="shared" si="0"/>
        <v>32</v>
      </c>
      <c r="AN11" s="44">
        <f t="shared" si="0"/>
        <v>33</v>
      </c>
      <c r="AO11" s="44">
        <f t="shared" si="0"/>
        <v>34</v>
      </c>
      <c r="AP11" s="44">
        <f t="shared" si="0"/>
        <v>35</v>
      </c>
      <c r="AQ11" s="44">
        <f t="shared" si="0"/>
        <v>36</v>
      </c>
      <c r="AR11" s="44">
        <f t="shared" si="0"/>
        <v>37</v>
      </c>
      <c r="AS11" s="44">
        <f t="shared" si="0"/>
        <v>38</v>
      </c>
      <c r="AT11" s="44">
        <f t="shared" si="0"/>
        <v>39</v>
      </c>
      <c r="AU11" s="44">
        <f t="shared" si="0"/>
        <v>40</v>
      </c>
      <c r="AV11" s="44">
        <f t="shared" si="0"/>
        <v>41</v>
      </c>
      <c r="AW11" s="44">
        <f t="shared" si="0"/>
        <v>42</v>
      </c>
      <c r="AX11" s="44">
        <f t="shared" si="0"/>
        <v>43</v>
      </c>
      <c r="AY11" s="44">
        <f t="shared" si="0"/>
        <v>44</v>
      </c>
      <c r="AZ11" s="44">
        <f t="shared" si="0"/>
        <v>45</v>
      </c>
      <c r="BA11" s="44">
        <f t="shared" si="0"/>
        <v>46</v>
      </c>
      <c r="BB11" s="44">
        <f t="shared" si="0"/>
        <v>47</v>
      </c>
      <c r="BC11" s="44">
        <f t="shared" si="0"/>
        <v>48</v>
      </c>
      <c r="BD11" s="44">
        <f t="shared" si="0"/>
        <v>49</v>
      </c>
      <c r="BE11" s="44">
        <f t="shared" si="0"/>
        <v>50</v>
      </c>
      <c r="BF11" s="44">
        <f t="shared" si="0"/>
        <v>51</v>
      </c>
      <c r="BG11" s="44">
        <f t="shared" si="0"/>
        <v>52</v>
      </c>
      <c r="BH11" s="44">
        <f t="shared" si="0"/>
        <v>53</v>
      </c>
      <c r="BI11" s="44">
        <f t="shared" si="0"/>
        <v>54</v>
      </c>
      <c r="BJ11" s="44">
        <f t="shared" si="0"/>
        <v>55</v>
      </c>
      <c r="BK11" s="44">
        <f t="shared" si="0"/>
        <v>56</v>
      </c>
      <c r="BL11" s="44">
        <f t="shared" si="0"/>
        <v>57</v>
      </c>
      <c r="BM11" s="44">
        <f t="shared" si="0"/>
        <v>58</v>
      </c>
      <c r="BN11" s="44">
        <f t="shared" si="0"/>
        <v>59</v>
      </c>
      <c r="BO11" s="44">
        <f t="shared" si="0"/>
        <v>60</v>
      </c>
      <c r="BP11" s="37">
        <v>1</v>
      </c>
      <c r="BQ11" s="37">
        <f>BP11+1</f>
        <v>2</v>
      </c>
      <c r="BR11" s="37">
        <f t="shared" ref="BR11:DW11" si="1">BQ11+1</f>
        <v>3</v>
      </c>
      <c r="BS11" s="37">
        <f t="shared" si="1"/>
        <v>4</v>
      </c>
      <c r="BT11" s="37">
        <f t="shared" si="1"/>
        <v>5</v>
      </c>
      <c r="BU11" s="37">
        <f t="shared" si="1"/>
        <v>6</v>
      </c>
      <c r="BV11" s="37">
        <f t="shared" si="1"/>
        <v>7</v>
      </c>
      <c r="BW11" s="37">
        <f t="shared" si="1"/>
        <v>8</v>
      </c>
      <c r="BX11" s="37">
        <f t="shared" si="1"/>
        <v>9</v>
      </c>
      <c r="BY11" s="37">
        <f t="shared" si="1"/>
        <v>10</v>
      </c>
      <c r="BZ11" s="37">
        <f t="shared" si="1"/>
        <v>11</v>
      </c>
      <c r="CA11" s="37">
        <f t="shared" si="1"/>
        <v>12</v>
      </c>
      <c r="CB11" s="37">
        <f t="shared" si="1"/>
        <v>13</v>
      </c>
      <c r="CC11" s="37">
        <f t="shared" si="1"/>
        <v>14</v>
      </c>
      <c r="CD11" s="37">
        <f t="shared" si="1"/>
        <v>15</v>
      </c>
      <c r="CE11" s="37">
        <f t="shared" si="1"/>
        <v>16</v>
      </c>
      <c r="CF11" s="37">
        <f t="shared" si="1"/>
        <v>17</v>
      </c>
      <c r="CG11" s="37">
        <f t="shared" si="1"/>
        <v>18</v>
      </c>
      <c r="CH11" s="37">
        <f t="shared" si="1"/>
        <v>19</v>
      </c>
      <c r="CI11" s="37">
        <f t="shared" si="1"/>
        <v>20</v>
      </c>
      <c r="CJ11" s="37">
        <f t="shared" si="1"/>
        <v>21</v>
      </c>
      <c r="CK11" s="37">
        <f t="shared" si="1"/>
        <v>22</v>
      </c>
      <c r="CL11" s="37">
        <f t="shared" si="1"/>
        <v>23</v>
      </c>
      <c r="CM11" s="37">
        <f t="shared" si="1"/>
        <v>24</v>
      </c>
      <c r="CN11" s="37">
        <f t="shared" si="1"/>
        <v>25</v>
      </c>
      <c r="CO11" s="37">
        <f t="shared" si="1"/>
        <v>26</v>
      </c>
      <c r="CP11" s="37">
        <f t="shared" si="1"/>
        <v>27</v>
      </c>
      <c r="CQ11" s="37">
        <f t="shared" si="1"/>
        <v>28</v>
      </c>
      <c r="CR11" s="37">
        <f t="shared" si="1"/>
        <v>29</v>
      </c>
      <c r="CS11" s="37">
        <f t="shared" si="1"/>
        <v>30</v>
      </c>
      <c r="CT11" s="37">
        <f t="shared" si="1"/>
        <v>31</v>
      </c>
      <c r="CU11" s="37">
        <f t="shared" si="1"/>
        <v>32</v>
      </c>
      <c r="CV11" s="37">
        <f t="shared" si="1"/>
        <v>33</v>
      </c>
      <c r="CW11" s="37">
        <f t="shared" si="1"/>
        <v>34</v>
      </c>
      <c r="CX11" s="37">
        <f t="shared" si="1"/>
        <v>35</v>
      </c>
      <c r="CY11" s="37">
        <f t="shared" si="1"/>
        <v>36</v>
      </c>
      <c r="CZ11" s="37">
        <f t="shared" si="1"/>
        <v>37</v>
      </c>
      <c r="DA11" s="37">
        <f t="shared" si="1"/>
        <v>38</v>
      </c>
      <c r="DB11" s="37">
        <f t="shared" si="1"/>
        <v>39</v>
      </c>
      <c r="DC11" s="37">
        <f t="shared" si="1"/>
        <v>40</v>
      </c>
      <c r="DD11" s="37">
        <f t="shared" si="1"/>
        <v>41</v>
      </c>
      <c r="DE11" s="37">
        <f t="shared" si="1"/>
        <v>42</v>
      </c>
      <c r="DF11" s="37">
        <f t="shared" si="1"/>
        <v>43</v>
      </c>
      <c r="DG11" s="37">
        <f t="shared" si="1"/>
        <v>44</v>
      </c>
      <c r="DH11" s="37">
        <f t="shared" si="1"/>
        <v>45</v>
      </c>
      <c r="DI11" s="37">
        <f t="shared" si="1"/>
        <v>46</v>
      </c>
      <c r="DJ11" s="37">
        <f t="shared" si="1"/>
        <v>47</v>
      </c>
      <c r="DK11" s="37">
        <f t="shared" si="1"/>
        <v>48</v>
      </c>
      <c r="DL11" s="37">
        <f t="shared" si="1"/>
        <v>49</v>
      </c>
      <c r="DM11" s="37">
        <f t="shared" si="1"/>
        <v>50</v>
      </c>
      <c r="DN11" s="37">
        <f t="shared" si="1"/>
        <v>51</v>
      </c>
      <c r="DO11" s="37">
        <f t="shared" si="1"/>
        <v>52</v>
      </c>
      <c r="DP11" s="37">
        <f t="shared" si="1"/>
        <v>53</v>
      </c>
      <c r="DQ11" s="37">
        <f t="shared" si="1"/>
        <v>54</v>
      </c>
      <c r="DR11" s="37">
        <f t="shared" si="1"/>
        <v>55</v>
      </c>
      <c r="DS11" s="37">
        <f t="shared" si="1"/>
        <v>56</v>
      </c>
      <c r="DT11" s="37">
        <f t="shared" si="1"/>
        <v>57</v>
      </c>
      <c r="DU11" s="37">
        <f t="shared" si="1"/>
        <v>58</v>
      </c>
      <c r="DV11" s="37">
        <f t="shared" si="1"/>
        <v>59</v>
      </c>
      <c r="DW11" s="37">
        <f t="shared" si="1"/>
        <v>60</v>
      </c>
      <c r="DX11" s="31" t="s">
        <v>645</v>
      </c>
      <c r="DY11" s="31" t="s">
        <v>646</v>
      </c>
      <c r="EA11" s="31" t="s">
        <v>24</v>
      </c>
      <c r="EB11" s="31" t="s">
        <v>647</v>
      </c>
      <c r="EC11" s="31" t="s">
        <v>648</v>
      </c>
      <c r="ED11" s="31" t="s">
        <v>651</v>
      </c>
      <c r="EU11" s="23"/>
    </row>
    <row r="12" spans="2:151" ht="18">
      <c r="B12" s="27">
        <f>'Data Bonds'!E11</f>
        <v>0</v>
      </c>
      <c r="C12" s="27">
        <f>'Data Bonds'!F11</f>
        <v>99.634833</v>
      </c>
      <c r="D12" s="27">
        <f>'Data Bonds'!G11</f>
        <v>99.635610999999997</v>
      </c>
      <c r="E12" s="27">
        <f>'Data Bonds'!I11</f>
        <v>0</v>
      </c>
      <c r="F12" s="40">
        <f>'Data Bonds'!H11</f>
        <v>7.7777777777777779E-2</v>
      </c>
      <c r="G12" s="28">
        <f>(C12+D12)/2+E12</f>
        <v>99.635221999999999</v>
      </c>
      <c r="H12" s="45">
        <f>IF('Data Bonds'!K11=0,0,theta0+(theta1+theta2)*(1-EXP(-'Data Bonds'!K11/la))/('Data Bonds'!K11/la)-theta2*EXP(-'Data Bonds'!K11/la))</f>
        <v>5.2012322325330124E-2</v>
      </c>
      <c r="I12" s="45">
        <f>IF('Data Bonds'!L11=0,0,theta0+(theta1+theta2)*(1-EXP(-'Data Bonds'!L11/la))/('Data Bonds'!L11/la)-theta2*EXP(-'Data Bonds'!L11/la))</f>
        <v>0</v>
      </c>
      <c r="J12" s="45">
        <f>IF('Data Bonds'!M11=0,0,theta0+(theta1+theta2)*(1-EXP(-'Data Bonds'!M11/la))/('Data Bonds'!M11/la)-theta2*EXP(-'Data Bonds'!M11/la))</f>
        <v>0</v>
      </c>
      <c r="K12" s="45">
        <f>IF('Data Bonds'!N11=0,0,theta0+(theta1+theta2)*(1-EXP(-'Data Bonds'!N11/la))/('Data Bonds'!N11/la)-theta2*EXP(-'Data Bonds'!N11/la))</f>
        <v>0</v>
      </c>
      <c r="L12" s="45">
        <f>IF('Data Bonds'!O11=0,0,theta0+(theta1+theta2)*(1-EXP(-'Data Bonds'!O11/la))/('Data Bonds'!O11/la)-theta2*EXP(-'Data Bonds'!O11/la))</f>
        <v>0</v>
      </c>
      <c r="M12" s="45">
        <f>IF('Data Bonds'!P11=0,0,theta0+(theta1+theta2)*(1-EXP(-'Data Bonds'!P11/la))/('Data Bonds'!P11/la)-theta2*EXP(-'Data Bonds'!P11/la))</f>
        <v>0</v>
      </c>
      <c r="N12" s="45">
        <f>IF('Data Bonds'!Q11=0,0,theta0+(theta1+theta2)*(1-EXP(-'Data Bonds'!Q11/la))/('Data Bonds'!Q11/la)-theta2*EXP(-'Data Bonds'!Q11/la))</f>
        <v>0</v>
      </c>
      <c r="O12" s="45">
        <f>IF('Data Bonds'!R11=0,0,theta0+(theta1+theta2)*(1-EXP(-'Data Bonds'!R11/la))/('Data Bonds'!R11/la)-theta2*EXP(-'Data Bonds'!R11/la))</f>
        <v>0</v>
      </c>
      <c r="P12" s="45">
        <f>IF('Data Bonds'!S11=0,0,theta0+(theta1+theta2)*(1-EXP(-'Data Bonds'!S11/la))/('Data Bonds'!S11/la)-theta2*EXP(-'Data Bonds'!S11/la))</f>
        <v>0</v>
      </c>
      <c r="Q12" s="45">
        <f>IF('Data Bonds'!T11=0,0,theta0+(theta1+theta2)*(1-EXP(-'Data Bonds'!T11/la))/('Data Bonds'!T11/la)-theta2*EXP(-'Data Bonds'!T11/la))</f>
        <v>0</v>
      </c>
      <c r="R12" s="45">
        <f>IF('Data Bonds'!U11=0,0,theta0+(theta1+theta2)*(1-EXP(-'Data Bonds'!U11/la))/('Data Bonds'!U11/la)-theta2*EXP(-'Data Bonds'!U11/la))</f>
        <v>0</v>
      </c>
      <c r="S12" s="45">
        <f>IF('Data Bonds'!V11=0,0,theta0+(theta1+theta2)*(1-EXP(-'Data Bonds'!V11/la))/('Data Bonds'!V11/la)-theta2*EXP(-'Data Bonds'!V11/la))</f>
        <v>0</v>
      </c>
      <c r="T12" s="45">
        <f>IF('Data Bonds'!W11=0,0,theta0+(theta1+theta2)*(1-EXP(-'Data Bonds'!W11/la))/('Data Bonds'!W11/la)-theta2*EXP(-'Data Bonds'!W11/la))</f>
        <v>0</v>
      </c>
      <c r="U12" s="45">
        <f>IF('Data Bonds'!X11=0,0,theta0+(theta1+theta2)*(1-EXP(-'Data Bonds'!X11/la))/('Data Bonds'!X11/la)-theta2*EXP(-'Data Bonds'!X11/la))</f>
        <v>0</v>
      </c>
      <c r="V12" s="45">
        <f>IF('Data Bonds'!Y11=0,0,theta0+(theta1+theta2)*(1-EXP(-'Data Bonds'!Y11/la))/('Data Bonds'!Y11/la)-theta2*EXP(-'Data Bonds'!Y11/la))</f>
        <v>0</v>
      </c>
      <c r="W12" s="45">
        <f>IF('Data Bonds'!Z11=0,0,theta0+(theta1+theta2)*(1-EXP(-'Data Bonds'!Z11/la))/('Data Bonds'!Z11/la)-theta2*EXP(-'Data Bonds'!Z11/la))</f>
        <v>0</v>
      </c>
      <c r="X12" s="45">
        <f>IF('Data Bonds'!AA11=0,0,theta0+(theta1+theta2)*(1-EXP(-'Data Bonds'!AA11/la))/('Data Bonds'!AA11/la)-theta2*EXP(-'Data Bonds'!AA11/la))</f>
        <v>0</v>
      </c>
      <c r="Y12" s="45">
        <f>IF('Data Bonds'!AB11=0,0,theta0+(theta1+theta2)*(1-EXP(-'Data Bonds'!AB11/la))/('Data Bonds'!AB11/la)-theta2*EXP(-'Data Bonds'!AB11/la))</f>
        <v>0</v>
      </c>
      <c r="Z12" s="45">
        <f>IF('Data Bonds'!AC11=0,0,theta0+(theta1+theta2)*(1-EXP(-'Data Bonds'!AC11/la))/('Data Bonds'!AC11/la)-theta2*EXP(-'Data Bonds'!AC11/la))</f>
        <v>0</v>
      </c>
      <c r="AA12" s="45">
        <f>IF('Data Bonds'!AD11=0,0,theta0+(theta1+theta2)*(1-EXP(-'Data Bonds'!AD11/la))/('Data Bonds'!AD11/la)-theta2*EXP(-'Data Bonds'!AD11/la))</f>
        <v>0</v>
      </c>
      <c r="AB12" s="45">
        <f>IF('Data Bonds'!AE11=0,0,theta0+(theta1+theta2)*(1-EXP(-'Data Bonds'!AE11/la))/('Data Bonds'!AE11/la)-theta2*EXP(-'Data Bonds'!AE11/la))</f>
        <v>0</v>
      </c>
      <c r="AC12" s="45">
        <f>IF('Data Bonds'!AF11=0,0,theta0+(theta1+theta2)*(1-EXP(-'Data Bonds'!AF11/la))/('Data Bonds'!AF11/la)-theta2*EXP(-'Data Bonds'!AF11/la))</f>
        <v>0</v>
      </c>
      <c r="AD12" s="45">
        <f>IF('Data Bonds'!AG11=0,0,theta0+(theta1+theta2)*(1-EXP(-'Data Bonds'!AG11/la))/('Data Bonds'!AG11/la)-theta2*EXP(-'Data Bonds'!AG11/la))</f>
        <v>0</v>
      </c>
      <c r="AE12" s="45">
        <f>IF('Data Bonds'!AH11=0,0,theta0+(theta1+theta2)*(1-EXP(-'Data Bonds'!AH11/la))/('Data Bonds'!AH11/la)-theta2*EXP(-'Data Bonds'!AH11/la))</f>
        <v>0</v>
      </c>
      <c r="AF12" s="45">
        <f>IF('Data Bonds'!AI11=0,0,theta0+(theta1+theta2)*(1-EXP(-'Data Bonds'!AI11/la))/('Data Bonds'!AI11/la)-theta2*EXP(-'Data Bonds'!AI11/la))</f>
        <v>0</v>
      </c>
      <c r="AG12" s="45">
        <f>IF('Data Bonds'!AJ11=0,0,theta0+(theta1+theta2)*(1-EXP(-'Data Bonds'!AJ11/la))/('Data Bonds'!AJ11/la)-theta2*EXP(-'Data Bonds'!AJ11/la))</f>
        <v>0</v>
      </c>
      <c r="AH12" s="45">
        <f>IF('Data Bonds'!AK11=0,0,theta0+(theta1+theta2)*(1-EXP(-'Data Bonds'!AK11/la))/('Data Bonds'!AK11/la)-theta2*EXP(-'Data Bonds'!AK11/la))</f>
        <v>0</v>
      </c>
      <c r="AI12" s="45">
        <f>IF('Data Bonds'!AL11=0,0,theta0+(theta1+theta2)*(1-EXP(-'Data Bonds'!AL11/la))/('Data Bonds'!AL11/la)-theta2*EXP(-'Data Bonds'!AL11/la))</f>
        <v>0</v>
      </c>
      <c r="AJ12" s="45">
        <f>IF('Data Bonds'!AM11=0,0,theta0+(theta1+theta2)*(1-EXP(-'Data Bonds'!AM11/la))/('Data Bonds'!AM11/la)-theta2*EXP(-'Data Bonds'!AM11/la))</f>
        <v>0</v>
      </c>
      <c r="AK12" s="45">
        <f>IF('Data Bonds'!AN11=0,0,theta0+(theta1+theta2)*(1-EXP(-'Data Bonds'!AN11/la))/('Data Bonds'!AN11/la)-theta2*EXP(-'Data Bonds'!AN11/la))</f>
        <v>0</v>
      </c>
      <c r="AL12" s="45">
        <f>IF('Data Bonds'!AO11=0,0,theta0+(theta1+theta2)*(1-EXP(-'Data Bonds'!AO11/la))/('Data Bonds'!AO11/la)-theta2*EXP(-'Data Bonds'!AO11/la))</f>
        <v>0</v>
      </c>
      <c r="AM12" s="45">
        <f>IF('Data Bonds'!AP11=0,0,theta0+(theta1+theta2)*(1-EXP(-'Data Bonds'!AP11/la))/('Data Bonds'!AP11/la)-theta2*EXP(-'Data Bonds'!AP11/la))</f>
        <v>0</v>
      </c>
      <c r="AN12" s="45">
        <f>IF('Data Bonds'!AQ11=0,0,theta0+(theta1+theta2)*(1-EXP(-'Data Bonds'!AQ11/la))/('Data Bonds'!AQ11/la)-theta2*EXP(-'Data Bonds'!AQ11/la))</f>
        <v>0</v>
      </c>
      <c r="AO12" s="45">
        <f>IF('Data Bonds'!AR11=0,0,theta0+(theta1+theta2)*(1-EXP(-'Data Bonds'!AR11/la))/('Data Bonds'!AR11/la)-theta2*EXP(-'Data Bonds'!AR11/la))</f>
        <v>0</v>
      </c>
      <c r="AP12" s="45">
        <f>IF('Data Bonds'!AS11=0,0,theta0+(theta1+theta2)*(1-EXP(-'Data Bonds'!AS11/la))/('Data Bonds'!AS11/la)-theta2*EXP(-'Data Bonds'!AS11/la))</f>
        <v>0</v>
      </c>
      <c r="AQ12" s="45">
        <f>IF('Data Bonds'!AT11=0,0,theta0+(theta1+theta2)*(1-EXP(-'Data Bonds'!AT11/la))/('Data Bonds'!AT11/la)-theta2*EXP(-'Data Bonds'!AT11/la))</f>
        <v>0</v>
      </c>
      <c r="AR12" s="45">
        <f>IF('Data Bonds'!AU11=0,0,theta0+(theta1+theta2)*(1-EXP(-'Data Bonds'!AU11/la))/('Data Bonds'!AU11/la)-theta2*EXP(-'Data Bonds'!AU11/la))</f>
        <v>0</v>
      </c>
      <c r="AS12" s="45">
        <f>IF('Data Bonds'!AV11=0,0,theta0+(theta1+theta2)*(1-EXP(-'Data Bonds'!AV11/la))/('Data Bonds'!AV11/la)-theta2*EXP(-'Data Bonds'!AV11/la))</f>
        <v>0</v>
      </c>
      <c r="AT12" s="45">
        <f>IF('Data Bonds'!AW11=0,0,theta0+(theta1+theta2)*(1-EXP(-'Data Bonds'!AW11/la))/('Data Bonds'!AW11/la)-theta2*EXP(-'Data Bonds'!AW11/la))</f>
        <v>0</v>
      </c>
      <c r="AU12" s="45">
        <f>IF('Data Bonds'!AX11=0,0,theta0+(theta1+theta2)*(1-EXP(-'Data Bonds'!AX11/la))/('Data Bonds'!AX11/la)-theta2*EXP(-'Data Bonds'!AX11/la))</f>
        <v>0</v>
      </c>
      <c r="AV12" s="45">
        <f>IF('Data Bonds'!AY11=0,0,theta0+(theta1+theta2)*(1-EXP(-'Data Bonds'!AY11/la))/('Data Bonds'!AY11/la)-theta2*EXP(-'Data Bonds'!AY11/la))</f>
        <v>0</v>
      </c>
      <c r="AW12" s="45">
        <f>IF('Data Bonds'!AZ11=0,0,theta0+(theta1+theta2)*(1-EXP(-'Data Bonds'!AZ11/la))/('Data Bonds'!AZ11/la)-theta2*EXP(-'Data Bonds'!AZ11/la))</f>
        <v>0</v>
      </c>
      <c r="AX12" s="45">
        <f>IF('Data Bonds'!BA11=0,0,theta0+(theta1+theta2)*(1-EXP(-'Data Bonds'!BA11/la))/('Data Bonds'!BA11/la)-theta2*EXP(-'Data Bonds'!BA11/la))</f>
        <v>0</v>
      </c>
      <c r="AY12" s="45">
        <f>IF('Data Bonds'!BB11=0,0,theta0+(theta1+theta2)*(1-EXP(-'Data Bonds'!BB11/la))/('Data Bonds'!BB11/la)-theta2*EXP(-'Data Bonds'!BB11/la))</f>
        <v>0</v>
      </c>
      <c r="AZ12" s="45">
        <f>IF('Data Bonds'!BC11=0,0,theta0+(theta1+theta2)*(1-EXP(-'Data Bonds'!BC11/la))/('Data Bonds'!BC11/la)-theta2*EXP(-'Data Bonds'!BC11/la))</f>
        <v>0</v>
      </c>
      <c r="BA12" s="45">
        <f>IF('Data Bonds'!BD11=0,0,theta0+(theta1+theta2)*(1-EXP(-'Data Bonds'!BD11/la))/('Data Bonds'!BD11/la)-theta2*EXP(-'Data Bonds'!BD11/la))</f>
        <v>0</v>
      </c>
      <c r="BB12" s="45">
        <f>IF('Data Bonds'!BE11=0,0,theta0+(theta1+theta2)*(1-EXP(-'Data Bonds'!BE11/la))/('Data Bonds'!BE11/la)-theta2*EXP(-'Data Bonds'!BE11/la))</f>
        <v>0</v>
      </c>
      <c r="BC12" s="45">
        <f>IF('Data Bonds'!BF11=0,0,theta0+(theta1+theta2)*(1-EXP(-'Data Bonds'!BF11/la))/('Data Bonds'!BF11/la)-theta2*EXP(-'Data Bonds'!BF11/la))</f>
        <v>0</v>
      </c>
      <c r="BD12" s="45">
        <f>IF('Data Bonds'!BG11=0,0,theta0+(theta1+theta2)*(1-EXP(-'Data Bonds'!BG11/la))/('Data Bonds'!BG11/la)-theta2*EXP(-'Data Bonds'!BG11/la))</f>
        <v>0</v>
      </c>
      <c r="BE12" s="45">
        <f>IF('Data Bonds'!BH11=0,0,theta0+(theta1+theta2)*(1-EXP(-'Data Bonds'!BH11/la))/('Data Bonds'!BH11/la)-theta2*EXP(-'Data Bonds'!BH11/la))</f>
        <v>0</v>
      </c>
      <c r="BF12" s="45">
        <f>IF('Data Bonds'!BI11=0,0,theta0+(theta1+theta2)*(1-EXP(-'Data Bonds'!BI11/la))/('Data Bonds'!BI11/la)-theta2*EXP(-'Data Bonds'!BI11/la))</f>
        <v>0</v>
      </c>
      <c r="BG12" s="45">
        <f>IF('Data Bonds'!BJ11=0,0,theta0+(theta1+theta2)*(1-EXP(-'Data Bonds'!BJ11/la))/('Data Bonds'!BJ11/la)-theta2*EXP(-'Data Bonds'!BJ11/la))</f>
        <v>0</v>
      </c>
      <c r="BH12" s="45">
        <f>IF('Data Bonds'!BK11=0,0,theta0+(theta1+theta2)*(1-EXP(-'Data Bonds'!BK11/la))/('Data Bonds'!BK11/la)-theta2*EXP(-'Data Bonds'!BK11/la))</f>
        <v>0</v>
      </c>
      <c r="BI12" s="45">
        <f>IF('Data Bonds'!BL11=0,0,theta0+(theta1+theta2)*(1-EXP(-'Data Bonds'!BL11/la))/('Data Bonds'!BL11/la)-theta2*EXP(-'Data Bonds'!BL11/la))</f>
        <v>0</v>
      </c>
      <c r="BJ12" s="45">
        <f>IF('Data Bonds'!BM11=0,0,theta0+(theta1+theta2)*(1-EXP(-'Data Bonds'!BM11/la))/('Data Bonds'!BM11/la)-theta2*EXP(-'Data Bonds'!BM11/la))</f>
        <v>0</v>
      </c>
      <c r="BK12" s="45">
        <f>IF('Data Bonds'!BN11=0,0,theta0+(theta1+theta2)*(1-EXP(-'Data Bonds'!BN11/la))/('Data Bonds'!BN11/la)-theta2*EXP(-'Data Bonds'!BN11/la))</f>
        <v>0</v>
      </c>
      <c r="BL12" s="45">
        <f>IF('Data Bonds'!BO11=0,0,theta0+(theta1+theta2)*(1-EXP(-'Data Bonds'!BO11/la))/('Data Bonds'!BO11/la)-theta2*EXP(-'Data Bonds'!BO11/la))</f>
        <v>0</v>
      </c>
      <c r="BM12" s="45">
        <f>IF('Data Bonds'!BP11=0,0,theta0+(theta1+theta2)*(1-EXP(-'Data Bonds'!BP11/la))/('Data Bonds'!BP11/la)-theta2*EXP(-'Data Bonds'!BP11/la))</f>
        <v>0</v>
      </c>
      <c r="BN12" s="45">
        <f>IF('Data Bonds'!BQ11=0,0,theta0+(theta1+theta2)*(1-EXP(-'Data Bonds'!BQ11/la))/('Data Bonds'!BQ11/la)-theta2*EXP(-'Data Bonds'!BQ11/la))</f>
        <v>0</v>
      </c>
      <c r="BO12" s="45">
        <f>IF('Data Bonds'!BR11=0,0,theta0+(theta1+theta2)*(1-EXP(-'Data Bonds'!BR11/la))/('Data Bonds'!BR11/la)-theta2*EXP(-'Data Bonds'!BR11/la))</f>
        <v>0</v>
      </c>
      <c r="BP12" s="38">
        <f>EXP(-'Data Bonds'!K11*H12)</f>
        <v>0.99596276877169609</v>
      </c>
      <c r="BQ12" s="38">
        <f>EXP(-'Data Bonds'!L11*I12)</f>
        <v>1</v>
      </c>
      <c r="BR12" s="38">
        <f>EXP(-'Data Bonds'!M11*J12)</f>
        <v>1</v>
      </c>
      <c r="BS12" s="38">
        <f>EXP(-'Data Bonds'!N11*K12)</f>
        <v>1</v>
      </c>
      <c r="BT12" s="38">
        <f>EXP(-'Data Bonds'!O11*L12)</f>
        <v>1</v>
      </c>
      <c r="BU12" s="38">
        <f>EXP(-'Data Bonds'!P11*M12)</f>
        <v>1</v>
      </c>
      <c r="BV12" s="38">
        <f>EXP(-'Data Bonds'!Q11*N12)</f>
        <v>1</v>
      </c>
      <c r="BW12" s="38">
        <f>EXP(-'Data Bonds'!R11*O12)</f>
        <v>1</v>
      </c>
      <c r="BX12" s="38">
        <f>EXP(-'Data Bonds'!S11*P12)</f>
        <v>1</v>
      </c>
      <c r="BY12" s="38">
        <f>EXP(-'Data Bonds'!T11*Q12)</f>
        <v>1</v>
      </c>
      <c r="BZ12" s="38">
        <f>EXP(-'Data Bonds'!U11*R12)</f>
        <v>1</v>
      </c>
      <c r="CA12" s="38">
        <f>EXP(-'Data Bonds'!V11*S12)</f>
        <v>1</v>
      </c>
      <c r="CB12" s="38">
        <f>EXP(-'Data Bonds'!W11*T12)</f>
        <v>1</v>
      </c>
      <c r="CC12" s="38">
        <f>EXP(-'Data Bonds'!X11*U12)</f>
        <v>1</v>
      </c>
      <c r="CD12" s="38">
        <f>EXP(-'Data Bonds'!Y11*V12)</f>
        <v>1</v>
      </c>
      <c r="CE12" s="38">
        <f>EXP(-'Data Bonds'!Z11*W12)</f>
        <v>1</v>
      </c>
      <c r="CF12" s="38">
        <f>EXP(-'Data Bonds'!AA11*X12)</f>
        <v>1</v>
      </c>
      <c r="CG12" s="38">
        <f>EXP(-'Data Bonds'!AB11*Y12)</f>
        <v>1</v>
      </c>
      <c r="CH12" s="38">
        <f>EXP(-'Data Bonds'!AC11*Z12)</f>
        <v>1</v>
      </c>
      <c r="CI12" s="38">
        <f>EXP(-'Data Bonds'!AD11*AA12)</f>
        <v>1</v>
      </c>
      <c r="CJ12" s="38">
        <f>EXP(-'Data Bonds'!AE11*AB12)</f>
        <v>1</v>
      </c>
      <c r="CK12" s="38">
        <f>EXP(-'Data Bonds'!AF11*AC12)</f>
        <v>1</v>
      </c>
      <c r="CL12" s="38">
        <f>EXP(-'Data Bonds'!AG11*AD12)</f>
        <v>1</v>
      </c>
      <c r="CM12" s="38">
        <f>EXP(-'Data Bonds'!AH11*AE12)</f>
        <v>1</v>
      </c>
      <c r="CN12" s="38">
        <f>EXP(-'Data Bonds'!AI11*AF12)</f>
        <v>1</v>
      </c>
      <c r="CO12" s="38">
        <f>EXP(-'Data Bonds'!AJ11*AG12)</f>
        <v>1</v>
      </c>
      <c r="CP12" s="38">
        <f>EXP(-'Data Bonds'!AK11*AH12)</f>
        <v>1</v>
      </c>
      <c r="CQ12" s="38">
        <f>EXP(-'Data Bonds'!AL11*AI12)</f>
        <v>1</v>
      </c>
      <c r="CR12" s="38">
        <f>EXP(-'Data Bonds'!AM11*AJ12)</f>
        <v>1</v>
      </c>
      <c r="CS12" s="38">
        <f>EXP(-'Data Bonds'!AN11*AK12)</f>
        <v>1</v>
      </c>
      <c r="CT12" s="38">
        <f>EXP(-'Data Bonds'!AO11*AL12)</f>
        <v>1</v>
      </c>
      <c r="CU12" s="38">
        <f>EXP(-'Data Bonds'!AP11*AM12)</f>
        <v>1</v>
      </c>
      <c r="CV12" s="38">
        <f>EXP(-'Data Bonds'!AQ11*AN12)</f>
        <v>1</v>
      </c>
      <c r="CW12" s="38">
        <f>EXP(-'Data Bonds'!AR11*AO12)</f>
        <v>1</v>
      </c>
      <c r="CX12" s="38">
        <f>EXP(-'Data Bonds'!AS11*AP12)</f>
        <v>1</v>
      </c>
      <c r="CY12" s="38">
        <f>EXP(-'Data Bonds'!AT11*AQ12)</f>
        <v>1</v>
      </c>
      <c r="CZ12" s="38">
        <f>EXP(-'Data Bonds'!AU11*AR12)</f>
        <v>1</v>
      </c>
      <c r="DA12" s="38">
        <f>EXP(-'Data Bonds'!AV11*AS12)</f>
        <v>1</v>
      </c>
      <c r="DB12" s="38">
        <f>EXP(-'Data Bonds'!AW11*AT12)</f>
        <v>1</v>
      </c>
      <c r="DC12" s="38">
        <f>EXP(-'Data Bonds'!AX11*AU12)</f>
        <v>1</v>
      </c>
      <c r="DD12" s="38">
        <f>EXP(-'Data Bonds'!AY11*AV12)</f>
        <v>1</v>
      </c>
      <c r="DE12" s="38">
        <f>EXP(-'Data Bonds'!AZ11*AW12)</f>
        <v>1</v>
      </c>
      <c r="DF12" s="38">
        <f>EXP(-'Data Bonds'!BA11*AX12)</f>
        <v>1</v>
      </c>
      <c r="DG12" s="38">
        <f>EXP(-'Data Bonds'!BB11*AY12)</f>
        <v>1</v>
      </c>
      <c r="DH12" s="38">
        <f>EXP(-'Data Bonds'!BC11*AZ12)</f>
        <v>1</v>
      </c>
      <c r="DI12" s="38">
        <f>EXP(-'Data Bonds'!BD11*BA12)</f>
        <v>1</v>
      </c>
      <c r="DJ12" s="38">
        <f>EXP(-'Data Bonds'!BE11*BB12)</f>
        <v>1</v>
      </c>
      <c r="DK12" s="38">
        <f>EXP(-'Data Bonds'!BF11*BC12)</f>
        <v>1</v>
      </c>
      <c r="DL12" s="38">
        <f>EXP(-'Data Bonds'!BG11*BD12)</f>
        <v>1</v>
      </c>
      <c r="DM12" s="38">
        <f>EXP(-'Data Bonds'!BH11*BE12)</f>
        <v>1</v>
      </c>
      <c r="DN12" s="38">
        <f>EXP(-'Data Bonds'!BI11*BF12)</f>
        <v>1</v>
      </c>
      <c r="DO12" s="38">
        <f>EXP(-'Data Bonds'!BJ11*BG12)</f>
        <v>1</v>
      </c>
      <c r="DP12" s="38">
        <f>EXP(-'Data Bonds'!BK11*BH12)</f>
        <v>1</v>
      </c>
      <c r="DQ12" s="38">
        <f>EXP(-'Data Bonds'!BL11*BI12)</f>
        <v>1</v>
      </c>
      <c r="DR12" s="38">
        <f>EXP(-'Data Bonds'!BM11*BJ12)</f>
        <v>1</v>
      </c>
      <c r="DS12" s="38">
        <f>EXP(-'Data Bonds'!BN11*BK12)</f>
        <v>1</v>
      </c>
      <c r="DT12" s="38">
        <f>EXP(-'Data Bonds'!BO11*BL12)</f>
        <v>1</v>
      </c>
      <c r="DU12" s="38">
        <f>EXP(-'Data Bonds'!BP11*BM12)</f>
        <v>1</v>
      </c>
      <c r="DV12" s="38">
        <f>EXP(-'Data Bonds'!BQ11*BN12)</f>
        <v>1</v>
      </c>
      <c r="DW12" s="38">
        <f>EXP(-'Data Bonds'!BR11*BO12)</f>
        <v>1</v>
      </c>
      <c r="DX12" s="28">
        <f>SUMPRODUCT(BP12:DW12,'Data Bonds'!BU11:EB11)</f>
        <v>99.596276877169615</v>
      </c>
      <c r="DY12" s="28">
        <f>(G12-DX12)^2</f>
        <v>1.5167225922737043E-3</v>
      </c>
      <c r="EA12" s="28">
        <v>0.5</v>
      </c>
      <c r="EB12" s="29">
        <f t="shared" ref="EB12:EB43" si="2">theta0+(theta1+theta2)*(1-EXP(-TTT/la))/(TTT/la)-theta2*EXP(-TTT/la)</f>
        <v>5.0682154636656679E-2</v>
      </c>
      <c r="EC12" s="29">
        <f t="shared" ref="EC12:EC43" si="3">EXP(-TTT*YY)</f>
        <v>0.97497731266327314</v>
      </c>
      <c r="ED12" s="29">
        <f>EB12</f>
        <v>5.0682154636656679E-2</v>
      </c>
      <c r="EE12" s="32"/>
      <c r="EF12" s="32"/>
      <c r="EG12" s="32"/>
      <c r="EI12" s="32"/>
      <c r="EJ12" s="32"/>
      <c r="EK12" s="32"/>
      <c r="EL12" s="32"/>
      <c r="EM12" s="32"/>
      <c r="EN12" s="32"/>
      <c r="EO12" s="32"/>
      <c r="EP12" s="32"/>
      <c r="EQ12" s="32"/>
      <c r="ER12" s="32"/>
      <c r="ES12" s="32"/>
      <c r="ET12" s="32"/>
      <c r="EU12" s="31"/>
    </row>
    <row r="13" spans="2:151">
      <c r="B13" s="27">
        <f>'Data Bonds'!E12</f>
        <v>0</v>
      </c>
      <c r="C13" s="27">
        <f>'Data Bonds'!F12</f>
        <v>99.187124999999995</v>
      </c>
      <c r="D13" s="27">
        <f>'Data Bonds'!G12</f>
        <v>99.188874999999996</v>
      </c>
      <c r="E13" s="27">
        <f>'Data Bonds'!I12</f>
        <v>0</v>
      </c>
      <c r="F13" s="40">
        <f>'Data Bonds'!H12</f>
        <v>0.17222222222222222</v>
      </c>
      <c r="G13" s="28">
        <f t="shared" ref="G13:G60" si="4">(C13+D13)/2+E13</f>
        <v>99.187999999999988</v>
      </c>
      <c r="H13" s="45">
        <f>IF('Data Bonds'!K12=0,0,theta0+(theta1+theta2)*(1-EXP(-'Data Bonds'!K12/la))/('Data Bonds'!K12/la)-theta2*EXP(-'Data Bonds'!K12/la))</f>
        <v>5.165740874847391E-2</v>
      </c>
      <c r="I13" s="45">
        <f>IF('Data Bonds'!L12=0,0,theta0+(theta1+theta2)*(1-EXP(-'Data Bonds'!L12/la))/('Data Bonds'!L12/la)-theta2*EXP(-'Data Bonds'!L12/la))</f>
        <v>0</v>
      </c>
      <c r="J13" s="45">
        <f>IF('Data Bonds'!M12=0,0,theta0+(theta1+theta2)*(1-EXP(-'Data Bonds'!M12/la))/('Data Bonds'!M12/la)-theta2*EXP(-'Data Bonds'!M12/la))</f>
        <v>0</v>
      </c>
      <c r="K13" s="45">
        <f>IF('Data Bonds'!N12=0,0,theta0+(theta1+theta2)*(1-EXP(-'Data Bonds'!N12/la))/('Data Bonds'!N12/la)-theta2*EXP(-'Data Bonds'!N12/la))</f>
        <v>0</v>
      </c>
      <c r="L13" s="45">
        <f>IF('Data Bonds'!O12=0,0,theta0+(theta1+theta2)*(1-EXP(-'Data Bonds'!O12/la))/('Data Bonds'!O12/la)-theta2*EXP(-'Data Bonds'!O12/la))</f>
        <v>0</v>
      </c>
      <c r="M13" s="45">
        <f>IF('Data Bonds'!P12=0,0,theta0+(theta1+theta2)*(1-EXP(-'Data Bonds'!P12/la))/('Data Bonds'!P12/la)-theta2*EXP(-'Data Bonds'!P12/la))</f>
        <v>0</v>
      </c>
      <c r="N13" s="45">
        <f>IF('Data Bonds'!Q12=0,0,theta0+(theta1+theta2)*(1-EXP(-'Data Bonds'!Q12/la))/('Data Bonds'!Q12/la)-theta2*EXP(-'Data Bonds'!Q12/la))</f>
        <v>0</v>
      </c>
      <c r="O13" s="45">
        <f>IF('Data Bonds'!R12=0,0,theta0+(theta1+theta2)*(1-EXP(-'Data Bonds'!R12/la))/('Data Bonds'!R12/la)-theta2*EXP(-'Data Bonds'!R12/la))</f>
        <v>0</v>
      </c>
      <c r="P13" s="45">
        <f>IF('Data Bonds'!S12=0,0,theta0+(theta1+theta2)*(1-EXP(-'Data Bonds'!S12/la))/('Data Bonds'!S12/la)-theta2*EXP(-'Data Bonds'!S12/la))</f>
        <v>0</v>
      </c>
      <c r="Q13" s="45">
        <f>IF('Data Bonds'!T12=0,0,theta0+(theta1+theta2)*(1-EXP(-'Data Bonds'!T12/la))/('Data Bonds'!T12/la)-theta2*EXP(-'Data Bonds'!T12/la))</f>
        <v>0</v>
      </c>
      <c r="R13" s="45">
        <f>IF('Data Bonds'!U12=0,0,theta0+(theta1+theta2)*(1-EXP(-'Data Bonds'!U12/la))/('Data Bonds'!U12/la)-theta2*EXP(-'Data Bonds'!U12/la))</f>
        <v>0</v>
      </c>
      <c r="S13" s="45">
        <f>IF('Data Bonds'!V12=0,0,theta0+(theta1+theta2)*(1-EXP(-'Data Bonds'!V12/la))/('Data Bonds'!V12/la)-theta2*EXP(-'Data Bonds'!V12/la))</f>
        <v>0</v>
      </c>
      <c r="T13" s="45">
        <f>IF('Data Bonds'!W12=0,0,theta0+(theta1+theta2)*(1-EXP(-'Data Bonds'!W12/la))/('Data Bonds'!W12/la)-theta2*EXP(-'Data Bonds'!W12/la))</f>
        <v>0</v>
      </c>
      <c r="U13" s="45">
        <f>IF('Data Bonds'!X12=0,0,theta0+(theta1+theta2)*(1-EXP(-'Data Bonds'!X12/la))/('Data Bonds'!X12/la)-theta2*EXP(-'Data Bonds'!X12/la))</f>
        <v>0</v>
      </c>
      <c r="V13" s="45">
        <f>IF('Data Bonds'!Y12=0,0,theta0+(theta1+theta2)*(1-EXP(-'Data Bonds'!Y12/la))/('Data Bonds'!Y12/la)-theta2*EXP(-'Data Bonds'!Y12/la))</f>
        <v>0</v>
      </c>
      <c r="W13" s="45">
        <f>IF('Data Bonds'!Z12=0,0,theta0+(theta1+theta2)*(1-EXP(-'Data Bonds'!Z12/la))/('Data Bonds'!Z12/la)-theta2*EXP(-'Data Bonds'!Z12/la))</f>
        <v>0</v>
      </c>
      <c r="X13" s="45">
        <f>IF('Data Bonds'!AA12=0,0,theta0+(theta1+theta2)*(1-EXP(-'Data Bonds'!AA12/la))/('Data Bonds'!AA12/la)-theta2*EXP(-'Data Bonds'!AA12/la))</f>
        <v>0</v>
      </c>
      <c r="Y13" s="45">
        <f>IF('Data Bonds'!AB12=0,0,theta0+(theta1+theta2)*(1-EXP(-'Data Bonds'!AB12/la))/('Data Bonds'!AB12/la)-theta2*EXP(-'Data Bonds'!AB12/la))</f>
        <v>0</v>
      </c>
      <c r="Z13" s="45">
        <f>IF('Data Bonds'!AC12=0,0,theta0+(theta1+theta2)*(1-EXP(-'Data Bonds'!AC12/la))/('Data Bonds'!AC12/la)-theta2*EXP(-'Data Bonds'!AC12/la))</f>
        <v>0</v>
      </c>
      <c r="AA13" s="45">
        <f>IF('Data Bonds'!AD12=0,0,theta0+(theta1+theta2)*(1-EXP(-'Data Bonds'!AD12/la))/('Data Bonds'!AD12/la)-theta2*EXP(-'Data Bonds'!AD12/la))</f>
        <v>0</v>
      </c>
      <c r="AB13" s="45">
        <f>IF('Data Bonds'!AE12=0,0,theta0+(theta1+theta2)*(1-EXP(-'Data Bonds'!AE12/la))/('Data Bonds'!AE12/la)-theta2*EXP(-'Data Bonds'!AE12/la))</f>
        <v>0</v>
      </c>
      <c r="AC13" s="45">
        <f>IF('Data Bonds'!AF12=0,0,theta0+(theta1+theta2)*(1-EXP(-'Data Bonds'!AF12/la))/('Data Bonds'!AF12/la)-theta2*EXP(-'Data Bonds'!AF12/la))</f>
        <v>0</v>
      </c>
      <c r="AD13" s="45">
        <f>IF('Data Bonds'!AG12=0,0,theta0+(theta1+theta2)*(1-EXP(-'Data Bonds'!AG12/la))/('Data Bonds'!AG12/la)-theta2*EXP(-'Data Bonds'!AG12/la))</f>
        <v>0</v>
      </c>
      <c r="AE13" s="45">
        <f>IF('Data Bonds'!AH12=0,0,theta0+(theta1+theta2)*(1-EXP(-'Data Bonds'!AH12/la))/('Data Bonds'!AH12/la)-theta2*EXP(-'Data Bonds'!AH12/la))</f>
        <v>0</v>
      </c>
      <c r="AF13" s="45">
        <f>IF('Data Bonds'!AI12=0,0,theta0+(theta1+theta2)*(1-EXP(-'Data Bonds'!AI12/la))/('Data Bonds'!AI12/la)-theta2*EXP(-'Data Bonds'!AI12/la))</f>
        <v>0</v>
      </c>
      <c r="AG13" s="45">
        <f>IF('Data Bonds'!AJ12=0,0,theta0+(theta1+theta2)*(1-EXP(-'Data Bonds'!AJ12/la))/('Data Bonds'!AJ12/la)-theta2*EXP(-'Data Bonds'!AJ12/la))</f>
        <v>0</v>
      </c>
      <c r="AH13" s="45">
        <f>IF('Data Bonds'!AK12=0,0,theta0+(theta1+theta2)*(1-EXP(-'Data Bonds'!AK12/la))/('Data Bonds'!AK12/la)-theta2*EXP(-'Data Bonds'!AK12/la))</f>
        <v>0</v>
      </c>
      <c r="AI13" s="45">
        <f>IF('Data Bonds'!AL12=0,0,theta0+(theta1+theta2)*(1-EXP(-'Data Bonds'!AL12/la))/('Data Bonds'!AL12/la)-theta2*EXP(-'Data Bonds'!AL12/la))</f>
        <v>0</v>
      </c>
      <c r="AJ13" s="45">
        <f>IF('Data Bonds'!AM12=0,0,theta0+(theta1+theta2)*(1-EXP(-'Data Bonds'!AM12/la))/('Data Bonds'!AM12/la)-theta2*EXP(-'Data Bonds'!AM12/la))</f>
        <v>0</v>
      </c>
      <c r="AK13" s="45">
        <f>IF('Data Bonds'!AN12=0,0,theta0+(theta1+theta2)*(1-EXP(-'Data Bonds'!AN12/la))/('Data Bonds'!AN12/la)-theta2*EXP(-'Data Bonds'!AN12/la))</f>
        <v>0</v>
      </c>
      <c r="AL13" s="45">
        <f>IF('Data Bonds'!AO12=0,0,theta0+(theta1+theta2)*(1-EXP(-'Data Bonds'!AO12/la))/('Data Bonds'!AO12/la)-theta2*EXP(-'Data Bonds'!AO12/la))</f>
        <v>0</v>
      </c>
      <c r="AM13" s="45">
        <f>IF('Data Bonds'!AP12=0,0,theta0+(theta1+theta2)*(1-EXP(-'Data Bonds'!AP12/la))/('Data Bonds'!AP12/la)-theta2*EXP(-'Data Bonds'!AP12/la))</f>
        <v>0</v>
      </c>
      <c r="AN13" s="45">
        <f>IF('Data Bonds'!AQ12=0,0,theta0+(theta1+theta2)*(1-EXP(-'Data Bonds'!AQ12/la))/('Data Bonds'!AQ12/la)-theta2*EXP(-'Data Bonds'!AQ12/la))</f>
        <v>0</v>
      </c>
      <c r="AO13" s="45">
        <f>IF('Data Bonds'!AR12=0,0,theta0+(theta1+theta2)*(1-EXP(-'Data Bonds'!AR12/la))/('Data Bonds'!AR12/la)-theta2*EXP(-'Data Bonds'!AR12/la))</f>
        <v>0</v>
      </c>
      <c r="AP13" s="45">
        <f>IF('Data Bonds'!AS12=0,0,theta0+(theta1+theta2)*(1-EXP(-'Data Bonds'!AS12/la))/('Data Bonds'!AS12/la)-theta2*EXP(-'Data Bonds'!AS12/la))</f>
        <v>0</v>
      </c>
      <c r="AQ13" s="45">
        <f>IF('Data Bonds'!AT12=0,0,theta0+(theta1+theta2)*(1-EXP(-'Data Bonds'!AT12/la))/('Data Bonds'!AT12/la)-theta2*EXP(-'Data Bonds'!AT12/la))</f>
        <v>0</v>
      </c>
      <c r="AR13" s="45">
        <f>IF('Data Bonds'!AU12=0,0,theta0+(theta1+theta2)*(1-EXP(-'Data Bonds'!AU12/la))/('Data Bonds'!AU12/la)-theta2*EXP(-'Data Bonds'!AU12/la))</f>
        <v>0</v>
      </c>
      <c r="AS13" s="45">
        <f>IF('Data Bonds'!AV12=0,0,theta0+(theta1+theta2)*(1-EXP(-'Data Bonds'!AV12/la))/('Data Bonds'!AV12/la)-theta2*EXP(-'Data Bonds'!AV12/la))</f>
        <v>0</v>
      </c>
      <c r="AT13" s="45">
        <f>IF('Data Bonds'!AW12=0,0,theta0+(theta1+theta2)*(1-EXP(-'Data Bonds'!AW12/la))/('Data Bonds'!AW12/la)-theta2*EXP(-'Data Bonds'!AW12/la))</f>
        <v>0</v>
      </c>
      <c r="AU13" s="45">
        <f>IF('Data Bonds'!AX12=0,0,theta0+(theta1+theta2)*(1-EXP(-'Data Bonds'!AX12/la))/('Data Bonds'!AX12/la)-theta2*EXP(-'Data Bonds'!AX12/la))</f>
        <v>0</v>
      </c>
      <c r="AV13" s="45">
        <f>IF('Data Bonds'!AY12=0,0,theta0+(theta1+theta2)*(1-EXP(-'Data Bonds'!AY12/la))/('Data Bonds'!AY12/la)-theta2*EXP(-'Data Bonds'!AY12/la))</f>
        <v>0</v>
      </c>
      <c r="AW13" s="45">
        <f>IF('Data Bonds'!AZ12=0,0,theta0+(theta1+theta2)*(1-EXP(-'Data Bonds'!AZ12/la))/('Data Bonds'!AZ12/la)-theta2*EXP(-'Data Bonds'!AZ12/la))</f>
        <v>0</v>
      </c>
      <c r="AX13" s="45">
        <f>IF('Data Bonds'!BA12=0,0,theta0+(theta1+theta2)*(1-EXP(-'Data Bonds'!BA12/la))/('Data Bonds'!BA12/la)-theta2*EXP(-'Data Bonds'!BA12/la))</f>
        <v>0</v>
      </c>
      <c r="AY13" s="45">
        <f>IF('Data Bonds'!BB12=0,0,theta0+(theta1+theta2)*(1-EXP(-'Data Bonds'!BB12/la))/('Data Bonds'!BB12/la)-theta2*EXP(-'Data Bonds'!BB12/la))</f>
        <v>0</v>
      </c>
      <c r="AZ13" s="45">
        <f>IF('Data Bonds'!BC12=0,0,theta0+(theta1+theta2)*(1-EXP(-'Data Bonds'!BC12/la))/('Data Bonds'!BC12/la)-theta2*EXP(-'Data Bonds'!BC12/la))</f>
        <v>0</v>
      </c>
      <c r="BA13" s="45">
        <f>IF('Data Bonds'!BD12=0,0,theta0+(theta1+theta2)*(1-EXP(-'Data Bonds'!BD12/la))/('Data Bonds'!BD12/la)-theta2*EXP(-'Data Bonds'!BD12/la))</f>
        <v>0</v>
      </c>
      <c r="BB13" s="45">
        <f>IF('Data Bonds'!BE12=0,0,theta0+(theta1+theta2)*(1-EXP(-'Data Bonds'!BE12/la))/('Data Bonds'!BE12/la)-theta2*EXP(-'Data Bonds'!BE12/la))</f>
        <v>0</v>
      </c>
      <c r="BC13" s="45">
        <f>IF('Data Bonds'!BF12=0,0,theta0+(theta1+theta2)*(1-EXP(-'Data Bonds'!BF12/la))/('Data Bonds'!BF12/la)-theta2*EXP(-'Data Bonds'!BF12/la))</f>
        <v>0</v>
      </c>
      <c r="BD13" s="45">
        <f>IF('Data Bonds'!BG12=0,0,theta0+(theta1+theta2)*(1-EXP(-'Data Bonds'!BG12/la))/('Data Bonds'!BG12/la)-theta2*EXP(-'Data Bonds'!BG12/la))</f>
        <v>0</v>
      </c>
      <c r="BE13" s="45">
        <f>IF('Data Bonds'!BH12=0,0,theta0+(theta1+theta2)*(1-EXP(-'Data Bonds'!BH12/la))/('Data Bonds'!BH12/la)-theta2*EXP(-'Data Bonds'!BH12/la))</f>
        <v>0</v>
      </c>
      <c r="BF13" s="45">
        <f>IF('Data Bonds'!BI12=0,0,theta0+(theta1+theta2)*(1-EXP(-'Data Bonds'!BI12/la))/('Data Bonds'!BI12/la)-theta2*EXP(-'Data Bonds'!BI12/la))</f>
        <v>0</v>
      </c>
      <c r="BG13" s="45">
        <f>IF('Data Bonds'!BJ12=0,0,theta0+(theta1+theta2)*(1-EXP(-'Data Bonds'!BJ12/la))/('Data Bonds'!BJ12/la)-theta2*EXP(-'Data Bonds'!BJ12/la))</f>
        <v>0</v>
      </c>
      <c r="BH13" s="45">
        <f>IF('Data Bonds'!BK12=0,0,theta0+(theta1+theta2)*(1-EXP(-'Data Bonds'!BK12/la))/('Data Bonds'!BK12/la)-theta2*EXP(-'Data Bonds'!BK12/la))</f>
        <v>0</v>
      </c>
      <c r="BI13" s="45">
        <f>IF('Data Bonds'!BL12=0,0,theta0+(theta1+theta2)*(1-EXP(-'Data Bonds'!BL12/la))/('Data Bonds'!BL12/la)-theta2*EXP(-'Data Bonds'!BL12/la))</f>
        <v>0</v>
      </c>
      <c r="BJ13" s="45">
        <f>IF('Data Bonds'!BM12=0,0,theta0+(theta1+theta2)*(1-EXP(-'Data Bonds'!BM12/la))/('Data Bonds'!BM12/la)-theta2*EXP(-'Data Bonds'!BM12/la))</f>
        <v>0</v>
      </c>
      <c r="BK13" s="45">
        <f>IF('Data Bonds'!BN12=0,0,theta0+(theta1+theta2)*(1-EXP(-'Data Bonds'!BN12/la))/('Data Bonds'!BN12/la)-theta2*EXP(-'Data Bonds'!BN12/la))</f>
        <v>0</v>
      </c>
      <c r="BL13" s="45">
        <f>IF('Data Bonds'!BO12=0,0,theta0+(theta1+theta2)*(1-EXP(-'Data Bonds'!BO12/la))/('Data Bonds'!BO12/la)-theta2*EXP(-'Data Bonds'!BO12/la))</f>
        <v>0</v>
      </c>
      <c r="BM13" s="45">
        <f>IF('Data Bonds'!BP12=0,0,theta0+(theta1+theta2)*(1-EXP(-'Data Bonds'!BP12/la))/('Data Bonds'!BP12/la)-theta2*EXP(-'Data Bonds'!BP12/la))</f>
        <v>0</v>
      </c>
      <c r="BN13" s="45">
        <f>IF('Data Bonds'!BQ12=0,0,theta0+(theta1+theta2)*(1-EXP(-'Data Bonds'!BQ12/la))/('Data Bonds'!BQ12/la)-theta2*EXP(-'Data Bonds'!BQ12/la))</f>
        <v>0</v>
      </c>
      <c r="BO13" s="45">
        <f>IF('Data Bonds'!BR12=0,0,theta0+(theta1+theta2)*(1-EXP(-'Data Bonds'!BR12/la))/('Data Bonds'!BR12/la)-theta2*EXP(-'Data Bonds'!BR12/la))</f>
        <v>0</v>
      </c>
      <c r="BP13" s="38">
        <f>EXP(-'Data Bonds'!K12*H13)</f>
        <v>0.99114290350738277</v>
      </c>
      <c r="BQ13" s="38">
        <f>EXP(-'Data Bonds'!L12*I13)</f>
        <v>1</v>
      </c>
      <c r="BR13" s="38">
        <f>EXP(-'Data Bonds'!M12*J13)</f>
        <v>1</v>
      </c>
      <c r="BS13" s="38">
        <f>EXP(-'Data Bonds'!N12*K13)</f>
        <v>1</v>
      </c>
      <c r="BT13" s="38">
        <f>EXP(-'Data Bonds'!O12*L13)</f>
        <v>1</v>
      </c>
      <c r="BU13" s="38">
        <f>EXP(-'Data Bonds'!P12*M13)</f>
        <v>1</v>
      </c>
      <c r="BV13" s="38">
        <f>EXP(-'Data Bonds'!Q12*N13)</f>
        <v>1</v>
      </c>
      <c r="BW13" s="38">
        <f>EXP(-'Data Bonds'!R12*O13)</f>
        <v>1</v>
      </c>
      <c r="BX13" s="38">
        <f>EXP(-'Data Bonds'!S12*P13)</f>
        <v>1</v>
      </c>
      <c r="BY13" s="38">
        <f>EXP(-'Data Bonds'!T12*Q13)</f>
        <v>1</v>
      </c>
      <c r="BZ13" s="38">
        <f>EXP(-'Data Bonds'!U12*R13)</f>
        <v>1</v>
      </c>
      <c r="CA13" s="38">
        <f>EXP(-'Data Bonds'!V12*S13)</f>
        <v>1</v>
      </c>
      <c r="CB13" s="38">
        <f>EXP(-'Data Bonds'!W12*T13)</f>
        <v>1</v>
      </c>
      <c r="CC13" s="38">
        <f>EXP(-'Data Bonds'!X12*U13)</f>
        <v>1</v>
      </c>
      <c r="CD13" s="38">
        <f>EXP(-'Data Bonds'!Y12*V13)</f>
        <v>1</v>
      </c>
      <c r="CE13" s="38">
        <f>EXP(-'Data Bonds'!Z12*W13)</f>
        <v>1</v>
      </c>
      <c r="CF13" s="38">
        <f>EXP(-'Data Bonds'!AA12*X13)</f>
        <v>1</v>
      </c>
      <c r="CG13" s="38">
        <f>EXP(-'Data Bonds'!AB12*Y13)</f>
        <v>1</v>
      </c>
      <c r="CH13" s="38">
        <f>EXP(-'Data Bonds'!AC12*Z13)</f>
        <v>1</v>
      </c>
      <c r="CI13" s="38">
        <f>EXP(-'Data Bonds'!AD12*AA13)</f>
        <v>1</v>
      </c>
      <c r="CJ13" s="38">
        <f>EXP(-'Data Bonds'!AE12*AB13)</f>
        <v>1</v>
      </c>
      <c r="CK13" s="38">
        <f>EXP(-'Data Bonds'!AF12*AC13)</f>
        <v>1</v>
      </c>
      <c r="CL13" s="38">
        <f>EXP(-'Data Bonds'!AG12*AD13)</f>
        <v>1</v>
      </c>
      <c r="CM13" s="38">
        <f>EXP(-'Data Bonds'!AH12*AE13)</f>
        <v>1</v>
      </c>
      <c r="CN13" s="38">
        <f>EXP(-'Data Bonds'!AI12*AF13)</f>
        <v>1</v>
      </c>
      <c r="CO13" s="38">
        <f>EXP(-'Data Bonds'!AJ12*AG13)</f>
        <v>1</v>
      </c>
      <c r="CP13" s="38">
        <f>EXP(-'Data Bonds'!AK12*AH13)</f>
        <v>1</v>
      </c>
      <c r="CQ13" s="38">
        <f>EXP(-'Data Bonds'!AL12*AI13)</f>
        <v>1</v>
      </c>
      <c r="CR13" s="38">
        <f>EXP(-'Data Bonds'!AM12*AJ13)</f>
        <v>1</v>
      </c>
      <c r="CS13" s="38">
        <f>EXP(-'Data Bonds'!AN12*AK13)</f>
        <v>1</v>
      </c>
      <c r="CT13" s="38">
        <f>EXP(-'Data Bonds'!AO12*AL13)</f>
        <v>1</v>
      </c>
      <c r="CU13" s="38">
        <f>EXP(-'Data Bonds'!AP12*AM13)</f>
        <v>1</v>
      </c>
      <c r="CV13" s="38">
        <f>EXP(-'Data Bonds'!AQ12*AN13)</f>
        <v>1</v>
      </c>
      <c r="CW13" s="38">
        <f>EXP(-'Data Bonds'!AR12*AO13)</f>
        <v>1</v>
      </c>
      <c r="CX13" s="38">
        <f>EXP(-'Data Bonds'!AS12*AP13)</f>
        <v>1</v>
      </c>
      <c r="CY13" s="38">
        <f>EXP(-'Data Bonds'!AT12*AQ13)</f>
        <v>1</v>
      </c>
      <c r="CZ13" s="38">
        <f>EXP(-'Data Bonds'!AU12*AR13)</f>
        <v>1</v>
      </c>
      <c r="DA13" s="38">
        <f>EXP(-'Data Bonds'!AV12*AS13)</f>
        <v>1</v>
      </c>
      <c r="DB13" s="38">
        <f>EXP(-'Data Bonds'!AW12*AT13)</f>
        <v>1</v>
      </c>
      <c r="DC13" s="38">
        <f>EXP(-'Data Bonds'!AX12*AU13)</f>
        <v>1</v>
      </c>
      <c r="DD13" s="38">
        <f>EXP(-'Data Bonds'!AY12*AV13)</f>
        <v>1</v>
      </c>
      <c r="DE13" s="38">
        <f>EXP(-'Data Bonds'!AZ12*AW13)</f>
        <v>1</v>
      </c>
      <c r="DF13" s="38">
        <f>EXP(-'Data Bonds'!BA12*AX13)</f>
        <v>1</v>
      </c>
      <c r="DG13" s="38">
        <f>EXP(-'Data Bonds'!BB12*AY13)</f>
        <v>1</v>
      </c>
      <c r="DH13" s="38">
        <f>EXP(-'Data Bonds'!BC12*AZ13)</f>
        <v>1</v>
      </c>
      <c r="DI13" s="38">
        <f>EXP(-'Data Bonds'!BD12*BA13)</f>
        <v>1</v>
      </c>
      <c r="DJ13" s="38">
        <f>EXP(-'Data Bonds'!BE12*BB13)</f>
        <v>1</v>
      </c>
      <c r="DK13" s="38">
        <f>EXP(-'Data Bonds'!BF12*BC13)</f>
        <v>1</v>
      </c>
      <c r="DL13" s="38">
        <f>EXP(-'Data Bonds'!BG12*BD13)</f>
        <v>1</v>
      </c>
      <c r="DM13" s="38">
        <f>EXP(-'Data Bonds'!BH12*BE13)</f>
        <v>1</v>
      </c>
      <c r="DN13" s="38">
        <f>EXP(-'Data Bonds'!BI12*BF13)</f>
        <v>1</v>
      </c>
      <c r="DO13" s="38">
        <f>EXP(-'Data Bonds'!BJ12*BG13)</f>
        <v>1</v>
      </c>
      <c r="DP13" s="38">
        <f>EXP(-'Data Bonds'!BK12*BH13)</f>
        <v>1</v>
      </c>
      <c r="DQ13" s="38">
        <f>EXP(-'Data Bonds'!BL12*BI13)</f>
        <v>1</v>
      </c>
      <c r="DR13" s="38">
        <f>EXP(-'Data Bonds'!BM12*BJ13)</f>
        <v>1</v>
      </c>
      <c r="DS13" s="38">
        <f>EXP(-'Data Bonds'!BN12*BK13)</f>
        <v>1</v>
      </c>
      <c r="DT13" s="38">
        <f>EXP(-'Data Bonds'!BO12*BL13)</f>
        <v>1</v>
      </c>
      <c r="DU13" s="38">
        <f>EXP(-'Data Bonds'!BP12*BM13)</f>
        <v>1</v>
      </c>
      <c r="DV13" s="38">
        <f>EXP(-'Data Bonds'!BQ12*BN13)</f>
        <v>1</v>
      </c>
      <c r="DW13" s="38">
        <f>EXP(-'Data Bonds'!BR12*BO13)</f>
        <v>1</v>
      </c>
      <c r="DX13" s="28">
        <f>SUMPRODUCT(BP13:DW13,'Data Bonds'!BU12:EB12)</f>
        <v>99.114290350738273</v>
      </c>
      <c r="DY13" s="28">
        <f t="shared" ref="DY13:DY60" si="5">(G13-DX13)^2</f>
        <v>5.4331123942851205E-3</v>
      </c>
      <c r="EA13" s="33">
        <f t="shared" ref="EA13:EA71" si="6">EA12+0.5</f>
        <v>1</v>
      </c>
      <c r="EB13" s="29">
        <f t="shared" si="2"/>
        <v>4.978270672645331E-2</v>
      </c>
      <c r="EC13" s="29">
        <f t="shared" si="3"/>
        <v>0.95143614271468302</v>
      </c>
      <c r="ED13" s="29">
        <f>-LN(EC13/EC12)/0.5</f>
        <v>4.8883258816250011E-2</v>
      </c>
      <c r="EE13" s="32"/>
      <c r="EF13" s="32"/>
      <c r="EG13" s="32"/>
      <c r="EI13" s="34"/>
    </row>
    <row r="14" spans="2:151">
      <c r="B14" s="27">
        <f>'Data Bonds'!E13</f>
        <v>2.75</v>
      </c>
      <c r="C14" s="27">
        <f>'Data Bonds'!F13</f>
        <v>99.585937999999999</v>
      </c>
      <c r="D14" s="27">
        <f>'Data Bonds'!G13</f>
        <v>99.617187999999999</v>
      </c>
      <c r="E14" s="27">
        <f>'Data Bonds'!I13</f>
        <v>0.85555555555555562</v>
      </c>
      <c r="F14" s="40">
        <f>'Data Bonds'!H13</f>
        <v>0.18888888888888888</v>
      </c>
      <c r="G14" s="28">
        <f t="shared" si="4"/>
        <v>100.45711855555555</v>
      </c>
      <c r="H14" s="45">
        <f>IF('Data Bonds'!K13=0,0,theta0+(theta1+theta2)*(1-EXP(-'Data Bonds'!K13/la))/('Data Bonds'!K13/la)-theta2*EXP(-'Data Bonds'!K13/la))</f>
        <v>5.1598526027898411E-2</v>
      </c>
      <c r="I14" s="45">
        <f>IF('Data Bonds'!L13=0,0,theta0+(theta1+theta2)*(1-EXP(-'Data Bonds'!L13/la))/('Data Bonds'!L13/la)-theta2*EXP(-'Data Bonds'!L13/la))</f>
        <v>0</v>
      </c>
      <c r="J14" s="45">
        <f>IF('Data Bonds'!M13=0,0,theta0+(theta1+theta2)*(1-EXP(-'Data Bonds'!M13/la))/('Data Bonds'!M13/la)-theta2*EXP(-'Data Bonds'!M13/la))</f>
        <v>0</v>
      </c>
      <c r="K14" s="45">
        <f>IF('Data Bonds'!N13=0,0,theta0+(theta1+theta2)*(1-EXP(-'Data Bonds'!N13/la))/('Data Bonds'!N13/la)-theta2*EXP(-'Data Bonds'!N13/la))</f>
        <v>0</v>
      </c>
      <c r="L14" s="45">
        <f>IF('Data Bonds'!O13=0,0,theta0+(theta1+theta2)*(1-EXP(-'Data Bonds'!O13/la))/('Data Bonds'!O13/la)-theta2*EXP(-'Data Bonds'!O13/la))</f>
        <v>0</v>
      </c>
      <c r="M14" s="45">
        <f>IF('Data Bonds'!P13=0,0,theta0+(theta1+theta2)*(1-EXP(-'Data Bonds'!P13/la))/('Data Bonds'!P13/la)-theta2*EXP(-'Data Bonds'!P13/la))</f>
        <v>0</v>
      </c>
      <c r="N14" s="45">
        <f>IF('Data Bonds'!Q13=0,0,theta0+(theta1+theta2)*(1-EXP(-'Data Bonds'!Q13/la))/('Data Bonds'!Q13/la)-theta2*EXP(-'Data Bonds'!Q13/la))</f>
        <v>0</v>
      </c>
      <c r="O14" s="45">
        <f>IF('Data Bonds'!R13=0,0,theta0+(theta1+theta2)*(1-EXP(-'Data Bonds'!R13/la))/('Data Bonds'!R13/la)-theta2*EXP(-'Data Bonds'!R13/la))</f>
        <v>0</v>
      </c>
      <c r="P14" s="45">
        <f>IF('Data Bonds'!S13=0,0,theta0+(theta1+theta2)*(1-EXP(-'Data Bonds'!S13/la))/('Data Bonds'!S13/la)-theta2*EXP(-'Data Bonds'!S13/la))</f>
        <v>0</v>
      </c>
      <c r="Q14" s="45">
        <f>IF('Data Bonds'!T13=0,0,theta0+(theta1+theta2)*(1-EXP(-'Data Bonds'!T13/la))/('Data Bonds'!T13/la)-theta2*EXP(-'Data Bonds'!T13/la))</f>
        <v>0</v>
      </c>
      <c r="R14" s="45">
        <f>IF('Data Bonds'!U13=0,0,theta0+(theta1+theta2)*(1-EXP(-'Data Bonds'!U13/la))/('Data Bonds'!U13/la)-theta2*EXP(-'Data Bonds'!U13/la))</f>
        <v>0</v>
      </c>
      <c r="S14" s="45">
        <f>IF('Data Bonds'!V13=0,0,theta0+(theta1+theta2)*(1-EXP(-'Data Bonds'!V13/la))/('Data Bonds'!V13/la)-theta2*EXP(-'Data Bonds'!V13/la))</f>
        <v>0</v>
      </c>
      <c r="T14" s="45">
        <f>IF('Data Bonds'!W13=0,0,theta0+(theta1+theta2)*(1-EXP(-'Data Bonds'!W13/la))/('Data Bonds'!W13/la)-theta2*EXP(-'Data Bonds'!W13/la))</f>
        <v>0</v>
      </c>
      <c r="U14" s="45">
        <f>IF('Data Bonds'!X13=0,0,theta0+(theta1+theta2)*(1-EXP(-'Data Bonds'!X13/la))/('Data Bonds'!X13/la)-theta2*EXP(-'Data Bonds'!X13/la))</f>
        <v>0</v>
      </c>
      <c r="V14" s="45">
        <f>IF('Data Bonds'!Y13=0,0,theta0+(theta1+theta2)*(1-EXP(-'Data Bonds'!Y13/la))/('Data Bonds'!Y13/la)-theta2*EXP(-'Data Bonds'!Y13/la))</f>
        <v>0</v>
      </c>
      <c r="W14" s="45">
        <f>IF('Data Bonds'!Z13=0,0,theta0+(theta1+theta2)*(1-EXP(-'Data Bonds'!Z13/la))/('Data Bonds'!Z13/la)-theta2*EXP(-'Data Bonds'!Z13/la))</f>
        <v>0</v>
      </c>
      <c r="X14" s="45">
        <f>IF('Data Bonds'!AA13=0,0,theta0+(theta1+theta2)*(1-EXP(-'Data Bonds'!AA13/la))/('Data Bonds'!AA13/la)-theta2*EXP(-'Data Bonds'!AA13/la))</f>
        <v>0</v>
      </c>
      <c r="Y14" s="45">
        <f>IF('Data Bonds'!AB13=0,0,theta0+(theta1+theta2)*(1-EXP(-'Data Bonds'!AB13/la))/('Data Bonds'!AB13/la)-theta2*EXP(-'Data Bonds'!AB13/la))</f>
        <v>0</v>
      </c>
      <c r="Z14" s="45">
        <f>IF('Data Bonds'!AC13=0,0,theta0+(theta1+theta2)*(1-EXP(-'Data Bonds'!AC13/la))/('Data Bonds'!AC13/la)-theta2*EXP(-'Data Bonds'!AC13/la))</f>
        <v>0</v>
      </c>
      <c r="AA14" s="45">
        <f>IF('Data Bonds'!AD13=0,0,theta0+(theta1+theta2)*(1-EXP(-'Data Bonds'!AD13/la))/('Data Bonds'!AD13/la)-theta2*EXP(-'Data Bonds'!AD13/la))</f>
        <v>0</v>
      </c>
      <c r="AB14" s="45">
        <f>IF('Data Bonds'!AE13=0,0,theta0+(theta1+theta2)*(1-EXP(-'Data Bonds'!AE13/la))/('Data Bonds'!AE13/la)-theta2*EXP(-'Data Bonds'!AE13/la))</f>
        <v>0</v>
      </c>
      <c r="AC14" s="45">
        <f>IF('Data Bonds'!AF13=0,0,theta0+(theta1+theta2)*(1-EXP(-'Data Bonds'!AF13/la))/('Data Bonds'!AF13/la)-theta2*EXP(-'Data Bonds'!AF13/la))</f>
        <v>0</v>
      </c>
      <c r="AD14" s="45">
        <f>IF('Data Bonds'!AG13=0,0,theta0+(theta1+theta2)*(1-EXP(-'Data Bonds'!AG13/la))/('Data Bonds'!AG13/la)-theta2*EXP(-'Data Bonds'!AG13/la))</f>
        <v>0</v>
      </c>
      <c r="AE14" s="45">
        <f>IF('Data Bonds'!AH13=0,0,theta0+(theta1+theta2)*(1-EXP(-'Data Bonds'!AH13/la))/('Data Bonds'!AH13/la)-theta2*EXP(-'Data Bonds'!AH13/la))</f>
        <v>0</v>
      </c>
      <c r="AF14" s="45">
        <f>IF('Data Bonds'!AI13=0,0,theta0+(theta1+theta2)*(1-EXP(-'Data Bonds'!AI13/la))/('Data Bonds'!AI13/la)-theta2*EXP(-'Data Bonds'!AI13/la))</f>
        <v>0</v>
      </c>
      <c r="AG14" s="45">
        <f>IF('Data Bonds'!AJ13=0,0,theta0+(theta1+theta2)*(1-EXP(-'Data Bonds'!AJ13/la))/('Data Bonds'!AJ13/la)-theta2*EXP(-'Data Bonds'!AJ13/la))</f>
        <v>0</v>
      </c>
      <c r="AH14" s="45">
        <f>IF('Data Bonds'!AK13=0,0,theta0+(theta1+theta2)*(1-EXP(-'Data Bonds'!AK13/la))/('Data Bonds'!AK13/la)-theta2*EXP(-'Data Bonds'!AK13/la))</f>
        <v>0</v>
      </c>
      <c r="AI14" s="45">
        <f>IF('Data Bonds'!AL13=0,0,theta0+(theta1+theta2)*(1-EXP(-'Data Bonds'!AL13/la))/('Data Bonds'!AL13/la)-theta2*EXP(-'Data Bonds'!AL13/la))</f>
        <v>0</v>
      </c>
      <c r="AJ14" s="45">
        <f>IF('Data Bonds'!AM13=0,0,theta0+(theta1+theta2)*(1-EXP(-'Data Bonds'!AM13/la))/('Data Bonds'!AM13/la)-theta2*EXP(-'Data Bonds'!AM13/la))</f>
        <v>0</v>
      </c>
      <c r="AK14" s="45">
        <f>IF('Data Bonds'!AN13=0,0,theta0+(theta1+theta2)*(1-EXP(-'Data Bonds'!AN13/la))/('Data Bonds'!AN13/la)-theta2*EXP(-'Data Bonds'!AN13/la))</f>
        <v>0</v>
      </c>
      <c r="AL14" s="45">
        <f>IF('Data Bonds'!AO13=0,0,theta0+(theta1+theta2)*(1-EXP(-'Data Bonds'!AO13/la))/('Data Bonds'!AO13/la)-theta2*EXP(-'Data Bonds'!AO13/la))</f>
        <v>0</v>
      </c>
      <c r="AM14" s="45">
        <f>IF('Data Bonds'!AP13=0,0,theta0+(theta1+theta2)*(1-EXP(-'Data Bonds'!AP13/la))/('Data Bonds'!AP13/la)-theta2*EXP(-'Data Bonds'!AP13/la))</f>
        <v>0</v>
      </c>
      <c r="AN14" s="45">
        <f>IF('Data Bonds'!AQ13=0,0,theta0+(theta1+theta2)*(1-EXP(-'Data Bonds'!AQ13/la))/('Data Bonds'!AQ13/la)-theta2*EXP(-'Data Bonds'!AQ13/la))</f>
        <v>0</v>
      </c>
      <c r="AO14" s="45">
        <f>IF('Data Bonds'!AR13=0,0,theta0+(theta1+theta2)*(1-EXP(-'Data Bonds'!AR13/la))/('Data Bonds'!AR13/la)-theta2*EXP(-'Data Bonds'!AR13/la))</f>
        <v>0</v>
      </c>
      <c r="AP14" s="45">
        <f>IF('Data Bonds'!AS13=0,0,theta0+(theta1+theta2)*(1-EXP(-'Data Bonds'!AS13/la))/('Data Bonds'!AS13/la)-theta2*EXP(-'Data Bonds'!AS13/la))</f>
        <v>0</v>
      </c>
      <c r="AQ14" s="45">
        <f>IF('Data Bonds'!AT13=0,0,theta0+(theta1+theta2)*(1-EXP(-'Data Bonds'!AT13/la))/('Data Bonds'!AT13/la)-theta2*EXP(-'Data Bonds'!AT13/la))</f>
        <v>0</v>
      </c>
      <c r="AR14" s="45">
        <f>IF('Data Bonds'!AU13=0,0,theta0+(theta1+theta2)*(1-EXP(-'Data Bonds'!AU13/la))/('Data Bonds'!AU13/la)-theta2*EXP(-'Data Bonds'!AU13/la))</f>
        <v>0</v>
      </c>
      <c r="AS14" s="45">
        <f>IF('Data Bonds'!AV13=0,0,theta0+(theta1+theta2)*(1-EXP(-'Data Bonds'!AV13/la))/('Data Bonds'!AV13/la)-theta2*EXP(-'Data Bonds'!AV13/la))</f>
        <v>0</v>
      </c>
      <c r="AT14" s="45">
        <f>IF('Data Bonds'!AW13=0,0,theta0+(theta1+theta2)*(1-EXP(-'Data Bonds'!AW13/la))/('Data Bonds'!AW13/la)-theta2*EXP(-'Data Bonds'!AW13/la))</f>
        <v>0</v>
      </c>
      <c r="AU14" s="45">
        <f>IF('Data Bonds'!AX13=0,0,theta0+(theta1+theta2)*(1-EXP(-'Data Bonds'!AX13/la))/('Data Bonds'!AX13/la)-theta2*EXP(-'Data Bonds'!AX13/la))</f>
        <v>0</v>
      </c>
      <c r="AV14" s="45">
        <f>IF('Data Bonds'!AY13=0,0,theta0+(theta1+theta2)*(1-EXP(-'Data Bonds'!AY13/la))/('Data Bonds'!AY13/la)-theta2*EXP(-'Data Bonds'!AY13/la))</f>
        <v>0</v>
      </c>
      <c r="AW14" s="45">
        <f>IF('Data Bonds'!AZ13=0,0,theta0+(theta1+theta2)*(1-EXP(-'Data Bonds'!AZ13/la))/('Data Bonds'!AZ13/la)-theta2*EXP(-'Data Bonds'!AZ13/la))</f>
        <v>0</v>
      </c>
      <c r="AX14" s="45">
        <f>IF('Data Bonds'!BA13=0,0,theta0+(theta1+theta2)*(1-EXP(-'Data Bonds'!BA13/la))/('Data Bonds'!BA13/la)-theta2*EXP(-'Data Bonds'!BA13/la))</f>
        <v>0</v>
      </c>
      <c r="AY14" s="45">
        <f>IF('Data Bonds'!BB13=0,0,theta0+(theta1+theta2)*(1-EXP(-'Data Bonds'!BB13/la))/('Data Bonds'!BB13/la)-theta2*EXP(-'Data Bonds'!BB13/la))</f>
        <v>0</v>
      </c>
      <c r="AZ14" s="45">
        <f>IF('Data Bonds'!BC13=0,0,theta0+(theta1+theta2)*(1-EXP(-'Data Bonds'!BC13/la))/('Data Bonds'!BC13/la)-theta2*EXP(-'Data Bonds'!BC13/la))</f>
        <v>0</v>
      </c>
      <c r="BA14" s="45">
        <f>IF('Data Bonds'!BD13=0,0,theta0+(theta1+theta2)*(1-EXP(-'Data Bonds'!BD13/la))/('Data Bonds'!BD13/la)-theta2*EXP(-'Data Bonds'!BD13/la))</f>
        <v>0</v>
      </c>
      <c r="BB14" s="45">
        <f>IF('Data Bonds'!BE13=0,0,theta0+(theta1+theta2)*(1-EXP(-'Data Bonds'!BE13/la))/('Data Bonds'!BE13/la)-theta2*EXP(-'Data Bonds'!BE13/la))</f>
        <v>0</v>
      </c>
      <c r="BC14" s="45">
        <f>IF('Data Bonds'!BF13=0,0,theta0+(theta1+theta2)*(1-EXP(-'Data Bonds'!BF13/la))/('Data Bonds'!BF13/la)-theta2*EXP(-'Data Bonds'!BF13/la))</f>
        <v>0</v>
      </c>
      <c r="BD14" s="45">
        <f>IF('Data Bonds'!BG13=0,0,theta0+(theta1+theta2)*(1-EXP(-'Data Bonds'!BG13/la))/('Data Bonds'!BG13/la)-theta2*EXP(-'Data Bonds'!BG13/la))</f>
        <v>0</v>
      </c>
      <c r="BE14" s="45">
        <f>IF('Data Bonds'!BH13=0,0,theta0+(theta1+theta2)*(1-EXP(-'Data Bonds'!BH13/la))/('Data Bonds'!BH13/la)-theta2*EXP(-'Data Bonds'!BH13/la))</f>
        <v>0</v>
      </c>
      <c r="BF14" s="45">
        <f>IF('Data Bonds'!BI13=0,0,theta0+(theta1+theta2)*(1-EXP(-'Data Bonds'!BI13/la))/('Data Bonds'!BI13/la)-theta2*EXP(-'Data Bonds'!BI13/la))</f>
        <v>0</v>
      </c>
      <c r="BG14" s="45">
        <f>IF('Data Bonds'!BJ13=0,0,theta0+(theta1+theta2)*(1-EXP(-'Data Bonds'!BJ13/la))/('Data Bonds'!BJ13/la)-theta2*EXP(-'Data Bonds'!BJ13/la))</f>
        <v>0</v>
      </c>
      <c r="BH14" s="45">
        <f>IF('Data Bonds'!BK13=0,0,theta0+(theta1+theta2)*(1-EXP(-'Data Bonds'!BK13/la))/('Data Bonds'!BK13/la)-theta2*EXP(-'Data Bonds'!BK13/la))</f>
        <v>0</v>
      </c>
      <c r="BI14" s="45">
        <f>IF('Data Bonds'!BL13=0,0,theta0+(theta1+theta2)*(1-EXP(-'Data Bonds'!BL13/la))/('Data Bonds'!BL13/la)-theta2*EXP(-'Data Bonds'!BL13/la))</f>
        <v>0</v>
      </c>
      <c r="BJ14" s="45">
        <f>IF('Data Bonds'!BM13=0,0,theta0+(theta1+theta2)*(1-EXP(-'Data Bonds'!BM13/la))/('Data Bonds'!BM13/la)-theta2*EXP(-'Data Bonds'!BM13/la))</f>
        <v>0</v>
      </c>
      <c r="BK14" s="45">
        <f>IF('Data Bonds'!BN13=0,0,theta0+(theta1+theta2)*(1-EXP(-'Data Bonds'!BN13/la))/('Data Bonds'!BN13/la)-theta2*EXP(-'Data Bonds'!BN13/la))</f>
        <v>0</v>
      </c>
      <c r="BL14" s="45">
        <f>IF('Data Bonds'!BO13=0,0,theta0+(theta1+theta2)*(1-EXP(-'Data Bonds'!BO13/la))/('Data Bonds'!BO13/la)-theta2*EXP(-'Data Bonds'!BO13/la))</f>
        <v>0</v>
      </c>
      <c r="BM14" s="45">
        <f>IF('Data Bonds'!BP13=0,0,theta0+(theta1+theta2)*(1-EXP(-'Data Bonds'!BP13/la))/('Data Bonds'!BP13/la)-theta2*EXP(-'Data Bonds'!BP13/la))</f>
        <v>0</v>
      </c>
      <c r="BN14" s="45">
        <f>IF('Data Bonds'!BQ13=0,0,theta0+(theta1+theta2)*(1-EXP(-'Data Bonds'!BQ13/la))/('Data Bonds'!BQ13/la)-theta2*EXP(-'Data Bonds'!BQ13/la))</f>
        <v>0</v>
      </c>
      <c r="BO14" s="45">
        <f>IF('Data Bonds'!BR13=0,0,theta0+(theta1+theta2)*(1-EXP(-'Data Bonds'!BR13/la))/('Data Bonds'!BR13/la)-theta2*EXP(-'Data Bonds'!BR13/la))</f>
        <v>0</v>
      </c>
      <c r="BP14" s="38">
        <f>EXP(-'Data Bonds'!K13*H14)</f>
        <v>0.99030095386253514</v>
      </c>
      <c r="BQ14" s="38">
        <f>EXP(-'Data Bonds'!L13*I14)</f>
        <v>1</v>
      </c>
      <c r="BR14" s="38">
        <f>EXP(-'Data Bonds'!M13*J14)</f>
        <v>1</v>
      </c>
      <c r="BS14" s="38">
        <f>EXP(-'Data Bonds'!N13*K14)</f>
        <v>1</v>
      </c>
      <c r="BT14" s="38">
        <f>EXP(-'Data Bonds'!O13*L14)</f>
        <v>1</v>
      </c>
      <c r="BU14" s="38">
        <f>EXP(-'Data Bonds'!P13*M14)</f>
        <v>1</v>
      </c>
      <c r="BV14" s="38">
        <f>EXP(-'Data Bonds'!Q13*N14)</f>
        <v>1</v>
      </c>
      <c r="BW14" s="38">
        <f>EXP(-'Data Bonds'!R13*O14)</f>
        <v>1</v>
      </c>
      <c r="BX14" s="38">
        <f>EXP(-'Data Bonds'!S13*P14)</f>
        <v>1</v>
      </c>
      <c r="BY14" s="38">
        <f>EXP(-'Data Bonds'!T13*Q14)</f>
        <v>1</v>
      </c>
      <c r="BZ14" s="38">
        <f>EXP(-'Data Bonds'!U13*R14)</f>
        <v>1</v>
      </c>
      <c r="CA14" s="38">
        <f>EXP(-'Data Bonds'!V13*S14)</f>
        <v>1</v>
      </c>
      <c r="CB14" s="38">
        <f>EXP(-'Data Bonds'!W13*T14)</f>
        <v>1</v>
      </c>
      <c r="CC14" s="38">
        <f>EXP(-'Data Bonds'!X13*U14)</f>
        <v>1</v>
      </c>
      <c r="CD14" s="38">
        <f>EXP(-'Data Bonds'!Y13*V14)</f>
        <v>1</v>
      </c>
      <c r="CE14" s="38">
        <f>EXP(-'Data Bonds'!Z13*W14)</f>
        <v>1</v>
      </c>
      <c r="CF14" s="38">
        <f>EXP(-'Data Bonds'!AA13*X14)</f>
        <v>1</v>
      </c>
      <c r="CG14" s="38">
        <f>EXP(-'Data Bonds'!AB13*Y14)</f>
        <v>1</v>
      </c>
      <c r="CH14" s="38">
        <f>EXP(-'Data Bonds'!AC13*Z14)</f>
        <v>1</v>
      </c>
      <c r="CI14" s="38">
        <f>EXP(-'Data Bonds'!AD13*AA14)</f>
        <v>1</v>
      </c>
      <c r="CJ14" s="38">
        <f>EXP(-'Data Bonds'!AE13*AB14)</f>
        <v>1</v>
      </c>
      <c r="CK14" s="38">
        <f>EXP(-'Data Bonds'!AF13*AC14)</f>
        <v>1</v>
      </c>
      <c r="CL14" s="38">
        <f>EXP(-'Data Bonds'!AG13*AD14)</f>
        <v>1</v>
      </c>
      <c r="CM14" s="38">
        <f>EXP(-'Data Bonds'!AH13*AE14)</f>
        <v>1</v>
      </c>
      <c r="CN14" s="38">
        <f>EXP(-'Data Bonds'!AI13*AF14)</f>
        <v>1</v>
      </c>
      <c r="CO14" s="38">
        <f>EXP(-'Data Bonds'!AJ13*AG14)</f>
        <v>1</v>
      </c>
      <c r="CP14" s="38">
        <f>EXP(-'Data Bonds'!AK13*AH14)</f>
        <v>1</v>
      </c>
      <c r="CQ14" s="38">
        <f>EXP(-'Data Bonds'!AL13*AI14)</f>
        <v>1</v>
      </c>
      <c r="CR14" s="38">
        <f>EXP(-'Data Bonds'!AM13*AJ14)</f>
        <v>1</v>
      </c>
      <c r="CS14" s="38">
        <f>EXP(-'Data Bonds'!AN13*AK14)</f>
        <v>1</v>
      </c>
      <c r="CT14" s="38">
        <f>EXP(-'Data Bonds'!AO13*AL14)</f>
        <v>1</v>
      </c>
      <c r="CU14" s="38">
        <f>EXP(-'Data Bonds'!AP13*AM14)</f>
        <v>1</v>
      </c>
      <c r="CV14" s="38">
        <f>EXP(-'Data Bonds'!AQ13*AN14)</f>
        <v>1</v>
      </c>
      <c r="CW14" s="38">
        <f>EXP(-'Data Bonds'!AR13*AO14)</f>
        <v>1</v>
      </c>
      <c r="CX14" s="38">
        <f>EXP(-'Data Bonds'!AS13*AP14)</f>
        <v>1</v>
      </c>
      <c r="CY14" s="38">
        <f>EXP(-'Data Bonds'!AT13*AQ14)</f>
        <v>1</v>
      </c>
      <c r="CZ14" s="38">
        <f>EXP(-'Data Bonds'!AU13*AR14)</f>
        <v>1</v>
      </c>
      <c r="DA14" s="38">
        <f>EXP(-'Data Bonds'!AV13*AS14)</f>
        <v>1</v>
      </c>
      <c r="DB14" s="38">
        <f>EXP(-'Data Bonds'!AW13*AT14)</f>
        <v>1</v>
      </c>
      <c r="DC14" s="38">
        <f>EXP(-'Data Bonds'!AX13*AU14)</f>
        <v>1</v>
      </c>
      <c r="DD14" s="38">
        <f>EXP(-'Data Bonds'!AY13*AV14)</f>
        <v>1</v>
      </c>
      <c r="DE14" s="38">
        <f>EXP(-'Data Bonds'!AZ13*AW14)</f>
        <v>1</v>
      </c>
      <c r="DF14" s="38">
        <f>EXP(-'Data Bonds'!BA13*AX14)</f>
        <v>1</v>
      </c>
      <c r="DG14" s="38">
        <f>EXP(-'Data Bonds'!BB13*AY14)</f>
        <v>1</v>
      </c>
      <c r="DH14" s="38">
        <f>EXP(-'Data Bonds'!BC13*AZ14)</f>
        <v>1</v>
      </c>
      <c r="DI14" s="38">
        <f>EXP(-'Data Bonds'!BD13*BA14)</f>
        <v>1</v>
      </c>
      <c r="DJ14" s="38">
        <f>EXP(-'Data Bonds'!BE13*BB14)</f>
        <v>1</v>
      </c>
      <c r="DK14" s="38">
        <f>EXP(-'Data Bonds'!BF13*BC14)</f>
        <v>1</v>
      </c>
      <c r="DL14" s="38">
        <f>EXP(-'Data Bonds'!BG13*BD14)</f>
        <v>1</v>
      </c>
      <c r="DM14" s="38">
        <f>EXP(-'Data Bonds'!BH13*BE14)</f>
        <v>1</v>
      </c>
      <c r="DN14" s="38">
        <f>EXP(-'Data Bonds'!BI13*BF14)</f>
        <v>1</v>
      </c>
      <c r="DO14" s="38">
        <f>EXP(-'Data Bonds'!BJ13*BG14)</f>
        <v>1</v>
      </c>
      <c r="DP14" s="38">
        <f>EXP(-'Data Bonds'!BK13*BH14)</f>
        <v>1</v>
      </c>
      <c r="DQ14" s="38">
        <f>EXP(-'Data Bonds'!BL13*BI14)</f>
        <v>1</v>
      </c>
      <c r="DR14" s="38">
        <f>EXP(-'Data Bonds'!BM13*BJ14)</f>
        <v>1</v>
      </c>
      <c r="DS14" s="38">
        <f>EXP(-'Data Bonds'!BN13*BK14)</f>
        <v>1</v>
      </c>
      <c r="DT14" s="38">
        <f>EXP(-'Data Bonds'!BO13*BL14)</f>
        <v>1</v>
      </c>
      <c r="DU14" s="38">
        <f>EXP(-'Data Bonds'!BP13*BM14)</f>
        <v>1</v>
      </c>
      <c r="DV14" s="38">
        <f>EXP(-'Data Bonds'!BQ13*BN14)</f>
        <v>1</v>
      </c>
      <c r="DW14" s="38">
        <f>EXP(-'Data Bonds'!BR13*BO14)</f>
        <v>1</v>
      </c>
      <c r="DX14" s="28">
        <f>SUMPRODUCT(BP14:DW14,'Data Bonds'!BU13:EB13)</f>
        <v>100.39175919781449</v>
      </c>
      <c r="DY14" s="28">
        <f t="shared" si="5"/>
        <v>4.2718456443237218E-3</v>
      </c>
      <c r="EA14" s="33">
        <f t="shared" si="6"/>
        <v>1.5</v>
      </c>
      <c r="EB14" s="29">
        <f t="shared" si="2"/>
        <v>4.9360135691797521E-2</v>
      </c>
      <c r="EC14" s="29">
        <f t="shared" si="3"/>
        <v>0.92863435870434374</v>
      </c>
      <c r="ED14" s="29">
        <f t="shared" ref="ED14:ED71" si="7">-LN(EC14/EC13)/0.5</f>
        <v>4.851499362248575E-2</v>
      </c>
      <c r="EE14" s="32"/>
      <c r="EF14" s="32"/>
      <c r="EG14" s="32"/>
      <c r="EI14" s="34"/>
    </row>
    <row r="15" spans="2:151">
      <c r="B15" s="27">
        <f>'Data Bonds'!E14</f>
        <v>0</v>
      </c>
      <c r="C15" s="27">
        <f>'Data Bonds'!F14</f>
        <v>98.820791999999997</v>
      </c>
      <c r="D15" s="27">
        <f>'Data Bonds'!G14</f>
        <v>98.823318999999998</v>
      </c>
      <c r="E15" s="27">
        <f>'Data Bonds'!I14</f>
        <v>0</v>
      </c>
      <c r="F15" s="40">
        <f>'Data Bonds'!H14</f>
        <v>0.24722222222222223</v>
      </c>
      <c r="G15" s="28">
        <f t="shared" si="4"/>
        <v>98.822055500000005</v>
      </c>
      <c r="H15" s="45">
        <f>IF('Data Bonds'!K14=0,0,theta0+(theta1+theta2)*(1-EXP(-'Data Bonds'!K14/la))/('Data Bonds'!K14/la)-theta2*EXP(-'Data Bonds'!K14/la))</f>
        <v>5.1400865003337355E-2</v>
      </c>
      <c r="I15" s="45">
        <f>IF('Data Bonds'!L14=0,0,theta0+(theta1+theta2)*(1-EXP(-'Data Bonds'!L14/la))/('Data Bonds'!L14/la)-theta2*EXP(-'Data Bonds'!L14/la))</f>
        <v>0</v>
      </c>
      <c r="J15" s="45">
        <f>IF('Data Bonds'!M14=0,0,theta0+(theta1+theta2)*(1-EXP(-'Data Bonds'!M14/la))/('Data Bonds'!M14/la)-theta2*EXP(-'Data Bonds'!M14/la))</f>
        <v>0</v>
      </c>
      <c r="K15" s="45">
        <f>IF('Data Bonds'!N14=0,0,theta0+(theta1+theta2)*(1-EXP(-'Data Bonds'!N14/la))/('Data Bonds'!N14/la)-theta2*EXP(-'Data Bonds'!N14/la))</f>
        <v>0</v>
      </c>
      <c r="L15" s="45">
        <f>IF('Data Bonds'!O14=0,0,theta0+(theta1+theta2)*(1-EXP(-'Data Bonds'!O14/la))/('Data Bonds'!O14/la)-theta2*EXP(-'Data Bonds'!O14/la))</f>
        <v>0</v>
      </c>
      <c r="M15" s="45">
        <f>IF('Data Bonds'!P14=0,0,theta0+(theta1+theta2)*(1-EXP(-'Data Bonds'!P14/la))/('Data Bonds'!P14/la)-theta2*EXP(-'Data Bonds'!P14/la))</f>
        <v>0</v>
      </c>
      <c r="N15" s="45">
        <f>IF('Data Bonds'!Q14=0,0,theta0+(theta1+theta2)*(1-EXP(-'Data Bonds'!Q14/la))/('Data Bonds'!Q14/la)-theta2*EXP(-'Data Bonds'!Q14/la))</f>
        <v>0</v>
      </c>
      <c r="O15" s="45">
        <f>IF('Data Bonds'!R14=0,0,theta0+(theta1+theta2)*(1-EXP(-'Data Bonds'!R14/la))/('Data Bonds'!R14/la)-theta2*EXP(-'Data Bonds'!R14/la))</f>
        <v>0</v>
      </c>
      <c r="P15" s="45">
        <f>IF('Data Bonds'!S14=0,0,theta0+(theta1+theta2)*(1-EXP(-'Data Bonds'!S14/la))/('Data Bonds'!S14/la)-theta2*EXP(-'Data Bonds'!S14/la))</f>
        <v>0</v>
      </c>
      <c r="Q15" s="45">
        <f>IF('Data Bonds'!T14=0,0,theta0+(theta1+theta2)*(1-EXP(-'Data Bonds'!T14/la))/('Data Bonds'!T14/la)-theta2*EXP(-'Data Bonds'!T14/la))</f>
        <v>0</v>
      </c>
      <c r="R15" s="45">
        <f>IF('Data Bonds'!U14=0,0,theta0+(theta1+theta2)*(1-EXP(-'Data Bonds'!U14/la))/('Data Bonds'!U14/la)-theta2*EXP(-'Data Bonds'!U14/la))</f>
        <v>0</v>
      </c>
      <c r="S15" s="45">
        <f>IF('Data Bonds'!V14=0,0,theta0+(theta1+theta2)*(1-EXP(-'Data Bonds'!V14/la))/('Data Bonds'!V14/la)-theta2*EXP(-'Data Bonds'!V14/la))</f>
        <v>0</v>
      </c>
      <c r="T15" s="45">
        <f>IF('Data Bonds'!W14=0,0,theta0+(theta1+theta2)*(1-EXP(-'Data Bonds'!W14/la))/('Data Bonds'!W14/la)-theta2*EXP(-'Data Bonds'!W14/la))</f>
        <v>0</v>
      </c>
      <c r="U15" s="45">
        <f>IF('Data Bonds'!X14=0,0,theta0+(theta1+theta2)*(1-EXP(-'Data Bonds'!X14/la))/('Data Bonds'!X14/la)-theta2*EXP(-'Data Bonds'!X14/la))</f>
        <v>0</v>
      </c>
      <c r="V15" s="45">
        <f>IF('Data Bonds'!Y14=0,0,theta0+(theta1+theta2)*(1-EXP(-'Data Bonds'!Y14/la))/('Data Bonds'!Y14/la)-theta2*EXP(-'Data Bonds'!Y14/la))</f>
        <v>0</v>
      </c>
      <c r="W15" s="45">
        <f>IF('Data Bonds'!Z14=0,0,theta0+(theta1+theta2)*(1-EXP(-'Data Bonds'!Z14/la))/('Data Bonds'!Z14/la)-theta2*EXP(-'Data Bonds'!Z14/la))</f>
        <v>0</v>
      </c>
      <c r="X15" s="45">
        <f>IF('Data Bonds'!AA14=0,0,theta0+(theta1+theta2)*(1-EXP(-'Data Bonds'!AA14/la))/('Data Bonds'!AA14/la)-theta2*EXP(-'Data Bonds'!AA14/la))</f>
        <v>0</v>
      </c>
      <c r="Y15" s="45">
        <f>IF('Data Bonds'!AB14=0,0,theta0+(theta1+theta2)*(1-EXP(-'Data Bonds'!AB14/la))/('Data Bonds'!AB14/la)-theta2*EXP(-'Data Bonds'!AB14/la))</f>
        <v>0</v>
      </c>
      <c r="Z15" s="45">
        <f>IF('Data Bonds'!AC14=0,0,theta0+(theta1+theta2)*(1-EXP(-'Data Bonds'!AC14/la))/('Data Bonds'!AC14/la)-theta2*EXP(-'Data Bonds'!AC14/la))</f>
        <v>0</v>
      </c>
      <c r="AA15" s="45">
        <f>IF('Data Bonds'!AD14=0,0,theta0+(theta1+theta2)*(1-EXP(-'Data Bonds'!AD14/la))/('Data Bonds'!AD14/la)-theta2*EXP(-'Data Bonds'!AD14/la))</f>
        <v>0</v>
      </c>
      <c r="AB15" s="45">
        <f>IF('Data Bonds'!AE14=0,0,theta0+(theta1+theta2)*(1-EXP(-'Data Bonds'!AE14/la))/('Data Bonds'!AE14/la)-theta2*EXP(-'Data Bonds'!AE14/la))</f>
        <v>0</v>
      </c>
      <c r="AC15" s="45">
        <f>IF('Data Bonds'!AF14=0,0,theta0+(theta1+theta2)*(1-EXP(-'Data Bonds'!AF14/la))/('Data Bonds'!AF14/la)-theta2*EXP(-'Data Bonds'!AF14/la))</f>
        <v>0</v>
      </c>
      <c r="AD15" s="45">
        <f>IF('Data Bonds'!AG14=0,0,theta0+(theta1+theta2)*(1-EXP(-'Data Bonds'!AG14/la))/('Data Bonds'!AG14/la)-theta2*EXP(-'Data Bonds'!AG14/la))</f>
        <v>0</v>
      </c>
      <c r="AE15" s="45">
        <f>IF('Data Bonds'!AH14=0,0,theta0+(theta1+theta2)*(1-EXP(-'Data Bonds'!AH14/la))/('Data Bonds'!AH14/la)-theta2*EXP(-'Data Bonds'!AH14/la))</f>
        <v>0</v>
      </c>
      <c r="AF15" s="45">
        <f>IF('Data Bonds'!AI14=0,0,theta0+(theta1+theta2)*(1-EXP(-'Data Bonds'!AI14/la))/('Data Bonds'!AI14/la)-theta2*EXP(-'Data Bonds'!AI14/la))</f>
        <v>0</v>
      </c>
      <c r="AG15" s="45">
        <f>IF('Data Bonds'!AJ14=0,0,theta0+(theta1+theta2)*(1-EXP(-'Data Bonds'!AJ14/la))/('Data Bonds'!AJ14/la)-theta2*EXP(-'Data Bonds'!AJ14/la))</f>
        <v>0</v>
      </c>
      <c r="AH15" s="45">
        <f>IF('Data Bonds'!AK14=0,0,theta0+(theta1+theta2)*(1-EXP(-'Data Bonds'!AK14/la))/('Data Bonds'!AK14/la)-theta2*EXP(-'Data Bonds'!AK14/la))</f>
        <v>0</v>
      </c>
      <c r="AI15" s="45">
        <f>IF('Data Bonds'!AL14=0,0,theta0+(theta1+theta2)*(1-EXP(-'Data Bonds'!AL14/la))/('Data Bonds'!AL14/la)-theta2*EXP(-'Data Bonds'!AL14/la))</f>
        <v>0</v>
      </c>
      <c r="AJ15" s="45">
        <f>IF('Data Bonds'!AM14=0,0,theta0+(theta1+theta2)*(1-EXP(-'Data Bonds'!AM14/la))/('Data Bonds'!AM14/la)-theta2*EXP(-'Data Bonds'!AM14/la))</f>
        <v>0</v>
      </c>
      <c r="AK15" s="45">
        <f>IF('Data Bonds'!AN14=0,0,theta0+(theta1+theta2)*(1-EXP(-'Data Bonds'!AN14/la))/('Data Bonds'!AN14/la)-theta2*EXP(-'Data Bonds'!AN14/la))</f>
        <v>0</v>
      </c>
      <c r="AL15" s="45">
        <f>IF('Data Bonds'!AO14=0,0,theta0+(theta1+theta2)*(1-EXP(-'Data Bonds'!AO14/la))/('Data Bonds'!AO14/la)-theta2*EXP(-'Data Bonds'!AO14/la))</f>
        <v>0</v>
      </c>
      <c r="AM15" s="45">
        <f>IF('Data Bonds'!AP14=0,0,theta0+(theta1+theta2)*(1-EXP(-'Data Bonds'!AP14/la))/('Data Bonds'!AP14/la)-theta2*EXP(-'Data Bonds'!AP14/la))</f>
        <v>0</v>
      </c>
      <c r="AN15" s="45">
        <f>IF('Data Bonds'!AQ14=0,0,theta0+(theta1+theta2)*(1-EXP(-'Data Bonds'!AQ14/la))/('Data Bonds'!AQ14/la)-theta2*EXP(-'Data Bonds'!AQ14/la))</f>
        <v>0</v>
      </c>
      <c r="AO15" s="45">
        <f>IF('Data Bonds'!AR14=0,0,theta0+(theta1+theta2)*(1-EXP(-'Data Bonds'!AR14/la))/('Data Bonds'!AR14/la)-theta2*EXP(-'Data Bonds'!AR14/la))</f>
        <v>0</v>
      </c>
      <c r="AP15" s="45">
        <f>IF('Data Bonds'!AS14=0,0,theta0+(theta1+theta2)*(1-EXP(-'Data Bonds'!AS14/la))/('Data Bonds'!AS14/la)-theta2*EXP(-'Data Bonds'!AS14/la))</f>
        <v>0</v>
      </c>
      <c r="AQ15" s="45">
        <f>IF('Data Bonds'!AT14=0,0,theta0+(theta1+theta2)*(1-EXP(-'Data Bonds'!AT14/la))/('Data Bonds'!AT14/la)-theta2*EXP(-'Data Bonds'!AT14/la))</f>
        <v>0</v>
      </c>
      <c r="AR15" s="45">
        <f>IF('Data Bonds'!AU14=0,0,theta0+(theta1+theta2)*(1-EXP(-'Data Bonds'!AU14/la))/('Data Bonds'!AU14/la)-theta2*EXP(-'Data Bonds'!AU14/la))</f>
        <v>0</v>
      </c>
      <c r="AS15" s="45">
        <f>IF('Data Bonds'!AV14=0,0,theta0+(theta1+theta2)*(1-EXP(-'Data Bonds'!AV14/la))/('Data Bonds'!AV14/la)-theta2*EXP(-'Data Bonds'!AV14/la))</f>
        <v>0</v>
      </c>
      <c r="AT15" s="45">
        <f>IF('Data Bonds'!AW14=0,0,theta0+(theta1+theta2)*(1-EXP(-'Data Bonds'!AW14/la))/('Data Bonds'!AW14/la)-theta2*EXP(-'Data Bonds'!AW14/la))</f>
        <v>0</v>
      </c>
      <c r="AU15" s="45">
        <f>IF('Data Bonds'!AX14=0,0,theta0+(theta1+theta2)*(1-EXP(-'Data Bonds'!AX14/la))/('Data Bonds'!AX14/la)-theta2*EXP(-'Data Bonds'!AX14/la))</f>
        <v>0</v>
      </c>
      <c r="AV15" s="45">
        <f>IF('Data Bonds'!AY14=0,0,theta0+(theta1+theta2)*(1-EXP(-'Data Bonds'!AY14/la))/('Data Bonds'!AY14/la)-theta2*EXP(-'Data Bonds'!AY14/la))</f>
        <v>0</v>
      </c>
      <c r="AW15" s="45">
        <f>IF('Data Bonds'!AZ14=0,0,theta0+(theta1+theta2)*(1-EXP(-'Data Bonds'!AZ14/la))/('Data Bonds'!AZ14/la)-theta2*EXP(-'Data Bonds'!AZ14/la))</f>
        <v>0</v>
      </c>
      <c r="AX15" s="45">
        <f>IF('Data Bonds'!BA14=0,0,theta0+(theta1+theta2)*(1-EXP(-'Data Bonds'!BA14/la))/('Data Bonds'!BA14/la)-theta2*EXP(-'Data Bonds'!BA14/la))</f>
        <v>0</v>
      </c>
      <c r="AY15" s="45">
        <f>IF('Data Bonds'!BB14=0,0,theta0+(theta1+theta2)*(1-EXP(-'Data Bonds'!BB14/la))/('Data Bonds'!BB14/la)-theta2*EXP(-'Data Bonds'!BB14/la))</f>
        <v>0</v>
      </c>
      <c r="AZ15" s="45">
        <f>IF('Data Bonds'!BC14=0,0,theta0+(theta1+theta2)*(1-EXP(-'Data Bonds'!BC14/la))/('Data Bonds'!BC14/la)-theta2*EXP(-'Data Bonds'!BC14/la))</f>
        <v>0</v>
      </c>
      <c r="BA15" s="45">
        <f>IF('Data Bonds'!BD14=0,0,theta0+(theta1+theta2)*(1-EXP(-'Data Bonds'!BD14/la))/('Data Bonds'!BD14/la)-theta2*EXP(-'Data Bonds'!BD14/la))</f>
        <v>0</v>
      </c>
      <c r="BB15" s="45">
        <f>IF('Data Bonds'!BE14=0,0,theta0+(theta1+theta2)*(1-EXP(-'Data Bonds'!BE14/la))/('Data Bonds'!BE14/la)-theta2*EXP(-'Data Bonds'!BE14/la))</f>
        <v>0</v>
      </c>
      <c r="BC15" s="45">
        <f>IF('Data Bonds'!BF14=0,0,theta0+(theta1+theta2)*(1-EXP(-'Data Bonds'!BF14/la))/('Data Bonds'!BF14/la)-theta2*EXP(-'Data Bonds'!BF14/la))</f>
        <v>0</v>
      </c>
      <c r="BD15" s="45">
        <f>IF('Data Bonds'!BG14=0,0,theta0+(theta1+theta2)*(1-EXP(-'Data Bonds'!BG14/la))/('Data Bonds'!BG14/la)-theta2*EXP(-'Data Bonds'!BG14/la))</f>
        <v>0</v>
      </c>
      <c r="BE15" s="45">
        <f>IF('Data Bonds'!BH14=0,0,theta0+(theta1+theta2)*(1-EXP(-'Data Bonds'!BH14/la))/('Data Bonds'!BH14/la)-theta2*EXP(-'Data Bonds'!BH14/la))</f>
        <v>0</v>
      </c>
      <c r="BF15" s="45">
        <f>IF('Data Bonds'!BI14=0,0,theta0+(theta1+theta2)*(1-EXP(-'Data Bonds'!BI14/la))/('Data Bonds'!BI14/la)-theta2*EXP(-'Data Bonds'!BI14/la))</f>
        <v>0</v>
      </c>
      <c r="BG15" s="45">
        <f>IF('Data Bonds'!BJ14=0,0,theta0+(theta1+theta2)*(1-EXP(-'Data Bonds'!BJ14/la))/('Data Bonds'!BJ14/la)-theta2*EXP(-'Data Bonds'!BJ14/la))</f>
        <v>0</v>
      </c>
      <c r="BH15" s="45">
        <f>IF('Data Bonds'!BK14=0,0,theta0+(theta1+theta2)*(1-EXP(-'Data Bonds'!BK14/la))/('Data Bonds'!BK14/la)-theta2*EXP(-'Data Bonds'!BK14/la))</f>
        <v>0</v>
      </c>
      <c r="BI15" s="45">
        <f>IF('Data Bonds'!BL14=0,0,theta0+(theta1+theta2)*(1-EXP(-'Data Bonds'!BL14/la))/('Data Bonds'!BL14/la)-theta2*EXP(-'Data Bonds'!BL14/la))</f>
        <v>0</v>
      </c>
      <c r="BJ15" s="45">
        <f>IF('Data Bonds'!BM14=0,0,theta0+(theta1+theta2)*(1-EXP(-'Data Bonds'!BM14/la))/('Data Bonds'!BM14/la)-theta2*EXP(-'Data Bonds'!BM14/la))</f>
        <v>0</v>
      </c>
      <c r="BK15" s="45">
        <f>IF('Data Bonds'!BN14=0,0,theta0+(theta1+theta2)*(1-EXP(-'Data Bonds'!BN14/la))/('Data Bonds'!BN14/la)-theta2*EXP(-'Data Bonds'!BN14/la))</f>
        <v>0</v>
      </c>
      <c r="BL15" s="45">
        <f>IF('Data Bonds'!BO14=0,0,theta0+(theta1+theta2)*(1-EXP(-'Data Bonds'!BO14/la))/('Data Bonds'!BO14/la)-theta2*EXP(-'Data Bonds'!BO14/la))</f>
        <v>0</v>
      </c>
      <c r="BM15" s="45">
        <f>IF('Data Bonds'!BP14=0,0,theta0+(theta1+theta2)*(1-EXP(-'Data Bonds'!BP14/la))/('Data Bonds'!BP14/la)-theta2*EXP(-'Data Bonds'!BP14/la))</f>
        <v>0</v>
      </c>
      <c r="BN15" s="45">
        <f>IF('Data Bonds'!BQ14=0,0,theta0+(theta1+theta2)*(1-EXP(-'Data Bonds'!BQ14/la))/('Data Bonds'!BQ14/la)-theta2*EXP(-'Data Bonds'!BQ14/la))</f>
        <v>0</v>
      </c>
      <c r="BO15" s="45">
        <f>IF('Data Bonds'!BR14=0,0,theta0+(theta1+theta2)*(1-EXP(-'Data Bonds'!BR14/la))/('Data Bonds'!BR14/la)-theta2*EXP(-'Data Bonds'!BR14/la))</f>
        <v>0</v>
      </c>
      <c r="BP15" s="38">
        <f>EXP(-'Data Bonds'!K14*H15)</f>
        <v>0.98737296248199224</v>
      </c>
      <c r="BQ15" s="38">
        <f>EXP(-'Data Bonds'!L14*I15)</f>
        <v>1</v>
      </c>
      <c r="BR15" s="38">
        <f>EXP(-'Data Bonds'!M14*J15)</f>
        <v>1</v>
      </c>
      <c r="BS15" s="38">
        <f>EXP(-'Data Bonds'!N14*K15)</f>
        <v>1</v>
      </c>
      <c r="BT15" s="38">
        <f>EXP(-'Data Bonds'!O14*L15)</f>
        <v>1</v>
      </c>
      <c r="BU15" s="38">
        <f>EXP(-'Data Bonds'!P14*M15)</f>
        <v>1</v>
      </c>
      <c r="BV15" s="38">
        <f>EXP(-'Data Bonds'!Q14*N15)</f>
        <v>1</v>
      </c>
      <c r="BW15" s="38">
        <f>EXP(-'Data Bonds'!R14*O15)</f>
        <v>1</v>
      </c>
      <c r="BX15" s="38">
        <f>EXP(-'Data Bonds'!S14*P15)</f>
        <v>1</v>
      </c>
      <c r="BY15" s="38">
        <f>EXP(-'Data Bonds'!T14*Q15)</f>
        <v>1</v>
      </c>
      <c r="BZ15" s="38">
        <f>EXP(-'Data Bonds'!U14*R15)</f>
        <v>1</v>
      </c>
      <c r="CA15" s="38">
        <f>EXP(-'Data Bonds'!V14*S15)</f>
        <v>1</v>
      </c>
      <c r="CB15" s="38">
        <f>EXP(-'Data Bonds'!W14*T15)</f>
        <v>1</v>
      </c>
      <c r="CC15" s="38">
        <f>EXP(-'Data Bonds'!X14*U15)</f>
        <v>1</v>
      </c>
      <c r="CD15" s="38">
        <f>EXP(-'Data Bonds'!Y14*V15)</f>
        <v>1</v>
      </c>
      <c r="CE15" s="38">
        <f>EXP(-'Data Bonds'!Z14*W15)</f>
        <v>1</v>
      </c>
      <c r="CF15" s="38">
        <f>EXP(-'Data Bonds'!AA14*X15)</f>
        <v>1</v>
      </c>
      <c r="CG15" s="38">
        <f>EXP(-'Data Bonds'!AB14*Y15)</f>
        <v>1</v>
      </c>
      <c r="CH15" s="38">
        <f>EXP(-'Data Bonds'!AC14*Z15)</f>
        <v>1</v>
      </c>
      <c r="CI15" s="38">
        <f>EXP(-'Data Bonds'!AD14*AA15)</f>
        <v>1</v>
      </c>
      <c r="CJ15" s="38">
        <f>EXP(-'Data Bonds'!AE14*AB15)</f>
        <v>1</v>
      </c>
      <c r="CK15" s="38">
        <f>EXP(-'Data Bonds'!AF14*AC15)</f>
        <v>1</v>
      </c>
      <c r="CL15" s="38">
        <f>EXP(-'Data Bonds'!AG14*AD15)</f>
        <v>1</v>
      </c>
      <c r="CM15" s="38">
        <f>EXP(-'Data Bonds'!AH14*AE15)</f>
        <v>1</v>
      </c>
      <c r="CN15" s="38">
        <f>EXP(-'Data Bonds'!AI14*AF15)</f>
        <v>1</v>
      </c>
      <c r="CO15" s="38">
        <f>EXP(-'Data Bonds'!AJ14*AG15)</f>
        <v>1</v>
      </c>
      <c r="CP15" s="38">
        <f>EXP(-'Data Bonds'!AK14*AH15)</f>
        <v>1</v>
      </c>
      <c r="CQ15" s="38">
        <f>EXP(-'Data Bonds'!AL14*AI15)</f>
        <v>1</v>
      </c>
      <c r="CR15" s="38">
        <f>EXP(-'Data Bonds'!AM14*AJ15)</f>
        <v>1</v>
      </c>
      <c r="CS15" s="38">
        <f>EXP(-'Data Bonds'!AN14*AK15)</f>
        <v>1</v>
      </c>
      <c r="CT15" s="38">
        <f>EXP(-'Data Bonds'!AO14*AL15)</f>
        <v>1</v>
      </c>
      <c r="CU15" s="38">
        <f>EXP(-'Data Bonds'!AP14*AM15)</f>
        <v>1</v>
      </c>
      <c r="CV15" s="38">
        <f>EXP(-'Data Bonds'!AQ14*AN15)</f>
        <v>1</v>
      </c>
      <c r="CW15" s="38">
        <f>EXP(-'Data Bonds'!AR14*AO15)</f>
        <v>1</v>
      </c>
      <c r="CX15" s="38">
        <f>EXP(-'Data Bonds'!AS14*AP15)</f>
        <v>1</v>
      </c>
      <c r="CY15" s="38">
        <f>EXP(-'Data Bonds'!AT14*AQ15)</f>
        <v>1</v>
      </c>
      <c r="CZ15" s="38">
        <f>EXP(-'Data Bonds'!AU14*AR15)</f>
        <v>1</v>
      </c>
      <c r="DA15" s="38">
        <f>EXP(-'Data Bonds'!AV14*AS15)</f>
        <v>1</v>
      </c>
      <c r="DB15" s="38">
        <f>EXP(-'Data Bonds'!AW14*AT15)</f>
        <v>1</v>
      </c>
      <c r="DC15" s="38">
        <f>EXP(-'Data Bonds'!AX14*AU15)</f>
        <v>1</v>
      </c>
      <c r="DD15" s="38">
        <f>EXP(-'Data Bonds'!AY14*AV15)</f>
        <v>1</v>
      </c>
      <c r="DE15" s="38">
        <f>EXP(-'Data Bonds'!AZ14*AW15)</f>
        <v>1</v>
      </c>
      <c r="DF15" s="38">
        <f>EXP(-'Data Bonds'!BA14*AX15)</f>
        <v>1</v>
      </c>
      <c r="DG15" s="38">
        <f>EXP(-'Data Bonds'!BB14*AY15)</f>
        <v>1</v>
      </c>
      <c r="DH15" s="38">
        <f>EXP(-'Data Bonds'!BC14*AZ15)</f>
        <v>1</v>
      </c>
      <c r="DI15" s="38">
        <f>EXP(-'Data Bonds'!BD14*BA15)</f>
        <v>1</v>
      </c>
      <c r="DJ15" s="38">
        <f>EXP(-'Data Bonds'!BE14*BB15)</f>
        <v>1</v>
      </c>
      <c r="DK15" s="38">
        <f>EXP(-'Data Bonds'!BF14*BC15)</f>
        <v>1</v>
      </c>
      <c r="DL15" s="38">
        <f>EXP(-'Data Bonds'!BG14*BD15)</f>
        <v>1</v>
      </c>
      <c r="DM15" s="38">
        <f>EXP(-'Data Bonds'!BH14*BE15)</f>
        <v>1</v>
      </c>
      <c r="DN15" s="38">
        <f>EXP(-'Data Bonds'!BI14*BF15)</f>
        <v>1</v>
      </c>
      <c r="DO15" s="38">
        <f>EXP(-'Data Bonds'!BJ14*BG15)</f>
        <v>1</v>
      </c>
      <c r="DP15" s="38">
        <f>EXP(-'Data Bonds'!BK14*BH15)</f>
        <v>1</v>
      </c>
      <c r="DQ15" s="38">
        <f>EXP(-'Data Bonds'!BL14*BI15)</f>
        <v>1</v>
      </c>
      <c r="DR15" s="38">
        <f>EXP(-'Data Bonds'!BM14*BJ15)</f>
        <v>1</v>
      </c>
      <c r="DS15" s="38">
        <f>EXP(-'Data Bonds'!BN14*BK15)</f>
        <v>1</v>
      </c>
      <c r="DT15" s="38">
        <f>EXP(-'Data Bonds'!BO14*BL15)</f>
        <v>1</v>
      </c>
      <c r="DU15" s="38">
        <f>EXP(-'Data Bonds'!BP14*BM15)</f>
        <v>1</v>
      </c>
      <c r="DV15" s="38">
        <f>EXP(-'Data Bonds'!BQ14*BN15)</f>
        <v>1</v>
      </c>
      <c r="DW15" s="38">
        <f>EXP(-'Data Bonds'!BR14*BO15)</f>
        <v>1</v>
      </c>
      <c r="DX15" s="28">
        <f>SUMPRODUCT(BP15:DW15,'Data Bonds'!BU14:EB14)</f>
        <v>98.737296248199229</v>
      </c>
      <c r="DY15" s="28">
        <f t="shared" si="5"/>
        <v>7.1841307658273177E-3</v>
      </c>
      <c r="EA15" s="33">
        <f t="shared" si="6"/>
        <v>2</v>
      </c>
      <c r="EB15" s="29">
        <f t="shared" si="2"/>
        <v>4.9233624183469583E-2</v>
      </c>
      <c r="EC15" s="29">
        <f t="shared" si="3"/>
        <v>0.90622537248910606</v>
      </c>
      <c r="ED15" s="29">
        <f t="shared" si="7"/>
        <v>4.8854089658486019E-2</v>
      </c>
      <c r="EE15" s="32"/>
      <c r="EF15" s="32"/>
      <c r="EG15" s="32"/>
      <c r="EI15" s="34"/>
    </row>
    <row r="16" spans="2:151">
      <c r="B16" s="27">
        <f>'Data Bonds'!E15</f>
        <v>0</v>
      </c>
      <c r="C16" s="27">
        <f>'Data Bonds'!F15</f>
        <v>98.473659999999995</v>
      </c>
      <c r="D16" s="27">
        <f>'Data Bonds'!G15</f>
        <v>98.476965000000007</v>
      </c>
      <c r="E16" s="27">
        <f>'Data Bonds'!I15</f>
        <v>0</v>
      </c>
      <c r="F16" s="40">
        <f>'Data Bonds'!H15</f>
        <v>0.32500000000000001</v>
      </c>
      <c r="G16" s="28">
        <f t="shared" si="4"/>
        <v>98.475312500000001</v>
      </c>
      <c r="H16" s="45">
        <f>IF('Data Bonds'!K15=0,0,theta0+(theta1+theta2)*(1-EXP(-'Data Bonds'!K15/la))/('Data Bonds'!K15/la)-theta2*EXP(-'Data Bonds'!K15/la))</f>
        <v>5.115682267437846E-2</v>
      </c>
      <c r="I16" s="45">
        <f>IF('Data Bonds'!L15=0,0,theta0+(theta1+theta2)*(1-EXP(-'Data Bonds'!L15/la))/('Data Bonds'!L15/la)-theta2*EXP(-'Data Bonds'!L15/la))</f>
        <v>0</v>
      </c>
      <c r="J16" s="45">
        <f>IF('Data Bonds'!M15=0,0,theta0+(theta1+theta2)*(1-EXP(-'Data Bonds'!M15/la))/('Data Bonds'!M15/la)-theta2*EXP(-'Data Bonds'!M15/la))</f>
        <v>0</v>
      </c>
      <c r="K16" s="45">
        <f>IF('Data Bonds'!N15=0,0,theta0+(theta1+theta2)*(1-EXP(-'Data Bonds'!N15/la))/('Data Bonds'!N15/la)-theta2*EXP(-'Data Bonds'!N15/la))</f>
        <v>0</v>
      </c>
      <c r="L16" s="45">
        <f>IF('Data Bonds'!O15=0,0,theta0+(theta1+theta2)*(1-EXP(-'Data Bonds'!O15/la))/('Data Bonds'!O15/la)-theta2*EXP(-'Data Bonds'!O15/la))</f>
        <v>0</v>
      </c>
      <c r="M16" s="45">
        <f>IF('Data Bonds'!P15=0,0,theta0+(theta1+theta2)*(1-EXP(-'Data Bonds'!P15/la))/('Data Bonds'!P15/la)-theta2*EXP(-'Data Bonds'!P15/la))</f>
        <v>0</v>
      </c>
      <c r="N16" s="45">
        <f>IF('Data Bonds'!Q15=0,0,theta0+(theta1+theta2)*(1-EXP(-'Data Bonds'!Q15/la))/('Data Bonds'!Q15/la)-theta2*EXP(-'Data Bonds'!Q15/la))</f>
        <v>0</v>
      </c>
      <c r="O16" s="45">
        <f>IF('Data Bonds'!R15=0,0,theta0+(theta1+theta2)*(1-EXP(-'Data Bonds'!R15/la))/('Data Bonds'!R15/la)-theta2*EXP(-'Data Bonds'!R15/la))</f>
        <v>0</v>
      </c>
      <c r="P16" s="45">
        <f>IF('Data Bonds'!S15=0,0,theta0+(theta1+theta2)*(1-EXP(-'Data Bonds'!S15/la))/('Data Bonds'!S15/la)-theta2*EXP(-'Data Bonds'!S15/la))</f>
        <v>0</v>
      </c>
      <c r="Q16" s="45">
        <f>IF('Data Bonds'!T15=0,0,theta0+(theta1+theta2)*(1-EXP(-'Data Bonds'!T15/la))/('Data Bonds'!T15/la)-theta2*EXP(-'Data Bonds'!T15/la))</f>
        <v>0</v>
      </c>
      <c r="R16" s="45">
        <f>IF('Data Bonds'!U15=0,0,theta0+(theta1+theta2)*(1-EXP(-'Data Bonds'!U15/la))/('Data Bonds'!U15/la)-theta2*EXP(-'Data Bonds'!U15/la))</f>
        <v>0</v>
      </c>
      <c r="S16" s="45">
        <f>IF('Data Bonds'!V15=0,0,theta0+(theta1+theta2)*(1-EXP(-'Data Bonds'!V15/la))/('Data Bonds'!V15/la)-theta2*EXP(-'Data Bonds'!V15/la))</f>
        <v>0</v>
      </c>
      <c r="T16" s="45">
        <f>IF('Data Bonds'!W15=0,0,theta0+(theta1+theta2)*(1-EXP(-'Data Bonds'!W15/la))/('Data Bonds'!W15/la)-theta2*EXP(-'Data Bonds'!W15/la))</f>
        <v>0</v>
      </c>
      <c r="U16" s="45">
        <f>IF('Data Bonds'!X15=0,0,theta0+(theta1+theta2)*(1-EXP(-'Data Bonds'!X15/la))/('Data Bonds'!X15/la)-theta2*EXP(-'Data Bonds'!X15/la))</f>
        <v>0</v>
      </c>
      <c r="V16" s="45">
        <f>IF('Data Bonds'!Y15=0,0,theta0+(theta1+theta2)*(1-EXP(-'Data Bonds'!Y15/la))/('Data Bonds'!Y15/la)-theta2*EXP(-'Data Bonds'!Y15/la))</f>
        <v>0</v>
      </c>
      <c r="W16" s="45">
        <f>IF('Data Bonds'!Z15=0,0,theta0+(theta1+theta2)*(1-EXP(-'Data Bonds'!Z15/la))/('Data Bonds'!Z15/la)-theta2*EXP(-'Data Bonds'!Z15/la))</f>
        <v>0</v>
      </c>
      <c r="X16" s="45">
        <f>IF('Data Bonds'!AA15=0,0,theta0+(theta1+theta2)*(1-EXP(-'Data Bonds'!AA15/la))/('Data Bonds'!AA15/la)-theta2*EXP(-'Data Bonds'!AA15/la))</f>
        <v>0</v>
      </c>
      <c r="Y16" s="45">
        <f>IF('Data Bonds'!AB15=0,0,theta0+(theta1+theta2)*(1-EXP(-'Data Bonds'!AB15/la))/('Data Bonds'!AB15/la)-theta2*EXP(-'Data Bonds'!AB15/la))</f>
        <v>0</v>
      </c>
      <c r="Z16" s="45">
        <f>IF('Data Bonds'!AC15=0,0,theta0+(theta1+theta2)*(1-EXP(-'Data Bonds'!AC15/la))/('Data Bonds'!AC15/la)-theta2*EXP(-'Data Bonds'!AC15/la))</f>
        <v>0</v>
      </c>
      <c r="AA16" s="45">
        <f>IF('Data Bonds'!AD15=0,0,theta0+(theta1+theta2)*(1-EXP(-'Data Bonds'!AD15/la))/('Data Bonds'!AD15/la)-theta2*EXP(-'Data Bonds'!AD15/la))</f>
        <v>0</v>
      </c>
      <c r="AB16" s="45">
        <f>IF('Data Bonds'!AE15=0,0,theta0+(theta1+theta2)*(1-EXP(-'Data Bonds'!AE15/la))/('Data Bonds'!AE15/la)-theta2*EXP(-'Data Bonds'!AE15/la))</f>
        <v>0</v>
      </c>
      <c r="AC16" s="45">
        <f>IF('Data Bonds'!AF15=0,0,theta0+(theta1+theta2)*(1-EXP(-'Data Bonds'!AF15/la))/('Data Bonds'!AF15/la)-theta2*EXP(-'Data Bonds'!AF15/la))</f>
        <v>0</v>
      </c>
      <c r="AD16" s="45">
        <f>IF('Data Bonds'!AG15=0,0,theta0+(theta1+theta2)*(1-EXP(-'Data Bonds'!AG15/la))/('Data Bonds'!AG15/la)-theta2*EXP(-'Data Bonds'!AG15/la))</f>
        <v>0</v>
      </c>
      <c r="AE16" s="45">
        <f>IF('Data Bonds'!AH15=0,0,theta0+(theta1+theta2)*(1-EXP(-'Data Bonds'!AH15/la))/('Data Bonds'!AH15/la)-theta2*EXP(-'Data Bonds'!AH15/la))</f>
        <v>0</v>
      </c>
      <c r="AF16" s="45">
        <f>IF('Data Bonds'!AI15=0,0,theta0+(theta1+theta2)*(1-EXP(-'Data Bonds'!AI15/la))/('Data Bonds'!AI15/la)-theta2*EXP(-'Data Bonds'!AI15/la))</f>
        <v>0</v>
      </c>
      <c r="AG16" s="45">
        <f>IF('Data Bonds'!AJ15=0,0,theta0+(theta1+theta2)*(1-EXP(-'Data Bonds'!AJ15/la))/('Data Bonds'!AJ15/la)-theta2*EXP(-'Data Bonds'!AJ15/la))</f>
        <v>0</v>
      </c>
      <c r="AH16" s="45">
        <f>IF('Data Bonds'!AK15=0,0,theta0+(theta1+theta2)*(1-EXP(-'Data Bonds'!AK15/la))/('Data Bonds'!AK15/la)-theta2*EXP(-'Data Bonds'!AK15/la))</f>
        <v>0</v>
      </c>
      <c r="AI16" s="45">
        <f>IF('Data Bonds'!AL15=0,0,theta0+(theta1+theta2)*(1-EXP(-'Data Bonds'!AL15/la))/('Data Bonds'!AL15/la)-theta2*EXP(-'Data Bonds'!AL15/la))</f>
        <v>0</v>
      </c>
      <c r="AJ16" s="45">
        <f>IF('Data Bonds'!AM15=0,0,theta0+(theta1+theta2)*(1-EXP(-'Data Bonds'!AM15/la))/('Data Bonds'!AM15/la)-theta2*EXP(-'Data Bonds'!AM15/la))</f>
        <v>0</v>
      </c>
      <c r="AK16" s="45">
        <f>IF('Data Bonds'!AN15=0,0,theta0+(theta1+theta2)*(1-EXP(-'Data Bonds'!AN15/la))/('Data Bonds'!AN15/la)-theta2*EXP(-'Data Bonds'!AN15/la))</f>
        <v>0</v>
      </c>
      <c r="AL16" s="45">
        <f>IF('Data Bonds'!AO15=0,0,theta0+(theta1+theta2)*(1-EXP(-'Data Bonds'!AO15/la))/('Data Bonds'!AO15/la)-theta2*EXP(-'Data Bonds'!AO15/la))</f>
        <v>0</v>
      </c>
      <c r="AM16" s="45">
        <f>IF('Data Bonds'!AP15=0,0,theta0+(theta1+theta2)*(1-EXP(-'Data Bonds'!AP15/la))/('Data Bonds'!AP15/la)-theta2*EXP(-'Data Bonds'!AP15/la))</f>
        <v>0</v>
      </c>
      <c r="AN16" s="45">
        <f>IF('Data Bonds'!AQ15=0,0,theta0+(theta1+theta2)*(1-EXP(-'Data Bonds'!AQ15/la))/('Data Bonds'!AQ15/la)-theta2*EXP(-'Data Bonds'!AQ15/la))</f>
        <v>0</v>
      </c>
      <c r="AO16" s="45">
        <f>IF('Data Bonds'!AR15=0,0,theta0+(theta1+theta2)*(1-EXP(-'Data Bonds'!AR15/la))/('Data Bonds'!AR15/la)-theta2*EXP(-'Data Bonds'!AR15/la))</f>
        <v>0</v>
      </c>
      <c r="AP16" s="45">
        <f>IF('Data Bonds'!AS15=0,0,theta0+(theta1+theta2)*(1-EXP(-'Data Bonds'!AS15/la))/('Data Bonds'!AS15/la)-theta2*EXP(-'Data Bonds'!AS15/la))</f>
        <v>0</v>
      </c>
      <c r="AQ16" s="45">
        <f>IF('Data Bonds'!AT15=0,0,theta0+(theta1+theta2)*(1-EXP(-'Data Bonds'!AT15/la))/('Data Bonds'!AT15/la)-theta2*EXP(-'Data Bonds'!AT15/la))</f>
        <v>0</v>
      </c>
      <c r="AR16" s="45">
        <f>IF('Data Bonds'!AU15=0,0,theta0+(theta1+theta2)*(1-EXP(-'Data Bonds'!AU15/la))/('Data Bonds'!AU15/la)-theta2*EXP(-'Data Bonds'!AU15/la))</f>
        <v>0</v>
      </c>
      <c r="AS16" s="45">
        <f>IF('Data Bonds'!AV15=0,0,theta0+(theta1+theta2)*(1-EXP(-'Data Bonds'!AV15/la))/('Data Bonds'!AV15/la)-theta2*EXP(-'Data Bonds'!AV15/la))</f>
        <v>0</v>
      </c>
      <c r="AT16" s="45">
        <f>IF('Data Bonds'!AW15=0,0,theta0+(theta1+theta2)*(1-EXP(-'Data Bonds'!AW15/la))/('Data Bonds'!AW15/la)-theta2*EXP(-'Data Bonds'!AW15/la))</f>
        <v>0</v>
      </c>
      <c r="AU16" s="45">
        <f>IF('Data Bonds'!AX15=0,0,theta0+(theta1+theta2)*(1-EXP(-'Data Bonds'!AX15/la))/('Data Bonds'!AX15/la)-theta2*EXP(-'Data Bonds'!AX15/la))</f>
        <v>0</v>
      </c>
      <c r="AV16" s="45">
        <f>IF('Data Bonds'!AY15=0,0,theta0+(theta1+theta2)*(1-EXP(-'Data Bonds'!AY15/la))/('Data Bonds'!AY15/la)-theta2*EXP(-'Data Bonds'!AY15/la))</f>
        <v>0</v>
      </c>
      <c r="AW16" s="45">
        <f>IF('Data Bonds'!AZ15=0,0,theta0+(theta1+theta2)*(1-EXP(-'Data Bonds'!AZ15/la))/('Data Bonds'!AZ15/la)-theta2*EXP(-'Data Bonds'!AZ15/la))</f>
        <v>0</v>
      </c>
      <c r="AX16" s="45">
        <f>IF('Data Bonds'!BA15=0,0,theta0+(theta1+theta2)*(1-EXP(-'Data Bonds'!BA15/la))/('Data Bonds'!BA15/la)-theta2*EXP(-'Data Bonds'!BA15/la))</f>
        <v>0</v>
      </c>
      <c r="AY16" s="45">
        <f>IF('Data Bonds'!BB15=0,0,theta0+(theta1+theta2)*(1-EXP(-'Data Bonds'!BB15/la))/('Data Bonds'!BB15/la)-theta2*EXP(-'Data Bonds'!BB15/la))</f>
        <v>0</v>
      </c>
      <c r="AZ16" s="45">
        <f>IF('Data Bonds'!BC15=0,0,theta0+(theta1+theta2)*(1-EXP(-'Data Bonds'!BC15/la))/('Data Bonds'!BC15/la)-theta2*EXP(-'Data Bonds'!BC15/la))</f>
        <v>0</v>
      </c>
      <c r="BA16" s="45">
        <f>IF('Data Bonds'!BD15=0,0,theta0+(theta1+theta2)*(1-EXP(-'Data Bonds'!BD15/la))/('Data Bonds'!BD15/la)-theta2*EXP(-'Data Bonds'!BD15/la))</f>
        <v>0</v>
      </c>
      <c r="BB16" s="45">
        <f>IF('Data Bonds'!BE15=0,0,theta0+(theta1+theta2)*(1-EXP(-'Data Bonds'!BE15/la))/('Data Bonds'!BE15/la)-theta2*EXP(-'Data Bonds'!BE15/la))</f>
        <v>0</v>
      </c>
      <c r="BC16" s="45">
        <f>IF('Data Bonds'!BF15=0,0,theta0+(theta1+theta2)*(1-EXP(-'Data Bonds'!BF15/la))/('Data Bonds'!BF15/la)-theta2*EXP(-'Data Bonds'!BF15/la))</f>
        <v>0</v>
      </c>
      <c r="BD16" s="45">
        <f>IF('Data Bonds'!BG15=0,0,theta0+(theta1+theta2)*(1-EXP(-'Data Bonds'!BG15/la))/('Data Bonds'!BG15/la)-theta2*EXP(-'Data Bonds'!BG15/la))</f>
        <v>0</v>
      </c>
      <c r="BE16" s="45">
        <f>IF('Data Bonds'!BH15=0,0,theta0+(theta1+theta2)*(1-EXP(-'Data Bonds'!BH15/la))/('Data Bonds'!BH15/la)-theta2*EXP(-'Data Bonds'!BH15/la))</f>
        <v>0</v>
      </c>
      <c r="BF16" s="45">
        <f>IF('Data Bonds'!BI15=0,0,theta0+(theta1+theta2)*(1-EXP(-'Data Bonds'!BI15/la))/('Data Bonds'!BI15/la)-theta2*EXP(-'Data Bonds'!BI15/la))</f>
        <v>0</v>
      </c>
      <c r="BG16" s="45">
        <f>IF('Data Bonds'!BJ15=0,0,theta0+(theta1+theta2)*(1-EXP(-'Data Bonds'!BJ15/la))/('Data Bonds'!BJ15/la)-theta2*EXP(-'Data Bonds'!BJ15/la))</f>
        <v>0</v>
      </c>
      <c r="BH16" s="45">
        <f>IF('Data Bonds'!BK15=0,0,theta0+(theta1+theta2)*(1-EXP(-'Data Bonds'!BK15/la))/('Data Bonds'!BK15/la)-theta2*EXP(-'Data Bonds'!BK15/la))</f>
        <v>0</v>
      </c>
      <c r="BI16" s="45">
        <f>IF('Data Bonds'!BL15=0,0,theta0+(theta1+theta2)*(1-EXP(-'Data Bonds'!BL15/la))/('Data Bonds'!BL15/la)-theta2*EXP(-'Data Bonds'!BL15/la))</f>
        <v>0</v>
      </c>
      <c r="BJ16" s="45">
        <f>IF('Data Bonds'!BM15=0,0,theta0+(theta1+theta2)*(1-EXP(-'Data Bonds'!BM15/la))/('Data Bonds'!BM15/la)-theta2*EXP(-'Data Bonds'!BM15/la))</f>
        <v>0</v>
      </c>
      <c r="BK16" s="45">
        <f>IF('Data Bonds'!BN15=0,0,theta0+(theta1+theta2)*(1-EXP(-'Data Bonds'!BN15/la))/('Data Bonds'!BN15/la)-theta2*EXP(-'Data Bonds'!BN15/la))</f>
        <v>0</v>
      </c>
      <c r="BL16" s="45">
        <f>IF('Data Bonds'!BO15=0,0,theta0+(theta1+theta2)*(1-EXP(-'Data Bonds'!BO15/la))/('Data Bonds'!BO15/la)-theta2*EXP(-'Data Bonds'!BO15/la))</f>
        <v>0</v>
      </c>
      <c r="BM16" s="45">
        <f>IF('Data Bonds'!BP15=0,0,theta0+(theta1+theta2)*(1-EXP(-'Data Bonds'!BP15/la))/('Data Bonds'!BP15/la)-theta2*EXP(-'Data Bonds'!BP15/la))</f>
        <v>0</v>
      </c>
      <c r="BN16" s="45">
        <f>IF('Data Bonds'!BQ15=0,0,theta0+(theta1+theta2)*(1-EXP(-'Data Bonds'!BQ15/la))/('Data Bonds'!BQ15/la)-theta2*EXP(-'Data Bonds'!BQ15/la))</f>
        <v>0</v>
      </c>
      <c r="BO16" s="45">
        <f>IF('Data Bonds'!BR15=0,0,theta0+(theta1+theta2)*(1-EXP(-'Data Bonds'!BR15/la))/('Data Bonds'!BR15/la)-theta2*EXP(-'Data Bonds'!BR15/la))</f>
        <v>0</v>
      </c>
      <c r="BP16" s="38">
        <f>EXP(-'Data Bonds'!K15*H16)</f>
        <v>0.98351148123343135</v>
      </c>
      <c r="BQ16" s="38">
        <f>EXP(-'Data Bonds'!L15*I16)</f>
        <v>1</v>
      </c>
      <c r="BR16" s="38">
        <f>EXP(-'Data Bonds'!M15*J16)</f>
        <v>1</v>
      </c>
      <c r="BS16" s="38">
        <f>EXP(-'Data Bonds'!N15*K16)</f>
        <v>1</v>
      </c>
      <c r="BT16" s="38">
        <f>EXP(-'Data Bonds'!O15*L16)</f>
        <v>1</v>
      </c>
      <c r="BU16" s="38">
        <f>EXP(-'Data Bonds'!P15*M16)</f>
        <v>1</v>
      </c>
      <c r="BV16" s="38">
        <f>EXP(-'Data Bonds'!Q15*N16)</f>
        <v>1</v>
      </c>
      <c r="BW16" s="38">
        <f>EXP(-'Data Bonds'!R15*O16)</f>
        <v>1</v>
      </c>
      <c r="BX16" s="38">
        <f>EXP(-'Data Bonds'!S15*P16)</f>
        <v>1</v>
      </c>
      <c r="BY16" s="38">
        <f>EXP(-'Data Bonds'!T15*Q16)</f>
        <v>1</v>
      </c>
      <c r="BZ16" s="38">
        <f>EXP(-'Data Bonds'!U15*R16)</f>
        <v>1</v>
      </c>
      <c r="CA16" s="38">
        <f>EXP(-'Data Bonds'!V15*S16)</f>
        <v>1</v>
      </c>
      <c r="CB16" s="38">
        <f>EXP(-'Data Bonds'!W15*T16)</f>
        <v>1</v>
      </c>
      <c r="CC16" s="38">
        <f>EXP(-'Data Bonds'!X15*U16)</f>
        <v>1</v>
      </c>
      <c r="CD16" s="38">
        <f>EXP(-'Data Bonds'!Y15*V16)</f>
        <v>1</v>
      </c>
      <c r="CE16" s="38">
        <f>EXP(-'Data Bonds'!Z15*W16)</f>
        <v>1</v>
      </c>
      <c r="CF16" s="38">
        <f>EXP(-'Data Bonds'!AA15*X16)</f>
        <v>1</v>
      </c>
      <c r="CG16" s="38">
        <f>EXP(-'Data Bonds'!AB15*Y16)</f>
        <v>1</v>
      </c>
      <c r="CH16" s="38">
        <f>EXP(-'Data Bonds'!AC15*Z16)</f>
        <v>1</v>
      </c>
      <c r="CI16" s="38">
        <f>EXP(-'Data Bonds'!AD15*AA16)</f>
        <v>1</v>
      </c>
      <c r="CJ16" s="38">
        <f>EXP(-'Data Bonds'!AE15*AB16)</f>
        <v>1</v>
      </c>
      <c r="CK16" s="38">
        <f>EXP(-'Data Bonds'!AF15*AC16)</f>
        <v>1</v>
      </c>
      <c r="CL16" s="38">
        <f>EXP(-'Data Bonds'!AG15*AD16)</f>
        <v>1</v>
      </c>
      <c r="CM16" s="38">
        <f>EXP(-'Data Bonds'!AH15*AE16)</f>
        <v>1</v>
      </c>
      <c r="CN16" s="38">
        <f>EXP(-'Data Bonds'!AI15*AF16)</f>
        <v>1</v>
      </c>
      <c r="CO16" s="38">
        <f>EXP(-'Data Bonds'!AJ15*AG16)</f>
        <v>1</v>
      </c>
      <c r="CP16" s="38">
        <f>EXP(-'Data Bonds'!AK15*AH16)</f>
        <v>1</v>
      </c>
      <c r="CQ16" s="38">
        <f>EXP(-'Data Bonds'!AL15*AI16)</f>
        <v>1</v>
      </c>
      <c r="CR16" s="38">
        <f>EXP(-'Data Bonds'!AM15*AJ16)</f>
        <v>1</v>
      </c>
      <c r="CS16" s="38">
        <f>EXP(-'Data Bonds'!AN15*AK16)</f>
        <v>1</v>
      </c>
      <c r="CT16" s="38">
        <f>EXP(-'Data Bonds'!AO15*AL16)</f>
        <v>1</v>
      </c>
      <c r="CU16" s="38">
        <f>EXP(-'Data Bonds'!AP15*AM16)</f>
        <v>1</v>
      </c>
      <c r="CV16" s="38">
        <f>EXP(-'Data Bonds'!AQ15*AN16)</f>
        <v>1</v>
      </c>
      <c r="CW16" s="38">
        <f>EXP(-'Data Bonds'!AR15*AO16)</f>
        <v>1</v>
      </c>
      <c r="CX16" s="38">
        <f>EXP(-'Data Bonds'!AS15*AP16)</f>
        <v>1</v>
      </c>
      <c r="CY16" s="38">
        <f>EXP(-'Data Bonds'!AT15*AQ16)</f>
        <v>1</v>
      </c>
      <c r="CZ16" s="38">
        <f>EXP(-'Data Bonds'!AU15*AR16)</f>
        <v>1</v>
      </c>
      <c r="DA16" s="38">
        <f>EXP(-'Data Bonds'!AV15*AS16)</f>
        <v>1</v>
      </c>
      <c r="DB16" s="38">
        <f>EXP(-'Data Bonds'!AW15*AT16)</f>
        <v>1</v>
      </c>
      <c r="DC16" s="38">
        <f>EXP(-'Data Bonds'!AX15*AU16)</f>
        <v>1</v>
      </c>
      <c r="DD16" s="38">
        <f>EXP(-'Data Bonds'!AY15*AV16)</f>
        <v>1</v>
      </c>
      <c r="DE16" s="38">
        <f>EXP(-'Data Bonds'!AZ15*AW16)</f>
        <v>1</v>
      </c>
      <c r="DF16" s="38">
        <f>EXP(-'Data Bonds'!BA15*AX16)</f>
        <v>1</v>
      </c>
      <c r="DG16" s="38">
        <f>EXP(-'Data Bonds'!BB15*AY16)</f>
        <v>1</v>
      </c>
      <c r="DH16" s="38">
        <f>EXP(-'Data Bonds'!BC15*AZ16)</f>
        <v>1</v>
      </c>
      <c r="DI16" s="38">
        <f>EXP(-'Data Bonds'!BD15*BA16)</f>
        <v>1</v>
      </c>
      <c r="DJ16" s="38">
        <f>EXP(-'Data Bonds'!BE15*BB16)</f>
        <v>1</v>
      </c>
      <c r="DK16" s="38">
        <f>EXP(-'Data Bonds'!BF15*BC16)</f>
        <v>1</v>
      </c>
      <c r="DL16" s="38">
        <f>EXP(-'Data Bonds'!BG15*BD16)</f>
        <v>1</v>
      </c>
      <c r="DM16" s="38">
        <f>EXP(-'Data Bonds'!BH15*BE16)</f>
        <v>1</v>
      </c>
      <c r="DN16" s="38">
        <f>EXP(-'Data Bonds'!BI15*BF16)</f>
        <v>1</v>
      </c>
      <c r="DO16" s="38">
        <f>EXP(-'Data Bonds'!BJ15*BG16)</f>
        <v>1</v>
      </c>
      <c r="DP16" s="38">
        <f>EXP(-'Data Bonds'!BK15*BH16)</f>
        <v>1</v>
      </c>
      <c r="DQ16" s="38">
        <f>EXP(-'Data Bonds'!BL15*BI16)</f>
        <v>1</v>
      </c>
      <c r="DR16" s="38">
        <f>EXP(-'Data Bonds'!BM15*BJ16)</f>
        <v>1</v>
      </c>
      <c r="DS16" s="38">
        <f>EXP(-'Data Bonds'!BN15*BK16)</f>
        <v>1</v>
      </c>
      <c r="DT16" s="38">
        <f>EXP(-'Data Bonds'!BO15*BL16)</f>
        <v>1</v>
      </c>
      <c r="DU16" s="38">
        <f>EXP(-'Data Bonds'!BP15*BM16)</f>
        <v>1</v>
      </c>
      <c r="DV16" s="38">
        <f>EXP(-'Data Bonds'!BQ15*BN16)</f>
        <v>1</v>
      </c>
      <c r="DW16" s="38">
        <f>EXP(-'Data Bonds'!BR15*BO16)</f>
        <v>1</v>
      </c>
      <c r="DX16" s="28">
        <f>SUMPRODUCT(BP16:DW16,'Data Bonds'!BU15:EB15)</f>
        <v>98.351148123343137</v>
      </c>
      <c r="DY16" s="28">
        <f t="shared" si="5"/>
        <v>1.541679243058767E-2</v>
      </c>
      <c r="EA16" s="33">
        <f t="shared" si="6"/>
        <v>2.5</v>
      </c>
      <c r="EB16" s="29">
        <f t="shared" si="2"/>
        <v>4.9285125424441176E-2</v>
      </c>
      <c r="EC16" s="29">
        <f t="shared" si="3"/>
        <v>0.88407549928439599</v>
      </c>
      <c r="ED16" s="29">
        <f t="shared" si="7"/>
        <v>4.9491130388327337E-2</v>
      </c>
      <c r="EE16" s="32"/>
      <c r="EF16" s="32"/>
      <c r="EG16" s="32"/>
      <c r="EI16" s="34"/>
    </row>
    <row r="17" spans="2:139">
      <c r="B17" s="27">
        <f>'Data Bonds'!E16</f>
        <v>0</v>
      </c>
      <c r="C17" s="27">
        <f>'Data Bonds'!F16</f>
        <v>98.374250000000004</v>
      </c>
      <c r="D17" s="27">
        <f>'Data Bonds'!G16</f>
        <v>98.377750000000006</v>
      </c>
      <c r="E17" s="27">
        <f>'Data Bonds'!I16</f>
        <v>0</v>
      </c>
      <c r="F17" s="40">
        <f>'Data Bonds'!H16</f>
        <v>0.34444444444444444</v>
      </c>
      <c r="G17" s="28">
        <f t="shared" si="4"/>
        <v>98.376000000000005</v>
      </c>
      <c r="H17" s="45">
        <f>IF('Data Bonds'!K16=0,0,theta0+(theta1+theta2)*(1-EXP(-'Data Bonds'!K16/la))/('Data Bonds'!K16/la)-theta2*EXP(-'Data Bonds'!K16/la))</f>
        <v>5.109913919033713E-2</v>
      </c>
      <c r="I17" s="45">
        <f>IF('Data Bonds'!L16=0,0,theta0+(theta1+theta2)*(1-EXP(-'Data Bonds'!L16/la))/('Data Bonds'!L16/la)-theta2*EXP(-'Data Bonds'!L16/la))</f>
        <v>0</v>
      </c>
      <c r="J17" s="45">
        <f>IF('Data Bonds'!M16=0,0,theta0+(theta1+theta2)*(1-EXP(-'Data Bonds'!M16/la))/('Data Bonds'!M16/la)-theta2*EXP(-'Data Bonds'!M16/la))</f>
        <v>0</v>
      </c>
      <c r="K17" s="45">
        <f>IF('Data Bonds'!N16=0,0,theta0+(theta1+theta2)*(1-EXP(-'Data Bonds'!N16/la))/('Data Bonds'!N16/la)-theta2*EXP(-'Data Bonds'!N16/la))</f>
        <v>0</v>
      </c>
      <c r="L17" s="45">
        <f>IF('Data Bonds'!O16=0,0,theta0+(theta1+theta2)*(1-EXP(-'Data Bonds'!O16/la))/('Data Bonds'!O16/la)-theta2*EXP(-'Data Bonds'!O16/la))</f>
        <v>0</v>
      </c>
      <c r="M17" s="45">
        <f>IF('Data Bonds'!P16=0,0,theta0+(theta1+theta2)*(1-EXP(-'Data Bonds'!P16/la))/('Data Bonds'!P16/la)-theta2*EXP(-'Data Bonds'!P16/la))</f>
        <v>0</v>
      </c>
      <c r="N17" s="45">
        <f>IF('Data Bonds'!Q16=0,0,theta0+(theta1+theta2)*(1-EXP(-'Data Bonds'!Q16/la))/('Data Bonds'!Q16/la)-theta2*EXP(-'Data Bonds'!Q16/la))</f>
        <v>0</v>
      </c>
      <c r="O17" s="45">
        <f>IF('Data Bonds'!R16=0,0,theta0+(theta1+theta2)*(1-EXP(-'Data Bonds'!R16/la))/('Data Bonds'!R16/la)-theta2*EXP(-'Data Bonds'!R16/la))</f>
        <v>0</v>
      </c>
      <c r="P17" s="45">
        <f>IF('Data Bonds'!S16=0,0,theta0+(theta1+theta2)*(1-EXP(-'Data Bonds'!S16/la))/('Data Bonds'!S16/la)-theta2*EXP(-'Data Bonds'!S16/la))</f>
        <v>0</v>
      </c>
      <c r="Q17" s="45">
        <f>IF('Data Bonds'!T16=0,0,theta0+(theta1+theta2)*(1-EXP(-'Data Bonds'!T16/la))/('Data Bonds'!T16/la)-theta2*EXP(-'Data Bonds'!T16/la))</f>
        <v>0</v>
      </c>
      <c r="R17" s="45">
        <f>IF('Data Bonds'!U16=0,0,theta0+(theta1+theta2)*(1-EXP(-'Data Bonds'!U16/la))/('Data Bonds'!U16/la)-theta2*EXP(-'Data Bonds'!U16/la))</f>
        <v>0</v>
      </c>
      <c r="S17" s="45">
        <f>IF('Data Bonds'!V16=0,0,theta0+(theta1+theta2)*(1-EXP(-'Data Bonds'!V16/la))/('Data Bonds'!V16/la)-theta2*EXP(-'Data Bonds'!V16/la))</f>
        <v>0</v>
      </c>
      <c r="T17" s="45">
        <f>IF('Data Bonds'!W16=0,0,theta0+(theta1+theta2)*(1-EXP(-'Data Bonds'!W16/la))/('Data Bonds'!W16/la)-theta2*EXP(-'Data Bonds'!W16/la))</f>
        <v>0</v>
      </c>
      <c r="U17" s="45">
        <f>IF('Data Bonds'!X16=0,0,theta0+(theta1+theta2)*(1-EXP(-'Data Bonds'!X16/la))/('Data Bonds'!X16/la)-theta2*EXP(-'Data Bonds'!X16/la))</f>
        <v>0</v>
      </c>
      <c r="V17" s="45">
        <f>IF('Data Bonds'!Y16=0,0,theta0+(theta1+theta2)*(1-EXP(-'Data Bonds'!Y16/la))/('Data Bonds'!Y16/la)-theta2*EXP(-'Data Bonds'!Y16/la))</f>
        <v>0</v>
      </c>
      <c r="W17" s="45">
        <f>IF('Data Bonds'!Z16=0,0,theta0+(theta1+theta2)*(1-EXP(-'Data Bonds'!Z16/la))/('Data Bonds'!Z16/la)-theta2*EXP(-'Data Bonds'!Z16/la))</f>
        <v>0</v>
      </c>
      <c r="X17" s="45">
        <f>IF('Data Bonds'!AA16=0,0,theta0+(theta1+theta2)*(1-EXP(-'Data Bonds'!AA16/la))/('Data Bonds'!AA16/la)-theta2*EXP(-'Data Bonds'!AA16/la))</f>
        <v>0</v>
      </c>
      <c r="Y17" s="45">
        <f>IF('Data Bonds'!AB16=0,0,theta0+(theta1+theta2)*(1-EXP(-'Data Bonds'!AB16/la))/('Data Bonds'!AB16/la)-theta2*EXP(-'Data Bonds'!AB16/la))</f>
        <v>0</v>
      </c>
      <c r="Z17" s="45">
        <f>IF('Data Bonds'!AC16=0,0,theta0+(theta1+theta2)*(1-EXP(-'Data Bonds'!AC16/la))/('Data Bonds'!AC16/la)-theta2*EXP(-'Data Bonds'!AC16/la))</f>
        <v>0</v>
      </c>
      <c r="AA17" s="45">
        <f>IF('Data Bonds'!AD16=0,0,theta0+(theta1+theta2)*(1-EXP(-'Data Bonds'!AD16/la))/('Data Bonds'!AD16/la)-theta2*EXP(-'Data Bonds'!AD16/la))</f>
        <v>0</v>
      </c>
      <c r="AB17" s="45">
        <f>IF('Data Bonds'!AE16=0,0,theta0+(theta1+theta2)*(1-EXP(-'Data Bonds'!AE16/la))/('Data Bonds'!AE16/la)-theta2*EXP(-'Data Bonds'!AE16/la))</f>
        <v>0</v>
      </c>
      <c r="AC17" s="45">
        <f>IF('Data Bonds'!AF16=0,0,theta0+(theta1+theta2)*(1-EXP(-'Data Bonds'!AF16/la))/('Data Bonds'!AF16/la)-theta2*EXP(-'Data Bonds'!AF16/la))</f>
        <v>0</v>
      </c>
      <c r="AD17" s="45">
        <f>IF('Data Bonds'!AG16=0,0,theta0+(theta1+theta2)*(1-EXP(-'Data Bonds'!AG16/la))/('Data Bonds'!AG16/la)-theta2*EXP(-'Data Bonds'!AG16/la))</f>
        <v>0</v>
      </c>
      <c r="AE17" s="45">
        <f>IF('Data Bonds'!AH16=0,0,theta0+(theta1+theta2)*(1-EXP(-'Data Bonds'!AH16/la))/('Data Bonds'!AH16/la)-theta2*EXP(-'Data Bonds'!AH16/la))</f>
        <v>0</v>
      </c>
      <c r="AF17" s="45">
        <f>IF('Data Bonds'!AI16=0,0,theta0+(theta1+theta2)*(1-EXP(-'Data Bonds'!AI16/la))/('Data Bonds'!AI16/la)-theta2*EXP(-'Data Bonds'!AI16/la))</f>
        <v>0</v>
      </c>
      <c r="AG17" s="45">
        <f>IF('Data Bonds'!AJ16=0,0,theta0+(theta1+theta2)*(1-EXP(-'Data Bonds'!AJ16/la))/('Data Bonds'!AJ16/la)-theta2*EXP(-'Data Bonds'!AJ16/la))</f>
        <v>0</v>
      </c>
      <c r="AH17" s="45">
        <f>IF('Data Bonds'!AK16=0,0,theta0+(theta1+theta2)*(1-EXP(-'Data Bonds'!AK16/la))/('Data Bonds'!AK16/la)-theta2*EXP(-'Data Bonds'!AK16/la))</f>
        <v>0</v>
      </c>
      <c r="AI17" s="45">
        <f>IF('Data Bonds'!AL16=0,0,theta0+(theta1+theta2)*(1-EXP(-'Data Bonds'!AL16/la))/('Data Bonds'!AL16/la)-theta2*EXP(-'Data Bonds'!AL16/la))</f>
        <v>0</v>
      </c>
      <c r="AJ17" s="45">
        <f>IF('Data Bonds'!AM16=0,0,theta0+(theta1+theta2)*(1-EXP(-'Data Bonds'!AM16/la))/('Data Bonds'!AM16/la)-theta2*EXP(-'Data Bonds'!AM16/la))</f>
        <v>0</v>
      </c>
      <c r="AK17" s="45">
        <f>IF('Data Bonds'!AN16=0,0,theta0+(theta1+theta2)*(1-EXP(-'Data Bonds'!AN16/la))/('Data Bonds'!AN16/la)-theta2*EXP(-'Data Bonds'!AN16/la))</f>
        <v>0</v>
      </c>
      <c r="AL17" s="45">
        <f>IF('Data Bonds'!AO16=0,0,theta0+(theta1+theta2)*(1-EXP(-'Data Bonds'!AO16/la))/('Data Bonds'!AO16/la)-theta2*EXP(-'Data Bonds'!AO16/la))</f>
        <v>0</v>
      </c>
      <c r="AM17" s="45">
        <f>IF('Data Bonds'!AP16=0,0,theta0+(theta1+theta2)*(1-EXP(-'Data Bonds'!AP16/la))/('Data Bonds'!AP16/la)-theta2*EXP(-'Data Bonds'!AP16/la))</f>
        <v>0</v>
      </c>
      <c r="AN17" s="45">
        <f>IF('Data Bonds'!AQ16=0,0,theta0+(theta1+theta2)*(1-EXP(-'Data Bonds'!AQ16/la))/('Data Bonds'!AQ16/la)-theta2*EXP(-'Data Bonds'!AQ16/la))</f>
        <v>0</v>
      </c>
      <c r="AO17" s="45">
        <f>IF('Data Bonds'!AR16=0,0,theta0+(theta1+theta2)*(1-EXP(-'Data Bonds'!AR16/la))/('Data Bonds'!AR16/la)-theta2*EXP(-'Data Bonds'!AR16/la))</f>
        <v>0</v>
      </c>
      <c r="AP17" s="45">
        <f>IF('Data Bonds'!AS16=0,0,theta0+(theta1+theta2)*(1-EXP(-'Data Bonds'!AS16/la))/('Data Bonds'!AS16/la)-theta2*EXP(-'Data Bonds'!AS16/la))</f>
        <v>0</v>
      </c>
      <c r="AQ17" s="45">
        <f>IF('Data Bonds'!AT16=0,0,theta0+(theta1+theta2)*(1-EXP(-'Data Bonds'!AT16/la))/('Data Bonds'!AT16/la)-theta2*EXP(-'Data Bonds'!AT16/la))</f>
        <v>0</v>
      </c>
      <c r="AR17" s="45">
        <f>IF('Data Bonds'!AU16=0,0,theta0+(theta1+theta2)*(1-EXP(-'Data Bonds'!AU16/la))/('Data Bonds'!AU16/la)-theta2*EXP(-'Data Bonds'!AU16/la))</f>
        <v>0</v>
      </c>
      <c r="AS17" s="45">
        <f>IF('Data Bonds'!AV16=0,0,theta0+(theta1+theta2)*(1-EXP(-'Data Bonds'!AV16/la))/('Data Bonds'!AV16/la)-theta2*EXP(-'Data Bonds'!AV16/la))</f>
        <v>0</v>
      </c>
      <c r="AT17" s="45">
        <f>IF('Data Bonds'!AW16=0,0,theta0+(theta1+theta2)*(1-EXP(-'Data Bonds'!AW16/la))/('Data Bonds'!AW16/la)-theta2*EXP(-'Data Bonds'!AW16/la))</f>
        <v>0</v>
      </c>
      <c r="AU17" s="45">
        <f>IF('Data Bonds'!AX16=0,0,theta0+(theta1+theta2)*(1-EXP(-'Data Bonds'!AX16/la))/('Data Bonds'!AX16/la)-theta2*EXP(-'Data Bonds'!AX16/la))</f>
        <v>0</v>
      </c>
      <c r="AV17" s="45">
        <f>IF('Data Bonds'!AY16=0,0,theta0+(theta1+theta2)*(1-EXP(-'Data Bonds'!AY16/la))/('Data Bonds'!AY16/la)-theta2*EXP(-'Data Bonds'!AY16/la))</f>
        <v>0</v>
      </c>
      <c r="AW17" s="45">
        <f>IF('Data Bonds'!AZ16=0,0,theta0+(theta1+theta2)*(1-EXP(-'Data Bonds'!AZ16/la))/('Data Bonds'!AZ16/la)-theta2*EXP(-'Data Bonds'!AZ16/la))</f>
        <v>0</v>
      </c>
      <c r="AX17" s="45">
        <f>IF('Data Bonds'!BA16=0,0,theta0+(theta1+theta2)*(1-EXP(-'Data Bonds'!BA16/la))/('Data Bonds'!BA16/la)-theta2*EXP(-'Data Bonds'!BA16/la))</f>
        <v>0</v>
      </c>
      <c r="AY17" s="45">
        <f>IF('Data Bonds'!BB16=0,0,theta0+(theta1+theta2)*(1-EXP(-'Data Bonds'!BB16/la))/('Data Bonds'!BB16/la)-theta2*EXP(-'Data Bonds'!BB16/la))</f>
        <v>0</v>
      </c>
      <c r="AZ17" s="45">
        <f>IF('Data Bonds'!BC16=0,0,theta0+(theta1+theta2)*(1-EXP(-'Data Bonds'!BC16/la))/('Data Bonds'!BC16/la)-theta2*EXP(-'Data Bonds'!BC16/la))</f>
        <v>0</v>
      </c>
      <c r="BA17" s="45">
        <f>IF('Data Bonds'!BD16=0,0,theta0+(theta1+theta2)*(1-EXP(-'Data Bonds'!BD16/la))/('Data Bonds'!BD16/la)-theta2*EXP(-'Data Bonds'!BD16/la))</f>
        <v>0</v>
      </c>
      <c r="BB17" s="45">
        <f>IF('Data Bonds'!BE16=0,0,theta0+(theta1+theta2)*(1-EXP(-'Data Bonds'!BE16/la))/('Data Bonds'!BE16/la)-theta2*EXP(-'Data Bonds'!BE16/la))</f>
        <v>0</v>
      </c>
      <c r="BC17" s="45">
        <f>IF('Data Bonds'!BF16=0,0,theta0+(theta1+theta2)*(1-EXP(-'Data Bonds'!BF16/la))/('Data Bonds'!BF16/la)-theta2*EXP(-'Data Bonds'!BF16/la))</f>
        <v>0</v>
      </c>
      <c r="BD17" s="45">
        <f>IF('Data Bonds'!BG16=0,0,theta0+(theta1+theta2)*(1-EXP(-'Data Bonds'!BG16/la))/('Data Bonds'!BG16/la)-theta2*EXP(-'Data Bonds'!BG16/la))</f>
        <v>0</v>
      </c>
      <c r="BE17" s="45">
        <f>IF('Data Bonds'!BH16=0,0,theta0+(theta1+theta2)*(1-EXP(-'Data Bonds'!BH16/la))/('Data Bonds'!BH16/la)-theta2*EXP(-'Data Bonds'!BH16/la))</f>
        <v>0</v>
      </c>
      <c r="BF17" s="45">
        <f>IF('Data Bonds'!BI16=0,0,theta0+(theta1+theta2)*(1-EXP(-'Data Bonds'!BI16/la))/('Data Bonds'!BI16/la)-theta2*EXP(-'Data Bonds'!BI16/la))</f>
        <v>0</v>
      </c>
      <c r="BG17" s="45">
        <f>IF('Data Bonds'!BJ16=0,0,theta0+(theta1+theta2)*(1-EXP(-'Data Bonds'!BJ16/la))/('Data Bonds'!BJ16/la)-theta2*EXP(-'Data Bonds'!BJ16/la))</f>
        <v>0</v>
      </c>
      <c r="BH17" s="45">
        <f>IF('Data Bonds'!BK16=0,0,theta0+(theta1+theta2)*(1-EXP(-'Data Bonds'!BK16/la))/('Data Bonds'!BK16/la)-theta2*EXP(-'Data Bonds'!BK16/la))</f>
        <v>0</v>
      </c>
      <c r="BI17" s="45">
        <f>IF('Data Bonds'!BL16=0,0,theta0+(theta1+theta2)*(1-EXP(-'Data Bonds'!BL16/la))/('Data Bonds'!BL16/la)-theta2*EXP(-'Data Bonds'!BL16/la))</f>
        <v>0</v>
      </c>
      <c r="BJ17" s="45">
        <f>IF('Data Bonds'!BM16=0,0,theta0+(theta1+theta2)*(1-EXP(-'Data Bonds'!BM16/la))/('Data Bonds'!BM16/la)-theta2*EXP(-'Data Bonds'!BM16/la))</f>
        <v>0</v>
      </c>
      <c r="BK17" s="45">
        <f>IF('Data Bonds'!BN16=0,0,theta0+(theta1+theta2)*(1-EXP(-'Data Bonds'!BN16/la))/('Data Bonds'!BN16/la)-theta2*EXP(-'Data Bonds'!BN16/la))</f>
        <v>0</v>
      </c>
      <c r="BL17" s="45">
        <f>IF('Data Bonds'!BO16=0,0,theta0+(theta1+theta2)*(1-EXP(-'Data Bonds'!BO16/la))/('Data Bonds'!BO16/la)-theta2*EXP(-'Data Bonds'!BO16/la))</f>
        <v>0</v>
      </c>
      <c r="BM17" s="45">
        <f>IF('Data Bonds'!BP16=0,0,theta0+(theta1+theta2)*(1-EXP(-'Data Bonds'!BP16/la))/('Data Bonds'!BP16/la)-theta2*EXP(-'Data Bonds'!BP16/la))</f>
        <v>0</v>
      </c>
      <c r="BN17" s="45">
        <f>IF('Data Bonds'!BQ16=0,0,theta0+(theta1+theta2)*(1-EXP(-'Data Bonds'!BQ16/la))/('Data Bonds'!BQ16/la)-theta2*EXP(-'Data Bonds'!BQ16/la))</f>
        <v>0</v>
      </c>
      <c r="BO17" s="45">
        <f>IF('Data Bonds'!BR16=0,0,theta0+(theta1+theta2)*(1-EXP(-'Data Bonds'!BR16/la))/('Data Bonds'!BR16/la)-theta2*EXP(-'Data Bonds'!BR16/la))</f>
        <v>0</v>
      </c>
      <c r="BP17" s="38">
        <f>EXP(-'Data Bonds'!K16*H17)</f>
        <v>0.9825531749566313</v>
      </c>
      <c r="BQ17" s="38">
        <f>EXP(-'Data Bonds'!L16*I17)</f>
        <v>1</v>
      </c>
      <c r="BR17" s="38">
        <f>EXP(-'Data Bonds'!M16*J17)</f>
        <v>1</v>
      </c>
      <c r="BS17" s="38">
        <f>EXP(-'Data Bonds'!N16*K17)</f>
        <v>1</v>
      </c>
      <c r="BT17" s="38">
        <f>EXP(-'Data Bonds'!O16*L17)</f>
        <v>1</v>
      </c>
      <c r="BU17" s="38">
        <f>EXP(-'Data Bonds'!P16*M17)</f>
        <v>1</v>
      </c>
      <c r="BV17" s="38">
        <f>EXP(-'Data Bonds'!Q16*N17)</f>
        <v>1</v>
      </c>
      <c r="BW17" s="38">
        <f>EXP(-'Data Bonds'!R16*O17)</f>
        <v>1</v>
      </c>
      <c r="BX17" s="38">
        <f>EXP(-'Data Bonds'!S16*P17)</f>
        <v>1</v>
      </c>
      <c r="BY17" s="38">
        <f>EXP(-'Data Bonds'!T16*Q17)</f>
        <v>1</v>
      </c>
      <c r="BZ17" s="38">
        <f>EXP(-'Data Bonds'!U16*R17)</f>
        <v>1</v>
      </c>
      <c r="CA17" s="38">
        <f>EXP(-'Data Bonds'!V16*S17)</f>
        <v>1</v>
      </c>
      <c r="CB17" s="38">
        <f>EXP(-'Data Bonds'!W16*T17)</f>
        <v>1</v>
      </c>
      <c r="CC17" s="38">
        <f>EXP(-'Data Bonds'!X16*U17)</f>
        <v>1</v>
      </c>
      <c r="CD17" s="38">
        <f>EXP(-'Data Bonds'!Y16*V17)</f>
        <v>1</v>
      </c>
      <c r="CE17" s="38">
        <f>EXP(-'Data Bonds'!Z16*W17)</f>
        <v>1</v>
      </c>
      <c r="CF17" s="38">
        <f>EXP(-'Data Bonds'!AA16*X17)</f>
        <v>1</v>
      </c>
      <c r="CG17" s="38">
        <f>EXP(-'Data Bonds'!AB16*Y17)</f>
        <v>1</v>
      </c>
      <c r="CH17" s="38">
        <f>EXP(-'Data Bonds'!AC16*Z17)</f>
        <v>1</v>
      </c>
      <c r="CI17" s="38">
        <f>EXP(-'Data Bonds'!AD16*AA17)</f>
        <v>1</v>
      </c>
      <c r="CJ17" s="38">
        <f>EXP(-'Data Bonds'!AE16*AB17)</f>
        <v>1</v>
      </c>
      <c r="CK17" s="38">
        <f>EXP(-'Data Bonds'!AF16*AC17)</f>
        <v>1</v>
      </c>
      <c r="CL17" s="38">
        <f>EXP(-'Data Bonds'!AG16*AD17)</f>
        <v>1</v>
      </c>
      <c r="CM17" s="38">
        <f>EXP(-'Data Bonds'!AH16*AE17)</f>
        <v>1</v>
      </c>
      <c r="CN17" s="38">
        <f>EXP(-'Data Bonds'!AI16*AF17)</f>
        <v>1</v>
      </c>
      <c r="CO17" s="38">
        <f>EXP(-'Data Bonds'!AJ16*AG17)</f>
        <v>1</v>
      </c>
      <c r="CP17" s="38">
        <f>EXP(-'Data Bonds'!AK16*AH17)</f>
        <v>1</v>
      </c>
      <c r="CQ17" s="38">
        <f>EXP(-'Data Bonds'!AL16*AI17)</f>
        <v>1</v>
      </c>
      <c r="CR17" s="38">
        <f>EXP(-'Data Bonds'!AM16*AJ17)</f>
        <v>1</v>
      </c>
      <c r="CS17" s="38">
        <f>EXP(-'Data Bonds'!AN16*AK17)</f>
        <v>1</v>
      </c>
      <c r="CT17" s="38">
        <f>EXP(-'Data Bonds'!AO16*AL17)</f>
        <v>1</v>
      </c>
      <c r="CU17" s="38">
        <f>EXP(-'Data Bonds'!AP16*AM17)</f>
        <v>1</v>
      </c>
      <c r="CV17" s="38">
        <f>EXP(-'Data Bonds'!AQ16*AN17)</f>
        <v>1</v>
      </c>
      <c r="CW17" s="38">
        <f>EXP(-'Data Bonds'!AR16*AO17)</f>
        <v>1</v>
      </c>
      <c r="CX17" s="38">
        <f>EXP(-'Data Bonds'!AS16*AP17)</f>
        <v>1</v>
      </c>
      <c r="CY17" s="38">
        <f>EXP(-'Data Bonds'!AT16*AQ17)</f>
        <v>1</v>
      </c>
      <c r="CZ17" s="38">
        <f>EXP(-'Data Bonds'!AU16*AR17)</f>
        <v>1</v>
      </c>
      <c r="DA17" s="38">
        <f>EXP(-'Data Bonds'!AV16*AS17)</f>
        <v>1</v>
      </c>
      <c r="DB17" s="38">
        <f>EXP(-'Data Bonds'!AW16*AT17)</f>
        <v>1</v>
      </c>
      <c r="DC17" s="38">
        <f>EXP(-'Data Bonds'!AX16*AU17)</f>
        <v>1</v>
      </c>
      <c r="DD17" s="38">
        <f>EXP(-'Data Bonds'!AY16*AV17)</f>
        <v>1</v>
      </c>
      <c r="DE17" s="38">
        <f>EXP(-'Data Bonds'!AZ16*AW17)</f>
        <v>1</v>
      </c>
      <c r="DF17" s="38">
        <f>EXP(-'Data Bonds'!BA16*AX17)</f>
        <v>1</v>
      </c>
      <c r="DG17" s="38">
        <f>EXP(-'Data Bonds'!BB16*AY17)</f>
        <v>1</v>
      </c>
      <c r="DH17" s="38">
        <f>EXP(-'Data Bonds'!BC16*AZ17)</f>
        <v>1</v>
      </c>
      <c r="DI17" s="38">
        <f>EXP(-'Data Bonds'!BD16*BA17)</f>
        <v>1</v>
      </c>
      <c r="DJ17" s="38">
        <f>EXP(-'Data Bonds'!BE16*BB17)</f>
        <v>1</v>
      </c>
      <c r="DK17" s="38">
        <f>EXP(-'Data Bonds'!BF16*BC17)</f>
        <v>1</v>
      </c>
      <c r="DL17" s="38">
        <f>EXP(-'Data Bonds'!BG16*BD17)</f>
        <v>1</v>
      </c>
      <c r="DM17" s="38">
        <f>EXP(-'Data Bonds'!BH16*BE17)</f>
        <v>1</v>
      </c>
      <c r="DN17" s="38">
        <f>EXP(-'Data Bonds'!BI16*BF17)</f>
        <v>1</v>
      </c>
      <c r="DO17" s="38">
        <f>EXP(-'Data Bonds'!BJ16*BG17)</f>
        <v>1</v>
      </c>
      <c r="DP17" s="38">
        <f>EXP(-'Data Bonds'!BK16*BH17)</f>
        <v>1</v>
      </c>
      <c r="DQ17" s="38">
        <f>EXP(-'Data Bonds'!BL16*BI17)</f>
        <v>1</v>
      </c>
      <c r="DR17" s="38">
        <f>EXP(-'Data Bonds'!BM16*BJ17)</f>
        <v>1</v>
      </c>
      <c r="DS17" s="38">
        <f>EXP(-'Data Bonds'!BN16*BK17)</f>
        <v>1</v>
      </c>
      <c r="DT17" s="38">
        <f>EXP(-'Data Bonds'!BO16*BL17)</f>
        <v>1</v>
      </c>
      <c r="DU17" s="38">
        <f>EXP(-'Data Bonds'!BP16*BM17)</f>
        <v>1</v>
      </c>
      <c r="DV17" s="38">
        <f>EXP(-'Data Bonds'!BQ16*BN17)</f>
        <v>1</v>
      </c>
      <c r="DW17" s="38">
        <f>EXP(-'Data Bonds'!BR16*BO17)</f>
        <v>1</v>
      </c>
      <c r="DX17" s="28">
        <f>SUMPRODUCT(BP17:DW17,'Data Bonds'!BU16:EB16)</f>
        <v>98.255317495663135</v>
      </c>
      <c r="DY17" s="28">
        <f t="shared" si="5"/>
        <v>1.4564266853018539E-2</v>
      </c>
      <c r="EA17" s="33">
        <f t="shared" si="6"/>
        <v>3</v>
      </c>
      <c r="EB17" s="29">
        <f t="shared" si="2"/>
        <v>4.94383619752456E-2</v>
      </c>
      <c r="EC17" s="29">
        <f t="shared" si="3"/>
        <v>0.86215941784202366</v>
      </c>
      <c r="ED17" s="29">
        <f t="shared" si="7"/>
        <v>5.0204544729267678E-2</v>
      </c>
      <c r="EE17" s="32"/>
      <c r="EF17" s="32"/>
      <c r="EG17" s="32"/>
      <c r="EI17" s="34"/>
    </row>
    <row r="18" spans="2:139">
      <c r="B18" s="27">
        <f>'Data Bonds'!E17</f>
        <v>0</v>
      </c>
      <c r="C18" s="27">
        <f>'Data Bonds'!F17</f>
        <v>97.991583000000006</v>
      </c>
      <c r="D18" s="27">
        <f>'Data Bonds'!G17</f>
        <v>97.995861000000005</v>
      </c>
      <c r="E18" s="27">
        <f>'Data Bonds'!I17</f>
        <v>0</v>
      </c>
      <c r="F18" s="40">
        <f>'Data Bonds'!H17</f>
        <v>0.41944444444444445</v>
      </c>
      <c r="G18" s="28">
        <f t="shared" si="4"/>
        <v>97.993722000000005</v>
      </c>
      <c r="H18" s="45">
        <f>IF('Data Bonds'!K17=0,0,theta0+(theta1+theta2)*(1-EXP(-'Data Bonds'!K17/la))/('Data Bonds'!K17/la)-theta2*EXP(-'Data Bonds'!K17/la))</f>
        <v>5.0888494705464499E-2</v>
      </c>
      <c r="I18" s="45">
        <f>IF('Data Bonds'!L17=0,0,theta0+(theta1+theta2)*(1-EXP(-'Data Bonds'!L17/la))/('Data Bonds'!L17/la)-theta2*EXP(-'Data Bonds'!L17/la))</f>
        <v>0</v>
      </c>
      <c r="J18" s="45">
        <f>IF('Data Bonds'!M17=0,0,theta0+(theta1+theta2)*(1-EXP(-'Data Bonds'!M17/la))/('Data Bonds'!M17/la)-theta2*EXP(-'Data Bonds'!M17/la))</f>
        <v>0</v>
      </c>
      <c r="K18" s="45">
        <f>IF('Data Bonds'!N17=0,0,theta0+(theta1+theta2)*(1-EXP(-'Data Bonds'!N17/la))/('Data Bonds'!N17/la)-theta2*EXP(-'Data Bonds'!N17/la))</f>
        <v>0</v>
      </c>
      <c r="L18" s="45">
        <f>IF('Data Bonds'!O17=0,0,theta0+(theta1+theta2)*(1-EXP(-'Data Bonds'!O17/la))/('Data Bonds'!O17/la)-theta2*EXP(-'Data Bonds'!O17/la))</f>
        <v>0</v>
      </c>
      <c r="M18" s="45">
        <f>IF('Data Bonds'!P17=0,0,theta0+(theta1+theta2)*(1-EXP(-'Data Bonds'!P17/la))/('Data Bonds'!P17/la)-theta2*EXP(-'Data Bonds'!P17/la))</f>
        <v>0</v>
      </c>
      <c r="N18" s="45">
        <f>IF('Data Bonds'!Q17=0,0,theta0+(theta1+theta2)*(1-EXP(-'Data Bonds'!Q17/la))/('Data Bonds'!Q17/la)-theta2*EXP(-'Data Bonds'!Q17/la))</f>
        <v>0</v>
      </c>
      <c r="O18" s="45">
        <f>IF('Data Bonds'!R17=0,0,theta0+(theta1+theta2)*(1-EXP(-'Data Bonds'!R17/la))/('Data Bonds'!R17/la)-theta2*EXP(-'Data Bonds'!R17/la))</f>
        <v>0</v>
      </c>
      <c r="P18" s="45">
        <f>IF('Data Bonds'!S17=0,0,theta0+(theta1+theta2)*(1-EXP(-'Data Bonds'!S17/la))/('Data Bonds'!S17/la)-theta2*EXP(-'Data Bonds'!S17/la))</f>
        <v>0</v>
      </c>
      <c r="Q18" s="45">
        <f>IF('Data Bonds'!T17=0,0,theta0+(theta1+theta2)*(1-EXP(-'Data Bonds'!T17/la))/('Data Bonds'!T17/la)-theta2*EXP(-'Data Bonds'!T17/la))</f>
        <v>0</v>
      </c>
      <c r="R18" s="45">
        <f>IF('Data Bonds'!U17=0,0,theta0+(theta1+theta2)*(1-EXP(-'Data Bonds'!U17/la))/('Data Bonds'!U17/la)-theta2*EXP(-'Data Bonds'!U17/la))</f>
        <v>0</v>
      </c>
      <c r="S18" s="45">
        <f>IF('Data Bonds'!V17=0,0,theta0+(theta1+theta2)*(1-EXP(-'Data Bonds'!V17/la))/('Data Bonds'!V17/la)-theta2*EXP(-'Data Bonds'!V17/la))</f>
        <v>0</v>
      </c>
      <c r="T18" s="45">
        <f>IF('Data Bonds'!W17=0,0,theta0+(theta1+theta2)*(1-EXP(-'Data Bonds'!W17/la))/('Data Bonds'!W17/la)-theta2*EXP(-'Data Bonds'!W17/la))</f>
        <v>0</v>
      </c>
      <c r="U18" s="45">
        <f>IF('Data Bonds'!X17=0,0,theta0+(theta1+theta2)*(1-EXP(-'Data Bonds'!X17/la))/('Data Bonds'!X17/la)-theta2*EXP(-'Data Bonds'!X17/la))</f>
        <v>0</v>
      </c>
      <c r="V18" s="45">
        <f>IF('Data Bonds'!Y17=0,0,theta0+(theta1+theta2)*(1-EXP(-'Data Bonds'!Y17/la))/('Data Bonds'!Y17/la)-theta2*EXP(-'Data Bonds'!Y17/la))</f>
        <v>0</v>
      </c>
      <c r="W18" s="45">
        <f>IF('Data Bonds'!Z17=0,0,theta0+(theta1+theta2)*(1-EXP(-'Data Bonds'!Z17/la))/('Data Bonds'!Z17/la)-theta2*EXP(-'Data Bonds'!Z17/la))</f>
        <v>0</v>
      </c>
      <c r="X18" s="45">
        <f>IF('Data Bonds'!AA17=0,0,theta0+(theta1+theta2)*(1-EXP(-'Data Bonds'!AA17/la))/('Data Bonds'!AA17/la)-theta2*EXP(-'Data Bonds'!AA17/la))</f>
        <v>0</v>
      </c>
      <c r="Y18" s="45">
        <f>IF('Data Bonds'!AB17=0,0,theta0+(theta1+theta2)*(1-EXP(-'Data Bonds'!AB17/la))/('Data Bonds'!AB17/la)-theta2*EXP(-'Data Bonds'!AB17/la))</f>
        <v>0</v>
      </c>
      <c r="Z18" s="45">
        <f>IF('Data Bonds'!AC17=0,0,theta0+(theta1+theta2)*(1-EXP(-'Data Bonds'!AC17/la))/('Data Bonds'!AC17/la)-theta2*EXP(-'Data Bonds'!AC17/la))</f>
        <v>0</v>
      </c>
      <c r="AA18" s="45">
        <f>IF('Data Bonds'!AD17=0,0,theta0+(theta1+theta2)*(1-EXP(-'Data Bonds'!AD17/la))/('Data Bonds'!AD17/la)-theta2*EXP(-'Data Bonds'!AD17/la))</f>
        <v>0</v>
      </c>
      <c r="AB18" s="45">
        <f>IF('Data Bonds'!AE17=0,0,theta0+(theta1+theta2)*(1-EXP(-'Data Bonds'!AE17/la))/('Data Bonds'!AE17/la)-theta2*EXP(-'Data Bonds'!AE17/la))</f>
        <v>0</v>
      </c>
      <c r="AC18" s="45">
        <f>IF('Data Bonds'!AF17=0,0,theta0+(theta1+theta2)*(1-EXP(-'Data Bonds'!AF17/la))/('Data Bonds'!AF17/la)-theta2*EXP(-'Data Bonds'!AF17/la))</f>
        <v>0</v>
      </c>
      <c r="AD18" s="45">
        <f>IF('Data Bonds'!AG17=0,0,theta0+(theta1+theta2)*(1-EXP(-'Data Bonds'!AG17/la))/('Data Bonds'!AG17/la)-theta2*EXP(-'Data Bonds'!AG17/la))</f>
        <v>0</v>
      </c>
      <c r="AE18" s="45">
        <f>IF('Data Bonds'!AH17=0,0,theta0+(theta1+theta2)*(1-EXP(-'Data Bonds'!AH17/la))/('Data Bonds'!AH17/la)-theta2*EXP(-'Data Bonds'!AH17/la))</f>
        <v>0</v>
      </c>
      <c r="AF18" s="45">
        <f>IF('Data Bonds'!AI17=0,0,theta0+(theta1+theta2)*(1-EXP(-'Data Bonds'!AI17/la))/('Data Bonds'!AI17/la)-theta2*EXP(-'Data Bonds'!AI17/la))</f>
        <v>0</v>
      </c>
      <c r="AG18" s="45">
        <f>IF('Data Bonds'!AJ17=0,0,theta0+(theta1+theta2)*(1-EXP(-'Data Bonds'!AJ17/la))/('Data Bonds'!AJ17/la)-theta2*EXP(-'Data Bonds'!AJ17/la))</f>
        <v>0</v>
      </c>
      <c r="AH18" s="45">
        <f>IF('Data Bonds'!AK17=0,0,theta0+(theta1+theta2)*(1-EXP(-'Data Bonds'!AK17/la))/('Data Bonds'!AK17/la)-theta2*EXP(-'Data Bonds'!AK17/la))</f>
        <v>0</v>
      </c>
      <c r="AI18" s="45">
        <f>IF('Data Bonds'!AL17=0,0,theta0+(theta1+theta2)*(1-EXP(-'Data Bonds'!AL17/la))/('Data Bonds'!AL17/la)-theta2*EXP(-'Data Bonds'!AL17/la))</f>
        <v>0</v>
      </c>
      <c r="AJ18" s="45">
        <f>IF('Data Bonds'!AM17=0,0,theta0+(theta1+theta2)*(1-EXP(-'Data Bonds'!AM17/la))/('Data Bonds'!AM17/la)-theta2*EXP(-'Data Bonds'!AM17/la))</f>
        <v>0</v>
      </c>
      <c r="AK18" s="45">
        <f>IF('Data Bonds'!AN17=0,0,theta0+(theta1+theta2)*(1-EXP(-'Data Bonds'!AN17/la))/('Data Bonds'!AN17/la)-theta2*EXP(-'Data Bonds'!AN17/la))</f>
        <v>0</v>
      </c>
      <c r="AL18" s="45">
        <f>IF('Data Bonds'!AO17=0,0,theta0+(theta1+theta2)*(1-EXP(-'Data Bonds'!AO17/la))/('Data Bonds'!AO17/la)-theta2*EXP(-'Data Bonds'!AO17/la))</f>
        <v>0</v>
      </c>
      <c r="AM18" s="45">
        <f>IF('Data Bonds'!AP17=0,0,theta0+(theta1+theta2)*(1-EXP(-'Data Bonds'!AP17/la))/('Data Bonds'!AP17/la)-theta2*EXP(-'Data Bonds'!AP17/la))</f>
        <v>0</v>
      </c>
      <c r="AN18" s="45">
        <f>IF('Data Bonds'!AQ17=0,0,theta0+(theta1+theta2)*(1-EXP(-'Data Bonds'!AQ17/la))/('Data Bonds'!AQ17/la)-theta2*EXP(-'Data Bonds'!AQ17/la))</f>
        <v>0</v>
      </c>
      <c r="AO18" s="45">
        <f>IF('Data Bonds'!AR17=0,0,theta0+(theta1+theta2)*(1-EXP(-'Data Bonds'!AR17/la))/('Data Bonds'!AR17/la)-theta2*EXP(-'Data Bonds'!AR17/la))</f>
        <v>0</v>
      </c>
      <c r="AP18" s="45">
        <f>IF('Data Bonds'!AS17=0,0,theta0+(theta1+theta2)*(1-EXP(-'Data Bonds'!AS17/la))/('Data Bonds'!AS17/la)-theta2*EXP(-'Data Bonds'!AS17/la))</f>
        <v>0</v>
      </c>
      <c r="AQ18" s="45">
        <f>IF('Data Bonds'!AT17=0,0,theta0+(theta1+theta2)*(1-EXP(-'Data Bonds'!AT17/la))/('Data Bonds'!AT17/la)-theta2*EXP(-'Data Bonds'!AT17/la))</f>
        <v>0</v>
      </c>
      <c r="AR18" s="45">
        <f>IF('Data Bonds'!AU17=0,0,theta0+(theta1+theta2)*(1-EXP(-'Data Bonds'!AU17/la))/('Data Bonds'!AU17/la)-theta2*EXP(-'Data Bonds'!AU17/la))</f>
        <v>0</v>
      </c>
      <c r="AS18" s="45">
        <f>IF('Data Bonds'!AV17=0,0,theta0+(theta1+theta2)*(1-EXP(-'Data Bonds'!AV17/la))/('Data Bonds'!AV17/la)-theta2*EXP(-'Data Bonds'!AV17/la))</f>
        <v>0</v>
      </c>
      <c r="AT18" s="45">
        <f>IF('Data Bonds'!AW17=0,0,theta0+(theta1+theta2)*(1-EXP(-'Data Bonds'!AW17/la))/('Data Bonds'!AW17/la)-theta2*EXP(-'Data Bonds'!AW17/la))</f>
        <v>0</v>
      </c>
      <c r="AU18" s="45">
        <f>IF('Data Bonds'!AX17=0,0,theta0+(theta1+theta2)*(1-EXP(-'Data Bonds'!AX17/la))/('Data Bonds'!AX17/la)-theta2*EXP(-'Data Bonds'!AX17/la))</f>
        <v>0</v>
      </c>
      <c r="AV18" s="45">
        <f>IF('Data Bonds'!AY17=0,0,theta0+(theta1+theta2)*(1-EXP(-'Data Bonds'!AY17/la))/('Data Bonds'!AY17/la)-theta2*EXP(-'Data Bonds'!AY17/la))</f>
        <v>0</v>
      </c>
      <c r="AW18" s="45">
        <f>IF('Data Bonds'!AZ17=0,0,theta0+(theta1+theta2)*(1-EXP(-'Data Bonds'!AZ17/la))/('Data Bonds'!AZ17/la)-theta2*EXP(-'Data Bonds'!AZ17/la))</f>
        <v>0</v>
      </c>
      <c r="AX18" s="45">
        <f>IF('Data Bonds'!BA17=0,0,theta0+(theta1+theta2)*(1-EXP(-'Data Bonds'!BA17/la))/('Data Bonds'!BA17/la)-theta2*EXP(-'Data Bonds'!BA17/la))</f>
        <v>0</v>
      </c>
      <c r="AY18" s="45">
        <f>IF('Data Bonds'!BB17=0,0,theta0+(theta1+theta2)*(1-EXP(-'Data Bonds'!BB17/la))/('Data Bonds'!BB17/la)-theta2*EXP(-'Data Bonds'!BB17/la))</f>
        <v>0</v>
      </c>
      <c r="AZ18" s="45">
        <f>IF('Data Bonds'!BC17=0,0,theta0+(theta1+theta2)*(1-EXP(-'Data Bonds'!BC17/la))/('Data Bonds'!BC17/la)-theta2*EXP(-'Data Bonds'!BC17/la))</f>
        <v>0</v>
      </c>
      <c r="BA18" s="45">
        <f>IF('Data Bonds'!BD17=0,0,theta0+(theta1+theta2)*(1-EXP(-'Data Bonds'!BD17/la))/('Data Bonds'!BD17/la)-theta2*EXP(-'Data Bonds'!BD17/la))</f>
        <v>0</v>
      </c>
      <c r="BB18" s="45">
        <f>IF('Data Bonds'!BE17=0,0,theta0+(theta1+theta2)*(1-EXP(-'Data Bonds'!BE17/la))/('Data Bonds'!BE17/la)-theta2*EXP(-'Data Bonds'!BE17/la))</f>
        <v>0</v>
      </c>
      <c r="BC18" s="45">
        <f>IF('Data Bonds'!BF17=0,0,theta0+(theta1+theta2)*(1-EXP(-'Data Bonds'!BF17/la))/('Data Bonds'!BF17/la)-theta2*EXP(-'Data Bonds'!BF17/la))</f>
        <v>0</v>
      </c>
      <c r="BD18" s="45">
        <f>IF('Data Bonds'!BG17=0,0,theta0+(theta1+theta2)*(1-EXP(-'Data Bonds'!BG17/la))/('Data Bonds'!BG17/la)-theta2*EXP(-'Data Bonds'!BG17/la))</f>
        <v>0</v>
      </c>
      <c r="BE18" s="45">
        <f>IF('Data Bonds'!BH17=0,0,theta0+(theta1+theta2)*(1-EXP(-'Data Bonds'!BH17/la))/('Data Bonds'!BH17/la)-theta2*EXP(-'Data Bonds'!BH17/la))</f>
        <v>0</v>
      </c>
      <c r="BF18" s="45">
        <f>IF('Data Bonds'!BI17=0,0,theta0+(theta1+theta2)*(1-EXP(-'Data Bonds'!BI17/la))/('Data Bonds'!BI17/la)-theta2*EXP(-'Data Bonds'!BI17/la))</f>
        <v>0</v>
      </c>
      <c r="BG18" s="45">
        <f>IF('Data Bonds'!BJ17=0,0,theta0+(theta1+theta2)*(1-EXP(-'Data Bonds'!BJ17/la))/('Data Bonds'!BJ17/la)-theta2*EXP(-'Data Bonds'!BJ17/la))</f>
        <v>0</v>
      </c>
      <c r="BH18" s="45">
        <f>IF('Data Bonds'!BK17=0,0,theta0+(theta1+theta2)*(1-EXP(-'Data Bonds'!BK17/la))/('Data Bonds'!BK17/la)-theta2*EXP(-'Data Bonds'!BK17/la))</f>
        <v>0</v>
      </c>
      <c r="BI18" s="45">
        <f>IF('Data Bonds'!BL17=0,0,theta0+(theta1+theta2)*(1-EXP(-'Data Bonds'!BL17/la))/('Data Bonds'!BL17/la)-theta2*EXP(-'Data Bonds'!BL17/la))</f>
        <v>0</v>
      </c>
      <c r="BJ18" s="45">
        <f>IF('Data Bonds'!BM17=0,0,theta0+(theta1+theta2)*(1-EXP(-'Data Bonds'!BM17/la))/('Data Bonds'!BM17/la)-theta2*EXP(-'Data Bonds'!BM17/la))</f>
        <v>0</v>
      </c>
      <c r="BK18" s="45">
        <f>IF('Data Bonds'!BN17=0,0,theta0+(theta1+theta2)*(1-EXP(-'Data Bonds'!BN17/la))/('Data Bonds'!BN17/la)-theta2*EXP(-'Data Bonds'!BN17/la))</f>
        <v>0</v>
      </c>
      <c r="BL18" s="45">
        <f>IF('Data Bonds'!BO17=0,0,theta0+(theta1+theta2)*(1-EXP(-'Data Bonds'!BO17/la))/('Data Bonds'!BO17/la)-theta2*EXP(-'Data Bonds'!BO17/la))</f>
        <v>0</v>
      </c>
      <c r="BM18" s="45">
        <f>IF('Data Bonds'!BP17=0,0,theta0+(theta1+theta2)*(1-EXP(-'Data Bonds'!BP17/la))/('Data Bonds'!BP17/la)-theta2*EXP(-'Data Bonds'!BP17/la))</f>
        <v>0</v>
      </c>
      <c r="BN18" s="45">
        <f>IF('Data Bonds'!BQ17=0,0,theta0+(theta1+theta2)*(1-EXP(-'Data Bonds'!BQ17/la))/('Data Bonds'!BQ17/la)-theta2*EXP(-'Data Bonds'!BQ17/la))</f>
        <v>0</v>
      </c>
      <c r="BO18" s="45">
        <f>IF('Data Bonds'!BR17=0,0,theta0+(theta1+theta2)*(1-EXP(-'Data Bonds'!BR17/la))/('Data Bonds'!BR17/la)-theta2*EXP(-'Data Bonds'!BR17/la))</f>
        <v>0</v>
      </c>
      <c r="BP18" s="38">
        <f>EXP(-'Data Bonds'!K17*H18)</f>
        <v>0.97888129371729593</v>
      </c>
      <c r="BQ18" s="38">
        <f>EXP(-'Data Bonds'!L17*I18)</f>
        <v>1</v>
      </c>
      <c r="BR18" s="38">
        <f>EXP(-'Data Bonds'!M17*J18)</f>
        <v>1</v>
      </c>
      <c r="BS18" s="38">
        <f>EXP(-'Data Bonds'!N17*K18)</f>
        <v>1</v>
      </c>
      <c r="BT18" s="38">
        <f>EXP(-'Data Bonds'!O17*L18)</f>
        <v>1</v>
      </c>
      <c r="BU18" s="38">
        <f>EXP(-'Data Bonds'!P17*M18)</f>
        <v>1</v>
      </c>
      <c r="BV18" s="38">
        <f>EXP(-'Data Bonds'!Q17*N18)</f>
        <v>1</v>
      </c>
      <c r="BW18" s="38">
        <f>EXP(-'Data Bonds'!R17*O18)</f>
        <v>1</v>
      </c>
      <c r="BX18" s="38">
        <f>EXP(-'Data Bonds'!S17*P18)</f>
        <v>1</v>
      </c>
      <c r="BY18" s="38">
        <f>EXP(-'Data Bonds'!T17*Q18)</f>
        <v>1</v>
      </c>
      <c r="BZ18" s="38">
        <f>EXP(-'Data Bonds'!U17*R18)</f>
        <v>1</v>
      </c>
      <c r="CA18" s="38">
        <f>EXP(-'Data Bonds'!V17*S18)</f>
        <v>1</v>
      </c>
      <c r="CB18" s="38">
        <f>EXP(-'Data Bonds'!W17*T18)</f>
        <v>1</v>
      </c>
      <c r="CC18" s="38">
        <f>EXP(-'Data Bonds'!X17*U18)</f>
        <v>1</v>
      </c>
      <c r="CD18" s="38">
        <f>EXP(-'Data Bonds'!Y17*V18)</f>
        <v>1</v>
      </c>
      <c r="CE18" s="38">
        <f>EXP(-'Data Bonds'!Z17*W18)</f>
        <v>1</v>
      </c>
      <c r="CF18" s="38">
        <f>EXP(-'Data Bonds'!AA17*X18)</f>
        <v>1</v>
      </c>
      <c r="CG18" s="38">
        <f>EXP(-'Data Bonds'!AB17*Y18)</f>
        <v>1</v>
      </c>
      <c r="CH18" s="38">
        <f>EXP(-'Data Bonds'!AC17*Z18)</f>
        <v>1</v>
      </c>
      <c r="CI18" s="38">
        <f>EXP(-'Data Bonds'!AD17*AA18)</f>
        <v>1</v>
      </c>
      <c r="CJ18" s="38">
        <f>EXP(-'Data Bonds'!AE17*AB18)</f>
        <v>1</v>
      </c>
      <c r="CK18" s="38">
        <f>EXP(-'Data Bonds'!AF17*AC18)</f>
        <v>1</v>
      </c>
      <c r="CL18" s="38">
        <f>EXP(-'Data Bonds'!AG17*AD18)</f>
        <v>1</v>
      </c>
      <c r="CM18" s="38">
        <f>EXP(-'Data Bonds'!AH17*AE18)</f>
        <v>1</v>
      </c>
      <c r="CN18" s="38">
        <f>EXP(-'Data Bonds'!AI17*AF18)</f>
        <v>1</v>
      </c>
      <c r="CO18" s="38">
        <f>EXP(-'Data Bonds'!AJ17*AG18)</f>
        <v>1</v>
      </c>
      <c r="CP18" s="38">
        <f>EXP(-'Data Bonds'!AK17*AH18)</f>
        <v>1</v>
      </c>
      <c r="CQ18" s="38">
        <f>EXP(-'Data Bonds'!AL17*AI18)</f>
        <v>1</v>
      </c>
      <c r="CR18" s="38">
        <f>EXP(-'Data Bonds'!AM17*AJ18)</f>
        <v>1</v>
      </c>
      <c r="CS18" s="38">
        <f>EXP(-'Data Bonds'!AN17*AK18)</f>
        <v>1</v>
      </c>
      <c r="CT18" s="38">
        <f>EXP(-'Data Bonds'!AO17*AL18)</f>
        <v>1</v>
      </c>
      <c r="CU18" s="38">
        <f>EXP(-'Data Bonds'!AP17*AM18)</f>
        <v>1</v>
      </c>
      <c r="CV18" s="38">
        <f>EXP(-'Data Bonds'!AQ17*AN18)</f>
        <v>1</v>
      </c>
      <c r="CW18" s="38">
        <f>EXP(-'Data Bonds'!AR17*AO18)</f>
        <v>1</v>
      </c>
      <c r="CX18" s="38">
        <f>EXP(-'Data Bonds'!AS17*AP18)</f>
        <v>1</v>
      </c>
      <c r="CY18" s="38">
        <f>EXP(-'Data Bonds'!AT17*AQ18)</f>
        <v>1</v>
      </c>
      <c r="CZ18" s="38">
        <f>EXP(-'Data Bonds'!AU17*AR18)</f>
        <v>1</v>
      </c>
      <c r="DA18" s="38">
        <f>EXP(-'Data Bonds'!AV17*AS18)</f>
        <v>1</v>
      </c>
      <c r="DB18" s="38">
        <f>EXP(-'Data Bonds'!AW17*AT18)</f>
        <v>1</v>
      </c>
      <c r="DC18" s="38">
        <f>EXP(-'Data Bonds'!AX17*AU18)</f>
        <v>1</v>
      </c>
      <c r="DD18" s="38">
        <f>EXP(-'Data Bonds'!AY17*AV18)</f>
        <v>1</v>
      </c>
      <c r="DE18" s="38">
        <f>EXP(-'Data Bonds'!AZ17*AW18)</f>
        <v>1</v>
      </c>
      <c r="DF18" s="38">
        <f>EXP(-'Data Bonds'!BA17*AX18)</f>
        <v>1</v>
      </c>
      <c r="DG18" s="38">
        <f>EXP(-'Data Bonds'!BB17*AY18)</f>
        <v>1</v>
      </c>
      <c r="DH18" s="38">
        <f>EXP(-'Data Bonds'!BC17*AZ18)</f>
        <v>1</v>
      </c>
      <c r="DI18" s="38">
        <f>EXP(-'Data Bonds'!BD17*BA18)</f>
        <v>1</v>
      </c>
      <c r="DJ18" s="38">
        <f>EXP(-'Data Bonds'!BE17*BB18)</f>
        <v>1</v>
      </c>
      <c r="DK18" s="38">
        <f>EXP(-'Data Bonds'!BF17*BC18)</f>
        <v>1</v>
      </c>
      <c r="DL18" s="38">
        <f>EXP(-'Data Bonds'!BG17*BD18)</f>
        <v>1</v>
      </c>
      <c r="DM18" s="38">
        <f>EXP(-'Data Bonds'!BH17*BE18)</f>
        <v>1</v>
      </c>
      <c r="DN18" s="38">
        <f>EXP(-'Data Bonds'!BI17*BF18)</f>
        <v>1</v>
      </c>
      <c r="DO18" s="38">
        <f>EXP(-'Data Bonds'!BJ17*BG18)</f>
        <v>1</v>
      </c>
      <c r="DP18" s="38">
        <f>EXP(-'Data Bonds'!BK17*BH18)</f>
        <v>1</v>
      </c>
      <c r="DQ18" s="38">
        <f>EXP(-'Data Bonds'!BL17*BI18)</f>
        <v>1</v>
      </c>
      <c r="DR18" s="38">
        <f>EXP(-'Data Bonds'!BM17*BJ18)</f>
        <v>1</v>
      </c>
      <c r="DS18" s="38">
        <f>EXP(-'Data Bonds'!BN17*BK18)</f>
        <v>1</v>
      </c>
      <c r="DT18" s="38">
        <f>EXP(-'Data Bonds'!BO17*BL18)</f>
        <v>1</v>
      </c>
      <c r="DU18" s="38">
        <f>EXP(-'Data Bonds'!BP17*BM18)</f>
        <v>1</v>
      </c>
      <c r="DV18" s="38">
        <f>EXP(-'Data Bonds'!BQ17*BN18)</f>
        <v>1</v>
      </c>
      <c r="DW18" s="38">
        <f>EXP(-'Data Bonds'!BR17*BO18)</f>
        <v>1</v>
      </c>
      <c r="DX18" s="28">
        <f>SUMPRODUCT(BP18:DW18,'Data Bonds'!BU17:EB17)</f>
        <v>97.88812937172959</v>
      </c>
      <c r="DY18" s="28">
        <f t="shared" si="5"/>
        <v>1.1149803145054031E-2</v>
      </c>
      <c r="EA18" s="33">
        <f t="shared" si="6"/>
        <v>3.5</v>
      </c>
      <c r="EB18" s="29">
        <f t="shared" si="2"/>
        <v>4.9644718397448051E-2</v>
      </c>
      <c r="EC18" s="29">
        <f t="shared" si="3"/>
        <v>0.84050152277086543</v>
      </c>
      <c r="ED18" s="29">
        <f t="shared" si="7"/>
        <v>5.0882856930662718E-2</v>
      </c>
      <c r="EE18" s="32"/>
      <c r="EF18" s="32"/>
      <c r="EG18" s="32"/>
      <c r="EI18" s="34"/>
    </row>
    <row r="19" spans="2:139">
      <c r="B19" s="27">
        <f>'Data Bonds'!E18</f>
        <v>0</v>
      </c>
      <c r="C19" s="27">
        <f>'Data Bonds'!F18</f>
        <v>97.900291999999993</v>
      </c>
      <c r="D19" s="27">
        <f>'Data Bonds'!G18</f>
        <v>97.904764</v>
      </c>
      <c r="E19" s="27">
        <f>'Data Bonds'!I18</f>
        <v>0</v>
      </c>
      <c r="F19" s="40">
        <f>'Data Bonds'!H18</f>
        <v>0.43888888888888888</v>
      </c>
      <c r="G19" s="28">
        <f t="shared" si="4"/>
        <v>97.90252799999999</v>
      </c>
      <c r="H19" s="45">
        <f>IF('Data Bonds'!K18=0,0,theta0+(theta1+theta2)*(1-EXP(-'Data Bonds'!K18/la))/('Data Bonds'!K18/la)-theta2*EXP(-'Data Bonds'!K18/la))</f>
        <v>5.0836853358355895E-2</v>
      </c>
      <c r="I19" s="45">
        <f>IF('Data Bonds'!L18=0,0,theta0+(theta1+theta2)*(1-EXP(-'Data Bonds'!L18/la))/('Data Bonds'!L18/la)-theta2*EXP(-'Data Bonds'!L18/la))</f>
        <v>0</v>
      </c>
      <c r="J19" s="45">
        <f>IF('Data Bonds'!M18=0,0,theta0+(theta1+theta2)*(1-EXP(-'Data Bonds'!M18/la))/('Data Bonds'!M18/la)-theta2*EXP(-'Data Bonds'!M18/la))</f>
        <v>0</v>
      </c>
      <c r="K19" s="45">
        <f>IF('Data Bonds'!N18=0,0,theta0+(theta1+theta2)*(1-EXP(-'Data Bonds'!N18/la))/('Data Bonds'!N18/la)-theta2*EXP(-'Data Bonds'!N18/la))</f>
        <v>0</v>
      </c>
      <c r="L19" s="45">
        <f>IF('Data Bonds'!O18=0,0,theta0+(theta1+theta2)*(1-EXP(-'Data Bonds'!O18/la))/('Data Bonds'!O18/la)-theta2*EXP(-'Data Bonds'!O18/la))</f>
        <v>0</v>
      </c>
      <c r="M19" s="45">
        <f>IF('Data Bonds'!P18=0,0,theta0+(theta1+theta2)*(1-EXP(-'Data Bonds'!P18/la))/('Data Bonds'!P18/la)-theta2*EXP(-'Data Bonds'!P18/la))</f>
        <v>0</v>
      </c>
      <c r="N19" s="45">
        <f>IF('Data Bonds'!Q18=0,0,theta0+(theta1+theta2)*(1-EXP(-'Data Bonds'!Q18/la))/('Data Bonds'!Q18/la)-theta2*EXP(-'Data Bonds'!Q18/la))</f>
        <v>0</v>
      </c>
      <c r="O19" s="45">
        <f>IF('Data Bonds'!R18=0,0,theta0+(theta1+theta2)*(1-EXP(-'Data Bonds'!R18/la))/('Data Bonds'!R18/la)-theta2*EXP(-'Data Bonds'!R18/la))</f>
        <v>0</v>
      </c>
      <c r="P19" s="45">
        <f>IF('Data Bonds'!S18=0,0,theta0+(theta1+theta2)*(1-EXP(-'Data Bonds'!S18/la))/('Data Bonds'!S18/la)-theta2*EXP(-'Data Bonds'!S18/la))</f>
        <v>0</v>
      </c>
      <c r="Q19" s="45">
        <f>IF('Data Bonds'!T18=0,0,theta0+(theta1+theta2)*(1-EXP(-'Data Bonds'!T18/la))/('Data Bonds'!T18/la)-theta2*EXP(-'Data Bonds'!T18/la))</f>
        <v>0</v>
      </c>
      <c r="R19" s="45">
        <f>IF('Data Bonds'!U18=0,0,theta0+(theta1+theta2)*(1-EXP(-'Data Bonds'!U18/la))/('Data Bonds'!U18/la)-theta2*EXP(-'Data Bonds'!U18/la))</f>
        <v>0</v>
      </c>
      <c r="S19" s="45">
        <f>IF('Data Bonds'!V18=0,0,theta0+(theta1+theta2)*(1-EXP(-'Data Bonds'!V18/la))/('Data Bonds'!V18/la)-theta2*EXP(-'Data Bonds'!V18/la))</f>
        <v>0</v>
      </c>
      <c r="T19" s="45">
        <f>IF('Data Bonds'!W18=0,0,theta0+(theta1+theta2)*(1-EXP(-'Data Bonds'!W18/la))/('Data Bonds'!W18/la)-theta2*EXP(-'Data Bonds'!W18/la))</f>
        <v>0</v>
      </c>
      <c r="U19" s="45">
        <f>IF('Data Bonds'!X18=0,0,theta0+(theta1+theta2)*(1-EXP(-'Data Bonds'!X18/la))/('Data Bonds'!X18/la)-theta2*EXP(-'Data Bonds'!X18/la))</f>
        <v>0</v>
      </c>
      <c r="V19" s="45">
        <f>IF('Data Bonds'!Y18=0,0,theta0+(theta1+theta2)*(1-EXP(-'Data Bonds'!Y18/la))/('Data Bonds'!Y18/la)-theta2*EXP(-'Data Bonds'!Y18/la))</f>
        <v>0</v>
      </c>
      <c r="W19" s="45">
        <f>IF('Data Bonds'!Z18=0,0,theta0+(theta1+theta2)*(1-EXP(-'Data Bonds'!Z18/la))/('Data Bonds'!Z18/la)-theta2*EXP(-'Data Bonds'!Z18/la))</f>
        <v>0</v>
      </c>
      <c r="X19" s="45">
        <f>IF('Data Bonds'!AA18=0,0,theta0+(theta1+theta2)*(1-EXP(-'Data Bonds'!AA18/la))/('Data Bonds'!AA18/la)-theta2*EXP(-'Data Bonds'!AA18/la))</f>
        <v>0</v>
      </c>
      <c r="Y19" s="45">
        <f>IF('Data Bonds'!AB18=0,0,theta0+(theta1+theta2)*(1-EXP(-'Data Bonds'!AB18/la))/('Data Bonds'!AB18/la)-theta2*EXP(-'Data Bonds'!AB18/la))</f>
        <v>0</v>
      </c>
      <c r="Z19" s="45">
        <f>IF('Data Bonds'!AC18=0,0,theta0+(theta1+theta2)*(1-EXP(-'Data Bonds'!AC18/la))/('Data Bonds'!AC18/la)-theta2*EXP(-'Data Bonds'!AC18/la))</f>
        <v>0</v>
      </c>
      <c r="AA19" s="45">
        <f>IF('Data Bonds'!AD18=0,0,theta0+(theta1+theta2)*(1-EXP(-'Data Bonds'!AD18/la))/('Data Bonds'!AD18/la)-theta2*EXP(-'Data Bonds'!AD18/la))</f>
        <v>0</v>
      </c>
      <c r="AB19" s="45">
        <f>IF('Data Bonds'!AE18=0,0,theta0+(theta1+theta2)*(1-EXP(-'Data Bonds'!AE18/la))/('Data Bonds'!AE18/la)-theta2*EXP(-'Data Bonds'!AE18/la))</f>
        <v>0</v>
      </c>
      <c r="AC19" s="45">
        <f>IF('Data Bonds'!AF18=0,0,theta0+(theta1+theta2)*(1-EXP(-'Data Bonds'!AF18/la))/('Data Bonds'!AF18/la)-theta2*EXP(-'Data Bonds'!AF18/la))</f>
        <v>0</v>
      </c>
      <c r="AD19" s="45">
        <f>IF('Data Bonds'!AG18=0,0,theta0+(theta1+theta2)*(1-EXP(-'Data Bonds'!AG18/la))/('Data Bonds'!AG18/la)-theta2*EXP(-'Data Bonds'!AG18/la))</f>
        <v>0</v>
      </c>
      <c r="AE19" s="45">
        <f>IF('Data Bonds'!AH18=0,0,theta0+(theta1+theta2)*(1-EXP(-'Data Bonds'!AH18/la))/('Data Bonds'!AH18/la)-theta2*EXP(-'Data Bonds'!AH18/la))</f>
        <v>0</v>
      </c>
      <c r="AF19" s="45">
        <f>IF('Data Bonds'!AI18=0,0,theta0+(theta1+theta2)*(1-EXP(-'Data Bonds'!AI18/la))/('Data Bonds'!AI18/la)-theta2*EXP(-'Data Bonds'!AI18/la))</f>
        <v>0</v>
      </c>
      <c r="AG19" s="45">
        <f>IF('Data Bonds'!AJ18=0,0,theta0+(theta1+theta2)*(1-EXP(-'Data Bonds'!AJ18/la))/('Data Bonds'!AJ18/la)-theta2*EXP(-'Data Bonds'!AJ18/la))</f>
        <v>0</v>
      </c>
      <c r="AH19" s="45">
        <f>IF('Data Bonds'!AK18=0,0,theta0+(theta1+theta2)*(1-EXP(-'Data Bonds'!AK18/la))/('Data Bonds'!AK18/la)-theta2*EXP(-'Data Bonds'!AK18/la))</f>
        <v>0</v>
      </c>
      <c r="AI19" s="45">
        <f>IF('Data Bonds'!AL18=0,0,theta0+(theta1+theta2)*(1-EXP(-'Data Bonds'!AL18/la))/('Data Bonds'!AL18/la)-theta2*EXP(-'Data Bonds'!AL18/la))</f>
        <v>0</v>
      </c>
      <c r="AJ19" s="45">
        <f>IF('Data Bonds'!AM18=0,0,theta0+(theta1+theta2)*(1-EXP(-'Data Bonds'!AM18/la))/('Data Bonds'!AM18/la)-theta2*EXP(-'Data Bonds'!AM18/la))</f>
        <v>0</v>
      </c>
      <c r="AK19" s="45">
        <f>IF('Data Bonds'!AN18=0,0,theta0+(theta1+theta2)*(1-EXP(-'Data Bonds'!AN18/la))/('Data Bonds'!AN18/la)-theta2*EXP(-'Data Bonds'!AN18/la))</f>
        <v>0</v>
      </c>
      <c r="AL19" s="45">
        <f>IF('Data Bonds'!AO18=0,0,theta0+(theta1+theta2)*(1-EXP(-'Data Bonds'!AO18/la))/('Data Bonds'!AO18/la)-theta2*EXP(-'Data Bonds'!AO18/la))</f>
        <v>0</v>
      </c>
      <c r="AM19" s="45">
        <f>IF('Data Bonds'!AP18=0,0,theta0+(theta1+theta2)*(1-EXP(-'Data Bonds'!AP18/la))/('Data Bonds'!AP18/la)-theta2*EXP(-'Data Bonds'!AP18/la))</f>
        <v>0</v>
      </c>
      <c r="AN19" s="45">
        <f>IF('Data Bonds'!AQ18=0,0,theta0+(theta1+theta2)*(1-EXP(-'Data Bonds'!AQ18/la))/('Data Bonds'!AQ18/la)-theta2*EXP(-'Data Bonds'!AQ18/la))</f>
        <v>0</v>
      </c>
      <c r="AO19" s="45">
        <f>IF('Data Bonds'!AR18=0,0,theta0+(theta1+theta2)*(1-EXP(-'Data Bonds'!AR18/la))/('Data Bonds'!AR18/la)-theta2*EXP(-'Data Bonds'!AR18/la))</f>
        <v>0</v>
      </c>
      <c r="AP19" s="45">
        <f>IF('Data Bonds'!AS18=0,0,theta0+(theta1+theta2)*(1-EXP(-'Data Bonds'!AS18/la))/('Data Bonds'!AS18/la)-theta2*EXP(-'Data Bonds'!AS18/la))</f>
        <v>0</v>
      </c>
      <c r="AQ19" s="45">
        <f>IF('Data Bonds'!AT18=0,0,theta0+(theta1+theta2)*(1-EXP(-'Data Bonds'!AT18/la))/('Data Bonds'!AT18/la)-theta2*EXP(-'Data Bonds'!AT18/la))</f>
        <v>0</v>
      </c>
      <c r="AR19" s="45">
        <f>IF('Data Bonds'!AU18=0,0,theta0+(theta1+theta2)*(1-EXP(-'Data Bonds'!AU18/la))/('Data Bonds'!AU18/la)-theta2*EXP(-'Data Bonds'!AU18/la))</f>
        <v>0</v>
      </c>
      <c r="AS19" s="45">
        <f>IF('Data Bonds'!AV18=0,0,theta0+(theta1+theta2)*(1-EXP(-'Data Bonds'!AV18/la))/('Data Bonds'!AV18/la)-theta2*EXP(-'Data Bonds'!AV18/la))</f>
        <v>0</v>
      </c>
      <c r="AT19" s="45">
        <f>IF('Data Bonds'!AW18=0,0,theta0+(theta1+theta2)*(1-EXP(-'Data Bonds'!AW18/la))/('Data Bonds'!AW18/la)-theta2*EXP(-'Data Bonds'!AW18/la))</f>
        <v>0</v>
      </c>
      <c r="AU19" s="45">
        <f>IF('Data Bonds'!AX18=0,0,theta0+(theta1+theta2)*(1-EXP(-'Data Bonds'!AX18/la))/('Data Bonds'!AX18/la)-theta2*EXP(-'Data Bonds'!AX18/la))</f>
        <v>0</v>
      </c>
      <c r="AV19" s="45">
        <f>IF('Data Bonds'!AY18=0,0,theta0+(theta1+theta2)*(1-EXP(-'Data Bonds'!AY18/la))/('Data Bonds'!AY18/la)-theta2*EXP(-'Data Bonds'!AY18/la))</f>
        <v>0</v>
      </c>
      <c r="AW19" s="45">
        <f>IF('Data Bonds'!AZ18=0,0,theta0+(theta1+theta2)*(1-EXP(-'Data Bonds'!AZ18/la))/('Data Bonds'!AZ18/la)-theta2*EXP(-'Data Bonds'!AZ18/la))</f>
        <v>0</v>
      </c>
      <c r="AX19" s="45">
        <f>IF('Data Bonds'!BA18=0,0,theta0+(theta1+theta2)*(1-EXP(-'Data Bonds'!BA18/la))/('Data Bonds'!BA18/la)-theta2*EXP(-'Data Bonds'!BA18/la))</f>
        <v>0</v>
      </c>
      <c r="AY19" s="45">
        <f>IF('Data Bonds'!BB18=0,0,theta0+(theta1+theta2)*(1-EXP(-'Data Bonds'!BB18/la))/('Data Bonds'!BB18/la)-theta2*EXP(-'Data Bonds'!BB18/la))</f>
        <v>0</v>
      </c>
      <c r="AZ19" s="45">
        <f>IF('Data Bonds'!BC18=0,0,theta0+(theta1+theta2)*(1-EXP(-'Data Bonds'!BC18/la))/('Data Bonds'!BC18/la)-theta2*EXP(-'Data Bonds'!BC18/la))</f>
        <v>0</v>
      </c>
      <c r="BA19" s="45">
        <f>IF('Data Bonds'!BD18=0,0,theta0+(theta1+theta2)*(1-EXP(-'Data Bonds'!BD18/la))/('Data Bonds'!BD18/la)-theta2*EXP(-'Data Bonds'!BD18/la))</f>
        <v>0</v>
      </c>
      <c r="BB19" s="45">
        <f>IF('Data Bonds'!BE18=0,0,theta0+(theta1+theta2)*(1-EXP(-'Data Bonds'!BE18/la))/('Data Bonds'!BE18/la)-theta2*EXP(-'Data Bonds'!BE18/la))</f>
        <v>0</v>
      </c>
      <c r="BC19" s="45">
        <f>IF('Data Bonds'!BF18=0,0,theta0+(theta1+theta2)*(1-EXP(-'Data Bonds'!BF18/la))/('Data Bonds'!BF18/la)-theta2*EXP(-'Data Bonds'!BF18/la))</f>
        <v>0</v>
      </c>
      <c r="BD19" s="45">
        <f>IF('Data Bonds'!BG18=0,0,theta0+(theta1+theta2)*(1-EXP(-'Data Bonds'!BG18/la))/('Data Bonds'!BG18/la)-theta2*EXP(-'Data Bonds'!BG18/la))</f>
        <v>0</v>
      </c>
      <c r="BE19" s="45">
        <f>IF('Data Bonds'!BH18=0,0,theta0+(theta1+theta2)*(1-EXP(-'Data Bonds'!BH18/la))/('Data Bonds'!BH18/la)-theta2*EXP(-'Data Bonds'!BH18/la))</f>
        <v>0</v>
      </c>
      <c r="BF19" s="45">
        <f>IF('Data Bonds'!BI18=0,0,theta0+(theta1+theta2)*(1-EXP(-'Data Bonds'!BI18/la))/('Data Bonds'!BI18/la)-theta2*EXP(-'Data Bonds'!BI18/la))</f>
        <v>0</v>
      </c>
      <c r="BG19" s="45">
        <f>IF('Data Bonds'!BJ18=0,0,theta0+(theta1+theta2)*(1-EXP(-'Data Bonds'!BJ18/la))/('Data Bonds'!BJ18/la)-theta2*EXP(-'Data Bonds'!BJ18/la))</f>
        <v>0</v>
      </c>
      <c r="BH19" s="45">
        <f>IF('Data Bonds'!BK18=0,0,theta0+(theta1+theta2)*(1-EXP(-'Data Bonds'!BK18/la))/('Data Bonds'!BK18/la)-theta2*EXP(-'Data Bonds'!BK18/la))</f>
        <v>0</v>
      </c>
      <c r="BI19" s="45">
        <f>IF('Data Bonds'!BL18=0,0,theta0+(theta1+theta2)*(1-EXP(-'Data Bonds'!BL18/la))/('Data Bonds'!BL18/la)-theta2*EXP(-'Data Bonds'!BL18/la))</f>
        <v>0</v>
      </c>
      <c r="BJ19" s="45">
        <f>IF('Data Bonds'!BM18=0,0,theta0+(theta1+theta2)*(1-EXP(-'Data Bonds'!BM18/la))/('Data Bonds'!BM18/la)-theta2*EXP(-'Data Bonds'!BM18/la))</f>
        <v>0</v>
      </c>
      <c r="BK19" s="45">
        <f>IF('Data Bonds'!BN18=0,0,theta0+(theta1+theta2)*(1-EXP(-'Data Bonds'!BN18/la))/('Data Bonds'!BN18/la)-theta2*EXP(-'Data Bonds'!BN18/la))</f>
        <v>0</v>
      </c>
      <c r="BL19" s="45">
        <f>IF('Data Bonds'!BO18=0,0,theta0+(theta1+theta2)*(1-EXP(-'Data Bonds'!BO18/la))/('Data Bonds'!BO18/la)-theta2*EXP(-'Data Bonds'!BO18/la))</f>
        <v>0</v>
      </c>
      <c r="BM19" s="45">
        <f>IF('Data Bonds'!BP18=0,0,theta0+(theta1+theta2)*(1-EXP(-'Data Bonds'!BP18/la))/('Data Bonds'!BP18/la)-theta2*EXP(-'Data Bonds'!BP18/la))</f>
        <v>0</v>
      </c>
      <c r="BN19" s="45">
        <f>IF('Data Bonds'!BQ18=0,0,theta0+(theta1+theta2)*(1-EXP(-'Data Bonds'!BQ18/la))/('Data Bonds'!BQ18/la)-theta2*EXP(-'Data Bonds'!BQ18/la))</f>
        <v>0</v>
      </c>
      <c r="BO19" s="45">
        <f>IF('Data Bonds'!BR18=0,0,theta0+(theta1+theta2)*(1-EXP(-'Data Bonds'!BR18/la))/('Data Bonds'!BR18/la)-theta2*EXP(-'Data Bonds'!BR18/la))</f>
        <v>0</v>
      </c>
      <c r="BP19" s="38">
        <f>EXP(-'Data Bonds'!K18*H19)</f>
        <v>0.977935335665157</v>
      </c>
      <c r="BQ19" s="38">
        <f>EXP(-'Data Bonds'!L18*I19)</f>
        <v>1</v>
      </c>
      <c r="BR19" s="38">
        <f>EXP(-'Data Bonds'!M18*J19)</f>
        <v>1</v>
      </c>
      <c r="BS19" s="38">
        <f>EXP(-'Data Bonds'!N18*K19)</f>
        <v>1</v>
      </c>
      <c r="BT19" s="38">
        <f>EXP(-'Data Bonds'!O18*L19)</f>
        <v>1</v>
      </c>
      <c r="BU19" s="38">
        <f>EXP(-'Data Bonds'!P18*M19)</f>
        <v>1</v>
      </c>
      <c r="BV19" s="38">
        <f>EXP(-'Data Bonds'!Q18*N19)</f>
        <v>1</v>
      </c>
      <c r="BW19" s="38">
        <f>EXP(-'Data Bonds'!R18*O19)</f>
        <v>1</v>
      </c>
      <c r="BX19" s="38">
        <f>EXP(-'Data Bonds'!S18*P19)</f>
        <v>1</v>
      </c>
      <c r="BY19" s="38">
        <f>EXP(-'Data Bonds'!T18*Q19)</f>
        <v>1</v>
      </c>
      <c r="BZ19" s="38">
        <f>EXP(-'Data Bonds'!U18*R19)</f>
        <v>1</v>
      </c>
      <c r="CA19" s="38">
        <f>EXP(-'Data Bonds'!V18*S19)</f>
        <v>1</v>
      </c>
      <c r="CB19" s="38">
        <f>EXP(-'Data Bonds'!W18*T19)</f>
        <v>1</v>
      </c>
      <c r="CC19" s="38">
        <f>EXP(-'Data Bonds'!X18*U19)</f>
        <v>1</v>
      </c>
      <c r="CD19" s="38">
        <f>EXP(-'Data Bonds'!Y18*V19)</f>
        <v>1</v>
      </c>
      <c r="CE19" s="38">
        <f>EXP(-'Data Bonds'!Z18*W19)</f>
        <v>1</v>
      </c>
      <c r="CF19" s="38">
        <f>EXP(-'Data Bonds'!AA18*X19)</f>
        <v>1</v>
      </c>
      <c r="CG19" s="38">
        <f>EXP(-'Data Bonds'!AB18*Y19)</f>
        <v>1</v>
      </c>
      <c r="CH19" s="38">
        <f>EXP(-'Data Bonds'!AC18*Z19)</f>
        <v>1</v>
      </c>
      <c r="CI19" s="38">
        <f>EXP(-'Data Bonds'!AD18*AA19)</f>
        <v>1</v>
      </c>
      <c r="CJ19" s="38">
        <f>EXP(-'Data Bonds'!AE18*AB19)</f>
        <v>1</v>
      </c>
      <c r="CK19" s="38">
        <f>EXP(-'Data Bonds'!AF18*AC19)</f>
        <v>1</v>
      </c>
      <c r="CL19" s="38">
        <f>EXP(-'Data Bonds'!AG18*AD19)</f>
        <v>1</v>
      </c>
      <c r="CM19" s="38">
        <f>EXP(-'Data Bonds'!AH18*AE19)</f>
        <v>1</v>
      </c>
      <c r="CN19" s="38">
        <f>EXP(-'Data Bonds'!AI18*AF19)</f>
        <v>1</v>
      </c>
      <c r="CO19" s="38">
        <f>EXP(-'Data Bonds'!AJ18*AG19)</f>
        <v>1</v>
      </c>
      <c r="CP19" s="38">
        <f>EXP(-'Data Bonds'!AK18*AH19)</f>
        <v>1</v>
      </c>
      <c r="CQ19" s="38">
        <f>EXP(-'Data Bonds'!AL18*AI19)</f>
        <v>1</v>
      </c>
      <c r="CR19" s="38">
        <f>EXP(-'Data Bonds'!AM18*AJ19)</f>
        <v>1</v>
      </c>
      <c r="CS19" s="38">
        <f>EXP(-'Data Bonds'!AN18*AK19)</f>
        <v>1</v>
      </c>
      <c r="CT19" s="38">
        <f>EXP(-'Data Bonds'!AO18*AL19)</f>
        <v>1</v>
      </c>
      <c r="CU19" s="38">
        <f>EXP(-'Data Bonds'!AP18*AM19)</f>
        <v>1</v>
      </c>
      <c r="CV19" s="38">
        <f>EXP(-'Data Bonds'!AQ18*AN19)</f>
        <v>1</v>
      </c>
      <c r="CW19" s="38">
        <f>EXP(-'Data Bonds'!AR18*AO19)</f>
        <v>1</v>
      </c>
      <c r="CX19" s="38">
        <f>EXP(-'Data Bonds'!AS18*AP19)</f>
        <v>1</v>
      </c>
      <c r="CY19" s="38">
        <f>EXP(-'Data Bonds'!AT18*AQ19)</f>
        <v>1</v>
      </c>
      <c r="CZ19" s="38">
        <f>EXP(-'Data Bonds'!AU18*AR19)</f>
        <v>1</v>
      </c>
      <c r="DA19" s="38">
        <f>EXP(-'Data Bonds'!AV18*AS19)</f>
        <v>1</v>
      </c>
      <c r="DB19" s="38">
        <f>EXP(-'Data Bonds'!AW18*AT19)</f>
        <v>1</v>
      </c>
      <c r="DC19" s="38">
        <f>EXP(-'Data Bonds'!AX18*AU19)</f>
        <v>1</v>
      </c>
      <c r="DD19" s="38">
        <f>EXP(-'Data Bonds'!AY18*AV19)</f>
        <v>1</v>
      </c>
      <c r="DE19" s="38">
        <f>EXP(-'Data Bonds'!AZ18*AW19)</f>
        <v>1</v>
      </c>
      <c r="DF19" s="38">
        <f>EXP(-'Data Bonds'!BA18*AX19)</f>
        <v>1</v>
      </c>
      <c r="DG19" s="38">
        <f>EXP(-'Data Bonds'!BB18*AY19)</f>
        <v>1</v>
      </c>
      <c r="DH19" s="38">
        <f>EXP(-'Data Bonds'!BC18*AZ19)</f>
        <v>1</v>
      </c>
      <c r="DI19" s="38">
        <f>EXP(-'Data Bonds'!BD18*BA19)</f>
        <v>1</v>
      </c>
      <c r="DJ19" s="38">
        <f>EXP(-'Data Bonds'!BE18*BB19)</f>
        <v>1</v>
      </c>
      <c r="DK19" s="38">
        <f>EXP(-'Data Bonds'!BF18*BC19)</f>
        <v>1</v>
      </c>
      <c r="DL19" s="38">
        <f>EXP(-'Data Bonds'!BG18*BD19)</f>
        <v>1</v>
      </c>
      <c r="DM19" s="38">
        <f>EXP(-'Data Bonds'!BH18*BE19)</f>
        <v>1</v>
      </c>
      <c r="DN19" s="38">
        <f>EXP(-'Data Bonds'!BI18*BF19)</f>
        <v>1</v>
      </c>
      <c r="DO19" s="38">
        <f>EXP(-'Data Bonds'!BJ18*BG19)</f>
        <v>1</v>
      </c>
      <c r="DP19" s="38">
        <f>EXP(-'Data Bonds'!BK18*BH19)</f>
        <v>1</v>
      </c>
      <c r="DQ19" s="38">
        <f>EXP(-'Data Bonds'!BL18*BI19)</f>
        <v>1</v>
      </c>
      <c r="DR19" s="38">
        <f>EXP(-'Data Bonds'!BM18*BJ19)</f>
        <v>1</v>
      </c>
      <c r="DS19" s="38">
        <f>EXP(-'Data Bonds'!BN18*BK19)</f>
        <v>1</v>
      </c>
      <c r="DT19" s="38">
        <f>EXP(-'Data Bonds'!BO18*BL19)</f>
        <v>1</v>
      </c>
      <c r="DU19" s="38">
        <f>EXP(-'Data Bonds'!BP18*BM19)</f>
        <v>1</v>
      </c>
      <c r="DV19" s="38">
        <f>EXP(-'Data Bonds'!BQ18*BN19)</f>
        <v>1</v>
      </c>
      <c r="DW19" s="38">
        <f>EXP(-'Data Bonds'!BR18*BO19)</f>
        <v>1</v>
      </c>
      <c r="DX19" s="28">
        <f>SUMPRODUCT(BP19:DW19,'Data Bonds'!BU18:EB18)</f>
        <v>97.793533566515706</v>
      </c>
      <c r="DY19" s="28">
        <f t="shared" si="5"/>
        <v>1.1879786530560023E-2</v>
      </c>
      <c r="EA19" s="33">
        <f t="shared" si="6"/>
        <v>4</v>
      </c>
      <c r="EB19" s="29">
        <f t="shared" si="2"/>
        <v>4.987378986114558E-2</v>
      </c>
      <c r="EC19" s="29">
        <f t="shared" si="3"/>
        <v>0.81914418591615434</v>
      </c>
      <c r="ED19" s="29">
        <f t="shared" si="7"/>
        <v>5.147729010702818E-2</v>
      </c>
      <c r="EE19" s="32"/>
      <c r="EF19" s="32"/>
      <c r="EG19" s="32"/>
      <c r="EI19" s="34"/>
    </row>
    <row r="20" spans="2:139">
      <c r="B20" s="27">
        <f>'Data Bonds'!E19</f>
        <v>0</v>
      </c>
      <c r="C20" s="27">
        <f>'Data Bonds'!F19</f>
        <v>97.591027999999994</v>
      </c>
      <c r="D20" s="27">
        <f>'Data Bonds'!G19</f>
        <v>97.596082999999993</v>
      </c>
      <c r="E20" s="27">
        <f>'Data Bonds'!I19</f>
        <v>0</v>
      </c>
      <c r="F20" s="40">
        <f>'Data Bonds'!H19</f>
        <v>0.49722222222222223</v>
      </c>
      <c r="G20" s="28">
        <f t="shared" si="4"/>
        <v>97.593555499999994</v>
      </c>
      <c r="H20" s="45">
        <f>IF('Data Bonds'!K19=0,0,theta0+(theta1+theta2)*(1-EXP(-'Data Bonds'!K19/la))/('Data Bonds'!K19/la)-theta2*EXP(-'Data Bonds'!K19/la))</f>
        <v>5.0688941884177011E-2</v>
      </c>
      <c r="I20" s="45">
        <f>IF('Data Bonds'!L19=0,0,theta0+(theta1+theta2)*(1-EXP(-'Data Bonds'!L19/la))/('Data Bonds'!L19/la)-theta2*EXP(-'Data Bonds'!L19/la))</f>
        <v>0</v>
      </c>
      <c r="J20" s="45">
        <f>IF('Data Bonds'!M19=0,0,theta0+(theta1+theta2)*(1-EXP(-'Data Bonds'!M19/la))/('Data Bonds'!M19/la)-theta2*EXP(-'Data Bonds'!M19/la))</f>
        <v>0</v>
      </c>
      <c r="K20" s="45">
        <f>IF('Data Bonds'!N19=0,0,theta0+(theta1+theta2)*(1-EXP(-'Data Bonds'!N19/la))/('Data Bonds'!N19/la)-theta2*EXP(-'Data Bonds'!N19/la))</f>
        <v>0</v>
      </c>
      <c r="L20" s="45">
        <f>IF('Data Bonds'!O19=0,0,theta0+(theta1+theta2)*(1-EXP(-'Data Bonds'!O19/la))/('Data Bonds'!O19/la)-theta2*EXP(-'Data Bonds'!O19/la))</f>
        <v>0</v>
      </c>
      <c r="M20" s="45">
        <f>IF('Data Bonds'!P19=0,0,theta0+(theta1+theta2)*(1-EXP(-'Data Bonds'!P19/la))/('Data Bonds'!P19/la)-theta2*EXP(-'Data Bonds'!P19/la))</f>
        <v>0</v>
      </c>
      <c r="N20" s="45">
        <f>IF('Data Bonds'!Q19=0,0,theta0+(theta1+theta2)*(1-EXP(-'Data Bonds'!Q19/la))/('Data Bonds'!Q19/la)-theta2*EXP(-'Data Bonds'!Q19/la))</f>
        <v>0</v>
      </c>
      <c r="O20" s="45">
        <f>IF('Data Bonds'!R19=0,0,theta0+(theta1+theta2)*(1-EXP(-'Data Bonds'!R19/la))/('Data Bonds'!R19/la)-theta2*EXP(-'Data Bonds'!R19/la))</f>
        <v>0</v>
      </c>
      <c r="P20" s="45">
        <f>IF('Data Bonds'!S19=0,0,theta0+(theta1+theta2)*(1-EXP(-'Data Bonds'!S19/la))/('Data Bonds'!S19/la)-theta2*EXP(-'Data Bonds'!S19/la))</f>
        <v>0</v>
      </c>
      <c r="Q20" s="45">
        <f>IF('Data Bonds'!T19=0,0,theta0+(theta1+theta2)*(1-EXP(-'Data Bonds'!T19/la))/('Data Bonds'!T19/la)-theta2*EXP(-'Data Bonds'!T19/la))</f>
        <v>0</v>
      </c>
      <c r="R20" s="45">
        <f>IF('Data Bonds'!U19=0,0,theta0+(theta1+theta2)*(1-EXP(-'Data Bonds'!U19/la))/('Data Bonds'!U19/la)-theta2*EXP(-'Data Bonds'!U19/la))</f>
        <v>0</v>
      </c>
      <c r="S20" s="45">
        <f>IF('Data Bonds'!V19=0,0,theta0+(theta1+theta2)*(1-EXP(-'Data Bonds'!V19/la))/('Data Bonds'!V19/la)-theta2*EXP(-'Data Bonds'!V19/la))</f>
        <v>0</v>
      </c>
      <c r="T20" s="45">
        <f>IF('Data Bonds'!W19=0,0,theta0+(theta1+theta2)*(1-EXP(-'Data Bonds'!W19/la))/('Data Bonds'!W19/la)-theta2*EXP(-'Data Bonds'!W19/la))</f>
        <v>0</v>
      </c>
      <c r="U20" s="45">
        <f>IF('Data Bonds'!X19=0,0,theta0+(theta1+theta2)*(1-EXP(-'Data Bonds'!X19/la))/('Data Bonds'!X19/la)-theta2*EXP(-'Data Bonds'!X19/la))</f>
        <v>0</v>
      </c>
      <c r="V20" s="45">
        <f>IF('Data Bonds'!Y19=0,0,theta0+(theta1+theta2)*(1-EXP(-'Data Bonds'!Y19/la))/('Data Bonds'!Y19/la)-theta2*EXP(-'Data Bonds'!Y19/la))</f>
        <v>0</v>
      </c>
      <c r="W20" s="45">
        <f>IF('Data Bonds'!Z19=0,0,theta0+(theta1+theta2)*(1-EXP(-'Data Bonds'!Z19/la))/('Data Bonds'!Z19/la)-theta2*EXP(-'Data Bonds'!Z19/la))</f>
        <v>0</v>
      </c>
      <c r="X20" s="45">
        <f>IF('Data Bonds'!AA19=0,0,theta0+(theta1+theta2)*(1-EXP(-'Data Bonds'!AA19/la))/('Data Bonds'!AA19/la)-theta2*EXP(-'Data Bonds'!AA19/la))</f>
        <v>0</v>
      </c>
      <c r="Y20" s="45">
        <f>IF('Data Bonds'!AB19=0,0,theta0+(theta1+theta2)*(1-EXP(-'Data Bonds'!AB19/la))/('Data Bonds'!AB19/la)-theta2*EXP(-'Data Bonds'!AB19/la))</f>
        <v>0</v>
      </c>
      <c r="Z20" s="45">
        <f>IF('Data Bonds'!AC19=0,0,theta0+(theta1+theta2)*(1-EXP(-'Data Bonds'!AC19/la))/('Data Bonds'!AC19/la)-theta2*EXP(-'Data Bonds'!AC19/la))</f>
        <v>0</v>
      </c>
      <c r="AA20" s="45">
        <f>IF('Data Bonds'!AD19=0,0,theta0+(theta1+theta2)*(1-EXP(-'Data Bonds'!AD19/la))/('Data Bonds'!AD19/la)-theta2*EXP(-'Data Bonds'!AD19/la))</f>
        <v>0</v>
      </c>
      <c r="AB20" s="45">
        <f>IF('Data Bonds'!AE19=0,0,theta0+(theta1+theta2)*(1-EXP(-'Data Bonds'!AE19/la))/('Data Bonds'!AE19/la)-theta2*EXP(-'Data Bonds'!AE19/la))</f>
        <v>0</v>
      </c>
      <c r="AC20" s="45">
        <f>IF('Data Bonds'!AF19=0,0,theta0+(theta1+theta2)*(1-EXP(-'Data Bonds'!AF19/la))/('Data Bonds'!AF19/la)-theta2*EXP(-'Data Bonds'!AF19/la))</f>
        <v>0</v>
      </c>
      <c r="AD20" s="45">
        <f>IF('Data Bonds'!AG19=0,0,theta0+(theta1+theta2)*(1-EXP(-'Data Bonds'!AG19/la))/('Data Bonds'!AG19/la)-theta2*EXP(-'Data Bonds'!AG19/la))</f>
        <v>0</v>
      </c>
      <c r="AE20" s="45">
        <f>IF('Data Bonds'!AH19=0,0,theta0+(theta1+theta2)*(1-EXP(-'Data Bonds'!AH19/la))/('Data Bonds'!AH19/la)-theta2*EXP(-'Data Bonds'!AH19/la))</f>
        <v>0</v>
      </c>
      <c r="AF20" s="45">
        <f>IF('Data Bonds'!AI19=0,0,theta0+(theta1+theta2)*(1-EXP(-'Data Bonds'!AI19/la))/('Data Bonds'!AI19/la)-theta2*EXP(-'Data Bonds'!AI19/la))</f>
        <v>0</v>
      </c>
      <c r="AG20" s="45">
        <f>IF('Data Bonds'!AJ19=0,0,theta0+(theta1+theta2)*(1-EXP(-'Data Bonds'!AJ19/la))/('Data Bonds'!AJ19/la)-theta2*EXP(-'Data Bonds'!AJ19/la))</f>
        <v>0</v>
      </c>
      <c r="AH20" s="45">
        <f>IF('Data Bonds'!AK19=0,0,theta0+(theta1+theta2)*(1-EXP(-'Data Bonds'!AK19/la))/('Data Bonds'!AK19/la)-theta2*EXP(-'Data Bonds'!AK19/la))</f>
        <v>0</v>
      </c>
      <c r="AI20" s="45">
        <f>IF('Data Bonds'!AL19=0,0,theta0+(theta1+theta2)*(1-EXP(-'Data Bonds'!AL19/la))/('Data Bonds'!AL19/la)-theta2*EXP(-'Data Bonds'!AL19/la))</f>
        <v>0</v>
      </c>
      <c r="AJ20" s="45">
        <f>IF('Data Bonds'!AM19=0,0,theta0+(theta1+theta2)*(1-EXP(-'Data Bonds'!AM19/la))/('Data Bonds'!AM19/la)-theta2*EXP(-'Data Bonds'!AM19/la))</f>
        <v>0</v>
      </c>
      <c r="AK20" s="45">
        <f>IF('Data Bonds'!AN19=0,0,theta0+(theta1+theta2)*(1-EXP(-'Data Bonds'!AN19/la))/('Data Bonds'!AN19/la)-theta2*EXP(-'Data Bonds'!AN19/la))</f>
        <v>0</v>
      </c>
      <c r="AL20" s="45">
        <f>IF('Data Bonds'!AO19=0,0,theta0+(theta1+theta2)*(1-EXP(-'Data Bonds'!AO19/la))/('Data Bonds'!AO19/la)-theta2*EXP(-'Data Bonds'!AO19/la))</f>
        <v>0</v>
      </c>
      <c r="AM20" s="45">
        <f>IF('Data Bonds'!AP19=0,0,theta0+(theta1+theta2)*(1-EXP(-'Data Bonds'!AP19/la))/('Data Bonds'!AP19/la)-theta2*EXP(-'Data Bonds'!AP19/la))</f>
        <v>0</v>
      </c>
      <c r="AN20" s="45">
        <f>IF('Data Bonds'!AQ19=0,0,theta0+(theta1+theta2)*(1-EXP(-'Data Bonds'!AQ19/la))/('Data Bonds'!AQ19/la)-theta2*EXP(-'Data Bonds'!AQ19/la))</f>
        <v>0</v>
      </c>
      <c r="AO20" s="45">
        <f>IF('Data Bonds'!AR19=0,0,theta0+(theta1+theta2)*(1-EXP(-'Data Bonds'!AR19/la))/('Data Bonds'!AR19/la)-theta2*EXP(-'Data Bonds'!AR19/la))</f>
        <v>0</v>
      </c>
      <c r="AP20" s="45">
        <f>IF('Data Bonds'!AS19=0,0,theta0+(theta1+theta2)*(1-EXP(-'Data Bonds'!AS19/la))/('Data Bonds'!AS19/la)-theta2*EXP(-'Data Bonds'!AS19/la))</f>
        <v>0</v>
      </c>
      <c r="AQ20" s="45">
        <f>IF('Data Bonds'!AT19=0,0,theta0+(theta1+theta2)*(1-EXP(-'Data Bonds'!AT19/la))/('Data Bonds'!AT19/la)-theta2*EXP(-'Data Bonds'!AT19/la))</f>
        <v>0</v>
      </c>
      <c r="AR20" s="45">
        <f>IF('Data Bonds'!AU19=0,0,theta0+(theta1+theta2)*(1-EXP(-'Data Bonds'!AU19/la))/('Data Bonds'!AU19/la)-theta2*EXP(-'Data Bonds'!AU19/la))</f>
        <v>0</v>
      </c>
      <c r="AS20" s="45">
        <f>IF('Data Bonds'!AV19=0,0,theta0+(theta1+theta2)*(1-EXP(-'Data Bonds'!AV19/la))/('Data Bonds'!AV19/la)-theta2*EXP(-'Data Bonds'!AV19/la))</f>
        <v>0</v>
      </c>
      <c r="AT20" s="45">
        <f>IF('Data Bonds'!AW19=0,0,theta0+(theta1+theta2)*(1-EXP(-'Data Bonds'!AW19/la))/('Data Bonds'!AW19/la)-theta2*EXP(-'Data Bonds'!AW19/la))</f>
        <v>0</v>
      </c>
      <c r="AU20" s="45">
        <f>IF('Data Bonds'!AX19=0,0,theta0+(theta1+theta2)*(1-EXP(-'Data Bonds'!AX19/la))/('Data Bonds'!AX19/la)-theta2*EXP(-'Data Bonds'!AX19/la))</f>
        <v>0</v>
      </c>
      <c r="AV20" s="45">
        <f>IF('Data Bonds'!AY19=0,0,theta0+(theta1+theta2)*(1-EXP(-'Data Bonds'!AY19/la))/('Data Bonds'!AY19/la)-theta2*EXP(-'Data Bonds'!AY19/la))</f>
        <v>0</v>
      </c>
      <c r="AW20" s="45">
        <f>IF('Data Bonds'!AZ19=0,0,theta0+(theta1+theta2)*(1-EXP(-'Data Bonds'!AZ19/la))/('Data Bonds'!AZ19/la)-theta2*EXP(-'Data Bonds'!AZ19/la))</f>
        <v>0</v>
      </c>
      <c r="AX20" s="45">
        <f>IF('Data Bonds'!BA19=0,0,theta0+(theta1+theta2)*(1-EXP(-'Data Bonds'!BA19/la))/('Data Bonds'!BA19/la)-theta2*EXP(-'Data Bonds'!BA19/la))</f>
        <v>0</v>
      </c>
      <c r="AY20" s="45">
        <f>IF('Data Bonds'!BB19=0,0,theta0+(theta1+theta2)*(1-EXP(-'Data Bonds'!BB19/la))/('Data Bonds'!BB19/la)-theta2*EXP(-'Data Bonds'!BB19/la))</f>
        <v>0</v>
      </c>
      <c r="AZ20" s="45">
        <f>IF('Data Bonds'!BC19=0,0,theta0+(theta1+theta2)*(1-EXP(-'Data Bonds'!BC19/la))/('Data Bonds'!BC19/la)-theta2*EXP(-'Data Bonds'!BC19/la))</f>
        <v>0</v>
      </c>
      <c r="BA20" s="45">
        <f>IF('Data Bonds'!BD19=0,0,theta0+(theta1+theta2)*(1-EXP(-'Data Bonds'!BD19/la))/('Data Bonds'!BD19/la)-theta2*EXP(-'Data Bonds'!BD19/la))</f>
        <v>0</v>
      </c>
      <c r="BB20" s="45">
        <f>IF('Data Bonds'!BE19=0,0,theta0+(theta1+theta2)*(1-EXP(-'Data Bonds'!BE19/la))/('Data Bonds'!BE19/la)-theta2*EXP(-'Data Bonds'!BE19/la))</f>
        <v>0</v>
      </c>
      <c r="BC20" s="45">
        <f>IF('Data Bonds'!BF19=0,0,theta0+(theta1+theta2)*(1-EXP(-'Data Bonds'!BF19/la))/('Data Bonds'!BF19/la)-theta2*EXP(-'Data Bonds'!BF19/la))</f>
        <v>0</v>
      </c>
      <c r="BD20" s="45">
        <f>IF('Data Bonds'!BG19=0,0,theta0+(theta1+theta2)*(1-EXP(-'Data Bonds'!BG19/la))/('Data Bonds'!BG19/la)-theta2*EXP(-'Data Bonds'!BG19/la))</f>
        <v>0</v>
      </c>
      <c r="BE20" s="45">
        <f>IF('Data Bonds'!BH19=0,0,theta0+(theta1+theta2)*(1-EXP(-'Data Bonds'!BH19/la))/('Data Bonds'!BH19/la)-theta2*EXP(-'Data Bonds'!BH19/la))</f>
        <v>0</v>
      </c>
      <c r="BF20" s="45">
        <f>IF('Data Bonds'!BI19=0,0,theta0+(theta1+theta2)*(1-EXP(-'Data Bonds'!BI19/la))/('Data Bonds'!BI19/la)-theta2*EXP(-'Data Bonds'!BI19/la))</f>
        <v>0</v>
      </c>
      <c r="BG20" s="45">
        <f>IF('Data Bonds'!BJ19=0,0,theta0+(theta1+theta2)*(1-EXP(-'Data Bonds'!BJ19/la))/('Data Bonds'!BJ19/la)-theta2*EXP(-'Data Bonds'!BJ19/la))</f>
        <v>0</v>
      </c>
      <c r="BH20" s="45">
        <f>IF('Data Bonds'!BK19=0,0,theta0+(theta1+theta2)*(1-EXP(-'Data Bonds'!BK19/la))/('Data Bonds'!BK19/la)-theta2*EXP(-'Data Bonds'!BK19/la))</f>
        <v>0</v>
      </c>
      <c r="BI20" s="45">
        <f>IF('Data Bonds'!BL19=0,0,theta0+(theta1+theta2)*(1-EXP(-'Data Bonds'!BL19/la))/('Data Bonds'!BL19/la)-theta2*EXP(-'Data Bonds'!BL19/la))</f>
        <v>0</v>
      </c>
      <c r="BJ20" s="45">
        <f>IF('Data Bonds'!BM19=0,0,theta0+(theta1+theta2)*(1-EXP(-'Data Bonds'!BM19/la))/('Data Bonds'!BM19/la)-theta2*EXP(-'Data Bonds'!BM19/la))</f>
        <v>0</v>
      </c>
      <c r="BK20" s="45">
        <f>IF('Data Bonds'!BN19=0,0,theta0+(theta1+theta2)*(1-EXP(-'Data Bonds'!BN19/la))/('Data Bonds'!BN19/la)-theta2*EXP(-'Data Bonds'!BN19/la))</f>
        <v>0</v>
      </c>
      <c r="BL20" s="45">
        <f>IF('Data Bonds'!BO19=0,0,theta0+(theta1+theta2)*(1-EXP(-'Data Bonds'!BO19/la))/('Data Bonds'!BO19/la)-theta2*EXP(-'Data Bonds'!BO19/la))</f>
        <v>0</v>
      </c>
      <c r="BM20" s="45">
        <f>IF('Data Bonds'!BP19=0,0,theta0+(theta1+theta2)*(1-EXP(-'Data Bonds'!BP19/la))/('Data Bonds'!BP19/la)-theta2*EXP(-'Data Bonds'!BP19/la))</f>
        <v>0</v>
      </c>
      <c r="BN20" s="45">
        <f>IF('Data Bonds'!BQ19=0,0,theta0+(theta1+theta2)*(1-EXP(-'Data Bonds'!BQ19/la))/('Data Bonds'!BQ19/la)-theta2*EXP(-'Data Bonds'!BQ19/la))</f>
        <v>0</v>
      </c>
      <c r="BO20" s="45">
        <f>IF('Data Bonds'!BR19=0,0,theta0+(theta1+theta2)*(1-EXP(-'Data Bonds'!BR19/la))/('Data Bonds'!BR19/la)-theta2*EXP(-'Data Bonds'!BR19/la))</f>
        <v>0</v>
      </c>
      <c r="BP20" s="38">
        <f>EXP(-'Data Bonds'!K19*H20)</f>
        <v>0.97511129251840689</v>
      </c>
      <c r="BQ20" s="38">
        <f>EXP(-'Data Bonds'!L19*I20)</f>
        <v>1</v>
      </c>
      <c r="BR20" s="38">
        <f>EXP(-'Data Bonds'!M19*J20)</f>
        <v>1</v>
      </c>
      <c r="BS20" s="38">
        <f>EXP(-'Data Bonds'!N19*K20)</f>
        <v>1</v>
      </c>
      <c r="BT20" s="38">
        <f>EXP(-'Data Bonds'!O19*L20)</f>
        <v>1</v>
      </c>
      <c r="BU20" s="38">
        <f>EXP(-'Data Bonds'!P19*M20)</f>
        <v>1</v>
      </c>
      <c r="BV20" s="38">
        <f>EXP(-'Data Bonds'!Q19*N20)</f>
        <v>1</v>
      </c>
      <c r="BW20" s="38">
        <f>EXP(-'Data Bonds'!R19*O20)</f>
        <v>1</v>
      </c>
      <c r="BX20" s="38">
        <f>EXP(-'Data Bonds'!S19*P20)</f>
        <v>1</v>
      </c>
      <c r="BY20" s="38">
        <f>EXP(-'Data Bonds'!T19*Q20)</f>
        <v>1</v>
      </c>
      <c r="BZ20" s="38">
        <f>EXP(-'Data Bonds'!U19*R20)</f>
        <v>1</v>
      </c>
      <c r="CA20" s="38">
        <f>EXP(-'Data Bonds'!V19*S20)</f>
        <v>1</v>
      </c>
      <c r="CB20" s="38">
        <f>EXP(-'Data Bonds'!W19*T20)</f>
        <v>1</v>
      </c>
      <c r="CC20" s="38">
        <f>EXP(-'Data Bonds'!X19*U20)</f>
        <v>1</v>
      </c>
      <c r="CD20" s="38">
        <f>EXP(-'Data Bonds'!Y19*V20)</f>
        <v>1</v>
      </c>
      <c r="CE20" s="38">
        <f>EXP(-'Data Bonds'!Z19*W20)</f>
        <v>1</v>
      </c>
      <c r="CF20" s="38">
        <f>EXP(-'Data Bonds'!AA19*X20)</f>
        <v>1</v>
      </c>
      <c r="CG20" s="38">
        <f>EXP(-'Data Bonds'!AB19*Y20)</f>
        <v>1</v>
      </c>
      <c r="CH20" s="38">
        <f>EXP(-'Data Bonds'!AC19*Z20)</f>
        <v>1</v>
      </c>
      <c r="CI20" s="38">
        <f>EXP(-'Data Bonds'!AD19*AA20)</f>
        <v>1</v>
      </c>
      <c r="CJ20" s="38">
        <f>EXP(-'Data Bonds'!AE19*AB20)</f>
        <v>1</v>
      </c>
      <c r="CK20" s="38">
        <f>EXP(-'Data Bonds'!AF19*AC20)</f>
        <v>1</v>
      </c>
      <c r="CL20" s="38">
        <f>EXP(-'Data Bonds'!AG19*AD20)</f>
        <v>1</v>
      </c>
      <c r="CM20" s="38">
        <f>EXP(-'Data Bonds'!AH19*AE20)</f>
        <v>1</v>
      </c>
      <c r="CN20" s="38">
        <f>EXP(-'Data Bonds'!AI19*AF20)</f>
        <v>1</v>
      </c>
      <c r="CO20" s="38">
        <f>EXP(-'Data Bonds'!AJ19*AG20)</f>
        <v>1</v>
      </c>
      <c r="CP20" s="38">
        <f>EXP(-'Data Bonds'!AK19*AH20)</f>
        <v>1</v>
      </c>
      <c r="CQ20" s="38">
        <f>EXP(-'Data Bonds'!AL19*AI20)</f>
        <v>1</v>
      </c>
      <c r="CR20" s="38">
        <f>EXP(-'Data Bonds'!AM19*AJ20)</f>
        <v>1</v>
      </c>
      <c r="CS20" s="38">
        <f>EXP(-'Data Bonds'!AN19*AK20)</f>
        <v>1</v>
      </c>
      <c r="CT20" s="38">
        <f>EXP(-'Data Bonds'!AO19*AL20)</f>
        <v>1</v>
      </c>
      <c r="CU20" s="38">
        <f>EXP(-'Data Bonds'!AP19*AM20)</f>
        <v>1</v>
      </c>
      <c r="CV20" s="38">
        <f>EXP(-'Data Bonds'!AQ19*AN20)</f>
        <v>1</v>
      </c>
      <c r="CW20" s="38">
        <f>EXP(-'Data Bonds'!AR19*AO20)</f>
        <v>1</v>
      </c>
      <c r="CX20" s="38">
        <f>EXP(-'Data Bonds'!AS19*AP20)</f>
        <v>1</v>
      </c>
      <c r="CY20" s="38">
        <f>EXP(-'Data Bonds'!AT19*AQ20)</f>
        <v>1</v>
      </c>
      <c r="CZ20" s="38">
        <f>EXP(-'Data Bonds'!AU19*AR20)</f>
        <v>1</v>
      </c>
      <c r="DA20" s="38">
        <f>EXP(-'Data Bonds'!AV19*AS20)</f>
        <v>1</v>
      </c>
      <c r="DB20" s="38">
        <f>EXP(-'Data Bonds'!AW19*AT20)</f>
        <v>1</v>
      </c>
      <c r="DC20" s="38">
        <f>EXP(-'Data Bonds'!AX19*AU20)</f>
        <v>1</v>
      </c>
      <c r="DD20" s="38">
        <f>EXP(-'Data Bonds'!AY19*AV20)</f>
        <v>1</v>
      </c>
      <c r="DE20" s="38">
        <f>EXP(-'Data Bonds'!AZ19*AW20)</f>
        <v>1</v>
      </c>
      <c r="DF20" s="38">
        <f>EXP(-'Data Bonds'!BA19*AX20)</f>
        <v>1</v>
      </c>
      <c r="DG20" s="38">
        <f>EXP(-'Data Bonds'!BB19*AY20)</f>
        <v>1</v>
      </c>
      <c r="DH20" s="38">
        <f>EXP(-'Data Bonds'!BC19*AZ20)</f>
        <v>1</v>
      </c>
      <c r="DI20" s="38">
        <f>EXP(-'Data Bonds'!BD19*BA20)</f>
        <v>1</v>
      </c>
      <c r="DJ20" s="38">
        <f>EXP(-'Data Bonds'!BE19*BB20)</f>
        <v>1</v>
      </c>
      <c r="DK20" s="38">
        <f>EXP(-'Data Bonds'!BF19*BC20)</f>
        <v>1</v>
      </c>
      <c r="DL20" s="38">
        <f>EXP(-'Data Bonds'!BG19*BD20)</f>
        <v>1</v>
      </c>
      <c r="DM20" s="38">
        <f>EXP(-'Data Bonds'!BH19*BE20)</f>
        <v>1</v>
      </c>
      <c r="DN20" s="38">
        <f>EXP(-'Data Bonds'!BI19*BF20)</f>
        <v>1</v>
      </c>
      <c r="DO20" s="38">
        <f>EXP(-'Data Bonds'!BJ19*BG20)</f>
        <v>1</v>
      </c>
      <c r="DP20" s="38">
        <f>EXP(-'Data Bonds'!BK19*BH20)</f>
        <v>1</v>
      </c>
      <c r="DQ20" s="38">
        <f>EXP(-'Data Bonds'!BL19*BI20)</f>
        <v>1</v>
      </c>
      <c r="DR20" s="38">
        <f>EXP(-'Data Bonds'!BM19*BJ20)</f>
        <v>1</v>
      </c>
      <c r="DS20" s="38">
        <f>EXP(-'Data Bonds'!BN19*BK20)</f>
        <v>1</v>
      </c>
      <c r="DT20" s="38">
        <f>EXP(-'Data Bonds'!BO19*BL20)</f>
        <v>1</v>
      </c>
      <c r="DU20" s="38">
        <f>EXP(-'Data Bonds'!BP19*BM20)</f>
        <v>1</v>
      </c>
      <c r="DV20" s="38">
        <f>EXP(-'Data Bonds'!BQ19*BN20)</f>
        <v>1</v>
      </c>
      <c r="DW20" s="38">
        <f>EXP(-'Data Bonds'!BR19*BO20)</f>
        <v>1</v>
      </c>
      <c r="DX20" s="28">
        <f>SUMPRODUCT(BP20:DW20,'Data Bonds'!BU19:EB19)</f>
        <v>97.511129251840686</v>
      </c>
      <c r="DY20" s="28">
        <f t="shared" si="5"/>
        <v>6.794086385619842E-3</v>
      </c>
      <c r="EA20" s="33">
        <f t="shared" si="6"/>
        <v>4.5</v>
      </c>
      <c r="EB20" s="29">
        <f t="shared" si="2"/>
        <v>5.010707012227239E-2</v>
      </c>
      <c r="EC20" s="29">
        <f t="shared" si="3"/>
        <v>0.79813157389944989</v>
      </c>
      <c r="ED20" s="29">
        <f t="shared" si="7"/>
        <v>5.1973312211286787E-2</v>
      </c>
      <c r="EE20" s="32"/>
      <c r="EF20" s="32"/>
      <c r="EG20" s="32"/>
      <c r="EI20" s="34"/>
    </row>
    <row r="21" spans="2:139">
      <c r="B21" s="27">
        <f>'Data Bonds'!E20</f>
        <v>3.375</v>
      </c>
      <c r="C21" s="27">
        <f>'Data Bonds'!F20</f>
        <v>98.851562000000001</v>
      </c>
      <c r="D21" s="27">
        <f>'Data Bonds'!G20</f>
        <v>98.882812000000001</v>
      </c>
      <c r="E21" s="27">
        <f>'Data Bonds'!I20</f>
        <v>1.05</v>
      </c>
      <c r="F21" s="40">
        <f>'Data Bonds'!H20</f>
        <v>0.68888888888888888</v>
      </c>
      <c r="G21" s="28">
        <f t="shared" si="4"/>
        <v>99.917186999999998</v>
      </c>
      <c r="H21" s="45">
        <f>IF('Data Bonds'!K20=0,0,theta0+(theta1+theta2)*(1-EXP(-'Data Bonds'!K20/la))/('Data Bonds'!K20/la)-theta2*EXP(-'Data Bonds'!K20/la))</f>
        <v>5.1598526027898411E-2</v>
      </c>
      <c r="I21" s="45">
        <f>IF('Data Bonds'!L20=0,0,theta0+(theta1+theta2)*(1-EXP(-'Data Bonds'!L20/la))/('Data Bonds'!L20/la)-theta2*EXP(-'Data Bonds'!L20/la))</f>
        <v>5.0271357324748023E-2</v>
      </c>
      <c r="J21" s="45">
        <f>IF('Data Bonds'!M20=0,0,theta0+(theta1+theta2)*(1-EXP(-'Data Bonds'!M20/la))/('Data Bonds'!M20/la)-theta2*EXP(-'Data Bonds'!M20/la))</f>
        <v>0</v>
      </c>
      <c r="K21" s="45">
        <f>IF('Data Bonds'!N20=0,0,theta0+(theta1+theta2)*(1-EXP(-'Data Bonds'!N20/la))/('Data Bonds'!N20/la)-theta2*EXP(-'Data Bonds'!N20/la))</f>
        <v>0</v>
      </c>
      <c r="L21" s="45">
        <f>IF('Data Bonds'!O20=0,0,theta0+(theta1+theta2)*(1-EXP(-'Data Bonds'!O20/la))/('Data Bonds'!O20/la)-theta2*EXP(-'Data Bonds'!O20/la))</f>
        <v>0</v>
      </c>
      <c r="M21" s="45">
        <f>IF('Data Bonds'!P20=0,0,theta0+(theta1+theta2)*(1-EXP(-'Data Bonds'!P20/la))/('Data Bonds'!P20/la)-theta2*EXP(-'Data Bonds'!P20/la))</f>
        <v>0</v>
      </c>
      <c r="N21" s="45">
        <f>IF('Data Bonds'!Q20=0,0,theta0+(theta1+theta2)*(1-EXP(-'Data Bonds'!Q20/la))/('Data Bonds'!Q20/la)-theta2*EXP(-'Data Bonds'!Q20/la))</f>
        <v>0</v>
      </c>
      <c r="O21" s="45">
        <f>IF('Data Bonds'!R20=0,0,theta0+(theta1+theta2)*(1-EXP(-'Data Bonds'!R20/la))/('Data Bonds'!R20/la)-theta2*EXP(-'Data Bonds'!R20/la))</f>
        <v>0</v>
      </c>
      <c r="P21" s="45">
        <f>IF('Data Bonds'!S20=0,0,theta0+(theta1+theta2)*(1-EXP(-'Data Bonds'!S20/la))/('Data Bonds'!S20/la)-theta2*EXP(-'Data Bonds'!S20/la))</f>
        <v>0</v>
      </c>
      <c r="Q21" s="45">
        <f>IF('Data Bonds'!T20=0,0,theta0+(theta1+theta2)*(1-EXP(-'Data Bonds'!T20/la))/('Data Bonds'!T20/la)-theta2*EXP(-'Data Bonds'!T20/la))</f>
        <v>0</v>
      </c>
      <c r="R21" s="45">
        <f>IF('Data Bonds'!U20=0,0,theta0+(theta1+theta2)*(1-EXP(-'Data Bonds'!U20/la))/('Data Bonds'!U20/la)-theta2*EXP(-'Data Bonds'!U20/la))</f>
        <v>0</v>
      </c>
      <c r="S21" s="45">
        <f>IF('Data Bonds'!V20=0,0,theta0+(theta1+theta2)*(1-EXP(-'Data Bonds'!V20/la))/('Data Bonds'!V20/la)-theta2*EXP(-'Data Bonds'!V20/la))</f>
        <v>0</v>
      </c>
      <c r="T21" s="45">
        <f>IF('Data Bonds'!W20=0,0,theta0+(theta1+theta2)*(1-EXP(-'Data Bonds'!W20/la))/('Data Bonds'!W20/la)-theta2*EXP(-'Data Bonds'!W20/la))</f>
        <v>0</v>
      </c>
      <c r="U21" s="45">
        <f>IF('Data Bonds'!X20=0,0,theta0+(theta1+theta2)*(1-EXP(-'Data Bonds'!X20/la))/('Data Bonds'!X20/la)-theta2*EXP(-'Data Bonds'!X20/la))</f>
        <v>0</v>
      </c>
      <c r="V21" s="45">
        <f>IF('Data Bonds'!Y20=0,0,theta0+(theta1+theta2)*(1-EXP(-'Data Bonds'!Y20/la))/('Data Bonds'!Y20/la)-theta2*EXP(-'Data Bonds'!Y20/la))</f>
        <v>0</v>
      </c>
      <c r="W21" s="45">
        <f>IF('Data Bonds'!Z20=0,0,theta0+(theta1+theta2)*(1-EXP(-'Data Bonds'!Z20/la))/('Data Bonds'!Z20/la)-theta2*EXP(-'Data Bonds'!Z20/la))</f>
        <v>0</v>
      </c>
      <c r="X21" s="45">
        <f>IF('Data Bonds'!AA20=0,0,theta0+(theta1+theta2)*(1-EXP(-'Data Bonds'!AA20/la))/('Data Bonds'!AA20/la)-theta2*EXP(-'Data Bonds'!AA20/la))</f>
        <v>0</v>
      </c>
      <c r="Y21" s="45">
        <f>IF('Data Bonds'!AB20=0,0,theta0+(theta1+theta2)*(1-EXP(-'Data Bonds'!AB20/la))/('Data Bonds'!AB20/la)-theta2*EXP(-'Data Bonds'!AB20/la))</f>
        <v>0</v>
      </c>
      <c r="Z21" s="45">
        <f>IF('Data Bonds'!AC20=0,0,theta0+(theta1+theta2)*(1-EXP(-'Data Bonds'!AC20/la))/('Data Bonds'!AC20/la)-theta2*EXP(-'Data Bonds'!AC20/la))</f>
        <v>0</v>
      </c>
      <c r="AA21" s="45">
        <f>IF('Data Bonds'!AD20=0,0,theta0+(theta1+theta2)*(1-EXP(-'Data Bonds'!AD20/la))/('Data Bonds'!AD20/la)-theta2*EXP(-'Data Bonds'!AD20/la))</f>
        <v>0</v>
      </c>
      <c r="AB21" s="45">
        <f>IF('Data Bonds'!AE20=0,0,theta0+(theta1+theta2)*(1-EXP(-'Data Bonds'!AE20/la))/('Data Bonds'!AE20/la)-theta2*EXP(-'Data Bonds'!AE20/la))</f>
        <v>0</v>
      </c>
      <c r="AC21" s="45">
        <f>IF('Data Bonds'!AF20=0,0,theta0+(theta1+theta2)*(1-EXP(-'Data Bonds'!AF20/la))/('Data Bonds'!AF20/la)-theta2*EXP(-'Data Bonds'!AF20/la))</f>
        <v>0</v>
      </c>
      <c r="AD21" s="45">
        <f>IF('Data Bonds'!AG20=0,0,theta0+(theta1+theta2)*(1-EXP(-'Data Bonds'!AG20/la))/('Data Bonds'!AG20/la)-theta2*EXP(-'Data Bonds'!AG20/la))</f>
        <v>0</v>
      </c>
      <c r="AE21" s="45">
        <f>IF('Data Bonds'!AH20=0,0,theta0+(theta1+theta2)*(1-EXP(-'Data Bonds'!AH20/la))/('Data Bonds'!AH20/la)-theta2*EXP(-'Data Bonds'!AH20/la))</f>
        <v>0</v>
      </c>
      <c r="AF21" s="45">
        <f>IF('Data Bonds'!AI20=0,0,theta0+(theta1+theta2)*(1-EXP(-'Data Bonds'!AI20/la))/('Data Bonds'!AI20/la)-theta2*EXP(-'Data Bonds'!AI20/la))</f>
        <v>0</v>
      </c>
      <c r="AG21" s="45">
        <f>IF('Data Bonds'!AJ20=0,0,theta0+(theta1+theta2)*(1-EXP(-'Data Bonds'!AJ20/la))/('Data Bonds'!AJ20/la)-theta2*EXP(-'Data Bonds'!AJ20/la))</f>
        <v>0</v>
      </c>
      <c r="AH21" s="45">
        <f>IF('Data Bonds'!AK20=0,0,theta0+(theta1+theta2)*(1-EXP(-'Data Bonds'!AK20/la))/('Data Bonds'!AK20/la)-theta2*EXP(-'Data Bonds'!AK20/la))</f>
        <v>0</v>
      </c>
      <c r="AI21" s="45">
        <f>IF('Data Bonds'!AL20=0,0,theta0+(theta1+theta2)*(1-EXP(-'Data Bonds'!AL20/la))/('Data Bonds'!AL20/la)-theta2*EXP(-'Data Bonds'!AL20/la))</f>
        <v>0</v>
      </c>
      <c r="AJ21" s="45">
        <f>IF('Data Bonds'!AM20=0,0,theta0+(theta1+theta2)*(1-EXP(-'Data Bonds'!AM20/la))/('Data Bonds'!AM20/la)-theta2*EXP(-'Data Bonds'!AM20/la))</f>
        <v>0</v>
      </c>
      <c r="AK21" s="45">
        <f>IF('Data Bonds'!AN20=0,0,theta0+(theta1+theta2)*(1-EXP(-'Data Bonds'!AN20/la))/('Data Bonds'!AN20/la)-theta2*EXP(-'Data Bonds'!AN20/la))</f>
        <v>0</v>
      </c>
      <c r="AL21" s="45">
        <f>IF('Data Bonds'!AO20=0,0,theta0+(theta1+theta2)*(1-EXP(-'Data Bonds'!AO20/la))/('Data Bonds'!AO20/la)-theta2*EXP(-'Data Bonds'!AO20/la))</f>
        <v>0</v>
      </c>
      <c r="AM21" s="45">
        <f>IF('Data Bonds'!AP20=0,0,theta0+(theta1+theta2)*(1-EXP(-'Data Bonds'!AP20/la))/('Data Bonds'!AP20/la)-theta2*EXP(-'Data Bonds'!AP20/la))</f>
        <v>0</v>
      </c>
      <c r="AN21" s="45">
        <f>IF('Data Bonds'!AQ20=0,0,theta0+(theta1+theta2)*(1-EXP(-'Data Bonds'!AQ20/la))/('Data Bonds'!AQ20/la)-theta2*EXP(-'Data Bonds'!AQ20/la))</f>
        <v>0</v>
      </c>
      <c r="AO21" s="45">
        <f>IF('Data Bonds'!AR20=0,0,theta0+(theta1+theta2)*(1-EXP(-'Data Bonds'!AR20/la))/('Data Bonds'!AR20/la)-theta2*EXP(-'Data Bonds'!AR20/la))</f>
        <v>0</v>
      </c>
      <c r="AP21" s="45">
        <f>IF('Data Bonds'!AS20=0,0,theta0+(theta1+theta2)*(1-EXP(-'Data Bonds'!AS20/la))/('Data Bonds'!AS20/la)-theta2*EXP(-'Data Bonds'!AS20/la))</f>
        <v>0</v>
      </c>
      <c r="AQ21" s="45">
        <f>IF('Data Bonds'!AT20=0,0,theta0+(theta1+theta2)*(1-EXP(-'Data Bonds'!AT20/la))/('Data Bonds'!AT20/la)-theta2*EXP(-'Data Bonds'!AT20/la))</f>
        <v>0</v>
      </c>
      <c r="AR21" s="45">
        <f>IF('Data Bonds'!AU20=0,0,theta0+(theta1+theta2)*(1-EXP(-'Data Bonds'!AU20/la))/('Data Bonds'!AU20/la)-theta2*EXP(-'Data Bonds'!AU20/la))</f>
        <v>0</v>
      </c>
      <c r="AS21" s="45">
        <f>IF('Data Bonds'!AV20=0,0,theta0+(theta1+theta2)*(1-EXP(-'Data Bonds'!AV20/la))/('Data Bonds'!AV20/la)-theta2*EXP(-'Data Bonds'!AV20/la))</f>
        <v>0</v>
      </c>
      <c r="AT21" s="45">
        <f>IF('Data Bonds'!AW20=0,0,theta0+(theta1+theta2)*(1-EXP(-'Data Bonds'!AW20/la))/('Data Bonds'!AW20/la)-theta2*EXP(-'Data Bonds'!AW20/la))</f>
        <v>0</v>
      </c>
      <c r="AU21" s="45">
        <f>IF('Data Bonds'!AX20=0,0,theta0+(theta1+theta2)*(1-EXP(-'Data Bonds'!AX20/la))/('Data Bonds'!AX20/la)-theta2*EXP(-'Data Bonds'!AX20/la))</f>
        <v>0</v>
      </c>
      <c r="AV21" s="45">
        <f>IF('Data Bonds'!AY20=0,0,theta0+(theta1+theta2)*(1-EXP(-'Data Bonds'!AY20/la))/('Data Bonds'!AY20/la)-theta2*EXP(-'Data Bonds'!AY20/la))</f>
        <v>0</v>
      </c>
      <c r="AW21" s="45">
        <f>IF('Data Bonds'!AZ20=0,0,theta0+(theta1+theta2)*(1-EXP(-'Data Bonds'!AZ20/la))/('Data Bonds'!AZ20/la)-theta2*EXP(-'Data Bonds'!AZ20/la))</f>
        <v>0</v>
      </c>
      <c r="AX21" s="45">
        <f>IF('Data Bonds'!BA20=0,0,theta0+(theta1+theta2)*(1-EXP(-'Data Bonds'!BA20/la))/('Data Bonds'!BA20/la)-theta2*EXP(-'Data Bonds'!BA20/la))</f>
        <v>0</v>
      </c>
      <c r="AY21" s="45">
        <f>IF('Data Bonds'!BB20=0,0,theta0+(theta1+theta2)*(1-EXP(-'Data Bonds'!BB20/la))/('Data Bonds'!BB20/la)-theta2*EXP(-'Data Bonds'!BB20/la))</f>
        <v>0</v>
      </c>
      <c r="AZ21" s="45">
        <f>IF('Data Bonds'!BC20=0,0,theta0+(theta1+theta2)*(1-EXP(-'Data Bonds'!BC20/la))/('Data Bonds'!BC20/la)-theta2*EXP(-'Data Bonds'!BC20/la))</f>
        <v>0</v>
      </c>
      <c r="BA21" s="45">
        <f>IF('Data Bonds'!BD20=0,0,theta0+(theta1+theta2)*(1-EXP(-'Data Bonds'!BD20/la))/('Data Bonds'!BD20/la)-theta2*EXP(-'Data Bonds'!BD20/la))</f>
        <v>0</v>
      </c>
      <c r="BB21" s="45">
        <f>IF('Data Bonds'!BE20=0,0,theta0+(theta1+theta2)*(1-EXP(-'Data Bonds'!BE20/la))/('Data Bonds'!BE20/la)-theta2*EXP(-'Data Bonds'!BE20/la))</f>
        <v>0</v>
      </c>
      <c r="BC21" s="45">
        <f>IF('Data Bonds'!BF20=0,0,theta0+(theta1+theta2)*(1-EXP(-'Data Bonds'!BF20/la))/('Data Bonds'!BF20/la)-theta2*EXP(-'Data Bonds'!BF20/la))</f>
        <v>0</v>
      </c>
      <c r="BD21" s="45">
        <f>IF('Data Bonds'!BG20=0,0,theta0+(theta1+theta2)*(1-EXP(-'Data Bonds'!BG20/la))/('Data Bonds'!BG20/la)-theta2*EXP(-'Data Bonds'!BG20/la))</f>
        <v>0</v>
      </c>
      <c r="BE21" s="45">
        <f>IF('Data Bonds'!BH20=0,0,theta0+(theta1+theta2)*(1-EXP(-'Data Bonds'!BH20/la))/('Data Bonds'!BH20/la)-theta2*EXP(-'Data Bonds'!BH20/la))</f>
        <v>0</v>
      </c>
      <c r="BF21" s="45">
        <f>IF('Data Bonds'!BI20=0,0,theta0+(theta1+theta2)*(1-EXP(-'Data Bonds'!BI20/la))/('Data Bonds'!BI20/la)-theta2*EXP(-'Data Bonds'!BI20/la))</f>
        <v>0</v>
      </c>
      <c r="BG21" s="45">
        <f>IF('Data Bonds'!BJ20=0,0,theta0+(theta1+theta2)*(1-EXP(-'Data Bonds'!BJ20/la))/('Data Bonds'!BJ20/la)-theta2*EXP(-'Data Bonds'!BJ20/la))</f>
        <v>0</v>
      </c>
      <c r="BH21" s="45">
        <f>IF('Data Bonds'!BK20=0,0,theta0+(theta1+theta2)*(1-EXP(-'Data Bonds'!BK20/la))/('Data Bonds'!BK20/la)-theta2*EXP(-'Data Bonds'!BK20/la))</f>
        <v>0</v>
      </c>
      <c r="BI21" s="45">
        <f>IF('Data Bonds'!BL20=0,0,theta0+(theta1+theta2)*(1-EXP(-'Data Bonds'!BL20/la))/('Data Bonds'!BL20/la)-theta2*EXP(-'Data Bonds'!BL20/la))</f>
        <v>0</v>
      </c>
      <c r="BJ21" s="45">
        <f>IF('Data Bonds'!BM20=0,0,theta0+(theta1+theta2)*(1-EXP(-'Data Bonds'!BM20/la))/('Data Bonds'!BM20/la)-theta2*EXP(-'Data Bonds'!BM20/la))</f>
        <v>0</v>
      </c>
      <c r="BK21" s="45">
        <f>IF('Data Bonds'!BN20=0,0,theta0+(theta1+theta2)*(1-EXP(-'Data Bonds'!BN20/la))/('Data Bonds'!BN20/la)-theta2*EXP(-'Data Bonds'!BN20/la))</f>
        <v>0</v>
      </c>
      <c r="BL21" s="45">
        <f>IF('Data Bonds'!BO20=0,0,theta0+(theta1+theta2)*(1-EXP(-'Data Bonds'!BO20/la))/('Data Bonds'!BO20/la)-theta2*EXP(-'Data Bonds'!BO20/la))</f>
        <v>0</v>
      </c>
      <c r="BM21" s="45">
        <f>IF('Data Bonds'!BP20=0,0,theta0+(theta1+theta2)*(1-EXP(-'Data Bonds'!BP20/la))/('Data Bonds'!BP20/la)-theta2*EXP(-'Data Bonds'!BP20/la))</f>
        <v>0</v>
      </c>
      <c r="BN21" s="45">
        <f>IF('Data Bonds'!BQ20=0,0,theta0+(theta1+theta2)*(1-EXP(-'Data Bonds'!BQ20/la))/('Data Bonds'!BQ20/la)-theta2*EXP(-'Data Bonds'!BQ20/la))</f>
        <v>0</v>
      </c>
      <c r="BO21" s="45">
        <f>IF('Data Bonds'!BR20=0,0,theta0+(theta1+theta2)*(1-EXP(-'Data Bonds'!BR20/la))/('Data Bonds'!BR20/la)-theta2*EXP(-'Data Bonds'!BR20/la))</f>
        <v>0</v>
      </c>
      <c r="BP21" s="38">
        <f>EXP(-'Data Bonds'!K20*H21)</f>
        <v>0.99030095386253514</v>
      </c>
      <c r="BQ21" s="38">
        <f>EXP(-'Data Bonds'!L20*I21)</f>
        <v>0.96596142383001249</v>
      </c>
      <c r="BR21" s="38">
        <f>EXP(-'Data Bonds'!M20*J21)</f>
        <v>1</v>
      </c>
      <c r="BS21" s="38">
        <f>EXP(-'Data Bonds'!N20*K21)</f>
        <v>1</v>
      </c>
      <c r="BT21" s="38">
        <f>EXP(-'Data Bonds'!O20*L21)</f>
        <v>1</v>
      </c>
      <c r="BU21" s="38">
        <f>EXP(-'Data Bonds'!P20*M21)</f>
        <v>1</v>
      </c>
      <c r="BV21" s="38">
        <f>EXP(-'Data Bonds'!Q20*N21)</f>
        <v>1</v>
      </c>
      <c r="BW21" s="38">
        <f>EXP(-'Data Bonds'!R20*O21)</f>
        <v>1</v>
      </c>
      <c r="BX21" s="38">
        <f>EXP(-'Data Bonds'!S20*P21)</f>
        <v>1</v>
      </c>
      <c r="BY21" s="38">
        <f>EXP(-'Data Bonds'!T20*Q21)</f>
        <v>1</v>
      </c>
      <c r="BZ21" s="38">
        <f>EXP(-'Data Bonds'!U20*R21)</f>
        <v>1</v>
      </c>
      <c r="CA21" s="38">
        <f>EXP(-'Data Bonds'!V20*S21)</f>
        <v>1</v>
      </c>
      <c r="CB21" s="38">
        <f>EXP(-'Data Bonds'!W20*T21)</f>
        <v>1</v>
      </c>
      <c r="CC21" s="38">
        <f>EXP(-'Data Bonds'!X20*U21)</f>
        <v>1</v>
      </c>
      <c r="CD21" s="38">
        <f>EXP(-'Data Bonds'!Y20*V21)</f>
        <v>1</v>
      </c>
      <c r="CE21" s="38">
        <f>EXP(-'Data Bonds'!Z20*W21)</f>
        <v>1</v>
      </c>
      <c r="CF21" s="38">
        <f>EXP(-'Data Bonds'!AA20*X21)</f>
        <v>1</v>
      </c>
      <c r="CG21" s="38">
        <f>EXP(-'Data Bonds'!AB20*Y21)</f>
        <v>1</v>
      </c>
      <c r="CH21" s="38">
        <f>EXP(-'Data Bonds'!AC20*Z21)</f>
        <v>1</v>
      </c>
      <c r="CI21" s="38">
        <f>EXP(-'Data Bonds'!AD20*AA21)</f>
        <v>1</v>
      </c>
      <c r="CJ21" s="38">
        <f>EXP(-'Data Bonds'!AE20*AB21)</f>
        <v>1</v>
      </c>
      <c r="CK21" s="38">
        <f>EXP(-'Data Bonds'!AF20*AC21)</f>
        <v>1</v>
      </c>
      <c r="CL21" s="38">
        <f>EXP(-'Data Bonds'!AG20*AD21)</f>
        <v>1</v>
      </c>
      <c r="CM21" s="38">
        <f>EXP(-'Data Bonds'!AH20*AE21)</f>
        <v>1</v>
      </c>
      <c r="CN21" s="38">
        <f>EXP(-'Data Bonds'!AI20*AF21)</f>
        <v>1</v>
      </c>
      <c r="CO21" s="38">
        <f>EXP(-'Data Bonds'!AJ20*AG21)</f>
        <v>1</v>
      </c>
      <c r="CP21" s="38">
        <f>EXP(-'Data Bonds'!AK20*AH21)</f>
        <v>1</v>
      </c>
      <c r="CQ21" s="38">
        <f>EXP(-'Data Bonds'!AL20*AI21)</f>
        <v>1</v>
      </c>
      <c r="CR21" s="38">
        <f>EXP(-'Data Bonds'!AM20*AJ21)</f>
        <v>1</v>
      </c>
      <c r="CS21" s="38">
        <f>EXP(-'Data Bonds'!AN20*AK21)</f>
        <v>1</v>
      </c>
      <c r="CT21" s="38">
        <f>EXP(-'Data Bonds'!AO20*AL21)</f>
        <v>1</v>
      </c>
      <c r="CU21" s="38">
        <f>EXP(-'Data Bonds'!AP20*AM21)</f>
        <v>1</v>
      </c>
      <c r="CV21" s="38">
        <f>EXP(-'Data Bonds'!AQ20*AN21)</f>
        <v>1</v>
      </c>
      <c r="CW21" s="38">
        <f>EXP(-'Data Bonds'!AR20*AO21)</f>
        <v>1</v>
      </c>
      <c r="CX21" s="38">
        <f>EXP(-'Data Bonds'!AS20*AP21)</f>
        <v>1</v>
      </c>
      <c r="CY21" s="38">
        <f>EXP(-'Data Bonds'!AT20*AQ21)</f>
        <v>1</v>
      </c>
      <c r="CZ21" s="38">
        <f>EXP(-'Data Bonds'!AU20*AR21)</f>
        <v>1</v>
      </c>
      <c r="DA21" s="38">
        <f>EXP(-'Data Bonds'!AV20*AS21)</f>
        <v>1</v>
      </c>
      <c r="DB21" s="38">
        <f>EXP(-'Data Bonds'!AW20*AT21)</f>
        <v>1</v>
      </c>
      <c r="DC21" s="38">
        <f>EXP(-'Data Bonds'!AX20*AU21)</f>
        <v>1</v>
      </c>
      <c r="DD21" s="38">
        <f>EXP(-'Data Bonds'!AY20*AV21)</f>
        <v>1</v>
      </c>
      <c r="DE21" s="38">
        <f>EXP(-'Data Bonds'!AZ20*AW21)</f>
        <v>1</v>
      </c>
      <c r="DF21" s="38">
        <f>EXP(-'Data Bonds'!BA20*AX21)</f>
        <v>1</v>
      </c>
      <c r="DG21" s="38">
        <f>EXP(-'Data Bonds'!BB20*AY21)</f>
        <v>1</v>
      </c>
      <c r="DH21" s="38">
        <f>EXP(-'Data Bonds'!BC20*AZ21)</f>
        <v>1</v>
      </c>
      <c r="DI21" s="38">
        <f>EXP(-'Data Bonds'!BD20*BA21)</f>
        <v>1</v>
      </c>
      <c r="DJ21" s="38">
        <f>EXP(-'Data Bonds'!BE20*BB21)</f>
        <v>1</v>
      </c>
      <c r="DK21" s="38">
        <f>EXP(-'Data Bonds'!BF20*BC21)</f>
        <v>1</v>
      </c>
      <c r="DL21" s="38">
        <f>EXP(-'Data Bonds'!BG20*BD21)</f>
        <v>1</v>
      </c>
      <c r="DM21" s="38">
        <f>EXP(-'Data Bonds'!BH20*BE21)</f>
        <v>1</v>
      </c>
      <c r="DN21" s="38">
        <f>EXP(-'Data Bonds'!BI20*BF21)</f>
        <v>1</v>
      </c>
      <c r="DO21" s="38">
        <f>EXP(-'Data Bonds'!BJ20*BG21)</f>
        <v>1</v>
      </c>
      <c r="DP21" s="38">
        <f>EXP(-'Data Bonds'!BK20*BH21)</f>
        <v>1</v>
      </c>
      <c r="DQ21" s="38">
        <f>EXP(-'Data Bonds'!BL20*BI21)</f>
        <v>1</v>
      </c>
      <c r="DR21" s="38">
        <f>EXP(-'Data Bonds'!BM20*BJ21)</f>
        <v>1</v>
      </c>
      <c r="DS21" s="38">
        <f>EXP(-'Data Bonds'!BN20*BK21)</f>
        <v>1</v>
      </c>
      <c r="DT21" s="38">
        <f>EXP(-'Data Bonds'!BO20*BL21)</f>
        <v>1</v>
      </c>
      <c r="DU21" s="38">
        <f>EXP(-'Data Bonds'!BP20*BM21)</f>
        <v>1</v>
      </c>
      <c r="DV21" s="38">
        <f>EXP(-'Data Bonds'!BQ20*BN21)</f>
        <v>1</v>
      </c>
      <c r="DW21" s="38">
        <f>EXP(-'Data Bonds'!BR20*BO21)</f>
        <v>1</v>
      </c>
      <c r="DX21" s="28">
        <f>SUMPRODUCT(BP21:DW21,'Data Bonds'!BU20:EB20)</f>
        <v>99.897335145357417</v>
      </c>
      <c r="DY21" s="28">
        <f t="shared" si="5"/>
        <v>3.9409613275019086E-4</v>
      </c>
      <c r="EA21" s="33">
        <f t="shared" si="6"/>
        <v>5</v>
      </c>
      <c r="EB21" s="29">
        <f t="shared" si="2"/>
        <v>5.0333752255724729E-2</v>
      </c>
      <c r="EC21" s="29">
        <f t="shared" si="3"/>
        <v>0.77750223426618181</v>
      </c>
      <c r="ED21" s="29">
        <f t="shared" si="7"/>
        <v>5.2373891456795746E-2</v>
      </c>
      <c r="EE21" s="32"/>
      <c r="EF21" s="32"/>
      <c r="EG21" s="32"/>
      <c r="EI21" s="34"/>
    </row>
    <row r="22" spans="2:139">
      <c r="B22" s="27">
        <f>'Data Bonds'!E21</f>
        <v>4.125</v>
      </c>
      <c r="C22" s="27">
        <f>'Data Bonds'!F21</f>
        <v>98.898437999999999</v>
      </c>
      <c r="D22" s="27">
        <f>'Data Bonds'!G21</f>
        <v>98.929687999999999</v>
      </c>
      <c r="E22" s="27">
        <f>'Data Bonds'!I21</f>
        <v>1.2833333333333334</v>
      </c>
      <c r="F22" s="40">
        <f>'Data Bonds'!H21</f>
        <v>1.1888888888888889</v>
      </c>
      <c r="G22" s="28">
        <f t="shared" si="4"/>
        <v>100.19739633333333</v>
      </c>
      <c r="H22" s="45">
        <f>IF('Data Bonds'!K21=0,0,theta0+(theta1+theta2)*(1-EXP(-'Data Bonds'!K21/la))/('Data Bonds'!K21/la)-theta2*EXP(-'Data Bonds'!K21/la))</f>
        <v>5.1598526027898411E-2</v>
      </c>
      <c r="I22" s="45">
        <f>IF('Data Bonds'!L21=0,0,theta0+(theta1+theta2)*(1-EXP(-'Data Bonds'!L21/la))/('Data Bonds'!L21/la)-theta2*EXP(-'Data Bonds'!L21/la))</f>
        <v>5.0271357324748023E-2</v>
      </c>
      <c r="J22" s="45">
        <f>IF('Data Bonds'!M21=0,0,theta0+(theta1+theta2)*(1-EXP(-'Data Bonds'!M21/la))/('Data Bonds'!M21/la)-theta2*EXP(-'Data Bonds'!M21/la))</f>
        <v>4.9578457297749672E-2</v>
      </c>
      <c r="K22" s="45">
        <f>IF('Data Bonds'!N21=0,0,theta0+(theta1+theta2)*(1-EXP(-'Data Bonds'!N21/la))/('Data Bonds'!N21/la)-theta2*EXP(-'Data Bonds'!N21/la))</f>
        <v>0</v>
      </c>
      <c r="L22" s="45">
        <f>IF('Data Bonds'!O21=0,0,theta0+(theta1+theta2)*(1-EXP(-'Data Bonds'!O21/la))/('Data Bonds'!O21/la)-theta2*EXP(-'Data Bonds'!O21/la))</f>
        <v>0</v>
      </c>
      <c r="M22" s="45">
        <f>IF('Data Bonds'!P21=0,0,theta0+(theta1+theta2)*(1-EXP(-'Data Bonds'!P21/la))/('Data Bonds'!P21/la)-theta2*EXP(-'Data Bonds'!P21/la))</f>
        <v>0</v>
      </c>
      <c r="N22" s="45">
        <f>IF('Data Bonds'!Q21=0,0,theta0+(theta1+theta2)*(1-EXP(-'Data Bonds'!Q21/la))/('Data Bonds'!Q21/la)-theta2*EXP(-'Data Bonds'!Q21/la))</f>
        <v>0</v>
      </c>
      <c r="O22" s="45">
        <f>IF('Data Bonds'!R21=0,0,theta0+(theta1+theta2)*(1-EXP(-'Data Bonds'!R21/la))/('Data Bonds'!R21/la)-theta2*EXP(-'Data Bonds'!R21/la))</f>
        <v>0</v>
      </c>
      <c r="P22" s="45">
        <f>IF('Data Bonds'!S21=0,0,theta0+(theta1+theta2)*(1-EXP(-'Data Bonds'!S21/la))/('Data Bonds'!S21/la)-theta2*EXP(-'Data Bonds'!S21/la))</f>
        <v>0</v>
      </c>
      <c r="Q22" s="45">
        <f>IF('Data Bonds'!T21=0,0,theta0+(theta1+theta2)*(1-EXP(-'Data Bonds'!T21/la))/('Data Bonds'!T21/la)-theta2*EXP(-'Data Bonds'!T21/la))</f>
        <v>0</v>
      </c>
      <c r="R22" s="45">
        <f>IF('Data Bonds'!U21=0,0,theta0+(theta1+theta2)*(1-EXP(-'Data Bonds'!U21/la))/('Data Bonds'!U21/la)-theta2*EXP(-'Data Bonds'!U21/la))</f>
        <v>0</v>
      </c>
      <c r="S22" s="45">
        <f>IF('Data Bonds'!V21=0,0,theta0+(theta1+theta2)*(1-EXP(-'Data Bonds'!V21/la))/('Data Bonds'!V21/la)-theta2*EXP(-'Data Bonds'!V21/la))</f>
        <v>0</v>
      </c>
      <c r="T22" s="45">
        <f>IF('Data Bonds'!W21=0,0,theta0+(theta1+theta2)*(1-EXP(-'Data Bonds'!W21/la))/('Data Bonds'!W21/la)-theta2*EXP(-'Data Bonds'!W21/la))</f>
        <v>0</v>
      </c>
      <c r="U22" s="45">
        <f>IF('Data Bonds'!X21=0,0,theta0+(theta1+theta2)*(1-EXP(-'Data Bonds'!X21/la))/('Data Bonds'!X21/la)-theta2*EXP(-'Data Bonds'!X21/la))</f>
        <v>0</v>
      </c>
      <c r="V22" s="45">
        <f>IF('Data Bonds'!Y21=0,0,theta0+(theta1+theta2)*(1-EXP(-'Data Bonds'!Y21/la))/('Data Bonds'!Y21/la)-theta2*EXP(-'Data Bonds'!Y21/la))</f>
        <v>0</v>
      </c>
      <c r="W22" s="45">
        <f>IF('Data Bonds'!Z21=0,0,theta0+(theta1+theta2)*(1-EXP(-'Data Bonds'!Z21/la))/('Data Bonds'!Z21/la)-theta2*EXP(-'Data Bonds'!Z21/la))</f>
        <v>0</v>
      </c>
      <c r="X22" s="45">
        <f>IF('Data Bonds'!AA21=0,0,theta0+(theta1+theta2)*(1-EXP(-'Data Bonds'!AA21/la))/('Data Bonds'!AA21/la)-theta2*EXP(-'Data Bonds'!AA21/la))</f>
        <v>0</v>
      </c>
      <c r="Y22" s="45">
        <f>IF('Data Bonds'!AB21=0,0,theta0+(theta1+theta2)*(1-EXP(-'Data Bonds'!AB21/la))/('Data Bonds'!AB21/la)-theta2*EXP(-'Data Bonds'!AB21/la))</f>
        <v>0</v>
      </c>
      <c r="Z22" s="45">
        <f>IF('Data Bonds'!AC21=0,0,theta0+(theta1+theta2)*(1-EXP(-'Data Bonds'!AC21/la))/('Data Bonds'!AC21/la)-theta2*EXP(-'Data Bonds'!AC21/la))</f>
        <v>0</v>
      </c>
      <c r="AA22" s="45">
        <f>IF('Data Bonds'!AD21=0,0,theta0+(theta1+theta2)*(1-EXP(-'Data Bonds'!AD21/la))/('Data Bonds'!AD21/la)-theta2*EXP(-'Data Bonds'!AD21/la))</f>
        <v>0</v>
      </c>
      <c r="AB22" s="45">
        <f>IF('Data Bonds'!AE21=0,0,theta0+(theta1+theta2)*(1-EXP(-'Data Bonds'!AE21/la))/('Data Bonds'!AE21/la)-theta2*EXP(-'Data Bonds'!AE21/la))</f>
        <v>0</v>
      </c>
      <c r="AC22" s="45">
        <f>IF('Data Bonds'!AF21=0,0,theta0+(theta1+theta2)*(1-EXP(-'Data Bonds'!AF21/la))/('Data Bonds'!AF21/la)-theta2*EXP(-'Data Bonds'!AF21/la))</f>
        <v>0</v>
      </c>
      <c r="AD22" s="45">
        <f>IF('Data Bonds'!AG21=0,0,theta0+(theta1+theta2)*(1-EXP(-'Data Bonds'!AG21/la))/('Data Bonds'!AG21/la)-theta2*EXP(-'Data Bonds'!AG21/la))</f>
        <v>0</v>
      </c>
      <c r="AE22" s="45">
        <f>IF('Data Bonds'!AH21=0,0,theta0+(theta1+theta2)*(1-EXP(-'Data Bonds'!AH21/la))/('Data Bonds'!AH21/la)-theta2*EXP(-'Data Bonds'!AH21/la))</f>
        <v>0</v>
      </c>
      <c r="AF22" s="45">
        <f>IF('Data Bonds'!AI21=0,0,theta0+(theta1+theta2)*(1-EXP(-'Data Bonds'!AI21/la))/('Data Bonds'!AI21/la)-theta2*EXP(-'Data Bonds'!AI21/la))</f>
        <v>0</v>
      </c>
      <c r="AG22" s="45">
        <f>IF('Data Bonds'!AJ21=0,0,theta0+(theta1+theta2)*(1-EXP(-'Data Bonds'!AJ21/la))/('Data Bonds'!AJ21/la)-theta2*EXP(-'Data Bonds'!AJ21/la))</f>
        <v>0</v>
      </c>
      <c r="AH22" s="45">
        <f>IF('Data Bonds'!AK21=0,0,theta0+(theta1+theta2)*(1-EXP(-'Data Bonds'!AK21/la))/('Data Bonds'!AK21/la)-theta2*EXP(-'Data Bonds'!AK21/la))</f>
        <v>0</v>
      </c>
      <c r="AI22" s="45">
        <f>IF('Data Bonds'!AL21=0,0,theta0+(theta1+theta2)*(1-EXP(-'Data Bonds'!AL21/la))/('Data Bonds'!AL21/la)-theta2*EXP(-'Data Bonds'!AL21/la))</f>
        <v>0</v>
      </c>
      <c r="AJ22" s="45">
        <f>IF('Data Bonds'!AM21=0,0,theta0+(theta1+theta2)*(1-EXP(-'Data Bonds'!AM21/la))/('Data Bonds'!AM21/la)-theta2*EXP(-'Data Bonds'!AM21/la))</f>
        <v>0</v>
      </c>
      <c r="AK22" s="45">
        <f>IF('Data Bonds'!AN21=0,0,theta0+(theta1+theta2)*(1-EXP(-'Data Bonds'!AN21/la))/('Data Bonds'!AN21/la)-theta2*EXP(-'Data Bonds'!AN21/la))</f>
        <v>0</v>
      </c>
      <c r="AL22" s="45">
        <f>IF('Data Bonds'!AO21=0,0,theta0+(theta1+theta2)*(1-EXP(-'Data Bonds'!AO21/la))/('Data Bonds'!AO21/la)-theta2*EXP(-'Data Bonds'!AO21/la))</f>
        <v>0</v>
      </c>
      <c r="AM22" s="45">
        <f>IF('Data Bonds'!AP21=0,0,theta0+(theta1+theta2)*(1-EXP(-'Data Bonds'!AP21/la))/('Data Bonds'!AP21/la)-theta2*EXP(-'Data Bonds'!AP21/la))</f>
        <v>0</v>
      </c>
      <c r="AN22" s="45">
        <f>IF('Data Bonds'!AQ21=0,0,theta0+(theta1+theta2)*(1-EXP(-'Data Bonds'!AQ21/la))/('Data Bonds'!AQ21/la)-theta2*EXP(-'Data Bonds'!AQ21/la))</f>
        <v>0</v>
      </c>
      <c r="AO22" s="45">
        <f>IF('Data Bonds'!AR21=0,0,theta0+(theta1+theta2)*(1-EXP(-'Data Bonds'!AR21/la))/('Data Bonds'!AR21/la)-theta2*EXP(-'Data Bonds'!AR21/la))</f>
        <v>0</v>
      </c>
      <c r="AP22" s="45">
        <f>IF('Data Bonds'!AS21=0,0,theta0+(theta1+theta2)*(1-EXP(-'Data Bonds'!AS21/la))/('Data Bonds'!AS21/la)-theta2*EXP(-'Data Bonds'!AS21/la))</f>
        <v>0</v>
      </c>
      <c r="AQ22" s="45">
        <f>IF('Data Bonds'!AT21=0,0,theta0+(theta1+theta2)*(1-EXP(-'Data Bonds'!AT21/la))/('Data Bonds'!AT21/la)-theta2*EXP(-'Data Bonds'!AT21/la))</f>
        <v>0</v>
      </c>
      <c r="AR22" s="45">
        <f>IF('Data Bonds'!AU21=0,0,theta0+(theta1+theta2)*(1-EXP(-'Data Bonds'!AU21/la))/('Data Bonds'!AU21/la)-theta2*EXP(-'Data Bonds'!AU21/la))</f>
        <v>0</v>
      </c>
      <c r="AS22" s="45">
        <f>IF('Data Bonds'!AV21=0,0,theta0+(theta1+theta2)*(1-EXP(-'Data Bonds'!AV21/la))/('Data Bonds'!AV21/la)-theta2*EXP(-'Data Bonds'!AV21/la))</f>
        <v>0</v>
      </c>
      <c r="AT22" s="45">
        <f>IF('Data Bonds'!AW21=0,0,theta0+(theta1+theta2)*(1-EXP(-'Data Bonds'!AW21/la))/('Data Bonds'!AW21/la)-theta2*EXP(-'Data Bonds'!AW21/la))</f>
        <v>0</v>
      </c>
      <c r="AU22" s="45">
        <f>IF('Data Bonds'!AX21=0,0,theta0+(theta1+theta2)*(1-EXP(-'Data Bonds'!AX21/la))/('Data Bonds'!AX21/la)-theta2*EXP(-'Data Bonds'!AX21/la))</f>
        <v>0</v>
      </c>
      <c r="AV22" s="45">
        <f>IF('Data Bonds'!AY21=0,0,theta0+(theta1+theta2)*(1-EXP(-'Data Bonds'!AY21/la))/('Data Bonds'!AY21/la)-theta2*EXP(-'Data Bonds'!AY21/la))</f>
        <v>0</v>
      </c>
      <c r="AW22" s="45">
        <f>IF('Data Bonds'!AZ21=0,0,theta0+(theta1+theta2)*(1-EXP(-'Data Bonds'!AZ21/la))/('Data Bonds'!AZ21/la)-theta2*EXP(-'Data Bonds'!AZ21/la))</f>
        <v>0</v>
      </c>
      <c r="AX22" s="45">
        <f>IF('Data Bonds'!BA21=0,0,theta0+(theta1+theta2)*(1-EXP(-'Data Bonds'!BA21/la))/('Data Bonds'!BA21/la)-theta2*EXP(-'Data Bonds'!BA21/la))</f>
        <v>0</v>
      </c>
      <c r="AY22" s="45">
        <f>IF('Data Bonds'!BB21=0,0,theta0+(theta1+theta2)*(1-EXP(-'Data Bonds'!BB21/la))/('Data Bonds'!BB21/la)-theta2*EXP(-'Data Bonds'!BB21/la))</f>
        <v>0</v>
      </c>
      <c r="AZ22" s="45">
        <f>IF('Data Bonds'!BC21=0,0,theta0+(theta1+theta2)*(1-EXP(-'Data Bonds'!BC21/la))/('Data Bonds'!BC21/la)-theta2*EXP(-'Data Bonds'!BC21/la))</f>
        <v>0</v>
      </c>
      <c r="BA22" s="45">
        <f>IF('Data Bonds'!BD21=0,0,theta0+(theta1+theta2)*(1-EXP(-'Data Bonds'!BD21/la))/('Data Bonds'!BD21/la)-theta2*EXP(-'Data Bonds'!BD21/la))</f>
        <v>0</v>
      </c>
      <c r="BB22" s="45">
        <f>IF('Data Bonds'!BE21=0,0,theta0+(theta1+theta2)*(1-EXP(-'Data Bonds'!BE21/la))/('Data Bonds'!BE21/la)-theta2*EXP(-'Data Bonds'!BE21/la))</f>
        <v>0</v>
      </c>
      <c r="BC22" s="45">
        <f>IF('Data Bonds'!BF21=0,0,theta0+(theta1+theta2)*(1-EXP(-'Data Bonds'!BF21/la))/('Data Bonds'!BF21/la)-theta2*EXP(-'Data Bonds'!BF21/la))</f>
        <v>0</v>
      </c>
      <c r="BD22" s="45">
        <f>IF('Data Bonds'!BG21=0,0,theta0+(theta1+theta2)*(1-EXP(-'Data Bonds'!BG21/la))/('Data Bonds'!BG21/la)-theta2*EXP(-'Data Bonds'!BG21/la))</f>
        <v>0</v>
      </c>
      <c r="BE22" s="45">
        <f>IF('Data Bonds'!BH21=0,0,theta0+(theta1+theta2)*(1-EXP(-'Data Bonds'!BH21/la))/('Data Bonds'!BH21/la)-theta2*EXP(-'Data Bonds'!BH21/la))</f>
        <v>0</v>
      </c>
      <c r="BF22" s="45">
        <f>IF('Data Bonds'!BI21=0,0,theta0+(theta1+theta2)*(1-EXP(-'Data Bonds'!BI21/la))/('Data Bonds'!BI21/la)-theta2*EXP(-'Data Bonds'!BI21/la))</f>
        <v>0</v>
      </c>
      <c r="BG22" s="45">
        <f>IF('Data Bonds'!BJ21=0,0,theta0+(theta1+theta2)*(1-EXP(-'Data Bonds'!BJ21/la))/('Data Bonds'!BJ21/la)-theta2*EXP(-'Data Bonds'!BJ21/la))</f>
        <v>0</v>
      </c>
      <c r="BH22" s="45">
        <f>IF('Data Bonds'!BK21=0,0,theta0+(theta1+theta2)*(1-EXP(-'Data Bonds'!BK21/la))/('Data Bonds'!BK21/la)-theta2*EXP(-'Data Bonds'!BK21/la))</f>
        <v>0</v>
      </c>
      <c r="BI22" s="45">
        <f>IF('Data Bonds'!BL21=0,0,theta0+(theta1+theta2)*(1-EXP(-'Data Bonds'!BL21/la))/('Data Bonds'!BL21/la)-theta2*EXP(-'Data Bonds'!BL21/la))</f>
        <v>0</v>
      </c>
      <c r="BJ22" s="45">
        <f>IF('Data Bonds'!BM21=0,0,theta0+(theta1+theta2)*(1-EXP(-'Data Bonds'!BM21/la))/('Data Bonds'!BM21/la)-theta2*EXP(-'Data Bonds'!BM21/la))</f>
        <v>0</v>
      </c>
      <c r="BK22" s="45">
        <f>IF('Data Bonds'!BN21=0,0,theta0+(theta1+theta2)*(1-EXP(-'Data Bonds'!BN21/la))/('Data Bonds'!BN21/la)-theta2*EXP(-'Data Bonds'!BN21/la))</f>
        <v>0</v>
      </c>
      <c r="BL22" s="45">
        <f>IF('Data Bonds'!BO21=0,0,theta0+(theta1+theta2)*(1-EXP(-'Data Bonds'!BO21/la))/('Data Bonds'!BO21/la)-theta2*EXP(-'Data Bonds'!BO21/la))</f>
        <v>0</v>
      </c>
      <c r="BM22" s="45">
        <f>IF('Data Bonds'!BP21=0,0,theta0+(theta1+theta2)*(1-EXP(-'Data Bonds'!BP21/la))/('Data Bonds'!BP21/la)-theta2*EXP(-'Data Bonds'!BP21/la))</f>
        <v>0</v>
      </c>
      <c r="BN22" s="45">
        <f>IF('Data Bonds'!BQ21=0,0,theta0+(theta1+theta2)*(1-EXP(-'Data Bonds'!BQ21/la))/('Data Bonds'!BQ21/la)-theta2*EXP(-'Data Bonds'!BQ21/la))</f>
        <v>0</v>
      </c>
      <c r="BO22" s="45">
        <f>IF('Data Bonds'!BR21=0,0,theta0+(theta1+theta2)*(1-EXP(-'Data Bonds'!BR21/la))/('Data Bonds'!BR21/la)-theta2*EXP(-'Data Bonds'!BR21/la))</f>
        <v>0</v>
      </c>
      <c r="BP22" s="38">
        <f>EXP(-'Data Bonds'!K21*H22)</f>
        <v>0.99030095386253514</v>
      </c>
      <c r="BQ22" s="38">
        <f>EXP(-'Data Bonds'!L21*I22)</f>
        <v>0.96596142383001249</v>
      </c>
      <c r="BR22" s="38">
        <f>EXP(-'Data Bonds'!M21*J22)</f>
        <v>0.94276024382077384</v>
      </c>
      <c r="BS22" s="38">
        <f>EXP(-'Data Bonds'!N21*K22)</f>
        <v>1</v>
      </c>
      <c r="BT22" s="38">
        <f>EXP(-'Data Bonds'!O21*L22)</f>
        <v>1</v>
      </c>
      <c r="BU22" s="38">
        <f>EXP(-'Data Bonds'!P21*M22)</f>
        <v>1</v>
      </c>
      <c r="BV22" s="38">
        <f>EXP(-'Data Bonds'!Q21*N22)</f>
        <v>1</v>
      </c>
      <c r="BW22" s="38">
        <f>EXP(-'Data Bonds'!R21*O22)</f>
        <v>1</v>
      </c>
      <c r="BX22" s="38">
        <f>EXP(-'Data Bonds'!S21*P22)</f>
        <v>1</v>
      </c>
      <c r="BY22" s="38">
        <f>EXP(-'Data Bonds'!T21*Q22)</f>
        <v>1</v>
      </c>
      <c r="BZ22" s="38">
        <f>EXP(-'Data Bonds'!U21*R22)</f>
        <v>1</v>
      </c>
      <c r="CA22" s="38">
        <f>EXP(-'Data Bonds'!V21*S22)</f>
        <v>1</v>
      </c>
      <c r="CB22" s="38">
        <f>EXP(-'Data Bonds'!W21*T22)</f>
        <v>1</v>
      </c>
      <c r="CC22" s="38">
        <f>EXP(-'Data Bonds'!X21*U22)</f>
        <v>1</v>
      </c>
      <c r="CD22" s="38">
        <f>EXP(-'Data Bonds'!Y21*V22)</f>
        <v>1</v>
      </c>
      <c r="CE22" s="38">
        <f>EXP(-'Data Bonds'!Z21*W22)</f>
        <v>1</v>
      </c>
      <c r="CF22" s="38">
        <f>EXP(-'Data Bonds'!AA21*X22)</f>
        <v>1</v>
      </c>
      <c r="CG22" s="38">
        <f>EXP(-'Data Bonds'!AB21*Y22)</f>
        <v>1</v>
      </c>
      <c r="CH22" s="38">
        <f>EXP(-'Data Bonds'!AC21*Z22)</f>
        <v>1</v>
      </c>
      <c r="CI22" s="38">
        <f>EXP(-'Data Bonds'!AD21*AA22)</f>
        <v>1</v>
      </c>
      <c r="CJ22" s="38">
        <f>EXP(-'Data Bonds'!AE21*AB22)</f>
        <v>1</v>
      </c>
      <c r="CK22" s="38">
        <f>EXP(-'Data Bonds'!AF21*AC22)</f>
        <v>1</v>
      </c>
      <c r="CL22" s="38">
        <f>EXP(-'Data Bonds'!AG21*AD22)</f>
        <v>1</v>
      </c>
      <c r="CM22" s="38">
        <f>EXP(-'Data Bonds'!AH21*AE22)</f>
        <v>1</v>
      </c>
      <c r="CN22" s="38">
        <f>EXP(-'Data Bonds'!AI21*AF22)</f>
        <v>1</v>
      </c>
      <c r="CO22" s="38">
        <f>EXP(-'Data Bonds'!AJ21*AG22)</f>
        <v>1</v>
      </c>
      <c r="CP22" s="38">
        <f>EXP(-'Data Bonds'!AK21*AH22)</f>
        <v>1</v>
      </c>
      <c r="CQ22" s="38">
        <f>EXP(-'Data Bonds'!AL21*AI22)</f>
        <v>1</v>
      </c>
      <c r="CR22" s="38">
        <f>EXP(-'Data Bonds'!AM21*AJ22)</f>
        <v>1</v>
      </c>
      <c r="CS22" s="38">
        <f>EXP(-'Data Bonds'!AN21*AK22)</f>
        <v>1</v>
      </c>
      <c r="CT22" s="38">
        <f>EXP(-'Data Bonds'!AO21*AL22)</f>
        <v>1</v>
      </c>
      <c r="CU22" s="38">
        <f>EXP(-'Data Bonds'!AP21*AM22)</f>
        <v>1</v>
      </c>
      <c r="CV22" s="38">
        <f>EXP(-'Data Bonds'!AQ21*AN22)</f>
        <v>1</v>
      </c>
      <c r="CW22" s="38">
        <f>EXP(-'Data Bonds'!AR21*AO22)</f>
        <v>1</v>
      </c>
      <c r="CX22" s="38">
        <f>EXP(-'Data Bonds'!AS21*AP22)</f>
        <v>1</v>
      </c>
      <c r="CY22" s="38">
        <f>EXP(-'Data Bonds'!AT21*AQ22)</f>
        <v>1</v>
      </c>
      <c r="CZ22" s="38">
        <f>EXP(-'Data Bonds'!AU21*AR22)</f>
        <v>1</v>
      </c>
      <c r="DA22" s="38">
        <f>EXP(-'Data Bonds'!AV21*AS22)</f>
        <v>1</v>
      </c>
      <c r="DB22" s="38">
        <f>EXP(-'Data Bonds'!AW21*AT22)</f>
        <v>1</v>
      </c>
      <c r="DC22" s="38">
        <f>EXP(-'Data Bonds'!AX21*AU22)</f>
        <v>1</v>
      </c>
      <c r="DD22" s="38">
        <f>EXP(-'Data Bonds'!AY21*AV22)</f>
        <v>1</v>
      </c>
      <c r="DE22" s="38">
        <f>EXP(-'Data Bonds'!AZ21*AW22)</f>
        <v>1</v>
      </c>
      <c r="DF22" s="38">
        <f>EXP(-'Data Bonds'!BA21*AX22)</f>
        <v>1</v>
      </c>
      <c r="DG22" s="38">
        <f>EXP(-'Data Bonds'!BB21*AY22)</f>
        <v>1</v>
      </c>
      <c r="DH22" s="38">
        <f>EXP(-'Data Bonds'!BC21*AZ22)</f>
        <v>1</v>
      </c>
      <c r="DI22" s="38">
        <f>EXP(-'Data Bonds'!BD21*BA22)</f>
        <v>1</v>
      </c>
      <c r="DJ22" s="38">
        <f>EXP(-'Data Bonds'!BE21*BB22)</f>
        <v>1</v>
      </c>
      <c r="DK22" s="38">
        <f>EXP(-'Data Bonds'!BF21*BC22)</f>
        <v>1</v>
      </c>
      <c r="DL22" s="38">
        <f>EXP(-'Data Bonds'!BG21*BD22)</f>
        <v>1</v>
      </c>
      <c r="DM22" s="38">
        <f>EXP(-'Data Bonds'!BH21*BE22)</f>
        <v>1</v>
      </c>
      <c r="DN22" s="38">
        <f>EXP(-'Data Bonds'!BI21*BF22)</f>
        <v>1</v>
      </c>
      <c r="DO22" s="38">
        <f>EXP(-'Data Bonds'!BJ21*BG22)</f>
        <v>1</v>
      </c>
      <c r="DP22" s="38">
        <f>EXP(-'Data Bonds'!BK21*BH22)</f>
        <v>1</v>
      </c>
      <c r="DQ22" s="38">
        <f>EXP(-'Data Bonds'!BL21*BI22)</f>
        <v>1</v>
      </c>
      <c r="DR22" s="38">
        <f>EXP(-'Data Bonds'!BM21*BJ22)</f>
        <v>1</v>
      </c>
      <c r="DS22" s="38">
        <f>EXP(-'Data Bonds'!BN21*BK22)</f>
        <v>1</v>
      </c>
      <c r="DT22" s="38">
        <f>EXP(-'Data Bonds'!BO21*BL22)</f>
        <v>1</v>
      </c>
      <c r="DU22" s="38">
        <f>EXP(-'Data Bonds'!BP21*BM22)</f>
        <v>1</v>
      </c>
      <c r="DV22" s="38">
        <f>EXP(-'Data Bonds'!BQ21*BN22)</f>
        <v>1</v>
      </c>
      <c r="DW22" s="38">
        <f>EXP(-'Data Bonds'!BR21*BO22)</f>
        <v>1</v>
      </c>
      <c r="DX22" s="28">
        <f>SUMPRODUCT(BP22:DW22,'Data Bonds'!BU21:EB21)</f>
        <v>100.25525853894861</v>
      </c>
      <c r="DY22" s="28">
        <f t="shared" si="5"/>
        <v>3.3480348386648881E-3</v>
      </c>
      <c r="EA22" s="33">
        <f t="shared" si="6"/>
        <v>5.5</v>
      </c>
      <c r="EB22" s="29">
        <f t="shared" si="2"/>
        <v>5.0547948059901419E-2</v>
      </c>
      <c r="EC22" s="29">
        <f t="shared" si="3"/>
        <v>0.75728643576744492</v>
      </c>
      <c r="ED22" s="29">
        <f t="shared" si="7"/>
        <v>5.2689906101668134E-2</v>
      </c>
      <c r="EE22" s="32"/>
      <c r="EF22" s="32"/>
      <c r="EG22" s="32"/>
      <c r="EI22" s="34"/>
    </row>
    <row r="23" spans="2:139">
      <c r="B23" s="27">
        <f>'Data Bonds'!E22</f>
        <v>4.5</v>
      </c>
      <c r="C23" s="27">
        <f>'Data Bonds'!F22</f>
        <v>99.085937999999999</v>
      </c>
      <c r="D23" s="27">
        <f>'Data Bonds'!G22</f>
        <v>99.117187999999999</v>
      </c>
      <c r="E23" s="27">
        <f>'Data Bonds'!I22</f>
        <v>1.4</v>
      </c>
      <c r="F23" s="40">
        <f>'Data Bonds'!H22</f>
        <v>1.6888888888888889</v>
      </c>
      <c r="G23" s="28">
        <f t="shared" si="4"/>
        <v>100.501563</v>
      </c>
      <c r="H23" s="45">
        <f>IF('Data Bonds'!K22=0,0,theta0+(theta1+theta2)*(1-EXP(-'Data Bonds'!K22/la))/('Data Bonds'!K22/la)-theta2*EXP(-'Data Bonds'!K22/la))</f>
        <v>5.1598526027898411E-2</v>
      </c>
      <c r="I23" s="45">
        <f>IF('Data Bonds'!L22=0,0,theta0+(theta1+theta2)*(1-EXP(-'Data Bonds'!L22/la))/('Data Bonds'!L22/la)-theta2*EXP(-'Data Bonds'!L22/la))</f>
        <v>5.0271357324748023E-2</v>
      </c>
      <c r="J23" s="45">
        <f>IF('Data Bonds'!M22=0,0,theta0+(theta1+theta2)*(1-EXP(-'Data Bonds'!M22/la))/('Data Bonds'!M22/la)-theta2*EXP(-'Data Bonds'!M22/la))</f>
        <v>4.9578457297749672E-2</v>
      </c>
      <c r="K23" s="45">
        <f>IF('Data Bonds'!N22=0,0,theta0+(theta1+theta2)*(1-EXP(-'Data Bonds'!N22/la))/('Data Bonds'!N22/la)-theta2*EXP(-'Data Bonds'!N22/la))</f>
        <v>4.9285035750538553E-2</v>
      </c>
      <c r="L23" s="45">
        <f>IF('Data Bonds'!O22=0,0,theta0+(theta1+theta2)*(1-EXP(-'Data Bonds'!O22/la))/('Data Bonds'!O22/la)-theta2*EXP(-'Data Bonds'!O22/la))</f>
        <v>0</v>
      </c>
      <c r="M23" s="45">
        <f>IF('Data Bonds'!P22=0,0,theta0+(theta1+theta2)*(1-EXP(-'Data Bonds'!P22/la))/('Data Bonds'!P22/la)-theta2*EXP(-'Data Bonds'!P22/la))</f>
        <v>0</v>
      </c>
      <c r="N23" s="45">
        <f>IF('Data Bonds'!Q22=0,0,theta0+(theta1+theta2)*(1-EXP(-'Data Bonds'!Q22/la))/('Data Bonds'!Q22/la)-theta2*EXP(-'Data Bonds'!Q22/la))</f>
        <v>0</v>
      </c>
      <c r="O23" s="45">
        <f>IF('Data Bonds'!R22=0,0,theta0+(theta1+theta2)*(1-EXP(-'Data Bonds'!R22/la))/('Data Bonds'!R22/la)-theta2*EXP(-'Data Bonds'!R22/la))</f>
        <v>0</v>
      </c>
      <c r="P23" s="45">
        <f>IF('Data Bonds'!S22=0,0,theta0+(theta1+theta2)*(1-EXP(-'Data Bonds'!S22/la))/('Data Bonds'!S22/la)-theta2*EXP(-'Data Bonds'!S22/la))</f>
        <v>0</v>
      </c>
      <c r="Q23" s="45">
        <f>IF('Data Bonds'!T22=0,0,theta0+(theta1+theta2)*(1-EXP(-'Data Bonds'!T22/la))/('Data Bonds'!T22/la)-theta2*EXP(-'Data Bonds'!T22/la))</f>
        <v>0</v>
      </c>
      <c r="R23" s="45">
        <f>IF('Data Bonds'!U22=0,0,theta0+(theta1+theta2)*(1-EXP(-'Data Bonds'!U22/la))/('Data Bonds'!U22/la)-theta2*EXP(-'Data Bonds'!U22/la))</f>
        <v>0</v>
      </c>
      <c r="S23" s="45">
        <f>IF('Data Bonds'!V22=0,0,theta0+(theta1+theta2)*(1-EXP(-'Data Bonds'!V22/la))/('Data Bonds'!V22/la)-theta2*EXP(-'Data Bonds'!V22/la))</f>
        <v>0</v>
      </c>
      <c r="T23" s="45">
        <f>IF('Data Bonds'!W22=0,0,theta0+(theta1+theta2)*(1-EXP(-'Data Bonds'!W22/la))/('Data Bonds'!W22/la)-theta2*EXP(-'Data Bonds'!W22/la))</f>
        <v>0</v>
      </c>
      <c r="U23" s="45">
        <f>IF('Data Bonds'!X22=0,0,theta0+(theta1+theta2)*(1-EXP(-'Data Bonds'!X22/la))/('Data Bonds'!X22/la)-theta2*EXP(-'Data Bonds'!X22/la))</f>
        <v>0</v>
      </c>
      <c r="V23" s="45">
        <f>IF('Data Bonds'!Y22=0,0,theta0+(theta1+theta2)*(1-EXP(-'Data Bonds'!Y22/la))/('Data Bonds'!Y22/la)-theta2*EXP(-'Data Bonds'!Y22/la))</f>
        <v>0</v>
      </c>
      <c r="W23" s="45">
        <f>IF('Data Bonds'!Z22=0,0,theta0+(theta1+theta2)*(1-EXP(-'Data Bonds'!Z22/la))/('Data Bonds'!Z22/la)-theta2*EXP(-'Data Bonds'!Z22/la))</f>
        <v>0</v>
      </c>
      <c r="X23" s="45">
        <f>IF('Data Bonds'!AA22=0,0,theta0+(theta1+theta2)*(1-EXP(-'Data Bonds'!AA22/la))/('Data Bonds'!AA22/la)-theta2*EXP(-'Data Bonds'!AA22/la))</f>
        <v>0</v>
      </c>
      <c r="Y23" s="45">
        <f>IF('Data Bonds'!AB22=0,0,theta0+(theta1+theta2)*(1-EXP(-'Data Bonds'!AB22/la))/('Data Bonds'!AB22/la)-theta2*EXP(-'Data Bonds'!AB22/la))</f>
        <v>0</v>
      </c>
      <c r="Z23" s="45">
        <f>IF('Data Bonds'!AC22=0,0,theta0+(theta1+theta2)*(1-EXP(-'Data Bonds'!AC22/la))/('Data Bonds'!AC22/la)-theta2*EXP(-'Data Bonds'!AC22/la))</f>
        <v>0</v>
      </c>
      <c r="AA23" s="45">
        <f>IF('Data Bonds'!AD22=0,0,theta0+(theta1+theta2)*(1-EXP(-'Data Bonds'!AD22/la))/('Data Bonds'!AD22/la)-theta2*EXP(-'Data Bonds'!AD22/la))</f>
        <v>0</v>
      </c>
      <c r="AB23" s="45">
        <f>IF('Data Bonds'!AE22=0,0,theta0+(theta1+theta2)*(1-EXP(-'Data Bonds'!AE22/la))/('Data Bonds'!AE22/la)-theta2*EXP(-'Data Bonds'!AE22/la))</f>
        <v>0</v>
      </c>
      <c r="AC23" s="45">
        <f>IF('Data Bonds'!AF22=0,0,theta0+(theta1+theta2)*(1-EXP(-'Data Bonds'!AF22/la))/('Data Bonds'!AF22/la)-theta2*EXP(-'Data Bonds'!AF22/la))</f>
        <v>0</v>
      </c>
      <c r="AD23" s="45">
        <f>IF('Data Bonds'!AG22=0,0,theta0+(theta1+theta2)*(1-EXP(-'Data Bonds'!AG22/la))/('Data Bonds'!AG22/la)-theta2*EXP(-'Data Bonds'!AG22/la))</f>
        <v>0</v>
      </c>
      <c r="AE23" s="45">
        <f>IF('Data Bonds'!AH22=0,0,theta0+(theta1+theta2)*(1-EXP(-'Data Bonds'!AH22/la))/('Data Bonds'!AH22/la)-theta2*EXP(-'Data Bonds'!AH22/la))</f>
        <v>0</v>
      </c>
      <c r="AF23" s="45">
        <f>IF('Data Bonds'!AI22=0,0,theta0+(theta1+theta2)*(1-EXP(-'Data Bonds'!AI22/la))/('Data Bonds'!AI22/la)-theta2*EXP(-'Data Bonds'!AI22/la))</f>
        <v>0</v>
      </c>
      <c r="AG23" s="45">
        <f>IF('Data Bonds'!AJ22=0,0,theta0+(theta1+theta2)*(1-EXP(-'Data Bonds'!AJ22/la))/('Data Bonds'!AJ22/la)-theta2*EXP(-'Data Bonds'!AJ22/la))</f>
        <v>0</v>
      </c>
      <c r="AH23" s="45">
        <f>IF('Data Bonds'!AK22=0,0,theta0+(theta1+theta2)*(1-EXP(-'Data Bonds'!AK22/la))/('Data Bonds'!AK22/la)-theta2*EXP(-'Data Bonds'!AK22/la))</f>
        <v>0</v>
      </c>
      <c r="AI23" s="45">
        <f>IF('Data Bonds'!AL22=0,0,theta0+(theta1+theta2)*(1-EXP(-'Data Bonds'!AL22/la))/('Data Bonds'!AL22/la)-theta2*EXP(-'Data Bonds'!AL22/la))</f>
        <v>0</v>
      </c>
      <c r="AJ23" s="45">
        <f>IF('Data Bonds'!AM22=0,0,theta0+(theta1+theta2)*(1-EXP(-'Data Bonds'!AM22/la))/('Data Bonds'!AM22/la)-theta2*EXP(-'Data Bonds'!AM22/la))</f>
        <v>0</v>
      </c>
      <c r="AK23" s="45">
        <f>IF('Data Bonds'!AN22=0,0,theta0+(theta1+theta2)*(1-EXP(-'Data Bonds'!AN22/la))/('Data Bonds'!AN22/la)-theta2*EXP(-'Data Bonds'!AN22/la))</f>
        <v>0</v>
      </c>
      <c r="AL23" s="45">
        <f>IF('Data Bonds'!AO22=0,0,theta0+(theta1+theta2)*(1-EXP(-'Data Bonds'!AO22/la))/('Data Bonds'!AO22/la)-theta2*EXP(-'Data Bonds'!AO22/la))</f>
        <v>0</v>
      </c>
      <c r="AM23" s="45">
        <f>IF('Data Bonds'!AP22=0,0,theta0+(theta1+theta2)*(1-EXP(-'Data Bonds'!AP22/la))/('Data Bonds'!AP22/la)-theta2*EXP(-'Data Bonds'!AP22/la))</f>
        <v>0</v>
      </c>
      <c r="AN23" s="45">
        <f>IF('Data Bonds'!AQ22=0,0,theta0+(theta1+theta2)*(1-EXP(-'Data Bonds'!AQ22/la))/('Data Bonds'!AQ22/la)-theta2*EXP(-'Data Bonds'!AQ22/la))</f>
        <v>0</v>
      </c>
      <c r="AO23" s="45">
        <f>IF('Data Bonds'!AR22=0,0,theta0+(theta1+theta2)*(1-EXP(-'Data Bonds'!AR22/la))/('Data Bonds'!AR22/la)-theta2*EXP(-'Data Bonds'!AR22/la))</f>
        <v>0</v>
      </c>
      <c r="AP23" s="45">
        <f>IF('Data Bonds'!AS22=0,0,theta0+(theta1+theta2)*(1-EXP(-'Data Bonds'!AS22/la))/('Data Bonds'!AS22/la)-theta2*EXP(-'Data Bonds'!AS22/la))</f>
        <v>0</v>
      </c>
      <c r="AQ23" s="45">
        <f>IF('Data Bonds'!AT22=0,0,theta0+(theta1+theta2)*(1-EXP(-'Data Bonds'!AT22/la))/('Data Bonds'!AT22/la)-theta2*EXP(-'Data Bonds'!AT22/la))</f>
        <v>0</v>
      </c>
      <c r="AR23" s="45">
        <f>IF('Data Bonds'!AU22=0,0,theta0+(theta1+theta2)*(1-EXP(-'Data Bonds'!AU22/la))/('Data Bonds'!AU22/la)-theta2*EXP(-'Data Bonds'!AU22/la))</f>
        <v>0</v>
      </c>
      <c r="AS23" s="45">
        <f>IF('Data Bonds'!AV22=0,0,theta0+(theta1+theta2)*(1-EXP(-'Data Bonds'!AV22/la))/('Data Bonds'!AV22/la)-theta2*EXP(-'Data Bonds'!AV22/la))</f>
        <v>0</v>
      </c>
      <c r="AT23" s="45">
        <f>IF('Data Bonds'!AW22=0,0,theta0+(theta1+theta2)*(1-EXP(-'Data Bonds'!AW22/la))/('Data Bonds'!AW22/la)-theta2*EXP(-'Data Bonds'!AW22/la))</f>
        <v>0</v>
      </c>
      <c r="AU23" s="45">
        <f>IF('Data Bonds'!AX22=0,0,theta0+(theta1+theta2)*(1-EXP(-'Data Bonds'!AX22/la))/('Data Bonds'!AX22/la)-theta2*EXP(-'Data Bonds'!AX22/la))</f>
        <v>0</v>
      </c>
      <c r="AV23" s="45">
        <f>IF('Data Bonds'!AY22=0,0,theta0+(theta1+theta2)*(1-EXP(-'Data Bonds'!AY22/la))/('Data Bonds'!AY22/la)-theta2*EXP(-'Data Bonds'!AY22/la))</f>
        <v>0</v>
      </c>
      <c r="AW23" s="45">
        <f>IF('Data Bonds'!AZ22=0,0,theta0+(theta1+theta2)*(1-EXP(-'Data Bonds'!AZ22/la))/('Data Bonds'!AZ22/la)-theta2*EXP(-'Data Bonds'!AZ22/la))</f>
        <v>0</v>
      </c>
      <c r="AX23" s="45">
        <f>IF('Data Bonds'!BA22=0,0,theta0+(theta1+theta2)*(1-EXP(-'Data Bonds'!BA22/la))/('Data Bonds'!BA22/la)-theta2*EXP(-'Data Bonds'!BA22/la))</f>
        <v>0</v>
      </c>
      <c r="AY23" s="45">
        <f>IF('Data Bonds'!BB22=0,0,theta0+(theta1+theta2)*(1-EXP(-'Data Bonds'!BB22/la))/('Data Bonds'!BB22/la)-theta2*EXP(-'Data Bonds'!BB22/la))</f>
        <v>0</v>
      </c>
      <c r="AZ23" s="45">
        <f>IF('Data Bonds'!BC22=0,0,theta0+(theta1+theta2)*(1-EXP(-'Data Bonds'!BC22/la))/('Data Bonds'!BC22/la)-theta2*EXP(-'Data Bonds'!BC22/la))</f>
        <v>0</v>
      </c>
      <c r="BA23" s="45">
        <f>IF('Data Bonds'!BD22=0,0,theta0+(theta1+theta2)*(1-EXP(-'Data Bonds'!BD22/la))/('Data Bonds'!BD22/la)-theta2*EXP(-'Data Bonds'!BD22/la))</f>
        <v>0</v>
      </c>
      <c r="BB23" s="45">
        <f>IF('Data Bonds'!BE22=0,0,theta0+(theta1+theta2)*(1-EXP(-'Data Bonds'!BE22/la))/('Data Bonds'!BE22/la)-theta2*EXP(-'Data Bonds'!BE22/la))</f>
        <v>0</v>
      </c>
      <c r="BC23" s="45">
        <f>IF('Data Bonds'!BF22=0,0,theta0+(theta1+theta2)*(1-EXP(-'Data Bonds'!BF22/la))/('Data Bonds'!BF22/la)-theta2*EXP(-'Data Bonds'!BF22/la))</f>
        <v>0</v>
      </c>
      <c r="BD23" s="45">
        <f>IF('Data Bonds'!BG22=0,0,theta0+(theta1+theta2)*(1-EXP(-'Data Bonds'!BG22/la))/('Data Bonds'!BG22/la)-theta2*EXP(-'Data Bonds'!BG22/la))</f>
        <v>0</v>
      </c>
      <c r="BE23" s="45">
        <f>IF('Data Bonds'!BH22=0,0,theta0+(theta1+theta2)*(1-EXP(-'Data Bonds'!BH22/la))/('Data Bonds'!BH22/la)-theta2*EXP(-'Data Bonds'!BH22/la))</f>
        <v>0</v>
      </c>
      <c r="BF23" s="45">
        <f>IF('Data Bonds'!BI22=0,0,theta0+(theta1+theta2)*(1-EXP(-'Data Bonds'!BI22/la))/('Data Bonds'!BI22/la)-theta2*EXP(-'Data Bonds'!BI22/la))</f>
        <v>0</v>
      </c>
      <c r="BG23" s="45">
        <f>IF('Data Bonds'!BJ22=0,0,theta0+(theta1+theta2)*(1-EXP(-'Data Bonds'!BJ22/la))/('Data Bonds'!BJ22/la)-theta2*EXP(-'Data Bonds'!BJ22/la))</f>
        <v>0</v>
      </c>
      <c r="BH23" s="45">
        <f>IF('Data Bonds'!BK22=0,0,theta0+(theta1+theta2)*(1-EXP(-'Data Bonds'!BK22/la))/('Data Bonds'!BK22/la)-theta2*EXP(-'Data Bonds'!BK22/la))</f>
        <v>0</v>
      </c>
      <c r="BI23" s="45">
        <f>IF('Data Bonds'!BL22=0,0,theta0+(theta1+theta2)*(1-EXP(-'Data Bonds'!BL22/la))/('Data Bonds'!BL22/la)-theta2*EXP(-'Data Bonds'!BL22/la))</f>
        <v>0</v>
      </c>
      <c r="BJ23" s="45">
        <f>IF('Data Bonds'!BM22=0,0,theta0+(theta1+theta2)*(1-EXP(-'Data Bonds'!BM22/la))/('Data Bonds'!BM22/la)-theta2*EXP(-'Data Bonds'!BM22/la))</f>
        <v>0</v>
      </c>
      <c r="BK23" s="45">
        <f>IF('Data Bonds'!BN22=0,0,theta0+(theta1+theta2)*(1-EXP(-'Data Bonds'!BN22/la))/('Data Bonds'!BN22/la)-theta2*EXP(-'Data Bonds'!BN22/la))</f>
        <v>0</v>
      </c>
      <c r="BL23" s="45">
        <f>IF('Data Bonds'!BO22=0,0,theta0+(theta1+theta2)*(1-EXP(-'Data Bonds'!BO22/la))/('Data Bonds'!BO22/la)-theta2*EXP(-'Data Bonds'!BO22/la))</f>
        <v>0</v>
      </c>
      <c r="BM23" s="45">
        <f>IF('Data Bonds'!BP22=0,0,theta0+(theta1+theta2)*(1-EXP(-'Data Bonds'!BP22/la))/('Data Bonds'!BP22/la)-theta2*EXP(-'Data Bonds'!BP22/la))</f>
        <v>0</v>
      </c>
      <c r="BN23" s="45">
        <f>IF('Data Bonds'!BQ22=0,0,theta0+(theta1+theta2)*(1-EXP(-'Data Bonds'!BQ22/la))/('Data Bonds'!BQ22/la)-theta2*EXP(-'Data Bonds'!BQ22/la))</f>
        <v>0</v>
      </c>
      <c r="BO23" s="45">
        <f>IF('Data Bonds'!BR22=0,0,theta0+(theta1+theta2)*(1-EXP(-'Data Bonds'!BR22/la))/('Data Bonds'!BR22/la)-theta2*EXP(-'Data Bonds'!BR22/la))</f>
        <v>0</v>
      </c>
      <c r="BP23" s="38">
        <f>EXP(-'Data Bonds'!K22*H23)</f>
        <v>0.99030095386253514</v>
      </c>
      <c r="BQ23" s="38">
        <f>EXP(-'Data Bonds'!L22*I23)</f>
        <v>0.96596142383001249</v>
      </c>
      <c r="BR23" s="38">
        <f>EXP(-'Data Bonds'!M22*J23)</f>
        <v>0.94276024382077384</v>
      </c>
      <c r="BS23" s="38">
        <f>EXP(-'Data Bonds'!N22*K23)</f>
        <v>0.92013309652437447</v>
      </c>
      <c r="BT23" s="38">
        <f>EXP(-'Data Bonds'!O22*L23)</f>
        <v>1</v>
      </c>
      <c r="BU23" s="38">
        <f>EXP(-'Data Bonds'!P22*M23)</f>
        <v>1</v>
      </c>
      <c r="BV23" s="38">
        <f>EXP(-'Data Bonds'!Q22*N23)</f>
        <v>1</v>
      </c>
      <c r="BW23" s="38">
        <f>EXP(-'Data Bonds'!R22*O23)</f>
        <v>1</v>
      </c>
      <c r="BX23" s="38">
        <f>EXP(-'Data Bonds'!S22*P23)</f>
        <v>1</v>
      </c>
      <c r="BY23" s="38">
        <f>EXP(-'Data Bonds'!T22*Q23)</f>
        <v>1</v>
      </c>
      <c r="BZ23" s="38">
        <f>EXP(-'Data Bonds'!U22*R23)</f>
        <v>1</v>
      </c>
      <c r="CA23" s="38">
        <f>EXP(-'Data Bonds'!V22*S23)</f>
        <v>1</v>
      </c>
      <c r="CB23" s="38">
        <f>EXP(-'Data Bonds'!W22*T23)</f>
        <v>1</v>
      </c>
      <c r="CC23" s="38">
        <f>EXP(-'Data Bonds'!X22*U23)</f>
        <v>1</v>
      </c>
      <c r="CD23" s="38">
        <f>EXP(-'Data Bonds'!Y22*V23)</f>
        <v>1</v>
      </c>
      <c r="CE23" s="38">
        <f>EXP(-'Data Bonds'!Z22*W23)</f>
        <v>1</v>
      </c>
      <c r="CF23" s="38">
        <f>EXP(-'Data Bonds'!AA22*X23)</f>
        <v>1</v>
      </c>
      <c r="CG23" s="38">
        <f>EXP(-'Data Bonds'!AB22*Y23)</f>
        <v>1</v>
      </c>
      <c r="CH23" s="38">
        <f>EXP(-'Data Bonds'!AC22*Z23)</f>
        <v>1</v>
      </c>
      <c r="CI23" s="38">
        <f>EXP(-'Data Bonds'!AD22*AA23)</f>
        <v>1</v>
      </c>
      <c r="CJ23" s="38">
        <f>EXP(-'Data Bonds'!AE22*AB23)</f>
        <v>1</v>
      </c>
      <c r="CK23" s="38">
        <f>EXP(-'Data Bonds'!AF22*AC23)</f>
        <v>1</v>
      </c>
      <c r="CL23" s="38">
        <f>EXP(-'Data Bonds'!AG22*AD23)</f>
        <v>1</v>
      </c>
      <c r="CM23" s="38">
        <f>EXP(-'Data Bonds'!AH22*AE23)</f>
        <v>1</v>
      </c>
      <c r="CN23" s="38">
        <f>EXP(-'Data Bonds'!AI22*AF23)</f>
        <v>1</v>
      </c>
      <c r="CO23" s="38">
        <f>EXP(-'Data Bonds'!AJ22*AG23)</f>
        <v>1</v>
      </c>
      <c r="CP23" s="38">
        <f>EXP(-'Data Bonds'!AK22*AH23)</f>
        <v>1</v>
      </c>
      <c r="CQ23" s="38">
        <f>EXP(-'Data Bonds'!AL22*AI23)</f>
        <v>1</v>
      </c>
      <c r="CR23" s="38">
        <f>EXP(-'Data Bonds'!AM22*AJ23)</f>
        <v>1</v>
      </c>
      <c r="CS23" s="38">
        <f>EXP(-'Data Bonds'!AN22*AK23)</f>
        <v>1</v>
      </c>
      <c r="CT23" s="38">
        <f>EXP(-'Data Bonds'!AO22*AL23)</f>
        <v>1</v>
      </c>
      <c r="CU23" s="38">
        <f>EXP(-'Data Bonds'!AP22*AM23)</f>
        <v>1</v>
      </c>
      <c r="CV23" s="38">
        <f>EXP(-'Data Bonds'!AQ22*AN23)</f>
        <v>1</v>
      </c>
      <c r="CW23" s="38">
        <f>EXP(-'Data Bonds'!AR22*AO23)</f>
        <v>1</v>
      </c>
      <c r="CX23" s="38">
        <f>EXP(-'Data Bonds'!AS22*AP23)</f>
        <v>1</v>
      </c>
      <c r="CY23" s="38">
        <f>EXP(-'Data Bonds'!AT22*AQ23)</f>
        <v>1</v>
      </c>
      <c r="CZ23" s="38">
        <f>EXP(-'Data Bonds'!AU22*AR23)</f>
        <v>1</v>
      </c>
      <c r="DA23" s="38">
        <f>EXP(-'Data Bonds'!AV22*AS23)</f>
        <v>1</v>
      </c>
      <c r="DB23" s="38">
        <f>EXP(-'Data Bonds'!AW22*AT23)</f>
        <v>1</v>
      </c>
      <c r="DC23" s="38">
        <f>EXP(-'Data Bonds'!AX22*AU23)</f>
        <v>1</v>
      </c>
      <c r="DD23" s="38">
        <f>EXP(-'Data Bonds'!AY22*AV23)</f>
        <v>1</v>
      </c>
      <c r="DE23" s="38">
        <f>EXP(-'Data Bonds'!AZ22*AW23)</f>
        <v>1</v>
      </c>
      <c r="DF23" s="38">
        <f>EXP(-'Data Bonds'!BA22*AX23)</f>
        <v>1</v>
      </c>
      <c r="DG23" s="38">
        <f>EXP(-'Data Bonds'!BB22*AY23)</f>
        <v>1</v>
      </c>
      <c r="DH23" s="38">
        <f>EXP(-'Data Bonds'!BC22*AZ23)</f>
        <v>1</v>
      </c>
      <c r="DI23" s="38">
        <f>EXP(-'Data Bonds'!BD22*BA23)</f>
        <v>1</v>
      </c>
      <c r="DJ23" s="38">
        <f>EXP(-'Data Bonds'!BE22*BB23)</f>
        <v>1</v>
      </c>
      <c r="DK23" s="38">
        <f>EXP(-'Data Bonds'!BF22*BC23)</f>
        <v>1</v>
      </c>
      <c r="DL23" s="38">
        <f>EXP(-'Data Bonds'!BG22*BD23)</f>
        <v>1</v>
      </c>
      <c r="DM23" s="38">
        <f>EXP(-'Data Bonds'!BH22*BE23)</f>
        <v>1</v>
      </c>
      <c r="DN23" s="38">
        <f>EXP(-'Data Bonds'!BI22*BF23)</f>
        <v>1</v>
      </c>
      <c r="DO23" s="38">
        <f>EXP(-'Data Bonds'!BJ22*BG23)</f>
        <v>1</v>
      </c>
      <c r="DP23" s="38">
        <f>EXP(-'Data Bonds'!BK22*BH23)</f>
        <v>1</v>
      </c>
      <c r="DQ23" s="38">
        <f>EXP(-'Data Bonds'!BL22*BI23)</f>
        <v>1</v>
      </c>
      <c r="DR23" s="38">
        <f>EXP(-'Data Bonds'!BM22*BJ23)</f>
        <v>1</v>
      </c>
      <c r="DS23" s="38">
        <f>EXP(-'Data Bonds'!BN22*BK23)</f>
        <v>1</v>
      </c>
      <c r="DT23" s="38">
        <f>EXP(-'Data Bonds'!BO22*BL23)</f>
        <v>1</v>
      </c>
      <c r="DU23" s="38">
        <f>EXP(-'Data Bonds'!BP22*BM23)</f>
        <v>1</v>
      </c>
      <c r="DV23" s="38">
        <f>EXP(-'Data Bonds'!BQ22*BN23)</f>
        <v>1</v>
      </c>
      <c r="DW23" s="38">
        <f>EXP(-'Data Bonds'!BR22*BO23)</f>
        <v>1</v>
      </c>
      <c r="DX23" s="28">
        <f>SUMPRODUCT(BP23:DW23,'Data Bonds'!BU22:EB22)</f>
        <v>100.60641001802227</v>
      </c>
      <c r="DY23" s="28">
        <f t="shared" si="5"/>
        <v>1.0992897188162078E-2</v>
      </c>
      <c r="EA23" s="33">
        <f t="shared" si="6"/>
        <v>6</v>
      </c>
      <c r="EB23" s="29">
        <f t="shared" si="2"/>
        <v>5.0746857539207373E-2</v>
      </c>
      <c r="EC23" s="29">
        <f t="shared" si="3"/>
        <v>0.73750593360439642</v>
      </c>
      <c r="ED23" s="29">
        <f t="shared" si="7"/>
        <v>5.2934861811572947E-2</v>
      </c>
      <c r="EE23" s="32"/>
      <c r="EF23" s="32"/>
      <c r="EG23" s="32"/>
      <c r="EI23" s="34"/>
    </row>
    <row r="24" spans="2:139">
      <c r="B24" s="27">
        <f>'Data Bonds'!E23</f>
        <v>4.875</v>
      </c>
      <c r="C24" s="27">
        <f>'Data Bonds'!F23</f>
        <v>99.617187999999999</v>
      </c>
      <c r="D24" s="27">
        <f>'Data Bonds'!G23</f>
        <v>99.648437999999999</v>
      </c>
      <c r="E24" s="27">
        <f>'Data Bonds'!I23</f>
        <v>1.5166666666666666</v>
      </c>
      <c r="F24" s="40">
        <f>'Data Bonds'!H23</f>
        <v>2.1888888888888891</v>
      </c>
      <c r="G24" s="28">
        <f t="shared" si="4"/>
        <v>101.14947966666666</v>
      </c>
      <c r="H24" s="45">
        <f>IF('Data Bonds'!K23=0,0,theta0+(theta1+theta2)*(1-EXP(-'Data Bonds'!K23/la))/('Data Bonds'!K23/la)-theta2*EXP(-'Data Bonds'!K23/la))</f>
        <v>5.1598526027898411E-2</v>
      </c>
      <c r="I24" s="45">
        <f>IF('Data Bonds'!L23=0,0,theta0+(theta1+theta2)*(1-EXP(-'Data Bonds'!L23/la))/('Data Bonds'!L23/la)-theta2*EXP(-'Data Bonds'!L23/la))</f>
        <v>5.0271357324748023E-2</v>
      </c>
      <c r="J24" s="45">
        <f>IF('Data Bonds'!M23=0,0,theta0+(theta1+theta2)*(1-EXP(-'Data Bonds'!M23/la))/('Data Bonds'!M23/la)-theta2*EXP(-'Data Bonds'!M23/la))</f>
        <v>4.9578457297749672E-2</v>
      </c>
      <c r="K24" s="45">
        <f>IF('Data Bonds'!N23=0,0,theta0+(theta1+theta2)*(1-EXP(-'Data Bonds'!N23/la))/('Data Bonds'!N23/la)-theta2*EXP(-'Data Bonds'!N23/la))</f>
        <v>4.9285035750538553E-2</v>
      </c>
      <c r="L24" s="45">
        <f>IF('Data Bonds'!O23=0,0,theta0+(theta1+theta2)*(1-EXP(-'Data Bonds'!O23/la))/('Data Bonds'!O23/la)-theta2*EXP(-'Data Bonds'!O23/la))</f>
        <v>4.9237017363447266E-2</v>
      </c>
      <c r="M24" s="45">
        <f>IF('Data Bonds'!P23=0,0,theta0+(theta1+theta2)*(1-EXP(-'Data Bonds'!P23/la))/('Data Bonds'!P23/la)-theta2*EXP(-'Data Bonds'!P23/la))</f>
        <v>0</v>
      </c>
      <c r="N24" s="45">
        <f>IF('Data Bonds'!Q23=0,0,theta0+(theta1+theta2)*(1-EXP(-'Data Bonds'!Q23/la))/('Data Bonds'!Q23/la)-theta2*EXP(-'Data Bonds'!Q23/la))</f>
        <v>0</v>
      </c>
      <c r="O24" s="45">
        <f>IF('Data Bonds'!R23=0,0,theta0+(theta1+theta2)*(1-EXP(-'Data Bonds'!R23/la))/('Data Bonds'!R23/la)-theta2*EXP(-'Data Bonds'!R23/la))</f>
        <v>0</v>
      </c>
      <c r="P24" s="45">
        <f>IF('Data Bonds'!S23=0,0,theta0+(theta1+theta2)*(1-EXP(-'Data Bonds'!S23/la))/('Data Bonds'!S23/la)-theta2*EXP(-'Data Bonds'!S23/la))</f>
        <v>0</v>
      </c>
      <c r="Q24" s="45">
        <f>IF('Data Bonds'!T23=0,0,theta0+(theta1+theta2)*(1-EXP(-'Data Bonds'!T23/la))/('Data Bonds'!T23/la)-theta2*EXP(-'Data Bonds'!T23/la))</f>
        <v>0</v>
      </c>
      <c r="R24" s="45">
        <f>IF('Data Bonds'!U23=0,0,theta0+(theta1+theta2)*(1-EXP(-'Data Bonds'!U23/la))/('Data Bonds'!U23/la)-theta2*EXP(-'Data Bonds'!U23/la))</f>
        <v>0</v>
      </c>
      <c r="S24" s="45">
        <f>IF('Data Bonds'!V23=0,0,theta0+(theta1+theta2)*(1-EXP(-'Data Bonds'!V23/la))/('Data Bonds'!V23/la)-theta2*EXP(-'Data Bonds'!V23/la))</f>
        <v>0</v>
      </c>
      <c r="T24" s="45">
        <f>IF('Data Bonds'!W23=0,0,theta0+(theta1+theta2)*(1-EXP(-'Data Bonds'!W23/la))/('Data Bonds'!W23/la)-theta2*EXP(-'Data Bonds'!W23/la))</f>
        <v>0</v>
      </c>
      <c r="U24" s="45">
        <f>IF('Data Bonds'!X23=0,0,theta0+(theta1+theta2)*(1-EXP(-'Data Bonds'!X23/la))/('Data Bonds'!X23/la)-theta2*EXP(-'Data Bonds'!X23/la))</f>
        <v>0</v>
      </c>
      <c r="V24" s="45">
        <f>IF('Data Bonds'!Y23=0,0,theta0+(theta1+theta2)*(1-EXP(-'Data Bonds'!Y23/la))/('Data Bonds'!Y23/la)-theta2*EXP(-'Data Bonds'!Y23/la))</f>
        <v>0</v>
      </c>
      <c r="W24" s="45">
        <f>IF('Data Bonds'!Z23=0,0,theta0+(theta1+theta2)*(1-EXP(-'Data Bonds'!Z23/la))/('Data Bonds'!Z23/la)-theta2*EXP(-'Data Bonds'!Z23/la))</f>
        <v>0</v>
      </c>
      <c r="X24" s="45">
        <f>IF('Data Bonds'!AA23=0,0,theta0+(theta1+theta2)*(1-EXP(-'Data Bonds'!AA23/la))/('Data Bonds'!AA23/la)-theta2*EXP(-'Data Bonds'!AA23/la))</f>
        <v>0</v>
      </c>
      <c r="Y24" s="45">
        <f>IF('Data Bonds'!AB23=0,0,theta0+(theta1+theta2)*(1-EXP(-'Data Bonds'!AB23/la))/('Data Bonds'!AB23/la)-theta2*EXP(-'Data Bonds'!AB23/la))</f>
        <v>0</v>
      </c>
      <c r="Z24" s="45">
        <f>IF('Data Bonds'!AC23=0,0,theta0+(theta1+theta2)*(1-EXP(-'Data Bonds'!AC23/la))/('Data Bonds'!AC23/la)-theta2*EXP(-'Data Bonds'!AC23/la))</f>
        <v>0</v>
      </c>
      <c r="AA24" s="45">
        <f>IF('Data Bonds'!AD23=0,0,theta0+(theta1+theta2)*(1-EXP(-'Data Bonds'!AD23/la))/('Data Bonds'!AD23/la)-theta2*EXP(-'Data Bonds'!AD23/la))</f>
        <v>0</v>
      </c>
      <c r="AB24" s="45">
        <f>IF('Data Bonds'!AE23=0,0,theta0+(theta1+theta2)*(1-EXP(-'Data Bonds'!AE23/la))/('Data Bonds'!AE23/la)-theta2*EXP(-'Data Bonds'!AE23/la))</f>
        <v>0</v>
      </c>
      <c r="AC24" s="45">
        <f>IF('Data Bonds'!AF23=0,0,theta0+(theta1+theta2)*(1-EXP(-'Data Bonds'!AF23/la))/('Data Bonds'!AF23/la)-theta2*EXP(-'Data Bonds'!AF23/la))</f>
        <v>0</v>
      </c>
      <c r="AD24" s="45">
        <f>IF('Data Bonds'!AG23=0,0,theta0+(theta1+theta2)*(1-EXP(-'Data Bonds'!AG23/la))/('Data Bonds'!AG23/la)-theta2*EXP(-'Data Bonds'!AG23/la))</f>
        <v>0</v>
      </c>
      <c r="AE24" s="45">
        <f>IF('Data Bonds'!AH23=0,0,theta0+(theta1+theta2)*(1-EXP(-'Data Bonds'!AH23/la))/('Data Bonds'!AH23/la)-theta2*EXP(-'Data Bonds'!AH23/la))</f>
        <v>0</v>
      </c>
      <c r="AF24" s="45">
        <f>IF('Data Bonds'!AI23=0,0,theta0+(theta1+theta2)*(1-EXP(-'Data Bonds'!AI23/la))/('Data Bonds'!AI23/la)-theta2*EXP(-'Data Bonds'!AI23/la))</f>
        <v>0</v>
      </c>
      <c r="AG24" s="45">
        <f>IF('Data Bonds'!AJ23=0,0,theta0+(theta1+theta2)*(1-EXP(-'Data Bonds'!AJ23/la))/('Data Bonds'!AJ23/la)-theta2*EXP(-'Data Bonds'!AJ23/la))</f>
        <v>0</v>
      </c>
      <c r="AH24" s="45">
        <f>IF('Data Bonds'!AK23=0,0,theta0+(theta1+theta2)*(1-EXP(-'Data Bonds'!AK23/la))/('Data Bonds'!AK23/la)-theta2*EXP(-'Data Bonds'!AK23/la))</f>
        <v>0</v>
      </c>
      <c r="AI24" s="45">
        <f>IF('Data Bonds'!AL23=0,0,theta0+(theta1+theta2)*(1-EXP(-'Data Bonds'!AL23/la))/('Data Bonds'!AL23/la)-theta2*EXP(-'Data Bonds'!AL23/la))</f>
        <v>0</v>
      </c>
      <c r="AJ24" s="45">
        <f>IF('Data Bonds'!AM23=0,0,theta0+(theta1+theta2)*(1-EXP(-'Data Bonds'!AM23/la))/('Data Bonds'!AM23/la)-theta2*EXP(-'Data Bonds'!AM23/la))</f>
        <v>0</v>
      </c>
      <c r="AK24" s="45">
        <f>IF('Data Bonds'!AN23=0,0,theta0+(theta1+theta2)*(1-EXP(-'Data Bonds'!AN23/la))/('Data Bonds'!AN23/la)-theta2*EXP(-'Data Bonds'!AN23/la))</f>
        <v>0</v>
      </c>
      <c r="AL24" s="45">
        <f>IF('Data Bonds'!AO23=0,0,theta0+(theta1+theta2)*(1-EXP(-'Data Bonds'!AO23/la))/('Data Bonds'!AO23/la)-theta2*EXP(-'Data Bonds'!AO23/la))</f>
        <v>0</v>
      </c>
      <c r="AM24" s="45">
        <f>IF('Data Bonds'!AP23=0,0,theta0+(theta1+theta2)*(1-EXP(-'Data Bonds'!AP23/la))/('Data Bonds'!AP23/la)-theta2*EXP(-'Data Bonds'!AP23/la))</f>
        <v>0</v>
      </c>
      <c r="AN24" s="45">
        <f>IF('Data Bonds'!AQ23=0,0,theta0+(theta1+theta2)*(1-EXP(-'Data Bonds'!AQ23/la))/('Data Bonds'!AQ23/la)-theta2*EXP(-'Data Bonds'!AQ23/la))</f>
        <v>0</v>
      </c>
      <c r="AO24" s="45">
        <f>IF('Data Bonds'!AR23=0,0,theta0+(theta1+theta2)*(1-EXP(-'Data Bonds'!AR23/la))/('Data Bonds'!AR23/la)-theta2*EXP(-'Data Bonds'!AR23/la))</f>
        <v>0</v>
      </c>
      <c r="AP24" s="45">
        <f>IF('Data Bonds'!AS23=0,0,theta0+(theta1+theta2)*(1-EXP(-'Data Bonds'!AS23/la))/('Data Bonds'!AS23/la)-theta2*EXP(-'Data Bonds'!AS23/la))</f>
        <v>0</v>
      </c>
      <c r="AQ24" s="45">
        <f>IF('Data Bonds'!AT23=0,0,theta0+(theta1+theta2)*(1-EXP(-'Data Bonds'!AT23/la))/('Data Bonds'!AT23/la)-theta2*EXP(-'Data Bonds'!AT23/la))</f>
        <v>0</v>
      </c>
      <c r="AR24" s="45">
        <f>IF('Data Bonds'!AU23=0,0,theta0+(theta1+theta2)*(1-EXP(-'Data Bonds'!AU23/la))/('Data Bonds'!AU23/la)-theta2*EXP(-'Data Bonds'!AU23/la))</f>
        <v>0</v>
      </c>
      <c r="AS24" s="45">
        <f>IF('Data Bonds'!AV23=0,0,theta0+(theta1+theta2)*(1-EXP(-'Data Bonds'!AV23/la))/('Data Bonds'!AV23/la)-theta2*EXP(-'Data Bonds'!AV23/la))</f>
        <v>0</v>
      </c>
      <c r="AT24" s="45">
        <f>IF('Data Bonds'!AW23=0,0,theta0+(theta1+theta2)*(1-EXP(-'Data Bonds'!AW23/la))/('Data Bonds'!AW23/la)-theta2*EXP(-'Data Bonds'!AW23/la))</f>
        <v>0</v>
      </c>
      <c r="AU24" s="45">
        <f>IF('Data Bonds'!AX23=0,0,theta0+(theta1+theta2)*(1-EXP(-'Data Bonds'!AX23/la))/('Data Bonds'!AX23/la)-theta2*EXP(-'Data Bonds'!AX23/la))</f>
        <v>0</v>
      </c>
      <c r="AV24" s="45">
        <f>IF('Data Bonds'!AY23=0,0,theta0+(theta1+theta2)*(1-EXP(-'Data Bonds'!AY23/la))/('Data Bonds'!AY23/la)-theta2*EXP(-'Data Bonds'!AY23/la))</f>
        <v>0</v>
      </c>
      <c r="AW24" s="45">
        <f>IF('Data Bonds'!AZ23=0,0,theta0+(theta1+theta2)*(1-EXP(-'Data Bonds'!AZ23/la))/('Data Bonds'!AZ23/la)-theta2*EXP(-'Data Bonds'!AZ23/la))</f>
        <v>0</v>
      </c>
      <c r="AX24" s="45">
        <f>IF('Data Bonds'!BA23=0,0,theta0+(theta1+theta2)*(1-EXP(-'Data Bonds'!BA23/la))/('Data Bonds'!BA23/la)-theta2*EXP(-'Data Bonds'!BA23/la))</f>
        <v>0</v>
      </c>
      <c r="AY24" s="45">
        <f>IF('Data Bonds'!BB23=0,0,theta0+(theta1+theta2)*(1-EXP(-'Data Bonds'!BB23/la))/('Data Bonds'!BB23/la)-theta2*EXP(-'Data Bonds'!BB23/la))</f>
        <v>0</v>
      </c>
      <c r="AZ24" s="45">
        <f>IF('Data Bonds'!BC23=0,0,theta0+(theta1+theta2)*(1-EXP(-'Data Bonds'!BC23/la))/('Data Bonds'!BC23/la)-theta2*EXP(-'Data Bonds'!BC23/la))</f>
        <v>0</v>
      </c>
      <c r="BA24" s="45">
        <f>IF('Data Bonds'!BD23=0,0,theta0+(theta1+theta2)*(1-EXP(-'Data Bonds'!BD23/la))/('Data Bonds'!BD23/la)-theta2*EXP(-'Data Bonds'!BD23/la))</f>
        <v>0</v>
      </c>
      <c r="BB24" s="45">
        <f>IF('Data Bonds'!BE23=0,0,theta0+(theta1+theta2)*(1-EXP(-'Data Bonds'!BE23/la))/('Data Bonds'!BE23/la)-theta2*EXP(-'Data Bonds'!BE23/la))</f>
        <v>0</v>
      </c>
      <c r="BC24" s="45">
        <f>IF('Data Bonds'!BF23=0,0,theta0+(theta1+theta2)*(1-EXP(-'Data Bonds'!BF23/la))/('Data Bonds'!BF23/la)-theta2*EXP(-'Data Bonds'!BF23/la))</f>
        <v>0</v>
      </c>
      <c r="BD24" s="45">
        <f>IF('Data Bonds'!BG23=0,0,theta0+(theta1+theta2)*(1-EXP(-'Data Bonds'!BG23/la))/('Data Bonds'!BG23/la)-theta2*EXP(-'Data Bonds'!BG23/la))</f>
        <v>0</v>
      </c>
      <c r="BE24" s="45">
        <f>IF('Data Bonds'!BH23=0,0,theta0+(theta1+theta2)*(1-EXP(-'Data Bonds'!BH23/la))/('Data Bonds'!BH23/la)-theta2*EXP(-'Data Bonds'!BH23/la))</f>
        <v>0</v>
      </c>
      <c r="BF24" s="45">
        <f>IF('Data Bonds'!BI23=0,0,theta0+(theta1+theta2)*(1-EXP(-'Data Bonds'!BI23/la))/('Data Bonds'!BI23/la)-theta2*EXP(-'Data Bonds'!BI23/la))</f>
        <v>0</v>
      </c>
      <c r="BG24" s="45">
        <f>IF('Data Bonds'!BJ23=0,0,theta0+(theta1+theta2)*(1-EXP(-'Data Bonds'!BJ23/la))/('Data Bonds'!BJ23/la)-theta2*EXP(-'Data Bonds'!BJ23/la))</f>
        <v>0</v>
      </c>
      <c r="BH24" s="45">
        <f>IF('Data Bonds'!BK23=0,0,theta0+(theta1+theta2)*(1-EXP(-'Data Bonds'!BK23/la))/('Data Bonds'!BK23/la)-theta2*EXP(-'Data Bonds'!BK23/la))</f>
        <v>0</v>
      </c>
      <c r="BI24" s="45">
        <f>IF('Data Bonds'!BL23=0,0,theta0+(theta1+theta2)*(1-EXP(-'Data Bonds'!BL23/la))/('Data Bonds'!BL23/la)-theta2*EXP(-'Data Bonds'!BL23/la))</f>
        <v>0</v>
      </c>
      <c r="BJ24" s="45">
        <f>IF('Data Bonds'!BM23=0,0,theta0+(theta1+theta2)*(1-EXP(-'Data Bonds'!BM23/la))/('Data Bonds'!BM23/la)-theta2*EXP(-'Data Bonds'!BM23/la))</f>
        <v>0</v>
      </c>
      <c r="BK24" s="45">
        <f>IF('Data Bonds'!BN23=0,0,theta0+(theta1+theta2)*(1-EXP(-'Data Bonds'!BN23/la))/('Data Bonds'!BN23/la)-theta2*EXP(-'Data Bonds'!BN23/la))</f>
        <v>0</v>
      </c>
      <c r="BL24" s="45">
        <f>IF('Data Bonds'!BO23=0,0,theta0+(theta1+theta2)*(1-EXP(-'Data Bonds'!BO23/la))/('Data Bonds'!BO23/la)-theta2*EXP(-'Data Bonds'!BO23/la))</f>
        <v>0</v>
      </c>
      <c r="BM24" s="45">
        <f>IF('Data Bonds'!BP23=0,0,theta0+(theta1+theta2)*(1-EXP(-'Data Bonds'!BP23/la))/('Data Bonds'!BP23/la)-theta2*EXP(-'Data Bonds'!BP23/la))</f>
        <v>0</v>
      </c>
      <c r="BN24" s="45">
        <f>IF('Data Bonds'!BQ23=0,0,theta0+(theta1+theta2)*(1-EXP(-'Data Bonds'!BQ23/la))/('Data Bonds'!BQ23/la)-theta2*EXP(-'Data Bonds'!BQ23/la))</f>
        <v>0</v>
      </c>
      <c r="BO24" s="45">
        <f>IF('Data Bonds'!BR23=0,0,theta0+(theta1+theta2)*(1-EXP(-'Data Bonds'!BR23/la))/('Data Bonds'!BR23/la)-theta2*EXP(-'Data Bonds'!BR23/la))</f>
        <v>0</v>
      </c>
      <c r="BP24" s="38">
        <f>EXP(-'Data Bonds'!K23*H24)</f>
        <v>0.99030095386253514</v>
      </c>
      <c r="BQ24" s="38">
        <f>EXP(-'Data Bonds'!L23*I24)</f>
        <v>0.96596142383001249</v>
      </c>
      <c r="BR24" s="38">
        <f>EXP(-'Data Bonds'!M23*J24)</f>
        <v>0.94276024382077384</v>
      </c>
      <c r="BS24" s="38">
        <f>EXP(-'Data Bonds'!N23*K24)</f>
        <v>0.92013309652437447</v>
      </c>
      <c r="BT24" s="38">
        <f>EXP(-'Data Bonds'!O23*L24)</f>
        <v>0.8978301597681585</v>
      </c>
      <c r="BU24" s="38">
        <f>EXP(-'Data Bonds'!P23*M24)</f>
        <v>1</v>
      </c>
      <c r="BV24" s="38">
        <f>EXP(-'Data Bonds'!Q23*N24)</f>
        <v>1</v>
      </c>
      <c r="BW24" s="38">
        <f>EXP(-'Data Bonds'!R23*O24)</f>
        <v>1</v>
      </c>
      <c r="BX24" s="38">
        <f>EXP(-'Data Bonds'!S23*P24)</f>
        <v>1</v>
      </c>
      <c r="BY24" s="38">
        <f>EXP(-'Data Bonds'!T23*Q24)</f>
        <v>1</v>
      </c>
      <c r="BZ24" s="38">
        <f>EXP(-'Data Bonds'!U23*R24)</f>
        <v>1</v>
      </c>
      <c r="CA24" s="38">
        <f>EXP(-'Data Bonds'!V23*S24)</f>
        <v>1</v>
      </c>
      <c r="CB24" s="38">
        <f>EXP(-'Data Bonds'!W23*T24)</f>
        <v>1</v>
      </c>
      <c r="CC24" s="38">
        <f>EXP(-'Data Bonds'!X23*U24)</f>
        <v>1</v>
      </c>
      <c r="CD24" s="38">
        <f>EXP(-'Data Bonds'!Y23*V24)</f>
        <v>1</v>
      </c>
      <c r="CE24" s="38">
        <f>EXP(-'Data Bonds'!Z23*W24)</f>
        <v>1</v>
      </c>
      <c r="CF24" s="38">
        <f>EXP(-'Data Bonds'!AA23*X24)</f>
        <v>1</v>
      </c>
      <c r="CG24" s="38">
        <f>EXP(-'Data Bonds'!AB23*Y24)</f>
        <v>1</v>
      </c>
      <c r="CH24" s="38">
        <f>EXP(-'Data Bonds'!AC23*Z24)</f>
        <v>1</v>
      </c>
      <c r="CI24" s="38">
        <f>EXP(-'Data Bonds'!AD23*AA24)</f>
        <v>1</v>
      </c>
      <c r="CJ24" s="38">
        <f>EXP(-'Data Bonds'!AE23*AB24)</f>
        <v>1</v>
      </c>
      <c r="CK24" s="38">
        <f>EXP(-'Data Bonds'!AF23*AC24)</f>
        <v>1</v>
      </c>
      <c r="CL24" s="38">
        <f>EXP(-'Data Bonds'!AG23*AD24)</f>
        <v>1</v>
      </c>
      <c r="CM24" s="38">
        <f>EXP(-'Data Bonds'!AH23*AE24)</f>
        <v>1</v>
      </c>
      <c r="CN24" s="38">
        <f>EXP(-'Data Bonds'!AI23*AF24)</f>
        <v>1</v>
      </c>
      <c r="CO24" s="38">
        <f>EXP(-'Data Bonds'!AJ23*AG24)</f>
        <v>1</v>
      </c>
      <c r="CP24" s="38">
        <f>EXP(-'Data Bonds'!AK23*AH24)</f>
        <v>1</v>
      </c>
      <c r="CQ24" s="38">
        <f>EXP(-'Data Bonds'!AL23*AI24)</f>
        <v>1</v>
      </c>
      <c r="CR24" s="38">
        <f>EXP(-'Data Bonds'!AM23*AJ24)</f>
        <v>1</v>
      </c>
      <c r="CS24" s="38">
        <f>EXP(-'Data Bonds'!AN23*AK24)</f>
        <v>1</v>
      </c>
      <c r="CT24" s="38">
        <f>EXP(-'Data Bonds'!AO23*AL24)</f>
        <v>1</v>
      </c>
      <c r="CU24" s="38">
        <f>EXP(-'Data Bonds'!AP23*AM24)</f>
        <v>1</v>
      </c>
      <c r="CV24" s="38">
        <f>EXP(-'Data Bonds'!AQ23*AN24)</f>
        <v>1</v>
      </c>
      <c r="CW24" s="38">
        <f>EXP(-'Data Bonds'!AR23*AO24)</f>
        <v>1</v>
      </c>
      <c r="CX24" s="38">
        <f>EXP(-'Data Bonds'!AS23*AP24)</f>
        <v>1</v>
      </c>
      <c r="CY24" s="38">
        <f>EXP(-'Data Bonds'!AT23*AQ24)</f>
        <v>1</v>
      </c>
      <c r="CZ24" s="38">
        <f>EXP(-'Data Bonds'!AU23*AR24)</f>
        <v>1</v>
      </c>
      <c r="DA24" s="38">
        <f>EXP(-'Data Bonds'!AV23*AS24)</f>
        <v>1</v>
      </c>
      <c r="DB24" s="38">
        <f>EXP(-'Data Bonds'!AW23*AT24)</f>
        <v>1</v>
      </c>
      <c r="DC24" s="38">
        <f>EXP(-'Data Bonds'!AX23*AU24)</f>
        <v>1</v>
      </c>
      <c r="DD24" s="38">
        <f>EXP(-'Data Bonds'!AY23*AV24)</f>
        <v>1</v>
      </c>
      <c r="DE24" s="38">
        <f>EXP(-'Data Bonds'!AZ23*AW24)</f>
        <v>1</v>
      </c>
      <c r="DF24" s="38">
        <f>EXP(-'Data Bonds'!BA23*AX24)</f>
        <v>1</v>
      </c>
      <c r="DG24" s="38">
        <f>EXP(-'Data Bonds'!BB23*AY24)</f>
        <v>1</v>
      </c>
      <c r="DH24" s="38">
        <f>EXP(-'Data Bonds'!BC23*AZ24)</f>
        <v>1</v>
      </c>
      <c r="DI24" s="38">
        <f>EXP(-'Data Bonds'!BD23*BA24)</f>
        <v>1</v>
      </c>
      <c r="DJ24" s="38">
        <f>EXP(-'Data Bonds'!BE23*BB24)</f>
        <v>1</v>
      </c>
      <c r="DK24" s="38">
        <f>EXP(-'Data Bonds'!BF23*BC24)</f>
        <v>1</v>
      </c>
      <c r="DL24" s="38">
        <f>EXP(-'Data Bonds'!BG23*BD24)</f>
        <v>1</v>
      </c>
      <c r="DM24" s="38">
        <f>EXP(-'Data Bonds'!BH23*BE24)</f>
        <v>1</v>
      </c>
      <c r="DN24" s="38">
        <f>EXP(-'Data Bonds'!BI23*BF24)</f>
        <v>1</v>
      </c>
      <c r="DO24" s="38">
        <f>EXP(-'Data Bonds'!BJ23*BG24)</f>
        <v>1</v>
      </c>
      <c r="DP24" s="38">
        <f>EXP(-'Data Bonds'!BK23*BH24)</f>
        <v>1</v>
      </c>
      <c r="DQ24" s="38">
        <f>EXP(-'Data Bonds'!BL23*BI24)</f>
        <v>1</v>
      </c>
      <c r="DR24" s="38">
        <f>EXP(-'Data Bonds'!BM23*BJ24)</f>
        <v>1</v>
      </c>
      <c r="DS24" s="38">
        <f>EXP(-'Data Bonds'!BN23*BK24)</f>
        <v>1</v>
      </c>
      <c r="DT24" s="38">
        <f>EXP(-'Data Bonds'!BO23*BL24)</f>
        <v>1</v>
      </c>
      <c r="DU24" s="38">
        <f>EXP(-'Data Bonds'!BP23*BM24)</f>
        <v>1</v>
      </c>
      <c r="DV24" s="38">
        <f>EXP(-'Data Bonds'!BQ23*BN24)</f>
        <v>1</v>
      </c>
      <c r="DW24" s="38">
        <f>EXP(-'Data Bonds'!BR23*BO24)</f>
        <v>1</v>
      </c>
      <c r="DX24" s="28">
        <f>SUMPRODUCT(BP24:DW24,'Data Bonds'!BU23:EB23)</f>
        <v>101.28066905396763</v>
      </c>
      <c r="DY24" s="28">
        <f t="shared" si="5"/>
        <v>1.7210655340402267E-2</v>
      </c>
      <c r="EA24" s="33">
        <f t="shared" si="6"/>
        <v>6.5</v>
      </c>
      <c r="EB24" s="29">
        <f t="shared" si="2"/>
        <v>5.0929572630033858E-2</v>
      </c>
      <c r="EC24" s="29">
        <f t="shared" si="3"/>
        <v>0.71817484555370059</v>
      </c>
      <c r="ED24" s="29">
        <f t="shared" si="7"/>
        <v>5.3122153719951555E-2</v>
      </c>
      <c r="EE24" s="32"/>
      <c r="EF24" s="32"/>
      <c r="EG24" s="32"/>
      <c r="EI24" s="34"/>
    </row>
    <row r="25" spans="2:139">
      <c r="B25" s="27">
        <f>'Data Bonds'!E24</f>
        <v>4.75</v>
      </c>
      <c r="C25" s="27">
        <f>'Data Bonds'!F24</f>
        <v>99.21875</v>
      </c>
      <c r="D25" s="27">
        <f>'Data Bonds'!G24</f>
        <v>99.25</v>
      </c>
      <c r="E25" s="27">
        <f>'Data Bonds'!I24</f>
        <v>1.4777777777777779</v>
      </c>
      <c r="F25" s="40">
        <f>'Data Bonds'!H24</f>
        <v>2.6888888888888891</v>
      </c>
      <c r="G25" s="28">
        <f t="shared" si="4"/>
        <v>100.71215277777777</v>
      </c>
      <c r="H25" s="45">
        <f>IF('Data Bonds'!K24=0,0,theta0+(theta1+theta2)*(1-EXP(-'Data Bonds'!K24/la))/('Data Bonds'!K24/la)-theta2*EXP(-'Data Bonds'!K24/la))</f>
        <v>5.1598526027898411E-2</v>
      </c>
      <c r="I25" s="45">
        <f>IF('Data Bonds'!L24=0,0,theta0+(theta1+theta2)*(1-EXP(-'Data Bonds'!L24/la))/('Data Bonds'!L24/la)-theta2*EXP(-'Data Bonds'!L24/la))</f>
        <v>5.0271357324748023E-2</v>
      </c>
      <c r="J25" s="45">
        <f>IF('Data Bonds'!M24=0,0,theta0+(theta1+theta2)*(1-EXP(-'Data Bonds'!M24/la))/('Data Bonds'!M24/la)-theta2*EXP(-'Data Bonds'!M24/la))</f>
        <v>4.9578457297749672E-2</v>
      </c>
      <c r="K25" s="45">
        <f>IF('Data Bonds'!N24=0,0,theta0+(theta1+theta2)*(1-EXP(-'Data Bonds'!N24/la))/('Data Bonds'!N24/la)-theta2*EXP(-'Data Bonds'!N24/la))</f>
        <v>4.9285035750538553E-2</v>
      </c>
      <c r="L25" s="45">
        <f>IF('Data Bonds'!O24=0,0,theta0+(theta1+theta2)*(1-EXP(-'Data Bonds'!O24/la))/('Data Bonds'!O24/la)-theta2*EXP(-'Data Bonds'!O24/la))</f>
        <v>4.9237017363447266E-2</v>
      </c>
      <c r="M25" s="45">
        <f>IF('Data Bonds'!P24=0,0,theta0+(theta1+theta2)*(1-EXP(-'Data Bonds'!P24/la))/('Data Bonds'!P24/la)-theta2*EXP(-'Data Bonds'!P24/la))</f>
        <v>4.9334171753160738E-2</v>
      </c>
      <c r="N25" s="45">
        <f>IF('Data Bonds'!Q24=0,0,theta0+(theta1+theta2)*(1-EXP(-'Data Bonds'!Q24/la))/('Data Bonds'!Q24/la)-theta2*EXP(-'Data Bonds'!Q24/la))</f>
        <v>0</v>
      </c>
      <c r="O25" s="45">
        <f>IF('Data Bonds'!R24=0,0,theta0+(theta1+theta2)*(1-EXP(-'Data Bonds'!R24/la))/('Data Bonds'!R24/la)-theta2*EXP(-'Data Bonds'!R24/la))</f>
        <v>0</v>
      </c>
      <c r="P25" s="45">
        <f>IF('Data Bonds'!S24=0,0,theta0+(theta1+theta2)*(1-EXP(-'Data Bonds'!S24/la))/('Data Bonds'!S24/la)-theta2*EXP(-'Data Bonds'!S24/la))</f>
        <v>0</v>
      </c>
      <c r="Q25" s="45">
        <f>IF('Data Bonds'!T24=0,0,theta0+(theta1+theta2)*(1-EXP(-'Data Bonds'!T24/la))/('Data Bonds'!T24/la)-theta2*EXP(-'Data Bonds'!T24/la))</f>
        <v>0</v>
      </c>
      <c r="R25" s="45">
        <f>IF('Data Bonds'!U24=0,0,theta0+(theta1+theta2)*(1-EXP(-'Data Bonds'!U24/la))/('Data Bonds'!U24/la)-theta2*EXP(-'Data Bonds'!U24/la))</f>
        <v>0</v>
      </c>
      <c r="S25" s="45">
        <f>IF('Data Bonds'!V24=0,0,theta0+(theta1+theta2)*(1-EXP(-'Data Bonds'!V24/la))/('Data Bonds'!V24/la)-theta2*EXP(-'Data Bonds'!V24/la))</f>
        <v>0</v>
      </c>
      <c r="T25" s="45">
        <f>IF('Data Bonds'!W24=0,0,theta0+(theta1+theta2)*(1-EXP(-'Data Bonds'!W24/la))/('Data Bonds'!W24/la)-theta2*EXP(-'Data Bonds'!W24/la))</f>
        <v>0</v>
      </c>
      <c r="U25" s="45">
        <f>IF('Data Bonds'!X24=0,0,theta0+(theta1+theta2)*(1-EXP(-'Data Bonds'!X24/la))/('Data Bonds'!X24/la)-theta2*EXP(-'Data Bonds'!X24/la))</f>
        <v>0</v>
      </c>
      <c r="V25" s="45">
        <f>IF('Data Bonds'!Y24=0,0,theta0+(theta1+theta2)*(1-EXP(-'Data Bonds'!Y24/la))/('Data Bonds'!Y24/la)-theta2*EXP(-'Data Bonds'!Y24/la))</f>
        <v>0</v>
      </c>
      <c r="W25" s="45">
        <f>IF('Data Bonds'!Z24=0,0,theta0+(theta1+theta2)*(1-EXP(-'Data Bonds'!Z24/la))/('Data Bonds'!Z24/la)-theta2*EXP(-'Data Bonds'!Z24/la))</f>
        <v>0</v>
      </c>
      <c r="X25" s="45">
        <f>IF('Data Bonds'!AA24=0,0,theta0+(theta1+theta2)*(1-EXP(-'Data Bonds'!AA24/la))/('Data Bonds'!AA24/la)-theta2*EXP(-'Data Bonds'!AA24/la))</f>
        <v>0</v>
      </c>
      <c r="Y25" s="45">
        <f>IF('Data Bonds'!AB24=0,0,theta0+(theta1+theta2)*(1-EXP(-'Data Bonds'!AB24/la))/('Data Bonds'!AB24/la)-theta2*EXP(-'Data Bonds'!AB24/la))</f>
        <v>0</v>
      </c>
      <c r="Z25" s="45">
        <f>IF('Data Bonds'!AC24=0,0,theta0+(theta1+theta2)*(1-EXP(-'Data Bonds'!AC24/la))/('Data Bonds'!AC24/la)-theta2*EXP(-'Data Bonds'!AC24/la))</f>
        <v>0</v>
      </c>
      <c r="AA25" s="45">
        <f>IF('Data Bonds'!AD24=0,0,theta0+(theta1+theta2)*(1-EXP(-'Data Bonds'!AD24/la))/('Data Bonds'!AD24/la)-theta2*EXP(-'Data Bonds'!AD24/la))</f>
        <v>0</v>
      </c>
      <c r="AB25" s="45">
        <f>IF('Data Bonds'!AE24=0,0,theta0+(theta1+theta2)*(1-EXP(-'Data Bonds'!AE24/la))/('Data Bonds'!AE24/la)-theta2*EXP(-'Data Bonds'!AE24/la))</f>
        <v>0</v>
      </c>
      <c r="AC25" s="45">
        <f>IF('Data Bonds'!AF24=0,0,theta0+(theta1+theta2)*(1-EXP(-'Data Bonds'!AF24/la))/('Data Bonds'!AF24/la)-theta2*EXP(-'Data Bonds'!AF24/la))</f>
        <v>0</v>
      </c>
      <c r="AD25" s="45">
        <f>IF('Data Bonds'!AG24=0,0,theta0+(theta1+theta2)*(1-EXP(-'Data Bonds'!AG24/la))/('Data Bonds'!AG24/la)-theta2*EXP(-'Data Bonds'!AG24/la))</f>
        <v>0</v>
      </c>
      <c r="AE25" s="45">
        <f>IF('Data Bonds'!AH24=0,0,theta0+(theta1+theta2)*(1-EXP(-'Data Bonds'!AH24/la))/('Data Bonds'!AH24/la)-theta2*EXP(-'Data Bonds'!AH24/la))</f>
        <v>0</v>
      </c>
      <c r="AF25" s="45">
        <f>IF('Data Bonds'!AI24=0,0,theta0+(theta1+theta2)*(1-EXP(-'Data Bonds'!AI24/la))/('Data Bonds'!AI24/la)-theta2*EXP(-'Data Bonds'!AI24/la))</f>
        <v>0</v>
      </c>
      <c r="AG25" s="45">
        <f>IF('Data Bonds'!AJ24=0,0,theta0+(theta1+theta2)*(1-EXP(-'Data Bonds'!AJ24/la))/('Data Bonds'!AJ24/la)-theta2*EXP(-'Data Bonds'!AJ24/la))</f>
        <v>0</v>
      </c>
      <c r="AH25" s="45">
        <f>IF('Data Bonds'!AK24=0,0,theta0+(theta1+theta2)*(1-EXP(-'Data Bonds'!AK24/la))/('Data Bonds'!AK24/la)-theta2*EXP(-'Data Bonds'!AK24/la))</f>
        <v>0</v>
      </c>
      <c r="AI25" s="45">
        <f>IF('Data Bonds'!AL24=0,0,theta0+(theta1+theta2)*(1-EXP(-'Data Bonds'!AL24/la))/('Data Bonds'!AL24/la)-theta2*EXP(-'Data Bonds'!AL24/la))</f>
        <v>0</v>
      </c>
      <c r="AJ25" s="45">
        <f>IF('Data Bonds'!AM24=0,0,theta0+(theta1+theta2)*(1-EXP(-'Data Bonds'!AM24/la))/('Data Bonds'!AM24/la)-theta2*EXP(-'Data Bonds'!AM24/la))</f>
        <v>0</v>
      </c>
      <c r="AK25" s="45">
        <f>IF('Data Bonds'!AN24=0,0,theta0+(theta1+theta2)*(1-EXP(-'Data Bonds'!AN24/la))/('Data Bonds'!AN24/la)-theta2*EXP(-'Data Bonds'!AN24/la))</f>
        <v>0</v>
      </c>
      <c r="AL25" s="45">
        <f>IF('Data Bonds'!AO24=0,0,theta0+(theta1+theta2)*(1-EXP(-'Data Bonds'!AO24/la))/('Data Bonds'!AO24/la)-theta2*EXP(-'Data Bonds'!AO24/la))</f>
        <v>0</v>
      </c>
      <c r="AM25" s="45">
        <f>IF('Data Bonds'!AP24=0,0,theta0+(theta1+theta2)*(1-EXP(-'Data Bonds'!AP24/la))/('Data Bonds'!AP24/la)-theta2*EXP(-'Data Bonds'!AP24/la))</f>
        <v>0</v>
      </c>
      <c r="AN25" s="45">
        <f>IF('Data Bonds'!AQ24=0,0,theta0+(theta1+theta2)*(1-EXP(-'Data Bonds'!AQ24/la))/('Data Bonds'!AQ24/la)-theta2*EXP(-'Data Bonds'!AQ24/la))</f>
        <v>0</v>
      </c>
      <c r="AO25" s="45">
        <f>IF('Data Bonds'!AR24=0,0,theta0+(theta1+theta2)*(1-EXP(-'Data Bonds'!AR24/la))/('Data Bonds'!AR24/la)-theta2*EXP(-'Data Bonds'!AR24/la))</f>
        <v>0</v>
      </c>
      <c r="AP25" s="45">
        <f>IF('Data Bonds'!AS24=0,0,theta0+(theta1+theta2)*(1-EXP(-'Data Bonds'!AS24/la))/('Data Bonds'!AS24/la)-theta2*EXP(-'Data Bonds'!AS24/la))</f>
        <v>0</v>
      </c>
      <c r="AQ25" s="45">
        <f>IF('Data Bonds'!AT24=0,0,theta0+(theta1+theta2)*(1-EXP(-'Data Bonds'!AT24/la))/('Data Bonds'!AT24/la)-theta2*EXP(-'Data Bonds'!AT24/la))</f>
        <v>0</v>
      </c>
      <c r="AR25" s="45">
        <f>IF('Data Bonds'!AU24=0,0,theta0+(theta1+theta2)*(1-EXP(-'Data Bonds'!AU24/la))/('Data Bonds'!AU24/la)-theta2*EXP(-'Data Bonds'!AU24/la))</f>
        <v>0</v>
      </c>
      <c r="AS25" s="45">
        <f>IF('Data Bonds'!AV24=0,0,theta0+(theta1+theta2)*(1-EXP(-'Data Bonds'!AV24/la))/('Data Bonds'!AV24/la)-theta2*EXP(-'Data Bonds'!AV24/la))</f>
        <v>0</v>
      </c>
      <c r="AT25" s="45">
        <f>IF('Data Bonds'!AW24=0,0,theta0+(theta1+theta2)*(1-EXP(-'Data Bonds'!AW24/la))/('Data Bonds'!AW24/la)-theta2*EXP(-'Data Bonds'!AW24/la))</f>
        <v>0</v>
      </c>
      <c r="AU25" s="45">
        <f>IF('Data Bonds'!AX24=0,0,theta0+(theta1+theta2)*(1-EXP(-'Data Bonds'!AX24/la))/('Data Bonds'!AX24/la)-theta2*EXP(-'Data Bonds'!AX24/la))</f>
        <v>0</v>
      </c>
      <c r="AV25" s="45">
        <f>IF('Data Bonds'!AY24=0,0,theta0+(theta1+theta2)*(1-EXP(-'Data Bonds'!AY24/la))/('Data Bonds'!AY24/la)-theta2*EXP(-'Data Bonds'!AY24/la))</f>
        <v>0</v>
      </c>
      <c r="AW25" s="45">
        <f>IF('Data Bonds'!AZ24=0,0,theta0+(theta1+theta2)*(1-EXP(-'Data Bonds'!AZ24/la))/('Data Bonds'!AZ24/la)-theta2*EXP(-'Data Bonds'!AZ24/la))</f>
        <v>0</v>
      </c>
      <c r="AX25" s="45">
        <f>IF('Data Bonds'!BA24=0,0,theta0+(theta1+theta2)*(1-EXP(-'Data Bonds'!BA24/la))/('Data Bonds'!BA24/la)-theta2*EXP(-'Data Bonds'!BA24/la))</f>
        <v>0</v>
      </c>
      <c r="AY25" s="45">
        <f>IF('Data Bonds'!BB24=0,0,theta0+(theta1+theta2)*(1-EXP(-'Data Bonds'!BB24/la))/('Data Bonds'!BB24/la)-theta2*EXP(-'Data Bonds'!BB24/la))</f>
        <v>0</v>
      </c>
      <c r="AZ25" s="45">
        <f>IF('Data Bonds'!BC24=0,0,theta0+(theta1+theta2)*(1-EXP(-'Data Bonds'!BC24/la))/('Data Bonds'!BC24/la)-theta2*EXP(-'Data Bonds'!BC24/la))</f>
        <v>0</v>
      </c>
      <c r="BA25" s="45">
        <f>IF('Data Bonds'!BD24=0,0,theta0+(theta1+theta2)*(1-EXP(-'Data Bonds'!BD24/la))/('Data Bonds'!BD24/la)-theta2*EXP(-'Data Bonds'!BD24/la))</f>
        <v>0</v>
      </c>
      <c r="BB25" s="45">
        <f>IF('Data Bonds'!BE24=0,0,theta0+(theta1+theta2)*(1-EXP(-'Data Bonds'!BE24/la))/('Data Bonds'!BE24/la)-theta2*EXP(-'Data Bonds'!BE24/la))</f>
        <v>0</v>
      </c>
      <c r="BC25" s="45">
        <f>IF('Data Bonds'!BF24=0,0,theta0+(theta1+theta2)*(1-EXP(-'Data Bonds'!BF24/la))/('Data Bonds'!BF24/la)-theta2*EXP(-'Data Bonds'!BF24/la))</f>
        <v>0</v>
      </c>
      <c r="BD25" s="45">
        <f>IF('Data Bonds'!BG24=0,0,theta0+(theta1+theta2)*(1-EXP(-'Data Bonds'!BG24/la))/('Data Bonds'!BG24/la)-theta2*EXP(-'Data Bonds'!BG24/la))</f>
        <v>0</v>
      </c>
      <c r="BE25" s="45">
        <f>IF('Data Bonds'!BH24=0,0,theta0+(theta1+theta2)*(1-EXP(-'Data Bonds'!BH24/la))/('Data Bonds'!BH24/la)-theta2*EXP(-'Data Bonds'!BH24/la))</f>
        <v>0</v>
      </c>
      <c r="BF25" s="45">
        <f>IF('Data Bonds'!BI24=0,0,theta0+(theta1+theta2)*(1-EXP(-'Data Bonds'!BI24/la))/('Data Bonds'!BI24/la)-theta2*EXP(-'Data Bonds'!BI24/la))</f>
        <v>0</v>
      </c>
      <c r="BG25" s="45">
        <f>IF('Data Bonds'!BJ24=0,0,theta0+(theta1+theta2)*(1-EXP(-'Data Bonds'!BJ24/la))/('Data Bonds'!BJ24/la)-theta2*EXP(-'Data Bonds'!BJ24/la))</f>
        <v>0</v>
      </c>
      <c r="BH25" s="45">
        <f>IF('Data Bonds'!BK24=0,0,theta0+(theta1+theta2)*(1-EXP(-'Data Bonds'!BK24/la))/('Data Bonds'!BK24/la)-theta2*EXP(-'Data Bonds'!BK24/la))</f>
        <v>0</v>
      </c>
      <c r="BI25" s="45">
        <f>IF('Data Bonds'!BL24=0,0,theta0+(theta1+theta2)*(1-EXP(-'Data Bonds'!BL24/la))/('Data Bonds'!BL24/la)-theta2*EXP(-'Data Bonds'!BL24/la))</f>
        <v>0</v>
      </c>
      <c r="BJ25" s="45">
        <f>IF('Data Bonds'!BM24=0,0,theta0+(theta1+theta2)*(1-EXP(-'Data Bonds'!BM24/la))/('Data Bonds'!BM24/la)-theta2*EXP(-'Data Bonds'!BM24/la))</f>
        <v>0</v>
      </c>
      <c r="BK25" s="45">
        <f>IF('Data Bonds'!BN24=0,0,theta0+(theta1+theta2)*(1-EXP(-'Data Bonds'!BN24/la))/('Data Bonds'!BN24/la)-theta2*EXP(-'Data Bonds'!BN24/la))</f>
        <v>0</v>
      </c>
      <c r="BL25" s="45">
        <f>IF('Data Bonds'!BO24=0,0,theta0+(theta1+theta2)*(1-EXP(-'Data Bonds'!BO24/la))/('Data Bonds'!BO24/la)-theta2*EXP(-'Data Bonds'!BO24/la))</f>
        <v>0</v>
      </c>
      <c r="BM25" s="45">
        <f>IF('Data Bonds'!BP24=0,0,theta0+(theta1+theta2)*(1-EXP(-'Data Bonds'!BP24/la))/('Data Bonds'!BP24/la)-theta2*EXP(-'Data Bonds'!BP24/la))</f>
        <v>0</v>
      </c>
      <c r="BN25" s="45">
        <f>IF('Data Bonds'!BQ24=0,0,theta0+(theta1+theta2)*(1-EXP(-'Data Bonds'!BQ24/la))/('Data Bonds'!BQ24/la)-theta2*EXP(-'Data Bonds'!BQ24/la))</f>
        <v>0</v>
      </c>
      <c r="BO25" s="45">
        <f>IF('Data Bonds'!BR24=0,0,theta0+(theta1+theta2)*(1-EXP(-'Data Bonds'!BR24/la))/('Data Bonds'!BR24/la)-theta2*EXP(-'Data Bonds'!BR24/la))</f>
        <v>0</v>
      </c>
      <c r="BP25" s="38">
        <f>EXP(-'Data Bonds'!K24*H25)</f>
        <v>0.99030095386253514</v>
      </c>
      <c r="BQ25" s="38">
        <f>EXP(-'Data Bonds'!L24*I25)</f>
        <v>0.96596142383001249</v>
      </c>
      <c r="BR25" s="38">
        <f>EXP(-'Data Bonds'!M24*J25)</f>
        <v>0.94276024382077384</v>
      </c>
      <c r="BS25" s="38">
        <f>EXP(-'Data Bonds'!N24*K25)</f>
        <v>0.92013309652437447</v>
      </c>
      <c r="BT25" s="38">
        <f>EXP(-'Data Bonds'!O24*L25)</f>
        <v>0.8978301597681585</v>
      </c>
      <c r="BU25" s="38">
        <f>EXP(-'Data Bonds'!P24*M25)</f>
        <v>0.8757679623727499</v>
      </c>
      <c r="BV25" s="38">
        <f>EXP(-'Data Bonds'!Q24*N25)</f>
        <v>1</v>
      </c>
      <c r="BW25" s="38">
        <f>EXP(-'Data Bonds'!R24*O25)</f>
        <v>1</v>
      </c>
      <c r="BX25" s="38">
        <f>EXP(-'Data Bonds'!S24*P25)</f>
        <v>1</v>
      </c>
      <c r="BY25" s="38">
        <f>EXP(-'Data Bonds'!T24*Q25)</f>
        <v>1</v>
      </c>
      <c r="BZ25" s="38">
        <f>EXP(-'Data Bonds'!U24*R25)</f>
        <v>1</v>
      </c>
      <c r="CA25" s="38">
        <f>EXP(-'Data Bonds'!V24*S25)</f>
        <v>1</v>
      </c>
      <c r="CB25" s="38">
        <f>EXP(-'Data Bonds'!W24*T25)</f>
        <v>1</v>
      </c>
      <c r="CC25" s="38">
        <f>EXP(-'Data Bonds'!X24*U25)</f>
        <v>1</v>
      </c>
      <c r="CD25" s="38">
        <f>EXP(-'Data Bonds'!Y24*V25)</f>
        <v>1</v>
      </c>
      <c r="CE25" s="38">
        <f>EXP(-'Data Bonds'!Z24*W25)</f>
        <v>1</v>
      </c>
      <c r="CF25" s="38">
        <f>EXP(-'Data Bonds'!AA24*X25)</f>
        <v>1</v>
      </c>
      <c r="CG25" s="38">
        <f>EXP(-'Data Bonds'!AB24*Y25)</f>
        <v>1</v>
      </c>
      <c r="CH25" s="38">
        <f>EXP(-'Data Bonds'!AC24*Z25)</f>
        <v>1</v>
      </c>
      <c r="CI25" s="38">
        <f>EXP(-'Data Bonds'!AD24*AA25)</f>
        <v>1</v>
      </c>
      <c r="CJ25" s="38">
        <f>EXP(-'Data Bonds'!AE24*AB25)</f>
        <v>1</v>
      </c>
      <c r="CK25" s="38">
        <f>EXP(-'Data Bonds'!AF24*AC25)</f>
        <v>1</v>
      </c>
      <c r="CL25" s="38">
        <f>EXP(-'Data Bonds'!AG24*AD25)</f>
        <v>1</v>
      </c>
      <c r="CM25" s="38">
        <f>EXP(-'Data Bonds'!AH24*AE25)</f>
        <v>1</v>
      </c>
      <c r="CN25" s="38">
        <f>EXP(-'Data Bonds'!AI24*AF25)</f>
        <v>1</v>
      </c>
      <c r="CO25" s="38">
        <f>EXP(-'Data Bonds'!AJ24*AG25)</f>
        <v>1</v>
      </c>
      <c r="CP25" s="38">
        <f>EXP(-'Data Bonds'!AK24*AH25)</f>
        <v>1</v>
      </c>
      <c r="CQ25" s="38">
        <f>EXP(-'Data Bonds'!AL24*AI25)</f>
        <v>1</v>
      </c>
      <c r="CR25" s="38">
        <f>EXP(-'Data Bonds'!AM24*AJ25)</f>
        <v>1</v>
      </c>
      <c r="CS25" s="38">
        <f>EXP(-'Data Bonds'!AN24*AK25)</f>
        <v>1</v>
      </c>
      <c r="CT25" s="38">
        <f>EXP(-'Data Bonds'!AO24*AL25)</f>
        <v>1</v>
      </c>
      <c r="CU25" s="38">
        <f>EXP(-'Data Bonds'!AP24*AM25)</f>
        <v>1</v>
      </c>
      <c r="CV25" s="38">
        <f>EXP(-'Data Bonds'!AQ24*AN25)</f>
        <v>1</v>
      </c>
      <c r="CW25" s="38">
        <f>EXP(-'Data Bonds'!AR24*AO25)</f>
        <v>1</v>
      </c>
      <c r="CX25" s="38">
        <f>EXP(-'Data Bonds'!AS24*AP25)</f>
        <v>1</v>
      </c>
      <c r="CY25" s="38">
        <f>EXP(-'Data Bonds'!AT24*AQ25)</f>
        <v>1</v>
      </c>
      <c r="CZ25" s="38">
        <f>EXP(-'Data Bonds'!AU24*AR25)</f>
        <v>1</v>
      </c>
      <c r="DA25" s="38">
        <f>EXP(-'Data Bonds'!AV24*AS25)</f>
        <v>1</v>
      </c>
      <c r="DB25" s="38">
        <f>EXP(-'Data Bonds'!AW24*AT25)</f>
        <v>1</v>
      </c>
      <c r="DC25" s="38">
        <f>EXP(-'Data Bonds'!AX24*AU25)</f>
        <v>1</v>
      </c>
      <c r="DD25" s="38">
        <f>EXP(-'Data Bonds'!AY24*AV25)</f>
        <v>1</v>
      </c>
      <c r="DE25" s="38">
        <f>EXP(-'Data Bonds'!AZ24*AW25)</f>
        <v>1</v>
      </c>
      <c r="DF25" s="38">
        <f>EXP(-'Data Bonds'!BA24*AX25)</f>
        <v>1</v>
      </c>
      <c r="DG25" s="38">
        <f>EXP(-'Data Bonds'!BB24*AY25)</f>
        <v>1</v>
      </c>
      <c r="DH25" s="38">
        <f>EXP(-'Data Bonds'!BC24*AZ25)</f>
        <v>1</v>
      </c>
      <c r="DI25" s="38">
        <f>EXP(-'Data Bonds'!BD24*BA25)</f>
        <v>1</v>
      </c>
      <c r="DJ25" s="38">
        <f>EXP(-'Data Bonds'!BE24*BB25)</f>
        <v>1</v>
      </c>
      <c r="DK25" s="38">
        <f>EXP(-'Data Bonds'!BF24*BC25)</f>
        <v>1</v>
      </c>
      <c r="DL25" s="38">
        <f>EXP(-'Data Bonds'!BG24*BD25)</f>
        <v>1</v>
      </c>
      <c r="DM25" s="38">
        <f>EXP(-'Data Bonds'!BH24*BE25)</f>
        <v>1</v>
      </c>
      <c r="DN25" s="38">
        <f>EXP(-'Data Bonds'!BI24*BF25)</f>
        <v>1</v>
      </c>
      <c r="DO25" s="38">
        <f>EXP(-'Data Bonds'!BJ24*BG25)</f>
        <v>1</v>
      </c>
      <c r="DP25" s="38">
        <f>EXP(-'Data Bonds'!BK24*BH25)</f>
        <v>1</v>
      </c>
      <c r="DQ25" s="38">
        <f>EXP(-'Data Bonds'!BL24*BI25)</f>
        <v>1</v>
      </c>
      <c r="DR25" s="38">
        <f>EXP(-'Data Bonds'!BM24*BJ25)</f>
        <v>1</v>
      </c>
      <c r="DS25" s="38">
        <f>EXP(-'Data Bonds'!BN24*BK25)</f>
        <v>1</v>
      </c>
      <c r="DT25" s="38">
        <f>EXP(-'Data Bonds'!BO24*BL25)</f>
        <v>1</v>
      </c>
      <c r="DU25" s="38">
        <f>EXP(-'Data Bonds'!BP24*BM25)</f>
        <v>1</v>
      </c>
      <c r="DV25" s="38">
        <f>EXP(-'Data Bonds'!BQ24*BN25)</f>
        <v>1</v>
      </c>
      <c r="DW25" s="38">
        <f>EXP(-'Data Bonds'!BR24*BO25)</f>
        <v>1</v>
      </c>
      <c r="DX25" s="28">
        <f>SUMPRODUCT(BP25:DW25,'Data Bonds'!BU24:EB24)</f>
        <v>100.85958660769917</v>
      </c>
      <c r="DY25" s="28">
        <f t="shared" si="5"/>
        <v>2.1736734205291378E-2</v>
      </c>
      <c r="EA25" s="33">
        <f t="shared" si="6"/>
        <v>7</v>
      </c>
      <c r="EB25" s="29">
        <f t="shared" si="2"/>
        <v>5.1096302707863223E-2</v>
      </c>
      <c r="EC25" s="29">
        <f t="shared" si="3"/>
        <v>0.69930092679498346</v>
      </c>
      <c r="ED25" s="29">
        <f t="shared" si="7"/>
        <v>5.3263793719644896E-2</v>
      </c>
      <c r="EE25" s="32"/>
      <c r="EF25" s="32"/>
      <c r="EG25" s="32"/>
      <c r="EI25" s="34"/>
    </row>
    <row r="26" spans="2:139">
      <c r="B26" s="27">
        <f>'Data Bonds'!E25</f>
        <v>4.125</v>
      </c>
      <c r="C26" s="27">
        <f>'Data Bonds'!F25</f>
        <v>97.28125</v>
      </c>
      <c r="D26" s="27">
        <f>'Data Bonds'!G25</f>
        <v>97.3125</v>
      </c>
      <c r="E26" s="27">
        <f>'Data Bonds'!I25</f>
        <v>1.2833333333333334</v>
      </c>
      <c r="F26" s="40">
        <f>'Data Bonds'!H25</f>
        <v>3.1888888888888891</v>
      </c>
      <c r="G26" s="28">
        <f t="shared" si="4"/>
        <v>98.580208333333331</v>
      </c>
      <c r="H26" s="45">
        <f>IF('Data Bonds'!K25=0,0,theta0+(theta1+theta2)*(1-EXP(-'Data Bonds'!K25/la))/('Data Bonds'!K25/la)-theta2*EXP(-'Data Bonds'!K25/la))</f>
        <v>5.1598526027898411E-2</v>
      </c>
      <c r="I26" s="45">
        <f>IF('Data Bonds'!L25=0,0,theta0+(theta1+theta2)*(1-EXP(-'Data Bonds'!L25/la))/('Data Bonds'!L25/la)-theta2*EXP(-'Data Bonds'!L25/la))</f>
        <v>5.0271357324748023E-2</v>
      </c>
      <c r="J26" s="45">
        <f>IF('Data Bonds'!M25=0,0,theta0+(theta1+theta2)*(1-EXP(-'Data Bonds'!M25/la))/('Data Bonds'!M25/la)-theta2*EXP(-'Data Bonds'!M25/la))</f>
        <v>4.9578457297749672E-2</v>
      </c>
      <c r="K26" s="45">
        <f>IF('Data Bonds'!N25=0,0,theta0+(theta1+theta2)*(1-EXP(-'Data Bonds'!N25/la))/('Data Bonds'!N25/la)-theta2*EXP(-'Data Bonds'!N25/la))</f>
        <v>4.9285035750538553E-2</v>
      </c>
      <c r="L26" s="45">
        <f>IF('Data Bonds'!O25=0,0,theta0+(theta1+theta2)*(1-EXP(-'Data Bonds'!O25/la))/('Data Bonds'!O25/la)-theta2*EXP(-'Data Bonds'!O25/la))</f>
        <v>4.9237017363447266E-2</v>
      </c>
      <c r="M26" s="45">
        <f>IF('Data Bonds'!P25=0,0,theta0+(theta1+theta2)*(1-EXP(-'Data Bonds'!P25/la))/('Data Bonds'!P25/la)-theta2*EXP(-'Data Bonds'!P25/la))</f>
        <v>4.9334171753160738E-2</v>
      </c>
      <c r="N26" s="45">
        <f>IF('Data Bonds'!Q25=0,0,theta0+(theta1+theta2)*(1-EXP(-'Data Bonds'!Q25/la))/('Data Bonds'!Q25/la)-theta2*EXP(-'Data Bonds'!Q25/la))</f>
        <v>4.9512038088999483E-2</v>
      </c>
      <c r="O26" s="45">
        <f>IF('Data Bonds'!R25=0,0,theta0+(theta1+theta2)*(1-EXP(-'Data Bonds'!R25/la))/('Data Bonds'!R25/la)-theta2*EXP(-'Data Bonds'!R25/la))</f>
        <v>0</v>
      </c>
      <c r="P26" s="45">
        <f>IF('Data Bonds'!S25=0,0,theta0+(theta1+theta2)*(1-EXP(-'Data Bonds'!S25/la))/('Data Bonds'!S25/la)-theta2*EXP(-'Data Bonds'!S25/la))</f>
        <v>0</v>
      </c>
      <c r="Q26" s="45">
        <f>IF('Data Bonds'!T25=0,0,theta0+(theta1+theta2)*(1-EXP(-'Data Bonds'!T25/la))/('Data Bonds'!T25/la)-theta2*EXP(-'Data Bonds'!T25/la))</f>
        <v>0</v>
      </c>
      <c r="R26" s="45">
        <f>IF('Data Bonds'!U25=0,0,theta0+(theta1+theta2)*(1-EXP(-'Data Bonds'!U25/la))/('Data Bonds'!U25/la)-theta2*EXP(-'Data Bonds'!U25/la))</f>
        <v>0</v>
      </c>
      <c r="S26" s="45">
        <f>IF('Data Bonds'!V25=0,0,theta0+(theta1+theta2)*(1-EXP(-'Data Bonds'!V25/la))/('Data Bonds'!V25/la)-theta2*EXP(-'Data Bonds'!V25/la))</f>
        <v>0</v>
      </c>
      <c r="T26" s="45">
        <f>IF('Data Bonds'!W25=0,0,theta0+(theta1+theta2)*(1-EXP(-'Data Bonds'!W25/la))/('Data Bonds'!W25/la)-theta2*EXP(-'Data Bonds'!W25/la))</f>
        <v>0</v>
      </c>
      <c r="U26" s="45">
        <f>IF('Data Bonds'!X25=0,0,theta0+(theta1+theta2)*(1-EXP(-'Data Bonds'!X25/la))/('Data Bonds'!X25/la)-theta2*EXP(-'Data Bonds'!X25/la))</f>
        <v>0</v>
      </c>
      <c r="V26" s="45">
        <f>IF('Data Bonds'!Y25=0,0,theta0+(theta1+theta2)*(1-EXP(-'Data Bonds'!Y25/la))/('Data Bonds'!Y25/la)-theta2*EXP(-'Data Bonds'!Y25/la))</f>
        <v>0</v>
      </c>
      <c r="W26" s="45">
        <f>IF('Data Bonds'!Z25=0,0,theta0+(theta1+theta2)*(1-EXP(-'Data Bonds'!Z25/la))/('Data Bonds'!Z25/la)-theta2*EXP(-'Data Bonds'!Z25/la))</f>
        <v>0</v>
      </c>
      <c r="X26" s="45">
        <f>IF('Data Bonds'!AA25=0,0,theta0+(theta1+theta2)*(1-EXP(-'Data Bonds'!AA25/la))/('Data Bonds'!AA25/la)-theta2*EXP(-'Data Bonds'!AA25/la))</f>
        <v>0</v>
      </c>
      <c r="Y26" s="45">
        <f>IF('Data Bonds'!AB25=0,0,theta0+(theta1+theta2)*(1-EXP(-'Data Bonds'!AB25/la))/('Data Bonds'!AB25/la)-theta2*EXP(-'Data Bonds'!AB25/la))</f>
        <v>0</v>
      </c>
      <c r="Z26" s="45">
        <f>IF('Data Bonds'!AC25=0,0,theta0+(theta1+theta2)*(1-EXP(-'Data Bonds'!AC25/la))/('Data Bonds'!AC25/la)-theta2*EXP(-'Data Bonds'!AC25/la))</f>
        <v>0</v>
      </c>
      <c r="AA26" s="45">
        <f>IF('Data Bonds'!AD25=0,0,theta0+(theta1+theta2)*(1-EXP(-'Data Bonds'!AD25/la))/('Data Bonds'!AD25/la)-theta2*EXP(-'Data Bonds'!AD25/la))</f>
        <v>0</v>
      </c>
      <c r="AB26" s="45">
        <f>IF('Data Bonds'!AE25=0,0,theta0+(theta1+theta2)*(1-EXP(-'Data Bonds'!AE25/la))/('Data Bonds'!AE25/la)-theta2*EXP(-'Data Bonds'!AE25/la))</f>
        <v>0</v>
      </c>
      <c r="AC26" s="45">
        <f>IF('Data Bonds'!AF25=0,0,theta0+(theta1+theta2)*(1-EXP(-'Data Bonds'!AF25/la))/('Data Bonds'!AF25/la)-theta2*EXP(-'Data Bonds'!AF25/la))</f>
        <v>0</v>
      </c>
      <c r="AD26" s="45">
        <f>IF('Data Bonds'!AG25=0,0,theta0+(theta1+theta2)*(1-EXP(-'Data Bonds'!AG25/la))/('Data Bonds'!AG25/la)-theta2*EXP(-'Data Bonds'!AG25/la))</f>
        <v>0</v>
      </c>
      <c r="AE26" s="45">
        <f>IF('Data Bonds'!AH25=0,0,theta0+(theta1+theta2)*(1-EXP(-'Data Bonds'!AH25/la))/('Data Bonds'!AH25/la)-theta2*EXP(-'Data Bonds'!AH25/la))</f>
        <v>0</v>
      </c>
      <c r="AF26" s="45">
        <f>IF('Data Bonds'!AI25=0,0,theta0+(theta1+theta2)*(1-EXP(-'Data Bonds'!AI25/la))/('Data Bonds'!AI25/la)-theta2*EXP(-'Data Bonds'!AI25/la))</f>
        <v>0</v>
      </c>
      <c r="AG26" s="45">
        <f>IF('Data Bonds'!AJ25=0,0,theta0+(theta1+theta2)*(1-EXP(-'Data Bonds'!AJ25/la))/('Data Bonds'!AJ25/la)-theta2*EXP(-'Data Bonds'!AJ25/la))</f>
        <v>0</v>
      </c>
      <c r="AH26" s="45">
        <f>IF('Data Bonds'!AK25=0,0,theta0+(theta1+theta2)*(1-EXP(-'Data Bonds'!AK25/la))/('Data Bonds'!AK25/la)-theta2*EXP(-'Data Bonds'!AK25/la))</f>
        <v>0</v>
      </c>
      <c r="AI26" s="45">
        <f>IF('Data Bonds'!AL25=0,0,theta0+(theta1+theta2)*(1-EXP(-'Data Bonds'!AL25/la))/('Data Bonds'!AL25/la)-theta2*EXP(-'Data Bonds'!AL25/la))</f>
        <v>0</v>
      </c>
      <c r="AJ26" s="45">
        <f>IF('Data Bonds'!AM25=0,0,theta0+(theta1+theta2)*(1-EXP(-'Data Bonds'!AM25/la))/('Data Bonds'!AM25/la)-theta2*EXP(-'Data Bonds'!AM25/la))</f>
        <v>0</v>
      </c>
      <c r="AK26" s="45">
        <f>IF('Data Bonds'!AN25=0,0,theta0+(theta1+theta2)*(1-EXP(-'Data Bonds'!AN25/la))/('Data Bonds'!AN25/la)-theta2*EXP(-'Data Bonds'!AN25/la))</f>
        <v>0</v>
      </c>
      <c r="AL26" s="45">
        <f>IF('Data Bonds'!AO25=0,0,theta0+(theta1+theta2)*(1-EXP(-'Data Bonds'!AO25/la))/('Data Bonds'!AO25/la)-theta2*EXP(-'Data Bonds'!AO25/la))</f>
        <v>0</v>
      </c>
      <c r="AM26" s="45">
        <f>IF('Data Bonds'!AP25=0,0,theta0+(theta1+theta2)*(1-EXP(-'Data Bonds'!AP25/la))/('Data Bonds'!AP25/la)-theta2*EXP(-'Data Bonds'!AP25/la))</f>
        <v>0</v>
      </c>
      <c r="AN26" s="45">
        <f>IF('Data Bonds'!AQ25=0,0,theta0+(theta1+theta2)*(1-EXP(-'Data Bonds'!AQ25/la))/('Data Bonds'!AQ25/la)-theta2*EXP(-'Data Bonds'!AQ25/la))</f>
        <v>0</v>
      </c>
      <c r="AO26" s="45">
        <f>IF('Data Bonds'!AR25=0,0,theta0+(theta1+theta2)*(1-EXP(-'Data Bonds'!AR25/la))/('Data Bonds'!AR25/la)-theta2*EXP(-'Data Bonds'!AR25/la))</f>
        <v>0</v>
      </c>
      <c r="AP26" s="45">
        <f>IF('Data Bonds'!AS25=0,0,theta0+(theta1+theta2)*(1-EXP(-'Data Bonds'!AS25/la))/('Data Bonds'!AS25/la)-theta2*EXP(-'Data Bonds'!AS25/la))</f>
        <v>0</v>
      </c>
      <c r="AQ26" s="45">
        <f>IF('Data Bonds'!AT25=0,0,theta0+(theta1+theta2)*(1-EXP(-'Data Bonds'!AT25/la))/('Data Bonds'!AT25/la)-theta2*EXP(-'Data Bonds'!AT25/la))</f>
        <v>0</v>
      </c>
      <c r="AR26" s="45">
        <f>IF('Data Bonds'!AU25=0,0,theta0+(theta1+theta2)*(1-EXP(-'Data Bonds'!AU25/la))/('Data Bonds'!AU25/la)-theta2*EXP(-'Data Bonds'!AU25/la))</f>
        <v>0</v>
      </c>
      <c r="AS26" s="45">
        <f>IF('Data Bonds'!AV25=0,0,theta0+(theta1+theta2)*(1-EXP(-'Data Bonds'!AV25/la))/('Data Bonds'!AV25/la)-theta2*EXP(-'Data Bonds'!AV25/la))</f>
        <v>0</v>
      </c>
      <c r="AT26" s="45">
        <f>IF('Data Bonds'!AW25=0,0,theta0+(theta1+theta2)*(1-EXP(-'Data Bonds'!AW25/la))/('Data Bonds'!AW25/la)-theta2*EXP(-'Data Bonds'!AW25/la))</f>
        <v>0</v>
      </c>
      <c r="AU26" s="45">
        <f>IF('Data Bonds'!AX25=0,0,theta0+(theta1+theta2)*(1-EXP(-'Data Bonds'!AX25/la))/('Data Bonds'!AX25/la)-theta2*EXP(-'Data Bonds'!AX25/la))</f>
        <v>0</v>
      </c>
      <c r="AV26" s="45">
        <f>IF('Data Bonds'!AY25=0,0,theta0+(theta1+theta2)*(1-EXP(-'Data Bonds'!AY25/la))/('Data Bonds'!AY25/la)-theta2*EXP(-'Data Bonds'!AY25/la))</f>
        <v>0</v>
      </c>
      <c r="AW26" s="45">
        <f>IF('Data Bonds'!AZ25=0,0,theta0+(theta1+theta2)*(1-EXP(-'Data Bonds'!AZ25/la))/('Data Bonds'!AZ25/la)-theta2*EXP(-'Data Bonds'!AZ25/la))</f>
        <v>0</v>
      </c>
      <c r="AX26" s="45">
        <f>IF('Data Bonds'!BA25=0,0,theta0+(theta1+theta2)*(1-EXP(-'Data Bonds'!BA25/la))/('Data Bonds'!BA25/la)-theta2*EXP(-'Data Bonds'!BA25/la))</f>
        <v>0</v>
      </c>
      <c r="AY26" s="45">
        <f>IF('Data Bonds'!BB25=0,0,theta0+(theta1+theta2)*(1-EXP(-'Data Bonds'!BB25/la))/('Data Bonds'!BB25/la)-theta2*EXP(-'Data Bonds'!BB25/la))</f>
        <v>0</v>
      </c>
      <c r="AZ26" s="45">
        <f>IF('Data Bonds'!BC25=0,0,theta0+(theta1+theta2)*(1-EXP(-'Data Bonds'!BC25/la))/('Data Bonds'!BC25/la)-theta2*EXP(-'Data Bonds'!BC25/la))</f>
        <v>0</v>
      </c>
      <c r="BA26" s="45">
        <f>IF('Data Bonds'!BD25=0,0,theta0+(theta1+theta2)*(1-EXP(-'Data Bonds'!BD25/la))/('Data Bonds'!BD25/la)-theta2*EXP(-'Data Bonds'!BD25/la))</f>
        <v>0</v>
      </c>
      <c r="BB26" s="45">
        <f>IF('Data Bonds'!BE25=0,0,theta0+(theta1+theta2)*(1-EXP(-'Data Bonds'!BE25/la))/('Data Bonds'!BE25/la)-theta2*EXP(-'Data Bonds'!BE25/la))</f>
        <v>0</v>
      </c>
      <c r="BC26" s="45">
        <f>IF('Data Bonds'!BF25=0,0,theta0+(theta1+theta2)*(1-EXP(-'Data Bonds'!BF25/la))/('Data Bonds'!BF25/la)-theta2*EXP(-'Data Bonds'!BF25/la))</f>
        <v>0</v>
      </c>
      <c r="BD26" s="45">
        <f>IF('Data Bonds'!BG25=0,0,theta0+(theta1+theta2)*(1-EXP(-'Data Bonds'!BG25/la))/('Data Bonds'!BG25/la)-theta2*EXP(-'Data Bonds'!BG25/la))</f>
        <v>0</v>
      </c>
      <c r="BE26" s="45">
        <f>IF('Data Bonds'!BH25=0,0,theta0+(theta1+theta2)*(1-EXP(-'Data Bonds'!BH25/la))/('Data Bonds'!BH25/la)-theta2*EXP(-'Data Bonds'!BH25/la))</f>
        <v>0</v>
      </c>
      <c r="BF26" s="45">
        <f>IF('Data Bonds'!BI25=0,0,theta0+(theta1+theta2)*(1-EXP(-'Data Bonds'!BI25/la))/('Data Bonds'!BI25/la)-theta2*EXP(-'Data Bonds'!BI25/la))</f>
        <v>0</v>
      </c>
      <c r="BG26" s="45">
        <f>IF('Data Bonds'!BJ25=0,0,theta0+(theta1+theta2)*(1-EXP(-'Data Bonds'!BJ25/la))/('Data Bonds'!BJ25/la)-theta2*EXP(-'Data Bonds'!BJ25/la))</f>
        <v>0</v>
      </c>
      <c r="BH26" s="45">
        <f>IF('Data Bonds'!BK25=0,0,theta0+(theta1+theta2)*(1-EXP(-'Data Bonds'!BK25/la))/('Data Bonds'!BK25/la)-theta2*EXP(-'Data Bonds'!BK25/la))</f>
        <v>0</v>
      </c>
      <c r="BI26" s="45">
        <f>IF('Data Bonds'!BL25=0,0,theta0+(theta1+theta2)*(1-EXP(-'Data Bonds'!BL25/la))/('Data Bonds'!BL25/la)-theta2*EXP(-'Data Bonds'!BL25/la))</f>
        <v>0</v>
      </c>
      <c r="BJ26" s="45">
        <f>IF('Data Bonds'!BM25=0,0,theta0+(theta1+theta2)*(1-EXP(-'Data Bonds'!BM25/la))/('Data Bonds'!BM25/la)-theta2*EXP(-'Data Bonds'!BM25/la))</f>
        <v>0</v>
      </c>
      <c r="BK26" s="45">
        <f>IF('Data Bonds'!BN25=0,0,theta0+(theta1+theta2)*(1-EXP(-'Data Bonds'!BN25/la))/('Data Bonds'!BN25/la)-theta2*EXP(-'Data Bonds'!BN25/la))</f>
        <v>0</v>
      </c>
      <c r="BL26" s="45">
        <f>IF('Data Bonds'!BO25=0,0,theta0+(theta1+theta2)*(1-EXP(-'Data Bonds'!BO25/la))/('Data Bonds'!BO25/la)-theta2*EXP(-'Data Bonds'!BO25/la))</f>
        <v>0</v>
      </c>
      <c r="BM26" s="45">
        <f>IF('Data Bonds'!BP25=0,0,theta0+(theta1+theta2)*(1-EXP(-'Data Bonds'!BP25/la))/('Data Bonds'!BP25/la)-theta2*EXP(-'Data Bonds'!BP25/la))</f>
        <v>0</v>
      </c>
      <c r="BN26" s="45">
        <f>IF('Data Bonds'!BQ25=0,0,theta0+(theta1+theta2)*(1-EXP(-'Data Bonds'!BQ25/la))/('Data Bonds'!BQ25/la)-theta2*EXP(-'Data Bonds'!BQ25/la))</f>
        <v>0</v>
      </c>
      <c r="BO26" s="45">
        <f>IF('Data Bonds'!BR25=0,0,theta0+(theta1+theta2)*(1-EXP(-'Data Bonds'!BR25/la))/('Data Bonds'!BR25/la)-theta2*EXP(-'Data Bonds'!BR25/la))</f>
        <v>0</v>
      </c>
      <c r="BP26" s="38">
        <f>EXP(-'Data Bonds'!K25*H26)</f>
        <v>0.99030095386253514</v>
      </c>
      <c r="BQ26" s="38">
        <f>EXP(-'Data Bonds'!L25*I26)</f>
        <v>0.96596142383001249</v>
      </c>
      <c r="BR26" s="38">
        <f>EXP(-'Data Bonds'!M25*J26)</f>
        <v>0.94276024382077384</v>
      </c>
      <c r="BS26" s="38">
        <f>EXP(-'Data Bonds'!N25*K26)</f>
        <v>0.92013309652437447</v>
      </c>
      <c r="BT26" s="38">
        <f>EXP(-'Data Bonds'!O25*L26)</f>
        <v>0.8978301597681585</v>
      </c>
      <c r="BU26" s="38">
        <f>EXP(-'Data Bonds'!P25*M26)</f>
        <v>0.8757679623727499</v>
      </c>
      <c r="BV26" s="38">
        <f>EXP(-'Data Bonds'!Q25*N26)</f>
        <v>0.85394508705932803</v>
      </c>
      <c r="BW26" s="38">
        <f>EXP(-'Data Bonds'!R25*O26)</f>
        <v>1</v>
      </c>
      <c r="BX26" s="38">
        <f>EXP(-'Data Bonds'!S25*P26)</f>
        <v>1</v>
      </c>
      <c r="BY26" s="38">
        <f>EXP(-'Data Bonds'!T25*Q26)</f>
        <v>1</v>
      </c>
      <c r="BZ26" s="38">
        <f>EXP(-'Data Bonds'!U25*R26)</f>
        <v>1</v>
      </c>
      <c r="CA26" s="38">
        <f>EXP(-'Data Bonds'!V25*S26)</f>
        <v>1</v>
      </c>
      <c r="CB26" s="38">
        <f>EXP(-'Data Bonds'!W25*T26)</f>
        <v>1</v>
      </c>
      <c r="CC26" s="38">
        <f>EXP(-'Data Bonds'!X25*U26)</f>
        <v>1</v>
      </c>
      <c r="CD26" s="38">
        <f>EXP(-'Data Bonds'!Y25*V26)</f>
        <v>1</v>
      </c>
      <c r="CE26" s="38">
        <f>EXP(-'Data Bonds'!Z25*W26)</f>
        <v>1</v>
      </c>
      <c r="CF26" s="38">
        <f>EXP(-'Data Bonds'!AA25*X26)</f>
        <v>1</v>
      </c>
      <c r="CG26" s="38">
        <f>EXP(-'Data Bonds'!AB25*Y26)</f>
        <v>1</v>
      </c>
      <c r="CH26" s="38">
        <f>EXP(-'Data Bonds'!AC25*Z26)</f>
        <v>1</v>
      </c>
      <c r="CI26" s="38">
        <f>EXP(-'Data Bonds'!AD25*AA26)</f>
        <v>1</v>
      </c>
      <c r="CJ26" s="38">
        <f>EXP(-'Data Bonds'!AE25*AB26)</f>
        <v>1</v>
      </c>
      <c r="CK26" s="38">
        <f>EXP(-'Data Bonds'!AF25*AC26)</f>
        <v>1</v>
      </c>
      <c r="CL26" s="38">
        <f>EXP(-'Data Bonds'!AG25*AD26)</f>
        <v>1</v>
      </c>
      <c r="CM26" s="38">
        <f>EXP(-'Data Bonds'!AH25*AE26)</f>
        <v>1</v>
      </c>
      <c r="CN26" s="38">
        <f>EXP(-'Data Bonds'!AI25*AF26)</f>
        <v>1</v>
      </c>
      <c r="CO26" s="38">
        <f>EXP(-'Data Bonds'!AJ25*AG26)</f>
        <v>1</v>
      </c>
      <c r="CP26" s="38">
        <f>EXP(-'Data Bonds'!AK25*AH26)</f>
        <v>1</v>
      </c>
      <c r="CQ26" s="38">
        <f>EXP(-'Data Bonds'!AL25*AI26)</f>
        <v>1</v>
      </c>
      <c r="CR26" s="38">
        <f>EXP(-'Data Bonds'!AM25*AJ26)</f>
        <v>1</v>
      </c>
      <c r="CS26" s="38">
        <f>EXP(-'Data Bonds'!AN25*AK26)</f>
        <v>1</v>
      </c>
      <c r="CT26" s="38">
        <f>EXP(-'Data Bonds'!AO25*AL26)</f>
        <v>1</v>
      </c>
      <c r="CU26" s="38">
        <f>EXP(-'Data Bonds'!AP25*AM26)</f>
        <v>1</v>
      </c>
      <c r="CV26" s="38">
        <f>EXP(-'Data Bonds'!AQ25*AN26)</f>
        <v>1</v>
      </c>
      <c r="CW26" s="38">
        <f>EXP(-'Data Bonds'!AR25*AO26)</f>
        <v>1</v>
      </c>
      <c r="CX26" s="38">
        <f>EXP(-'Data Bonds'!AS25*AP26)</f>
        <v>1</v>
      </c>
      <c r="CY26" s="38">
        <f>EXP(-'Data Bonds'!AT25*AQ26)</f>
        <v>1</v>
      </c>
      <c r="CZ26" s="38">
        <f>EXP(-'Data Bonds'!AU25*AR26)</f>
        <v>1</v>
      </c>
      <c r="DA26" s="38">
        <f>EXP(-'Data Bonds'!AV25*AS26)</f>
        <v>1</v>
      </c>
      <c r="DB26" s="38">
        <f>EXP(-'Data Bonds'!AW25*AT26)</f>
        <v>1</v>
      </c>
      <c r="DC26" s="38">
        <f>EXP(-'Data Bonds'!AX25*AU26)</f>
        <v>1</v>
      </c>
      <c r="DD26" s="38">
        <f>EXP(-'Data Bonds'!AY25*AV26)</f>
        <v>1</v>
      </c>
      <c r="DE26" s="38">
        <f>EXP(-'Data Bonds'!AZ25*AW26)</f>
        <v>1</v>
      </c>
      <c r="DF26" s="38">
        <f>EXP(-'Data Bonds'!BA25*AX26)</f>
        <v>1</v>
      </c>
      <c r="DG26" s="38">
        <f>EXP(-'Data Bonds'!BB25*AY26)</f>
        <v>1</v>
      </c>
      <c r="DH26" s="38">
        <f>EXP(-'Data Bonds'!BC25*AZ26)</f>
        <v>1</v>
      </c>
      <c r="DI26" s="38">
        <f>EXP(-'Data Bonds'!BD25*BA26)</f>
        <v>1</v>
      </c>
      <c r="DJ26" s="38">
        <f>EXP(-'Data Bonds'!BE25*BB26)</f>
        <v>1</v>
      </c>
      <c r="DK26" s="38">
        <f>EXP(-'Data Bonds'!BF25*BC26)</f>
        <v>1</v>
      </c>
      <c r="DL26" s="38">
        <f>EXP(-'Data Bonds'!BG25*BD26)</f>
        <v>1</v>
      </c>
      <c r="DM26" s="38">
        <f>EXP(-'Data Bonds'!BH25*BE26)</f>
        <v>1</v>
      </c>
      <c r="DN26" s="38">
        <f>EXP(-'Data Bonds'!BI25*BF26)</f>
        <v>1</v>
      </c>
      <c r="DO26" s="38">
        <f>EXP(-'Data Bonds'!BJ25*BG26)</f>
        <v>1</v>
      </c>
      <c r="DP26" s="38">
        <f>EXP(-'Data Bonds'!BK25*BH26)</f>
        <v>1</v>
      </c>
      <c r="DQ26" s="38">
        <f>EXP(-'Data Bonds'!BL25*BI26)</f>
        <v>1</v>
      </c>
      <c r="DR26" s="38">
        <f>EXP(-'Data Bonds'!BM25*BJ26)</f>
        <v>1</v>
      </c>
      <c r="DS26" s="38">
        <f>EXP(-'Data Bonds'!BN25*BK26)</f>
        <v>1</v>
      </c>
      <c r="DT26" s="38">
        <f>EXP(-'Data Bonds'!BO25*BL26)</f>
        <v>1</v>
      </c>
      <c r="DU26" s="38">
        <f>EXP(-'Data Bonds'!BP25*BM26)</f>
        <v>1</v>
      </c>
      <c r="DV26" s="38">
        <f>EXP(-'Data Bonds'!BQ25*BN26)</f>
        <v>1</v>
      </c>
      <c r="DW26" s="38">
        <f>EXP(-'Data Bonds'!BR25*BO26)</f>
        <v>1</v>
      </c>
      <c r="DX26" s="28">
        <f>SUMPRODUCT(BP26:DW26,'Data Bonds'!BU25:EB25)</f>
        <v>98.690825243361033</v>
      </c>
      <c r="DY26" s="28">
        <f t="shared" si="5"/>
        <v>1.22361007840766E-2</v>
      </c>
      <c r="EA26" s="33">
        <f t="shared" si="6"/>
        <v>7.5</v>
      </c>
      <c r="EB26" s="29">
        <f t="shared" si="2"/>
        <v>5.1247879276413881E-2</v>
      </c>
      <c r="EC26" s="29">
        <f t="shared" si="3"/>
        <v>0.68088688049079849</v>
      </c>
      <c r="ED26" s="29">
        <f t="shared" si="7"/>
        <v>5.3369951236123404E-2</v>
      </c>
      <c r="EE26" s="32"/>
      <c r="EF26" s="32"/>
      <c r="EG26" s="32"/>
      <c r="EI26" s="34"/>
    </row>
    <row r="27" spans="2:139">
      <c r="B27" s="27">
        <f>'Data Bonds'!E26</f>
        <v>5</v>
      </c>
      <c r="C27" s="27">
        <f>'Data Bonds'!F26</f>
        <v>99.875</v>
      </c>
      <c r="D27" s="27">
        <f>'Data Bonds'!G26</f>
        <v>99.90625</v>
      </c>
      <c r="E27" s="27">
        <f>'Data Bonds'!I26</f>
        <v>1.5555555555555556</v>
      </c>
      <c r="F27" s="40">
        <f>'Data Bonds'!H26</f>
        <v>3.6888888888888891</v>
      </c>
      <c r="G27" s="28">
        <f t="shared" si="4"/>
        <v>101.44618055555556</v>
      </c>
      <c r="H27" s="45">
        <f>IF('Data Bonds'!K26=0,0,theta0+(theta1+theta2)*(1-EXP(-'Data Bonds'!K26/la))/('Data Bonds'!K26/la)-theta2*EXP(-'Data Bonds'!K26/la))</f>
        <v>5.1598526027898411E-2</v>
      </c>
      <c r="I27" s="45">
        <f>IF('Data Bonds'!L26=0,0,theta0+(theta1+theta2)*(1-EXP(-'Data Bonds'!L26/la))/('Data Bonds'!L26/la)-theta2*EXP(-'Data Bonds'!L26/la))</f>
        <v>5.0271357324748023E-2</v>
      </c>
      <c r="J27" s="45">
        <f>IF('Data Bonds'!M26=0,0,theta0+(theta1+theta2)*(1-EXP(-'Data Bonds'!M26/la))/('Data Bonds'!M26/la)-theta2*EXP(-'Data Bonds'!M26/la))</f>
        <v>4.9578457297749672E-2</v>
      </c>
      <c r="K27" s="45">
        <f>IF('Data Bonds'!N26=0,0,theta0+(theta1+theta2)*(1-EXP(-'Data Bonds'!N26/la))/('Data Bonds'!N26/la)-theta2*EXP(-'Data Bonds'!N26/la))</f>
        <v>4.9285035750538553E-2</v>
      </c>
      <c r="L27" s="45">
        <f>IF('Data Bonds'!O26=0,0,theta0+(theta1+theta2)*(1-EXP(-'Data Bonds'!O26/la))/('Data Bonds'!O26/la)-theta2*EXP(-'Data Bonds'!O26/la))</f>
        <v>4.9237017363447266E-2</v>
      </c>
      <c r="M27" s="45">
        <f>IF('Data Bonds'!P26=0,0,theta0+(theta1+theta2)*(1-EXP(-'Data Bonds'!P26/la))/('Data Bonds'!P26/la)-theta2*EXP(-'Data Bonds'!P26/la))</f>
        <v>4.9334171753160738E-2</v>
      </c>
      <c r="N27" s="45">
        <f>IF('Data Bonds'!Q26=0,0,theta0+(theta1+theta2)*(1-EXP(-'Data Bonds'!Q26/la))/('Data Bonds'!Q26/la)-theta2*EXP(-'Data Bonds'!Q26/la))</f>
        <v>4.9512038088999483E-2</v>
      </c>
      <c r="O27" s="45">
        <f>IF('Data Bonds'!R26=0,0,theta0+(theta1+theta2)*(1-EXP(-'Data Bonds'!R26/la))/('Data Bonds'!R26/la)-theta2*EXP(-'Data Bonds'!R26/la))</f>
        <v>4.9729794635889335E-2</v>
      </c>
      <c r="P27" s="45">
        <f>IF('Data Bonds'!S26=0,0,theta0+(theta1+theta2)*(1-EXP(-'Data Bonds'!S26/la))/('Data Bonds'!S26/la)-theta2*EXP(-'Data Bonds'!S26/la))</f>
        <v>0</v>
      </c>
      <c r="Q27" s="45">
        <f>IF('Data Bonds'!T26=0,0,theta0+(theta1+theta2)*(1-EXP(-'Data Bonds'!T26/la))/('Data Bonds'!T26/la)-theta2*EXP(-'Data Bonds'!T26/la))</f>
        <v>0</v>
      </c>
      <c r="R27" s="45">
        <f>IF('Data Bonds'!U26=0,0,theta0+(theta1+theta2)*(1-EXP(-'Data Bonds'!U26/la))/('Data Bonds'!U26/la)-theta2*EXP(-'Data Bonds'!U26/la))</f>
        <v>0</v>
      </c>
      <c r="S27" s="45">
        <f>IF('Data Bonds'!V26=0,0,theta0+(theta1+theta2)*(1-EXP(-'Data Bonds'!V26/la))/('Data Bonds'!V26/la)-theta2*EXP(-'Data Bonds'!V26/la))</f>
        <v>0</v>
      </c>
      <c r="T27" s="45">
        <f>IF('Data Bonds'!W26=0,0,theta0+(theta1+theta2)*(1-EXP(-'Data Bonds'!W26/la))/('Data Bonds'!W26/la)-theta2*EXP(-'Data Bonds'!W26/la))</f>
        <v>0</v>
      </c>
      <c r="U27" s="45">
        <f>IF('Data Bonds'!X26=0,0,theta0+(theta1+theta2)*(1-EXP(-'Data Bonds'!X26/la))/('Data Bonds'!X26/la)-theta2*EXP(-'Data Bonds'!X26/la))</f>
        <v>0</v>
      </c>
      <c r="V27" s="45">
        <f>IF('Data Bonds'!Y26=0,0,theta0+(theta1+theta2)*(1-EXP(-'Data Bonds'!Y26/la))/('Data Bonds'!Y26/la)-theta2*EXP(-'Data Bonds'!Y26/la))</f>
        <v>0</v>
      </c>
      <c r="W27" s="45">
        <f>IF('Data Bonds'!Z26=0,0,theta0+(theta1+theta2)*(1-EXP(-'Data Bonds'!Z26/la))/('Data Bonds'!Z26/la)-theta2*EXP(-'Data Bonds'!Z26/la))</f>
        <v>0</v>
      </c>
      <c r="X27" s="45">
        <f>IF('Data Bonds'!AA26=0,0,theta0+(theta1+theta2)*(1-EXP(-'Data Bonds'!AA26/la))/('Data Bonds'!AA26/la)-theta2*EXP(-'Data Bonds'!AA26/la))</f>
        <v>0</v>
      </c>
      <c r="Y27" s="45">
        <f>IF('Data Bonds'!AB26=0,0,theta0+(theta1+theta2)*(1-EXP(-'Data Bonds'!AB26/la))/('Data Bonds'!AB26/la)-theta2*EXP(-'Data Bonds'!AB26/la))</f>
        <v>0</v>
      </c>
      <c r="Z27" s="45">
        <f>IF('Data Bonds'!AC26=0,0,theta0+(theta1+theta2)*(1-EXP(-'Data Bonds'!AC26/la))/('Data Bonds'!AC26/la)-theta2*EXP(-'Data Bonds'!AC26/la))</f>
        <v>0</v>
      </c>
      <c r="AA27" s="45">
        <f>IF('Data Bonds'!AD26=0,0,theta0+(theta1+theta2)*(1-EXP(-'Data Bonds'!AD26/la))/('Data Bonds'!AD26/la)-theta2*EXP(-'Data Bonds'!AD26/la))</f>
        <v>0</v>
      </c>
      <c r="AB27" s="45">
        <f>IF('Data Bonds'!AE26=0,0,theta0+(theta1+theta2)*(1-EXP(-'Data Bonds'!AE26/la))/('Data Bonds'!AE26/la)-theta2*EXP(-'Data Bonds'!AE26/la))</f>
        <v>0</v>
      </c>
      <c r="AC27" s="45">
        <f>IF('Data Bonds'!AF26=0,0,theta0+(theta1+theta2)*(1-EXP(-'Data Bonds'!AF26/la))/('Data Bonds'!AF26/la)-theta2*EXP(-'Data Bonds'!AF26/la))</f>
        <v>0</v>
      </c>
      <c r="AD27" s="45">
        <f>IF('Data Bonds'!AG26=0,0,theta0+(theta1+theta2)*(1-EXP(-'Data Bonds'!AG26/la))/('Data Bonds'!AG26/la)-theta2*EXP(-'Data Bonds'!AG26/la))</f>
        <v>0</v>
      </c>
      <c r="AE27" s="45">
        <f>IF('Data Bonds'!AH26=0,0,theta0+(theta1+theta2)*(1-EXP(-'Data Bonds'!AH26/la))/('Data Bonds'!AH26/la)-theta2*EXP(-'Data Bonds'!AH26/la))</f>
        <v>0</v>
      </c>
      <c r="AF27" s="45">
        <f>IF('Data Bonds'!AI26=0,0,theta0+(theta1+theta2)*(1-EXP(-'Data Bonds'!AI26/la))/('Data Bonds'!AI26/la)-theta2*EXP(-'Data Bonds'!AI26/la))</f>
        <v>0</v>
      </c>
      <c r="AG27" s="45">
        <f>IF('Data Bonds'!AJ26=0,0,theta0+(theta1+theta2)*(1-EXP(-'Data Bonds'!AJ26/la))/('Data Bonds'!AJ26/la)-theta2*EXP(-'Data Bonds'!AJ26/la))</f>
        <v>0</v>
      </c>
      <c r="AH27" s="45">
        <f>IF('Data Bonds'!AK26=0,0,theta0+(theta1+theta2)*(1-EXP(-'Data Bonds'!AK26/la))/('Data Bonds'!AK26/la)-theta2*EXP(-'Data Bonds'!AK26/la))</f>
        <v>0</v>
      </c>
      <c r="AI27" s="45">
        <f>IF('Data Bonds'!AL26=0,0,theta0+(theta1+theta2)*(1-EXP(-'Data Bonds'!AL26/la))/('Data Bonds'!AL26/la)-theta2*EXP(-'Data Bonds'!AL26/la))</f>
        <v>0</v>
      </c>
      <c r="AJ27" s="45">
        <f>IF('Data Bonds'!AM26=0,0,theta0+(theta1+theta2)*(1-EXP(-'Data Bonds'!AM26/la))/('Data Bonds'!AM26/la)-theta2*EXP(-'Data Bonds'!AM26/la))</f>
        <v>0</v>
      </c>
      <c r="AK27" s="45">
        <f>IF('Data Bonds'!AN26=0,0,theta0+(theta1+theta2)*(1-EXP(-'Data Bonds'!AN26/la))/('Data Bonds'!AN26/la)-theta2*EXP(-'Data Bonds'!AN26/la))</f>
        <v>0</v>
      </c>
      <c r="AL27" s="45">
        <f>IF('Data Bonds'!AO26=0,0,theta0+(theta1+theta2)*(1-EXP(-'Data Bonds'!AO26/la))/('Data Bonds'!AO26/la)-theta2*EXP(-'Data Bonds'!AO26/la))</f>
        <v>0</v>
      </c>
      <c r="AM27" s="45">
        <f>IF('Data Bonds'!AP26=0,0,theta0+(theta1+theta2)*(1-EXP(-'Data Bonds'!AP26/la))/('Data Bonds'!AP26/la)-theta2*EXP(-'Data Bonds'!AP26/la))</f>
        <v>0</v>
      </c>
      <c r="AN27" s="45">
        <f>IF('Data Bonds'!AQ26=0,0,theta0+(theta1+theta2)*(1-EXP(-'Data Bonds'!AQ26/la))/('Data Bonds'!AQ26/la)-theta2*EXP(-'Data Bonds'!AQ26/la))</f>
        <v>0</v>
      </c>
      <c r="AO27" s="45">
        <f>IF('Data Bonds'!AR26=0,0,theta0+(theta1+theta2)*(1-EXP(-'Data Bonds'!AR26/la))/('Data Bonds'!AR26/la)-theta2*EXP(-'Data Bonds'!AR26/la))</f>
        <v>0</v>
      </c>
      <c r="AP27" s="45">
        <f>IF('Data Bonds'!AS26=0,0,theta0+(theta1+theta2)*(1-EXP(-'Data Bonds'!AS26/la))/('Data Bonds'!AS26/la)-theta2*EXP(-'Data Bonds'!AS26/la))</f>
        <v>0</v>
      </c>
      <c r="AQ27" s="45">
        <f>IF('Data Bonds'!AT26=0,0,theta0+(theta1+theta2)*(1-EXP(-'Data Bonds'!AT26/la))/('Data Bonds'!AT26/la)-theta2*EXP(-'Data Bonds'!AT26/la))</f>
        <v>0</v>
      </c>
      <c r="AR27" s="45">
        <f>IF('Data Bonds'!AU26=0,0,theta0+(theta1+theta2)*(1-EXP(-'Data Bonds'!AU26/la))/('Data Bonds'!AU26/la)-theta2*EXP(-'Data Bonds'!AU26/la))</f>
        <v>0</v>
      </c>
      <c r="AS27" s="45">
        <f>IF('Data Bonds'!AV26=0,0,theta0+(theta1+theta2)*(1-EXP(-'Data Bonds'!AV26/la))/('Data Bonds'!AV26/la)-theta2*EXP(-'Data Bonds'!AV26/la))</f>
        <v>0</v>
      </c>
      <c r="AT27" s="45">
        <f>IF('Data Bonds'!AW26=0,0,theta0+(theta1+theta2)*(1-EXP(-'Data Bonds'!AW26/la))/('Data Bonds'!AW26/la)-theta2*EXP(-'Data Bonds'!AW26/la))</f>
        <v>0</v>
      </c>
      <c r="AU27" s="45">
        <f>IF('Data Bonds'!AX26=0,0,theta0+(theta1+theta2)*(1-EXP(-'Data Bonds'!AX26/la))/('Data Bonds'!AX26/la)-theta2*EXP(-'Data Bonds'!AX26/la))</f>
        <v>0</v>
      </c>
      <c r="AV27" s="45">
        <f>IF('Data Bonds'!AY26=0,0,theta0+(theta1+theta2)*(1-EXP(-'Data Bonds'!AY26/la))/('Data Bonds'!AY26/la)-theta2*EXP(-'Data Bonds'!AY26/la))</f>
        <v>0</v>
      </c>
      <c r="AW27" s="45">
        <f>IF('Data Bonds'!AZ26=0,0,theta0+(theta1+theta2)*(1-EXP(-'Data Bonds'!AZ26/la))/('Data Bonds'!AZ26/la)-theta2*EXP(-'Data Bonds'!AZ26/la))</f>
        <v>0</v>
      </c>
      <c r="AX27" s="45">
        <f>IF('Data Bonds'!BA26=0,0,theta0+(theta1+theta2)*(1-EXP(-'Data Bonds'!BA26/la))/('Data Bonds'!BA26/la)-theta2*EXP(-'Data Bonds'!BA26/la))</f>
        <v>0</v>
      </c>
      <c r="AY27" s="45">
        <f>IF('Data Bonds'!BB26=0,0,theta0+(theta1+theta2)*(1-EXP(-'Data Bonds'!BB26/la))/('Data Bonds'!BB26/la)-theta2*EXP(-'Data Bonds'!BB26/la))</f>
        <v>0</v>
      </c>
      <c r="AZ27" s="45">
        <f>IF('Data Bonds'!BC26=0,0,theta0+(theta1+theta2)*(1-EXP(-'Data Bonds'!BC26/la))/('Data Bonds'!BC26/la)-theta2*EXP(-'Data Bonds'!BC26/la))</f>
        <v>0</v>
      </c>
      <c r="BA27" s="45">
        <f>IF('Data Bonds'!BD26=0,0,theta0+(theta1+theta2)*(1-EXP(-'Data Bonds'!BD26/la))/('Data Bonds'!BD26/la)-theta2*EXP(-'Data Bonds'!BD26/la))</f>
        <v>0</v>
      </c>
      <c r="BB27" s="45">
        <f>IF('Data Bonds'!BE26=0,0,theta0+(theta1+theta2)*(1-EXP(-'Data Bonds'!BE26/la))/('Data Bonds'!BE26/la)-theta2*EXP(-'Data Bonds'!BE26/la))</f>
        <v>0</v>
      </c>
      <c r="BC27" s="45">
        <f>IF('Data Bonds'!BF26=0,0,theta0+(theta1+theta2)*(1-EXP(-'Data Bonds'!BF26/la))/('Data Bonds'!BF26/la)-theta2*EXP(-'Data Bonds'!BF26/la))</f>
        <v>0</v>
      </c>
      <c r="BD27" s="45">
        <f>IF('Data Bonds'!BG26=0,0,theta0+(theta1+theta2)*(1-EXP(-'Data Bonds'!BG26/la))/('Data Bonds'!BG26/la)-theta2*EXP(-'Data Bonds'!BG26/la))</f>
        <v>0</v>
      </c>
      <c r="BE27" s="45">
        <f>IF('Data Bonds'!BH26=0,0,theta0+(theta1+theta2)*(1-EXP(-'Data Bonds'!BH26/la))/('Data Bonds'!BH26/la)-theta2*EXP(-'Data Bonds'!BH26/la))</f>
        <v>0</v>
      </c>
      <c r="BF27" s="45">
        <f>IF('Data Bonds'!BI26=0,0,theta0+(theta1+theta2)*(1-EXP(-'Data Bonds'!BI26/la))/('Data Bonds'!BI26/la)-theta2*EXP(-'Data Bonds'!BI26/la))</f>
        <v>0</v>
      </c>
      <c r="BG27" s="45">
        <f>IF('Data Bonds'!BJ26=0,0,theta0+(theta1+theta2)*(1-EXP(-'Data Bonds'!BJ26/la))/('Data Bonds'!BJ26/la)-theta2*EXP(-'Data Bonds'!BJ26/la))</f>
        <v>0</v>
      </c>
      <c r="BH27" s="45">
        <f>IF('Data Bonds'!BK26=0,0,theta0+(theta1+theta2)*(1-EXP(-'Data Bonds'!BK26/la))/('Data Bonds'!BK26/la)-theta2*EXP(-'Data Bonds'!BK26/la))</f>
        <v>0</v>
      </c>
      <c r="BI27" s="45">
        <f>IF('Data Bonds'!BL26=0,0,theta0+(theta1+theta2)*(1-EXP(-'Data Bonds'!BL26/la))/('Data Bonds'!BL26/la)-theta2*EXP(-'Data Bonds'!BL26/la))</f>
        <v>0</v>
      </c>
      <c r="BJ27" s="45">
        <f>IF('Data Bonds'!BM26=0,0,theta0+(theta1+theta2)*(1-EXP(-'Data Bonds'!BM26/la))/('Data Bonds'!BM26/la)-theta2*EXP(-'Data Bonds'!BM26/la))</f>
        <v>0</v>
      </c>
      <c r="BK27" s="45">
        <f>IF('Data Bonds'!BN26=0,0,theta0+(theta1+theta2)*(1-EXP(-'Data Bonds'!BN26/la))/('Data Bonds'!BN26/la)-theta2*EXP(-'Data Bonds'!BN26/la))</f>
        <v>0</v>
      </c>
      <c r="BL27" s="45">
        <f>IF('Data Bonds'!BO26=0,0,theta0+(theta1+theta2)*(1-EXP(-'Data Bonds'!BO26/la))/('Data Bonds'!BO26/la)-theta2*EXP(-'Data Bonds'!BO26/la))</f>
        <v>0</v>
      </c>
      <c r="BM27" s="45">
        <f>IF('Data Bonds'!BP26=0,0,theta0+(theta1+theta2)*(1-EXP(-'Data Bonds'!BP26/la))/('Data Bonds'!BP26/la)-theta2*EXP(-'Data Bonds'!BP26/la))</f>
        <v>0</v>
      </c>
      <c r="BN27" s="45">
        <f>IF('Data Bonds'!BQ26=0,0,theta0+(theta1+theta2)*(1-EXP(-'Data Bonds'!BQ26/la))/('Data Bonds'!BQ26/la)-theta2*EXP(-'Data Bonds'!BQ26/la))</f>
        <v>0</v>
      </c>
      <c r="BO27" s="45">
        <f>IF('Data Bonds'!BR26=0,0,theta0+(theta1+theta2)*(1-EXP(-'Data Bonds'!BR26/la))/('Data Bonds'!BR26/la)-theta2*EXP(-'Data Bonds'!BR26/la))</f>
        <v>0</v>
      </c>
      <c r="BP27" s="38">
        <f>EXP(-'Data Bonds'!K26*H27)</f>
        <v>0.99030095386253514</v>
      </c>
      <c r="BQ27" s="38">
        <f>EXP(-'Data Bonds'!L26*I27)</f>
        <v>0.96596142383001249</v>
      </c>
      <c r="BR27" s="38">
        <f>EXP(-'Data Bonds'!M26*J27)</f>
        <v>0.94276024382077384</v>
      </c>
      <c r="BS27" s="38">
        <f>EXP(-'Data Bonds'!N26*K27)</f>
        <v>0.92013309652437447</v>
      </c>
      <c r="BT27" s="38">
        <f>EXP(-'Data Bonds'!O26*L27)</f>
        <v>0.8978301597681585</v>
      </c>
      <c r="BU27" s="38">
        <f>EXP(-'Data Bonds'!P26*M27)</f>
        <v>0.8757679623727499</v>
      </c>
      <c r="BV27" s="38">
        <f>EXP(-'Data Bonds'!Q26*N27)</f>
        <v>0.85394508705932803</v>
      </c>
      <c r="BW27" s="38">
        <f>EXP(-'Data Bonds'!R26*O27)</f>
        <v>0.83239541980118914</v>
      </c>
      <c r="BX27" s="38">
        <f>EXP(-'Data Bonds'!S26*P27)</f>
        <v>1</v>
      </c>
      <c r="BY27" s="38">
        <f>EXP(-'Data Bonds'!T26*Q27)</f>
        <v>1</v>
      </c>
      <c r="BZ27" s="38">
        <f>EXP(-'Data Bonds'!U26*R27)</f>
        <v>1</v>
      </c>
      <c r="CA27" s="38">
        <f>EXP(-'Data Bonds'!V26*S27)</f>
        <v>1</v>
      </c>
      <c r="CB27" s="38">
        <f>EXP(-'Data Bonds'!W26*T27)</f>
        <v>1</v>
      </c>
      <c r="CC27" s="38">
        <f>EXP(-'Data Bonds'!X26*U27)</f>
        <v>1</v>
      </c>
      <c r="CD27" s="38">
        <f>EXP(-'Data Bonds'!Y26*V27)</f>
        <v>1</v>
      </c>
      <c r="CE27" s="38">
        <f>EXP(-'Data Bonds'!Z26*W27)</f>
        <v>1</v>
      </c>
      <c r="CF27" s="38">
        <f>EXP(-'Data Bonds'!AA26*X27)</f>
        <v>1</v>
      </c>
      <c r="CG27" s="38">
        <f>EXP(-'Data Bonds'!AB26*Y27)</f>
        <v>1</v>
      </c>
      <c r="CH27" s="38">
        <f>EXP(-'Data Bonds'!AC26*Z27)</f>
        <v>1</v>
      </c>
      <c r="CI27" s="38">
        <f>EXP(-'Data Bonds'!AD26*AA27)</f>
        <v>1</v>
      </c>
      <c r="CJ27" s="38">
        <f>EXP(-'Data Bonds'!AE26*AB27)</f>
        <v>1</v>
      </c>
      <c r="CK27" s="38">
        <f>EXP(-'Data Bonds'!AF26*AC27)</f>
        <v>1</v>
      </c>
      <c r="CL27" s="38">
        <f>EXP(-'Data Bonds'!AG26*AD27)</f>
        <v>1</v>
      </c>
      <c r="CM27" s="38">
        <f>EXP(-'Data Bonds'!AH26*AE27)</f>
        <v>1</v>
      </c>
      <c r="CN27" s="38">
        <f>EXP(-'Data Bonds'!AI26*AF27)</f>
        <v>1</v>
      </c>
      <c r="CO27" s="38">
        <f>EXP(-'Data Bonds'!AJ26*AG27)</f>
        <v>1</v>
      </c>
      <c r="CP27" s="38">
        <f>EXP(-'Data Bonds'!AK26*AH27)</f>
        <v>1</v>
      </c>
      <c r="CQ27" s="38">
        <f>EXP(-'Data Bonds'!AL26*AI27)</f>
        <v>1</v>
      </c>
      <c r="CR27" s="38">
        <f>EXP(-'Data Bonds'!AM26*AJ27)</f>
        <v>1</v>
      </c>
      <c r="CS27" s="38">
        <f>EXP(-'Data Bonds'!AN26*AK27)</f>
        <v>1</v>
      </c>
      <c r="CT27" s="38">
        <f>EXP(-'Data Bonds'!AO26*AL27)</f>
        <v>1</v>
      </c>
      <c r="CU27" s="38">
        <f>EXP(-'Data Bonds'!AP26*AM27)</f>
        <v>1</v>
      </c>
      <c r="CV27" s="38">
        <f>EXP(-'Data Bonds'!AQ26*AN27)</f>
        <v>1</v>
      </c>
      <c r="CW27" s="38">
        <f>EXP(-'Data Bonds'!AR26*AO27)</f>
        <v>1</v>
      </c>
      <c r="CX27" s="38">
        <f>EXP(-'Data Bonds'!AS26*AP27)</f>
        <v>1</v>
      </c>
      <c r="CY27" s="38">
        <f>EXP(-'Data Bonds'!AT26*AQ27)</f>
        <v>1</v>
      </c>
      <c r="CZ27" s="38">
        <f>EXP(-'Data Bonds'!AU26*AR27)</f>
        <v>1</v>
      </c>
      <c r="DA27" s="38">
        <f>EXP(-'Data Bonds'!AV26*AS27)</f>
        <v>1</v>
      </c>
      <c r="DB27" s="38">
        <f>EXP(-'Data Bonds'!AW26*AT27)</f>
        <v>1</v>
      </c>
      <c r="DC27" s="38">
        <f>EXP(-'Data Bonds'!AX26*AU27)</f>
        <v>1</v>
      </c>
      <c r="DD27" s="38">
        <f>EXP(-'Data Bonds'!AY26*AV27)</f>
        <v>1</v>
      </c>
      <c r="DE27" s="38">
        <f>EXP(-'Data Bonds'!AZ26*AW27)</f>
        <v>1</v>
      </c>
      <c r="DF27" s="38">
        <f>EXP(-'Data Bonds'!BA26*AX27)</f>
        <v>1</v>
      </c>
      <c r="DG27" s="38">
        <f>EXP(-'Data Bonds'!BB26*AY27)</f>
        <v>1</v>
      </c>
      <c r="DH27" s="38">
        <f>EXP(-'Data Bonds'!BC26*AZ27)</f>
        <v>1</v>
      </c>
      <c r="DI27" s="38">
        <f>EXP(-'Data Bonds'!BD26*BA27)</f>
        <v>1</v>
      </c>
      <c r="DJ27" s="38">
        <f>EXP(-'Data Bonds'!BE26*BB27)</f>
        <v>1</v>
      </c>
      <c r="DK27" s="38">
        <f>EXP(-'Data Bonds'!BF26*BC27)</f>
        <v>1</v>
      </c>
      <c r="DL27" s="38">
        <f>EXP(-'Data Bonds'!BG26*BD27)</f>
        <v>1</v>
      </c>
      <c r="DM27" s="38">
        <f>EXP(-'Data Bonds'!BH26*BE27)</f>
        <v>1</v>
      </c>
      <c r="DN27" s="38">
        <f>EXP(-'Data Bonds'!BI26*BF27)</f>
        <v>1</v>
      </c>
      <c r="DO27" s="38">
        <f>EXP(-'Data Bonds'!BJ26*BG27)</f>
        <v>1</v>
      </c>
      <c r="DP27" s="38">
        <f>EXP(-'Data Bonds'!BK26*BH27)</f>
        <v>1</v>
      </c>
      <c r="DQ27" s="38">
        <f>EXP(-'Data Bonds'!BL26*BI27)</f>
        <v>1</v>
      </c>
      <c r="DR27" s="38">
        <f>EXP(-'Data Bonds'!BM26*BJ27)</f>
        <v>1</v>
      </c>
      <c r="DS27" s="38">
        <f>EXP(-'Data Bonds'!BN26*BK27)</f>
        <v>1</v>
      </c>
      <c r="DT27" s="38">
        <f>EXP(-'Data Bonds'!BO26*BL27)</f>
        <v>1</v>
      </c>
      <c r="DU27" s="38">
        <f>EXP(-'Data Bonds'!BP26*BM27)</f>
        <v>1</v>
      </c>
      <c r="DV27" s="38">
        <f>EXP(-'Data Bonds'!BQ26*BN27)</f>
        <v>1</v>
      </c>
      <c r="DW27" s="38">
        <f>EXP(-'Data Bonds'!BR26*BO27)</f>
        <v>1</v>
      </c>
      <c r="DX27" s="28">
        <f>SUMPRODUCT(BP27:DW27,'Data Bonds'!BU26:EB26)</f>
        <v>101.43727784771673</v>
      </c>
      <c r="DY27" s="28">
        <f t="shared" si="5"/>
        <v>7.9258206863536736E-5</v>
      </c>
      <c r="EA27" s="33">
        <f t="shared" si="6"/>
        <v>8</v>
      </c>
      <c r="EB27" s="29">
        <f t="shared" si="2"/>
        <v>5.1385444387273521E-2</v>
      </c>
      <c r="EC27" s="29">
        <f t="shared" si="3"/>
        <v>0.66293153797680204</v>
      </c>
      <c r="ED27" s="29">
        <f t="shared" si="7"/>
        <v>5.3448921050168213E-2</v>
      </c>
      <c r="EE27" s="32"/>
      <c r="EF27" s="32"/>
      <c r="EG27" s="32"/>
      <c r="EI27" s="34"/>
    </row>
    <row r="28" spans="2:139">
      <c r="B28" s="27">
        <f>'Data Bonds'!E27</f>
        <v>5</v>
      </c>
      <c r="C28" s="27">
        <f>'Data Bonds'!F27</f>
        <v>99.84375</v>
      </c>
      <c r="D28" s="27">
        <f>'Data Bonds'!G27</f>
        <v>99.875</v>
      </c>
      <c r="E28" s="27">
        <f>'Data Bonds'!I27</f>
        <v>1.5555555555555556</v>
      </c>
      <c r="F28" s="40">
        <f>'Data Bonds'!H27</f>
        <v>4.1888888888888891</v>
      </c>
      <c r="G28" s="28">
        <f t="shared" si="4"/>
        <v>101.41493055555556</v>
      </c>
      <c r="H28" s="45">
        <f>IF('Data Bonds'!K27=0,0,theta0+(theta1+theta2)*(1-EXP(-'Data Bonds'!K27/la))/('Data Bonds'!K27/la)-theta2*EXP(-'Data Bonds'!K27/la))</f>
        <v>5.1598526027898411E-2</v>
      </c>
      <c r="I28" s="45">
        <f>IF('Data Bonds'!L27=0,0,theta0+(theta1+theta2)*(1-EXP(-'Data Bonds'!L27/la))/('Data Bonds'!L27/la)-theta2*EXP(-'Data Bonds'!L27/la))</f>
        <v>5.0271357324748023E-2</v>
      </c>
      <c r="J28" s="45">
        <f>IF('Data Bonds'!M27=0,0,theta0+(theta1+theta2)*(1-EXP(-'Data Bonds'!M27/la))/('Data Bonds'!M27/la)-theta2*EXP(-'Data Bonds'!M27/la))</f>
        <v>4.9578457297749672E-2</v>
      </c>
      <c r="K28" s="45">
        <f>IF('Data Bonds'!N27=0,0,theta0+(theta1+theta2)*(1-EXP(-'Data Bonds'!N27/la))/('Data Bonds'!N27/la)-theta2*EXP(-'Data Bonds'!N27/la))</f>
        <v>4.9285035750538553E-2</v>
      </c>
      <c r="L28" s="45">
        <f>IF('Data Bonds'!O27=0,0,theta0+(theta1+theta2)*(1-EXP(-'Data Bonds'!O27/la))/('Data Bonds'!O27/la)-theta2*EXP(-'Data Bonds'!O27/la))</f>
        <v>4.9237017363447266E-2</v>
      </c>
      <c r="M28" s="45">
        <f>IF('Data Bonds'!P27=0,0,theta0+(theta1+theta2)*(1-EXP(-'Data Bonds'!P27/la))/('Data Bonds'!P27/la)-theta2*EXP(-'Data Bonds'!P27/la))</f>
        <v>4.9334171753160738E-2</v>
      </c>
      <c r="N28" s="45">
        <f>IF('Data Bonds'!Q27=0,0,theta0+(theta1+theta2)*(1-EXP(-'Data Bonds'!Q27/la))/('Data Bonds'!Q27/la)-theta2*EXP(-'Data Bonds'!Q27/la))</f>
        <v>4.9512038088999483E-2</v>
      </c>
      <c r="O28" s="45">
        <f>IF('Data Bonds'!R27=0,0,theta0+(theta1+theta2)*(1-EXP(-'Data Bonds'!R27/la))/('Data Bonds'!R27/la)-theta2*EXP(-'Data Bonds'!R27/la))</f>
        <v>4.9729794635889335E-2</v>
      </c>
      <c r="P28" s="45">
        <f>IF('Data Bonds'!S27=0,0,theta0+(theta1+theta2)*(1-EXP(-'Data Bonds'!S27/la))/('Data Bonds'!S27/la)-theta2*EXP(-'Data Bonds'!S27/la))</f>
        <v>4.9962140977046696E-2</v>
      </c>
      <c r="Q28" s="45">
        <f>IF('Data Bonds'!T27=0,0,theta0+(theta1+theta2)*(1-EXP(-'Data Bonds'!T27/la))/('Data Bonds'!T27/la)-theta2*EXP(-'Data Bonds'!T27/la))</f>
        <v>0</v>
      </c>
      <c r="R28" s="45">
        <f>IF('Data Bonds'!U27=0,0,theta0+(theta1+theta2)*(1-EXP(-'Data Bonds'!U27/la))/('Data Bonds'!U27/la)-theta2*EXP(-'Data Bonds'!U27/la))</f>
        <v>0</v>
      </c>
      <c r="S28" s="45">
        <f>IF('Data Bonds'!V27=0,0,theta0+(theta1+theta2)*(1-EXP(-'Data Bonds'!V27/la))/('Data Bonds'!V27/la)-theta2*EXP(-'Data Bonds'!V27/la))</f>
        <v>0</v>
      </c>
      <c r="T28" s="45">
        <f>IF('Data Bonds'!W27=0,0,theta0+(theta1+theta2)*(1-EXP(-'Data Bonds'!W27/la))/('Data Bonds'!W27/la)-theta2*EXP(-'Data Bonds'!W27/la))</f>
        <v>0</v>
      </c>
      <c r="U28" s="45">
        <f>IF('Data Bonds'!X27=0,0,theta0+(theta1+theta2)*(1-EXP(-'Data Bonds'!X27/la))/('Data Bonds'!X27/la)-theta2*EXP(-'Data Bonds'!X27/la))</f>
        <v>0</v>
      </c>
      <c r="V28" s="45">
        <f>IF('Data Bonds'!Y27=0,0,theta0+(theta1+theta2)*(1-EXP(-'Data Bonds'!Y27/la))/('Data Bonds'!Y27/la)-theta2*EXP(-'Data Bonds'!Y27/la))</f>
        <v>0</v>
      </c>
      <c r="W28" s="45">
        <f>IF('Data Bonds'!Z27=0,0,theta0+(theta1+theta2)*(1-EXP(-'Data Bonds'!Z27/la))/('Data Bonds'!Z27/la)-theta2*EXP(-'Data Bonds'!Z27/la))</f>
        <v>0</v>
      </c>
      <c r="X28" s="45">
        <f>IF('Data Bonds'!AA27=0,0,theta0+(theta1+theta2)*(1-EXP(-'Data Bonds'!AA27/la))/('Data Bonds'!AA27/la)-theta2*EXP(-'Data Bonds'!AA27/la))</f>
        <v>0</v>
      </c>
      <c r="Y28" s="45">
        <f>IF('Data Bonds'!AB27=0,0,theta0+(theta1+theta2)*(1-EXP(-'Data Bonds'!AB27/la))/('Data Bonds'!AB27/la)-theta2*EXP(-'Data Bonds'!AB27/la))</f>
        <v>0</v>
      </c>
      <c r="Z28" s="45">
        <f>IF('Data Bonds'!AC27=0,0,theta0+(theta1+theta2)*(1-EXP(-'Data Bonds'!AC27/la))/('Data Bonds'!AC27/la)-theta2*EXP(-'Data Bonds'!AC27/la))</f>
        <v>0</v>
      </c>
      <c r="AA28" s="45">
        <f>IF('Data Bonds'!AD27=0,0,theta0+(theta1+theta2)*(1-EXP(-'Data Bonds'!AD27/la))/('Data Bonds'!AD27/la)-theta2*EXP(-'Data Bonds'!AD27/la))</f>
        <v>0</v>
      </c>
      <c r="AB28" s="45">
        <f>IF('Data Bonds'!AE27=0,0,theta0+(theta1+theta2)*(1-EXP(-'Data Bonds'!AE27/la))/('Data Bonds'!AE27/la)-theta2*EXP(-'Data Bonds'!AE27/la))</f>
        <v>0</v>
      </c>
      <c r="AC28" s="45">
        <f>IF('Data Bonds'!AF27=0,0,theta0+(theta1+theta2)*(1-EXP(-'Data Bonds'!AF27/la))/('Data Bonds'!AF27/la)-theta2*EXP(-'Data Bonds'!AF27/la))</f>
        <v>0</v>
      </c>
      <c r="AD28" s="45">
        <f>IF('Data Bonds'!AG27=0,0,theta0+(theta1+theta2)*(1-EXP(-'Data Bonds'!AG27/la))/('Data Bonds'!AG27/la)-theta2*EXP(-'Data Bonds'!AG27/la))</f>
        <v>0</v>
      </c>
      <c r="AE28" s="45">
        <f>IF('Data Bonds'!AH27=0,0,theta0+(theta1+theta2)*(1-EXP(-'Data Bonds'!AH27/la))/('Data Bonds'!AH27/la)-theta2*EXP(-'Data Bonds'!AH27/la))</f>
        <v>0</v>
      </c>
      <c r="AF28" s="45">
        <f>IF('Data Bonds'!AI27=0,0,theta0+(theta1+theta2)*(1-EXP(-'Data Bonds'!AI27/la))/('Data Bonds'!AI27/la)-theta2*EXP(-'Data Bonds'!AI27/la))</f>
        <v>0</v>
      </c>
      <c r="AG28" s="45">
        <f>IF('Data Bonds'!AJ27=0,0,theta0+(theta1+theta2)*(1-EXP(-'Data Bonds'!AJ27/la))/('Data Bonds'!AJ27/la)-theta2*EXP(-'Data Bonds'!AJ27/la))</f>
        <v>0</v>
      </c>
      <c r="AH28" s="45">
        <f>IF('Data Bonds'!AK27=0,0,theta0+(theta1+theta2)*(1-EXP(-'Data Bonds'!AK27/la))/('Data Bonds'!AK27/la)-theta2*EXP(-'Data Bonds'!AK27/la))</f>
        <v>0</v>
      </c>
      <c r="AI28" s="45">
        <f>IF('Data Bonds'!AL27=0,0,theta0+(theta1+theta2)*(1-EXP(-'Data Bonds'!AL27/la))/('Data Bonds'!AL27/la)-theta2*EXP(-'Data Bonds'!AL27/la))</f>
        <v>0</v>
      </c>
      <c r="AJ28" s="45">
        <f>IF('Data Bonds'!AM27=0,0,theta0+(theta1+theta2)*(1-EXP(-'Data Bonds'!AM27/la))/('Data Bonds'!AM27/la)-theta2*EXP(-'Data Bonds'!AM27/la))</f>
        <v>0</v>
      </c>
      <c r="AK28" s="45">
        <f>IF('Data Bonds'!AN27=0,0,theta0+(theta1+theta2)*(1-EXP(-'Data Bonds'!AN27/la))/('Data Bonds'!AN27/la)-theta2*EXP(-'Data Bonds'!AN27/la))</f>
        <v>0</v>
      </c>
      <c r="AL28" s="45">
        <f>IF('Data Bonds'!AO27=0,0,theta0+(theta1+theta2)*(1-EXP(-'Data Bonds'!AO27/la))/('Data Bonds'!AO27/la)-theta2*EXP(-'Data Bonds'!AO27/la))</f>
        <v>0</v>
      </c>
      <c r="AM28" s="45">
        <f>IF('Data Bonds'!AP27=0,0,theta0+(theta1+theta2)*(1-EXP(-'Data Bonds'!AP27/la))/('Data Bonds'!AP27/la)-theta2*EXP(-'Data Bonds'!AP27/la))</f>
        <v>0</v>
      </c>
      <c r="AN28" s="45">
        <f>IF('Data Bonds'!AQ27=0,0,theta0+(theta1+theta2)*(1-EXP(-'Data Bonds'!AQ27/la))/('Data Bonds'!AQ27/la)-theta2*EXP(-'Data Bonds'!AQ27/la))</f>
        <v>0</v>
      </c>
      <c r="AO28" s="45">
        <f>IF('Data Bonds'!AR27=0,0,theta0+(theta1+theta2)*(1-EXP(-'Data Bonds'!AR27/la))/('Data Bonds'!AR27/la)-theta2*EXP(-'Data Bonds'!AR27/la))</f>
        <v>0</v>
      </c>
      <c r="AP28" s="45">
        <f>IF('Data Bonds'!AS27=0,0,theta0+(theta1+theta2)*(1-EXP(-'Data Bonds'!AS27/la))/('Data Bonds'!AS27/la)-theta2*EXP(-'Data Bonds'!AS27/la))</f>
        <v>0</v>
      </c>
      <c r="AQ28" s="45">
        <f>IF('Data Bonds'!AT27=0,0,theta0+(theta1+theta2)*(1-EXP(-'Data Bonds'!AT27/la))/('Data Bonds'!AT27/la)-theta2*EXP(-'Data Bonds'!AT27/la))</f>
        <v>0</v>
      </c>
      <c r="AR28" s="45">
        <f>IF('Data Bonds'!AU27=0,0,theta0+(theta1+theta2)*(1-EXP(-'Data Bonds'!AU27/la))/('Data Bonds'!AU27/la)-theta2*EXP(-'Data Bonds'!AU27/la))</f>
        <v>0</v>
      </c>
      <c r="AS28" s="45">
        <f>IF('Data Bonds'!AV27=0,0,theta0+(theta1+theta2)*(1-EXP(-'Data Bonds'!AV27/la))/('Data Bonds'!AV27/la)-theta2*EXP(-'Data Bonds'!AV27/la))</f>
        <v>0</v>
      </c>
      <c r="AT28" s="45">
        <f>IF('Data Bonds'!AW27=0,0,theta0+(theta1+theta2)*(1-EXP(-'Data Bonds'!AW27/la))/('Data Bonds'!AW27/la)-theta2*EXP(-'Data Bonds'!AW27/la))</f>
        <v>0</v>
      </c>
      <c r="AU28" s="45">
        <f>IF('Data Bonds'!AX27=0,0,theta0+(theta1+theta2)*(1-EXP(-'Data Bonds'!AX27/la))/('Data Bonds'!AX27/la)-theta2*EXP(-'Data Bonds'!AX27/la))</f>
        <v>0</v>
      </c>
      <c r="AV28" s="45">
        <f>IF('Data Bonds'!AY27=0,0,theta0+(theta1+theta2)*(1-EXP(-'Data Bonds'!AY27/la))/('Data Bonds'!AY27/la)-theta2*EXP(-'Data Bonds'!AY27/la))</f>
        <v>0</v>
      </c>
      <c r="AW28" s="45">
        <f>IF('Data Bonds'!AZ27=0,0,theta0+(theta1+theta2)*(1-EXP(-'Data Bonds'!AZ27/la))/('Data Bonds'!AZ27/la)-theta2*EXP(-'Data Bonds'!AZ27/la))</f>
        <v>0</v>
      </c>
      <c r="AX28" s="45">
        <f>IF('Data Bonds'!BA27=0,0,theta0+(theta1+theta2)*(1-EXP(-'Data Bonds'!BA27/la))/('Data Bonds'!BA27/la)-theta2*EXP(-'Data Bonds'!BA27/la))</f>
        <v>0</v>
      </c>
      <c r="AY28" s="45">
        <f>IF('Data Bonds'!BB27=0,0,theta0+(theta1+theta2)*(1-EXP(-'Data Bonds'!BB27/la))/('Data Bonds'!BB27/la)-theta2*EXP(-'Data Bonds'!BB27/la))</f>
        <v>0</v>
      </c>
      <c r="AZ28" s="45">
        <f>IF('Data Bonds'!BC27=0,0,theta0+(theta1+theta2)*(1-EXP(-'Data Bonds'!BC27/la))/('Data Bonds'!BC27/la)-theta2*EXP(-'Data Bonds'!BC27/la))</f>
        <v>0</v>
      </c>
      <c r="BA28" s="45">
        <f>IF('Data Bonds'!BD27=0,0,theta0+(theta1+theta2)*(1-EXP(-'Data Bonds'!BD27/la))/('Data Bonds'!BD27/la)-theta2*EXP(-'Data Bonds'!BD27/la))</f>
        <v>0</v>
      </c>
      <c r="BB28" s="45">
        <f>IF('Data Bonds'!BE27=0,0,theta0+(theta1+theta2)*(1-EXP(-'Data Bonds'!BE27/la))/('Data Bonds'!BE27/la)-theta2*EXP(-'Data Bonds'!BE27/la))</f>
        <v>0</v>
      </c>
      <c r="BC28" s="45">
        <f>IF('Data Bonds'!BF27=0,0,theta0+(theta1+theta2)*(1-EXP(-'Data Bonds'!BF27/la))/('Data Bonds'!BF27/la)-theta2*EXP(-'Data Bonds'!BF27/la))</f>
        <v>0</v>
      </c>
      <c r="BD28" s="45">
        <f>IF('Data Bonds'!BG27=0,0,theta0+(theta1+theta2)*(1-EXP(-'Data Bonds'!BG27/la))/('Data Bonds'!BG27/la)-theta2*EXP(-'Data Bonds'!BG27/la))</f>
        <v>0</v>
      </c>
      <c r="BE28" s="45">
        <f>IF('Data Bonds'!BH27=0,0,theta0+(theta1+theta2)*(1-EXP(-'Data Bonds'!BH27/la))/('Data Bonds'!BH27/la)-theta2*EXP(-'Data Bonds'!BH27/la))</f>
        <v>0</v>
      </c>
      <c r="BF28" s="45">
        <f>IF('Data Bonds'!BI27=0,0,theta0+(theta1+theta2)*(1-EXP(-'Data Bonds'!BI27/la))/('Data Bonds'!BI27/la)-theta2*EXP(-'Data Bonds'!BI27/la))</f>
        <v>0</v>
      </c>
      <c r="BG28" s="45">
        <f>IF('Data Bonds'!BJ27=0,0,theta0+(theta1+theta2)*(1-EXP(-'Data Bonds'!BJ27/la))/('Data Bonds'!BJ27/la)-theta2*EXP(-'Data Bonds'!BJ27/la))</f>
        <v>0</v>
      </c>
      <c r="BH28" s="45">
        <f>IF('Data Bonds'!BK27=0,0,theta0+(theta1+theta2)*(1-EXP(-'Data Bonds'!BK27/la))/('Data Bonds'!BK27/la)-theta2*EXP(-'Data Bonds'!BK27/la))</f>
        <v>0</v>
      </c>
      <c r="BI28" s="45">
        <f>IF('Data Bonds'!BL27=0,0,theta0+(theta1+theta2)*(1-EXP(-'Data Bonds'!BL27/la))/('Data Bonds'!BL27/la)-theta2*EXP(-'Data Bonds'!BL27/la))</f>
        <v>0</v>
      </c>
      <c r="BJ28" s="45">
        <f>IF('Data Bonds'!BM27=0,0,theta0+(theta1+theta2)*(1-EXP(-'Data Bonds'!BM27/la))/('Data Bonds'!BM27/la)-theta2*EXP(-'Data Bonds'!BM27/la))</f>
        <v>0</v>
      </c>
      <c r="BK28" s="45">
        <f>IF('Data Bonds'!BN27=0,0,theta0+(theta1+theta2)*(1-EXP(-'Data Bonds'!BN27/la))/('Data Bonds'!BN27/la)-theta2*EXP(-'Data Bonds'!BN27/la))</f>
        <v>0</v>
      </c>
      <c r="BL28" s="45">
        <f>IF('Data Bonds'!BO27=0,0,theta0+(theta1+theta2)*(1-EXP(-'Data Bonds'!BO27/la))/('Data Bonds'!BO27/la)-theta2*EXP(-'Data Bonds'!BO27/la))</f>
        <v>0</v>
      </c>
      <c r="BM28" s="45">
        <f>IF('Data Bonds'!BP27=0,0,theta0+(theta1+theta2)*(1-EXP(-'Data Bonds'!BP27/la))/('Data Bonds'!BP27/la)-theta2*EXP(-'Data Bonds'!BP27/la))</f>
        <v>0</v>
      </c>
      <c r="BN28" s="45">
        <f>IF('Data Bonds'!BQ27=0,0,theta0+(theta1+theta2)*(1-EXP(-'Data Bonds'!BQ27/la))/('Data Bonds'!BQ27/la)-theta2*EXP(-'Data Bonds'!BQ27/la))</f>
        <v>0</v>
      </c>
      <c r="BO28" s="45">
        <f>IF('Data Bonds'!BR27=0,0,theta0+(theta1+theta2)*(1-EXP(-'Data Bonds'!BR27/la))/('Data Bonds'!BR27/la)-theta2*EXP(-'Data Bonds'!BR27/la))</f>
        <v>0</v>
      </c>
      <c r="BP28" s="38">
        <f>EXP(-'Data Bonds'!K27*H28)</f>
        <v>0.99030095386253514</v>
      </c>
      <c r="BQ28" s="38">
        <f>EXP(-'Data Bonds'!L27*I28)</f>
        <v>0.96596142383001249</v>
      </c>
      <c r="BR28" s="38">
        <f>EXP(-'Data Bonds'!M27*J28)</f>
        <v>0.94276024382077384</v>
      </c>
      <c r="BS28" s="38">
        <f>EXP(-'Data Bonds'!N27*K28)</f>
        <v>0.92013309652437447</v>
      </c>
      <c r="BT28" s="38">
        <f>EXP(-'Data Bonds'!O27*L28)</f>
        <v>0.8978301597681585</v>
      </c>
      <c r="BU28" s="38">
        <f>EXP(-'Data Bonds'!P27*M28)</f>
        <v>0.8757679623727499</v>
      </c>
      <c r="BV28" s="38">
        <f>EXP(-'Data Bonds'!Q27*N28)</f>
        <v>0.85394508705932803</v>
      </c>
      <c r="BW28" s="38">
        <f>EXP(-'Data Bonds'!R27*O28)</f>
        <v>0.83239541980118914</v>
      </c>
      <c r="BX28" s="38">
        <f>EXP(-'Data Bonds'!S27*P28)</f>
        <v>0.81116332561828708</v>
      </c>
      <c r="BY28" s="38">
        <f>EXP(-'Data Bonds'!T27*Q28)</f>
        <v>1</v>
      </c>
      <c r="BZ28" s="38">
        <f>EXP(-'Data Bonds'!U27*R28)</f>
        <v>1</v>
      </c>
      <c r="CA28" s="38">
        <f>EXP(-'Data Bonds'!V27*S28)</f>
        <v>1</v>
      </c>
      <c r="CB28" s="38">
        <f>EXP(-'Data Bonds'!W27*T28)</f>
        <v>1</v>
      </c>
      <c r="CC28" s="38">
        <f>EXP(-'Data Bonds'!X27*U28)</f>
        <v>1</v>
      </c>
      <c r="CD28" s="38">
        <f>EXP(-'Data Bonds'!Y27*V28)</f>
        <v>1</v>
      </c>
      <c r="CE28" s="38">
        <f>EXP(-'Data Bonds'!Z27*W28)</f>
        <v>1</v>
      </c>
      <c r="CF28" s="38">
        <f>EXP(-'Data Bonds'!AA27*X28)</f>
        <v>1</v>
      </c>
      <c r="CG28" s="38">
        <f>EXP(-'Data Bonds'!AB27*Y28)</f>
        <v>1</v>
      </c>
      <c r="CH28" s="38">
        <f>EXP(-'Data Bonds'!AC27*Z28)</f>
        <v>1</v>
      </c>
      <c r="CI28" s="38">
        <f>EXP(-'Data Bonds'!AD27*AA28)</f>
        <v>1</v>
      </c>
      <c r="CJ28" s="38">
        <f>EXP(-'Data Bonds'!AE27*AB28)</f>
        <v>1</v>
      </c>
      <c r="CK28" s="38">
        <f>EXP(-'Data Bonds'!AF27*AC28)</f>
        <v>1</v>
      </c>
      <c r="CL28" s="38">
        <f>EXP(-'Data Bonds'!AG27*AD28)</f>
        <v>1</v>
      </c>
      <c r="CM28" s="38">
        <f>EXP(-'Data Bonds'!AH27*AE28)</f>
        <v>1</v>
      </c>
      <c r="CN28" s="38">
        <f>EXP(-'Data Bonds'!AI27*AF28)</f>
        <v>1</v>
      </c>
      <c r="CO28" s="38">
        <f>EXP(-'Data Bonds'!AJ27*AG28)</f>
        <v>1</v>
      </c>
      <c r="CP28" s="38">
        <f>EXP(-'Data Bonds'!AK27*AH28)</f>
        <v>1</v>
      </c>
      <c r="CQ28" s="38">
        <f>EXP(-'Data Bonds'!AL27*AI28)</f>
        <v>1</v>
      </c>
      <c r="CR28" s="38">
        <f>EXP(-'Data Bonds'!AM27*AJ28)</f>
        <v>1</v>
      </c>
      <c r="CS28" s="38">
        <f>EXP(-'Data Bonds'!AN27*AK28)</f>
        <v>1</v>
      </c>
      <c r="CT28" s="38">
        <f>EXP(-'Data Bonds'!AO27*AL28)</f>
        <v>1</v>
      </c>
      <c r="CU28" s="38">
        <f>EXP(-'Data Bonds'!AP27*AM28)</f>
        <v>1</v>
      </c>
      <c r="CV28" s="38">
        <f>EXP(-'Data Bonds'!AQ27*AN28)</f>
        <v>1</v>
      </c>
      <c r="CW28" s="38">
        <f>EXP(-'Data Bonds'!AR27*AO28)</f>
        <v>1</v>
      </c>
      <c r="CX28" s="38">
        <f>EXP(-'Data Bonds'!AS27*AP28)</f>
        <v>1</v>
      </c>
      <c r="CY28" s="38">
        <f>EXP(-'Data Bonds'!AT27*AQ28)</f>
        <v>1</v>
      </c>
      <c r="CZ28" s="38">
        <f>EXP(-'Data Bonds'!AU27*AR28)</f>
        <v>1</v>
      </c>
      <c r="DA28" s="38">
        <f>EXP(-'Data Bonds'!AV27*AS28)</f>
        <v>1</v>
      </c>
      <c r="DB28" s="38">
        <f>EXP(-'Data Bonds'!AW27*AT28)</f>
        <v>1</v>
      </c>
      <c r="DC28" s="38">
        <f>EXP(-'Data Bonds'!AX27*AU28)</f>
        <v>1</v>
      </c>
      <c r="DD28" s="38">
        <f>EXP(-'Data Bonds'!AY27*AV28)</f>
        <v>1</v>
      </c>
      <c r="DE28" s="38">
        <f>EXP(-'Data Bonds'!AZ27*AW28)</f>
        <v>1</v>
      </c>
      <c r="DF28" s="38">
        <f>EXP(-'Data Bonds'!BA27*AX28)</f>
        <v>1</v>
      </c>
      <c r="DG28" s="38">
        <f>EXP(-'Data Bonds'!BB27*AY28)</f>
        <v>1</v>
      </c>
      <c r="DH28" s="38">
        <f>EXP(-'Data Bonds'!BC27*AZ28)</f>
        <v>1</v>
      </c>
      <c r="DI28" s="38">
        <f>EXP(-'Data Bonds'!BD27*BA28)</f>
        <v>1</v>
      </c>
      <c r="DJ28" s="38">
        <f>EXP(-'Data Bonds'!BE27*BB28)</f>
        <v>1</v>
      </c>
      <c r="DK28" s="38">
        <f>EXP(-'Data Bonds'!BF27*BC28)</f>
        <v>1</v>
      </c>
      <c r="DL28" s="38">
        <f>EXP(-'Data Bonds'!BG27*BD28)</f>
        <v>1</v>
      </c>
      <c r="DM28" s="38">
        <f>EXP(-'Data Bonds'!BH27*BE28)</f>
        <v>1</v>
      </c>
      <c r="DN28" s="38">
        <f>EXP(-'Data Bonds'!BI27*BF28)</f>
        <v>1</v>
      </c>
      <c r="DO28" s="38">
        <f>EXP(-'Data Bonds'!BJ27*BG28)</f>
        <v>1</v>
      </c>
      <c r="DP28" s="38">
        <f>EXP(-'Data Bonds'!BK27*BH28)</f>
        <v>1</v>
      </c>
      <c r="DQ28" s="38">
        <f>EXP(-'Data Bonds'!BL27*BI28)</f>
        <v>1</v>
      </c>
      <c r="DR28" s="38">
        <f>EXP(-'Data Bonds'!BM27*BJ28)</f>
        <v>1</v>
      </c>
      <c r="DS28" s="38">
        <f>EXP(-'Data Bonds'!BN27*BK28)</f>
        <v>1</v>
      </c>
      <c r="DT28" s="38">
        <f>EXP(-'Data Bonds'!BO27*BL28)</f>
        <v>1</v>
      </c>
      <c r="DU28" s="38">
        <f>EXP(-'Data Bonds'!BP27*BM28)</f>
        <v>1</v>
      </c>
      <c r="DV28" s="38">
        <f>EXP(-'Data Bonds'!BQ27*BN28)</f>
        <v>1</v>
      </c>
      <c r="DW28" s="38">
        <f>EXP(-'Data Bonds'!BR27*BO28)</f>
        <v>1</v>
      </c>
      <c r="DX28" s="28">
        <f>SUMPRODUCT(BP28:DW28,'Data Bonds'!BU27:EB27)</f>
        <v>101.34197674347223</v>
      </c>
      <c r="DY28" s="28">
        <f t="shared" si="5"/>
        <v>5.3222586974893673E-3</v>
      </c>
      <c r="EA28" s="33">
        <f t="shared" si="6"/>
        <v>8.5</v>
      </c>
      <c r="EB28" s="29">
        <f t="shared" si="2"/>
        <v>5.1510259102304584E-2</v>
      </c>
      <c r="EC28" s="29">
        <f t="shared" si="3"/>
        <v>0.64543084891760771</v>
      </c>
      <c r="ED28" s="29">
        <f t="shared" si="7"/>
        <v>5.3507294542801287E-2</v>
      </c>
      <c r="EE28" s="32"/>
      <c r="EF28" s="32"/>
      <c r="EG28" s="32"/>
      <c r="EI28" s="34"/>
    </row>
    <row r="29" spans="2:139">
      <c r="B29" s="27">
        <f>'Data Bonds'!E28</f>
        <v>4.875</v>
      </c>
      <c r="C29" s="27">
        <f>'Data Bonds'!F28</f>
        <v>99.234375</v>
      </c>
      <c r="D29" s="27">
        <f>'Data Bonds'!G28</f>
        <v>99.265625</v>
      </c>
      <c r="E29" s="27">
        <f>'Data Bonds'!I28</f>
        <v>1.5166666666666666</v>
      </c>
      <c r="F29" s="40">
        <f>'Data Bonds'!H28</f>
        <v>4.6888888888888891</v>
      </c>
      <c r="G29" s="28">
        <f t="shared" si="4"/>
        <v>100.76666666666667</v>
      </c>
      <c r="H29" s="45">
        <f>IF('Data Bonds'!K28=0,0,theta0+(theta1+theta2)*(1-EXP(-'Data Bonds'!K28/la))/('Data Bonds'!K28/la)-theta2*EXP(-'Data Bonds'!K28/la))</f>
        <v>5.1598526027898411E-2</v>
      </c>
      <c r="I29" s="45">
        <f>IF('Data Bonds'!L28=0,0,theta0+(theta1+theta2)*(1-EXP(-'Data Bonds'!L28/la))/('Data Bonds'!L28/la)-theta2*EXP(-'Data Bonds'!L28/la))</f>
        <v>5.0271357324748023E-2</v>
      </c>
      <c r="J29" s="45">
        <f>IF('Data Bonds'!M28=0,0,theta0+(theta1+theta2)*(1-EXP(-'Data Bonds'!M28/la))/('Data Bonds'!M28/la)-theta2*EXP(-'Data Bonds'!M28/la))</f>
        <v>4.9578457297749672E-2</v>
      </c>
      <c r="K29" s="45">
        <f>IF('Data Bonds'!N28=0,0,theta0+(theta1+theta2)*(1-EXP(-'Data Bonds'!N28/la))/('Data Bonds'!N28/la)-theta2*EXP(-'Data Bonds'!N28/la))</f>
        <v>4.9285035750538553E-2</v>
      </c>
      <c r="L29" s="45">
        <f>IF('Data Bonds'!O28=0,0,theta0+(theta1+theta2)*(1-EXP(-'Data Bonds'!O28/la))/('Data Bonds'!O28/la)-theta2*EXP(-'Data Bonds'!O28/la))</f>
        <v>4.9237017363447266E-2</v>
      </c>
      <c r="M29" s="45">
        <f>IF('Data Bonds'!P28=0,0,theta0+(theta1+theta2)*(1-EXP(-'Data Bonds'!P28/la))/('Data Bonds'!P28/la)-theta2*EXP(-'Data Bonds'!P28/la))</f>
        <v>4.9334171753160738E-2</v>
      </c>
      <c r="N29" s="45">
        <f>IF('Data Bonds'!Q28=0,0,theta0+(theta1+theta2)*(1-EXP(-'Data Bonds'!Q28/la))/('Data Bonds'!Q28/la)-theta2*EXP(-'Data Bonds'!Q28/la))</f>
        <v>4.9512038088999483E-2</v>
      </c>
      <c r="O29" s="45">
        <f>IF('Data Bonds'!R28=0,0,theta0+(theta1+theta2)*(1-EXP(-'Data Bonds'!R28/la))/('Data Bonds'!R28/la)-theta2*EXP(-'Data Bonds'!R28/la))</f>
        <v>4.9729794635889335E-2</v>
      </c>
      <c r="P29" s="45">
        <f>IF('Data Bonds'!S28=0,0,theta0+(theta1+theta2)*(1-EXP(-'Data Bonds'!S28/la))/('Data Bonds'!S28/la)-theta2*EXP(-'Data Bonds'!S28/la))</f>
        <v>4.9962140977046696E-2</v>
      </c>
      <c r="Q29" s="45">
        <f>IF('Data Bonds'!T28=0,0,theta0+(theta1+theta2)*(1-EXP(-'Data Bonds'!T28/la))/('Data Bonds'!T28/la)-theta2*EXP(-'Data Bonds'!T28/la))</f>
        <v>5.0193884019659962E-2</v>
      </c>
      <c r="R29" s="45">
        <f>IF('Data Bonds'!U28=0,0,theta0+(theta1+theta2)*(1-EXP(-'Data Bonds'!U28/la))/('Data Bonds'!U28/la)-theta2*EXP(-'Data Bonds'!U28/la))</f>
        <v>0</v>
      </c>
      <c r="S29" s="45">
        <f>IF('Data Bonds'!V28=0,0,theta0+(theta1+theta2)*(1-EXP(-'Data Bonds'!V28/la))/('Data Bonds'!V28/la)-theta2*EXP(-'Data Bonds'!V28/la))</f>
        <v>0</v>
      </c>
      <c r="T29" s="45">
        <f>IF('Data Bonds'!W28=0,0,theta0+(theta1+theta2)*(1-EXP(-'Data Bonds'!W28/la))/('Data Bonds'!W28/la)-theta2*EXP(-'Data Bonds'!W28/la))</f>
        <v>0</v>
      </c>
      <c r="U29" s="45">
        <f>IF('Data Bonds'!X28=0,0,theta0+(theta1+theta2)*(1-EXP(-'Data Bonds'!X28/la))/('Data Bonds'!X28/la)-theta2*EXP(-'Data Bonds'!X28/la))</f>
        <v>0</v>
      </c>
      <c r="V29" s="45">
        <f>IF('Data Bonds'!Y28=0,0,theta0+(theta1+theta2)*(1-EXP(-'Data Bonds'!Y28/la))/('Data Bonds'!Y28/la)-theta2*EXP(-'Data Bonds'!Y28/la))</f>
        <v>0</v>
      </c>
      <c r="W29" s="45">
        <f>IF('Data Bonds'!Z28=0,0,theta0+(theta1+theta2)*(1-EXP(-'Data Bonds'!Z28/la))/('Data Bonds'!Z28/la)-theta2*EXP(-'Data Bonds'!Z28/la))</f>
        <v>0</v>
      </c>
      <c r="X29" s="45">
        <f>IF('Data Bonds'!AA28=0,0,theta0+(theta1+theta2)*(1-EXP(-'Data Bonds'!AA28/la))/('Data Bonds'!AA28/la)-theta2*EXP(-'Data Bonds'!AA28/la))</f>
        <v>0</v>
      </c>
      <c r="Y29" s="45">
        <f>IF('Data Bonds'!AB28=0,0,theta0+(theta1+theta2)*(1-EXP(-'Data Bonds'!AB28/la))/('Data Bonds'!AB28/la)-theta2*EXP(-'Data Bonds'!AB28/la))</f>
        <v>0</v>
      </c>
      <c r="Z29" s="45">
        <f>IF('Data Bonds'!AC28=0,0,theta0+(theta1+theta2)*(1-EXP(-'Data Bonds'!AC28/la))/('Data Bonds'!AC28/la)-theta2*EXP(-'Data Bonds'!AC28/la))</f>
        <v>0</v>
      </c>
      <c r="AA29" s="45">
        <f>IF('Data Bonds'!AD28=0,0,theta0+(theta1+theta2)*(1-EXP(-'Data Bonds'!AD28/la))/('Data Bonds'!AD28/la)-theta2*EXP(-'Data Bonds'!AD28/la))</f>
        <v>0</v>
      </c>
      <c r="AB29" s="45">
        <f>IF('Data Bonds'!AE28=0,0,theta0+(theta1+theta2)*(1-EXP(-'Data Bonds'!AE28/la))/('Data Bonds'!AE28/la)-theta2*EXP(-'Data Bonds'!AE28/la))</f>
        <v>0</v>
      </c>
      <c r="AC29" s="45">
        <f>IF('Data Bonds'!AF28=0,0,theta0+(theta1+theta2)*(1-EXP(-'Data Bonds'!AF28/la))/('Data Bonds'!AF28/la)-theta2*EXP(-'Data Bonds'!AF28/la))</f>
        <v>0</v>
      </c>
      <c r="AD29" s="45">
        <f>IF('Data Bonds'!AG28=0,0,theta0+(theta1+theta2)*(1-EXP(-'Data Bonds'!AG28/la))/('Data Bonds'!AG28/la)-theta2*EXP(-'Data Bonds'!AG28/la))</f>
        <v>0</v>
      </c>
      <c r="AE29" s="45">
        <f>IF('Data Bonds'!AH28=0,0,theta0+(theta1+theta2)*(1-EXP(-'Data Bonds'!AH28/la))/('Data Bonds'!AH28/la)-theta2*EXP(-'Data Bonds'!AH28/la))</f>
        <v>0</v>
      </c>
      <c r="AF29" s="45">
        <f>IF('Data Bonds'!AI28=0,0,theta0+(theta1+theta2)*(1-EXP(-'Data Bonds'!AI28/la))/('Data Bonds'!AI28/la)-theta2*EXP(-'Data Bonds'!AI28/la))</f>
        <v>0</v>
      </c>
      <c r="AG29" s="45">
        <f>IF('Data Bonds'!AJ28=0,0,theta0+(theta1+theta2)*(1-EXP(-'Data Bonds'!AJ28/la))/('Data Bonds'!AJ28/la)-theta2*EXP(-'Data Bonds'!AJ28/la))</f>
        <v>0</v>
      </c>
      <c r="AH29" s="45">
        <f>IF('Data Bonds'!AK28=0,0,theta0+(theta1+theta2)*(1-EXP(-'Data Bonds'!AK28/la))/('Data Bonds'!AK28/la)-theta2*EXP(-'Data Bonds'!AK28/la))</f>
        <v>0</v>
      </c>
      <c r="AI29" s="45">
        <f>IF('Data Bonds'!AL28=0,0,theta0+(theta1+theta2)*(1-EXP(-'Data Bonds'!AL28/la))/('Data Bonds'!AL28/la)-theta2*EXP(-'Data Bonds'!AL28/la))</f>
        <v>0</v>
      </c>
      <c r="AJ29" s="45">
        <f>IF('Data Bonds'!AM28=0,0,theta0+(theta1+theta2)*(1-EXP(-'Data Bonds'!AM28/la))/('Data Bonds'!AM28/la)-theta2*EXP(-'Data Bonds'!AM28/la))</f>
        <v>0</v>
      </c>
      <c r="AK29" s="45">
        <f>IF('Data Bonds'!AN28=0,0,theta0+(theta1+theta2)*(1-EXP(-'Data Bonds'!AN28/la))/('Data Bonds'!AN28/la)-theta2*EXP(-'Data Bonds'!AN28/la))</f>
        <v>0</v>
      </c>
      <c r="AL29" s="45">
        <f>IF('Data Bonds'!AO28=0,0,theta0+(theta1+theta2)*(1-EXP(-'Data Bonds'!AO28/la))/('Data Bonds'!AO28/la)-theta2*EXP(-'Data Bonds'!AO28/la))</f>
        <v>0</v>
      </c>
      <c r="AM29" s="45">
        <f>IF('Data Bonds'!AP28=0,0,theta0+(theta1+theta2)*(1-EXP(-'Data Bonds'!AP28/la))/('Data Bonds'!AP28/la)-theta2*EXP(-'Data Bonds'!AP28/la))</f>
        <v>0</v>
      </c>
      <c r="AN29" s="45">
        <f>IF('Data Bonds'!AQ28=0,0,theta0+(theta1+theta2)*(1-EXP(-'Data Bonds'!AQ28/la))/('Data Bonds'!AQ28/la)-theta2*EXP(-'Data Bonds'!AQ28/la))</f>
        <v>0</v>
      </c>
      <c r="AO29" s="45">
        <f>IF('Data Bonds'!AR28=0,0,theta0+(theta1+theta2)*(1-EXP(-'Data Bonds'!AR28/la))/('Data Bonds'!AR28/la)-theta2*EXP(-'Data Bonds'!AR28/la))</f>
        <v>0</v>
      </c>
      <c r="AP29" s="45">
        <f>IF('Data Bonds'!AS28=0,0,theta0+(theta1+theta2)*(1-EXP(-'Data Bonds'!AS28/la))/('Data Bonds'!AS28/la)-theta2*EXP(-'Data Bonds'!AS28/la))</f>
        <v>0</v>
      </c>
      <c r="AQ29" s="45">
        <f>IF('Data Bonds'!AT28=0,0,theta0+(theta1+theta2)*(1-EXP(-'Data Bonds'!AT28/la))/('Data Bonds'!AT28/la)-theta2*EXP(-'Data Bonds'!AT28/la))</f>
        <v>0</v>
      </c>
      <c r="AR29" s="45">
        <f>IF('Data Bonds'!AU28=0,0,theta0+(theta1+theta2)*(1-EXP(-'Data Bonds'!AU28/la))/('Data Bonds'!AU28/la)-theta2*EXP(-'Data Bonds'!AU28/la))</f>
        <v>0</v>
      </c>
      <c r="AS29" s="45">
        <f>IF('Data Bonds'!AV28=0,0,theta0+(theta1+theta2)*(1-EXP(-'Data Bonds'!AV28/la))/('Data Bonds'!AV28/la)-theta2*EXP(-'Data Bonds'!AV28/la))</f>
        <v>0</v>
      </c>
      <c r="AT29" s="45">
        <f>IF('Data Bonds'!AW28=0,0,theta0+(theta1+theta2)*(1-EXP(-'Data Bonds'!AW28/la))/('Data Bonds'!AW28/la)-theta2*EXP(-'Data Bonds'!AW28/la))</f>
        <v>0</v>
      </c>
      <c r="AU29" s="45">
        <f>IF('Data Bonds'!AX28=0,0,theta0+(theta1+theta2)*(1-EXP(-'Data Bonds'!AX28/la))/('Data Bonds'!AX28/la)-theta2*EXP(-'Data Bonds'!AX28/la))</f>
        <v>0</v>
      </c>
      <c r="AV29" s="45">
        <f>IF('Data Bonds'!AY28=0,0,theta0+(theta1+theta2)*(1-EXP(-'Data Bonds'!AY28/la))/('Data Bonds'!AY28/la)-theta2*EXP(-'Data Bonds'!AY28/la))</f>
        <v>0</v>
      </c>
      <c r="AW29" s="45">
        <f>IF('Data Bonds'!AZ28=0,0,theta0+(theta1+theta2)*(1-EXP(-'Data Bonds'!AZ28/la))/('Data Bonds'!AZ28/la)-theta2*EXP(-'Data Bonds'!AZ28/la))</f>
        <v>0</v>
      </c>
      <c r="AX29" s="45">
        <f>IF('Data Bonds'!BA28=0,0,theta0+(theta1+theta2)*(1-EXP(-'Data Bonds'!BA28/la))/('Data Bonds'!BA28/la)-theta2*EXP(-'Data Bonds'!BA28/la))</f>
        <v>0</v>
      </c>
      <c r="AY29" s="45">
        <f>IF('Data Bonds'!BB28=0,0,theta0+(theta1+theta2)*(1-EXP(-'Data Bonds'!BB28/la))/('Data Bonds'!BB28/la)-theta2*EXP(-'Data Bonds'!BB28/la))</f>
        <v>0</v>
      </c>
      <c r="AZ29" s="45">
        <f>IF('Data Bonds'!BC28=0,0,theta0+(theta1+theta2)*(1-EXP(-'Data Bonds'!BC28/la))/('Data Bonds'!BC28/la)-theta2*EXP(-'Data Bonds'!BC28/la))</f>
        <v>0</v>
      </c>
      <c r="BA29" s="45">
        <f>IF('Data Bonds'!BD28=0,0,theta0+(theta1+theta2)*(1-EXP(-'Data Bonds'!BD28/la))/('Data Bonds'!BD28/la)-theta2*EXP(-'Data Bonds'!BD28/la))</f>
        <v>0</v>
      </c>
      <c r="BB29" s="45">
        <f>IF('Data Bonds'!BE28=0,0,theta0+(theta1+theta2)*(1-EXP(-'Data Bonds'!BE28/la))/('Data Bonds'!BE28/la)-theta2*EXP(-'Data Bonds'!BE28/la))</f>
        <v>0</v>
      </c>
      <c r="BC29" s="45">
        <f>IF('Data Bonds'!BF28=0,0,theta0+(theta1+theta2)*(1-EXP(-'Data Bonds'!BF28/la))/('Data Bonds'!BF28/la)-theta2*EXP(-'Data Bonds'!BF28/la))</f>
        <v>0</v>
      </c>
      <c r="BD29" s="45">
        <f>IF('Data Bonds'!BG28=0,0,theta0+(theta1+theta2)*(1-EXP(-'Data Bonds'!BG28/la))/('Data Bonds'!BG28/la)-theta2*EXP(-'Data Bonds'!BG28/la))</f>
        <v>0</v>
      </c>
      <c r="BE29" s="45">
        <f>IF('Data Bonds'!BH28=0,0,theta0+(theta1+theta2)*(1-EXP(-'Data Bonds'!BH28/la))/('Data Bonds'!BH28/la)-theta2*EXP(-'Data Bonds'!BH28/la))</f>
        <v>0</v>
      </c>
      <c r="BF29" s="45">
        <f>IF('Data Bonds'!BI28=0,0,theta0+(theta1+theta2)*(1-EXP(-'Data Bonds'!BI28/la))/('Data Bonds'!BI28/la)-theta2*EXP(-'Data Bonds'!BI28/la))</f>
        <v>0</v>
      </c>
      <c r="BG29" s="45">
        <f>IF('Data Bonds'!BJ28=0,0,theta0+(theta1+theta2)*(1-EXP(-'Data Bonds'!BJ28/la))/('Data Bonds'!BJ28/la)-theta2*EXP(-'Data Bonds'!BJ28/la))</f>
        <v>0</v>
      </c>
      <c r="BH29" s="45">
        <f>IF('Data Bonds'!BK28=0,0,theta0+(theta1+theta2)*(1-EXP(-'Data Bonds'!BK28/la))/('Data Bonds'!BK28/la)-theta2*EXP(-'Data Bonds'!BK28/la))</f>
        <v>0</v>
      </c>
      <c r="BI29" s="45">
        <f>IF('Data Bonds'!BL28=0,0,theta0+(theta1+theta2)*(1-EXP(-'Data Bonds'!BL28/la))/('Data Bonds'!BL28/la)-theta2*EXP(-'Data Bonds'!BL28/la))</f>
        <v>0</v>
      </c>
      <c r="BJ29" s="45">
        <f>IF('Data Bonds'!BM28=0,0,theta0+(theta1+theta2)*(1-EXP(-'Data Bonds'!BM28/la))/('Data Bonds'!BM28/la)-theta2*EXP(-'Data Bonds'!BM28/la))</f>
        <v>0</v>
      </c>
      <c r="BK29" s="45">
        <f>IF('Data Bonds'!BN28=0,0,theta0+(theta1+theta2)*(1-EXP(-'Data Bonds'!BN28/la))/('Data Bonds'!BN28/la)-theta2*EXP(-'Data Bonds'!BN28/la))</f>
        <v>0</v>
      </c>
      <c r="BL29" s="45">
        <f>IF('Data Bonds'!BO28=0,0,theta0+(theta1+theta2)*(1-EXP(-'Data Bonds'!BO28/la))/('Data Bonds'!BO28/la)-theta2*EXP(-'Data Bonds'!BO28/la))</f>
        <v>0</v>
      </c>
      <c r="BM29" s="45">
        <f>IF('Data Bonds'!BP28=0,0,theta0+(theta1+theta2)*(1-EXP(-'Data Bonds'!BP28/la))/('Data Bonds'!BP28/la)-theta2*EXP(-'Data Bonds'!BP28/la))</f>
        <v>0</v>
      </c>
      <c r="BN29" s="45">
        <f>IF('Data Bonds'!BQ28=0,0,theta0+(theta1+theta2)*(1-EXP(-'Data Bonds'!BQ28/la))/('Data Bonds'!BQ28/la)-theta2*EXP(-'Data Bonds'!BQ28/la))</f>
        <v>0</v>
      </c>
      <c r="BO29" s="45">
        <f>IF('Data Bonds'!BR28=0,0,theta0+(theta1+theta2)*(1-EXP(-'Data Bonds'!BR28/la))/('Data Bonds'!BR28/la)-theta2*EXP(-'Data Bonds'!BR28/la))</f>
        <v>0</v>
      </c>
      <c r="BP29" s="38">
        <f>EXP(-'Data Bonds'!K28*H29)</f>
        <v>0.99030095386253514</v>
      </c>
      <c r="BQ29" s="38">
        <f>EXP(-'Data Bonds'!L28*I29)</f>
        <v>0.96596142383001249</v>
      </c>
      <c r="BR29" s="38">
        <f>EXP(-'Data Bonds'!M28*J29)</f>
        <v>0.94276024382077384</v>
      </c>
      <c r="BS29" s="38">
        <f>EXP(-'Data Bonds'!N28*K29)</f>
        <v>0.92013309652437447</v>
      </c>
      <c r="BT29" s="38">
        <f>EXP(-'Data Bonds'!O28*L29)</f>
        <v>0.8978301597681585</v>
      </c>
      <c r="BU29" s="38">
        <f>EXP(-'Data Bonds'!P28*M29)</f>
        <v>0.8757679623727499</v>
      </c>
      <c r="BV29" s="38">
        <f>EXP(-'Data Bonds'!Q28*N29)</f>
        <v>0.85394508705932803</v>
      </c>
      <c r="BW29" s="38">
        <f>EXP(-'Data Bonds'!R28*O29)</f>
        <v>0.83239541980118914</v>
      </c>
      <c r="BX29" s="38">
        <f>EXP(-'Data Bonds'!S28*P29)</f>
        <v>0.81116332561828708</v>
      </c>
      <c r="BY29" s="38">
        <f>EXP(-'Data Bonds'!T28*Q29)</f>
        <v>0.79029139660492453</v>
      </c>
      <c r="BZ29" s="38">
        <f>EXP(-'Data Bonds'!U28*R29)</f>
        <v>1</v>
      </c>
      <c r="CA29" s="38">
        <f>EXP(-'Data Bonds'!V28*S29)</f>
        <v>1</v>
      </c>
      <c r="CB29" s="38">
        <f>EXP(-'Data Bonds'!W28*T29)</f>
        <v>1</v>
      </c>
      <c r="CC29" s="38">
        <f>EXP(-'Data Bonds'!X28*U29)</f>
        <v>1</v>
      </c>
      <c r="CD29" s="38">
        <f>EXP(-'Data Bonds'!Y28*V29)</f>
        <v>1</v>
      </c>
      <c r="CE29" s="38">
        <f>EXP(-'Data Bonds'!Z28*W29)</f>
        <v>1</v>
      </c>
      <c r="CF29" s="38">
        <f>EXP(-'Data Bonds'!AA28*X29)</f>
        <v>1</v>
      </c>
      <c r="CG29" s="38">
        <f>EXP(-'Data Bonds'!AB28*Y29)</f>
        <v>1</v>
      </c>
      <c r="CH29" s="38">
        <f>EXP(-'Data Bonds'!AC28*Z29)</f>
        <v>1</v>
      </c>
      <c r="CI29" s="38">
        <f>EXP(-'Data Bonds'!AD28*AA29)</f>
        <v>1</v>
      </c>
      <c r="CJ29" s="38">
        <f>EXP(-'Data Bonds'!AE28*AB29)</f>
        <v>1</v>
      </c>
      <c r="CK29" s="38">
        <f>EXP(-'Data Bonds'!AF28*AC29)</f>
        <v>1</v>
      </c>
      <c r="CL29" s="38">
        <f>EXP(-'Data Bonds'!AG28*AD29)</f>
        <v>1</v>
      </c>
      <c r="CM29" s="38">
        <f>EXP(-'Data Bonds'!AH28*AE29)</f>
        <v>1</v>
      </c>
      <c r="CN29" s="38">
        <f>EXP(-'Data Bonds'!AI28*AF29)</f>
        <v>1</v>
      </c>
      <c r="CO29" s="38">
        <f>EXP(-'Data Bonds'!AJ28*AG29)</f>
        <v>1</v>
      </c>
      <c r="CP29" s="38">
        <f>EXP(-'Data Bonds'!AK28*AH29)</f>
        <v>1</v>
      </c>
      <c r="CQ29" s="38">
        <f>EXP(-'Data Bonds'!AL28*AI29)</f>
        <v>1</v>
      </c>
      <c r="CR29" s="38">
        <f>EXP(-'Data Bonds'!AM28*AJ29)</f>
        <v>1</v>
      </c>
      <c r="CS29" s="38">
        <f>EXP(-'Data Bonds'!AN28*AK29)</f>
        <v>1</v>
      </c>
      <c r="CT29" s="38">
        <f>EXP(-'Data Bonds'!AO28*AL29)</f>
        <v>1</v>
      </c>
      <c r="CU29" s="38">
        <f>EXP(-'Data Bonds'!AP28*AM29)</f>
        <v>1</v>
      </c>
      <c r="CV29" s="38">
        <f>EXP(-'Data Bonds'!AQ28*AN29)</f>
        <v>1</v>
      </c>
      <c r="CW29" s="38">
        <f>EXP(-'Data Bonds'!AR28*AO29)</f>
        <v>1</v>
      </c>
      <c r="CX29" s="38">
        <f>EXP(-'Data Bonds'!AS28*AP29)</f>
        <v>1</v>
      </c>
      <c r="CY29" s="38">
        <f>EXP(-'Data Bonds'!AT28*AQ29)</f>
        <v>1</v>
      </c>
      <c r="CZ29" s="38">
        <f>EXP(-'Data Bonds'!AU28*AR29)</f>
        <v>1</v>
      </c>
      <c r="DA29" s="38">
        <f>EXP(-'Data Bonds'!AV28*AS29)</f>
        <v>1</v>
      </c>
      <c r="DB29" s="38">
        <f>EXP(-'Data Bonds'!AW28*AT29)</f>
        <v>1</v>
      </c>
      <c r="DC29" s="38">
        <f>EXP(-'Data Bonds'!AX28*AU29)</f>
        <v>1</v>
      </c>
      <c r="DD29" s="38">
        <f>EXP(-'Data Bonds'!AY28*AV29)</f>
        <v>1</v>
      </c>
      <c r="DE29" s="38">
        <f>EXP(-'Data Bonds'!AZ28*AW29)</f>
        <v>1</v>
      </c>
      <c r="DF29" s="38">
        <f>EXP(-'Data Bonds'!BA28*AX29)</f>
        <v>1</v>
      </c>
      <c r="DG29" s="38">
        <f>EXP(-'Data Bonds'!BB28*AY29)</f>
        <v>1</v>
      </c>
      <c r="DH29" s="38">
        <f>EXP(-'Data Bonds'!BC28*AZ29)</f>
        <v>1</v>
      </c>
      <c r="DI29" s="38">
        <f>EXP(-'Data Bonds'!BD28*BA29)</f>
        <v>1</v>
      </c>
      <c r="DJ29" s="38">
        <f>EXP(-'Data Bonds'!BE28*BB29)</f>
        <v>1</v>
      </c>
      <c r="DK29" s="38">
        <f>EXP(-'Data Bonds'!BF28*BC29)</f>
        <v>1</v>
      </c>
      <c r="DL29" s="38">
        <f>EXP(-'Data Bonds'!BG28*BD29)</f>
        <v>1</v>
      </c>
      <c r="DM29" s="38">
        <f>EXP(-'Data Bonds'!BH28*BE29)</f>
        <v>1</v>
      </c>
      <c r="DN29" s="38">
        <f>EXP(-'Data Bonds'!BI28*BF29)</f>
        <v>1</v>
      </c>
      <c r="DO29" s="38">
        <f>EXP(-'Data Bonds'!BJ28*BG29)</f>
        <v>1</v>
      </c>
      <c r="DP29" s="38">
        <f>EXP(-'Data Bonds'!BK28*BH29)</f>
        <v>1</v>
      </c>
      <c r="DQ29" s="38">
        <f>EXP(-'Data Bonds'!BL28*BI29)</f>
        <v>1</v>
      </c>
      <c r="DR29" s="38">
        <f>EXP(-'Data Bonds'!BM28*BJ29)</f>
        <v>1</v>
      </c>
      <c r="DS29" s="38">
        <f>EXP(-'Data Bonds'!BN28*BK29)</f>
        <v>1</v>
      </c>
      <c r="DT29" s="38">
        <f>EXP(-'Data Bonds'!BO28*BL29)</f>
        <v>1</v>
      </c>
      <c r="DU29" s="38">
        <f>EXP(-'Data Bonds'!BP28*BM29)</f>
        <v>1</v>
      </c>
      <c r="DV29" s="38">
        <f>EXP(-'Data Bonds'!BQ28*BN29)</f>
        <v>1</v>
      </c>
      <c r="DW29" s="38">
        <f>EXP(-'Data Bonds'!BR28*BO29)</f>
        <v>1</v>
      </c>
      <c r="DX29" s="28">
        <f>SUMPRODUCT(BP29:DW29,'Data Bonds'!BU28:EB28)</f>
        <v>100.67547801681938</v>
      </c>
      <c r="DY29" s="28">
        <f t="shared" si="5"/>
        <v>8.3153698609702911E-3</v>
      </c>
      <c r="EA29" s="33">
        <f t="shared" si="6"/>
        <v>9</v>
      </c>
      <c r="EB29" s="29">
        <f t="shared" si="2"/>
        <v>5.1623589668544016E-2</v>
      </c>
      <c r="EC29" s="29">
        <f t="shared" si="3"/>
        <v>0.62837867597465535</v>
      </c>
      <c r="ED29" s="29">
        <f t="shared" si="7"/>
        <v>5.3550209294614438E-2</v>
      </c>
      <c r="EE29" s="32"/>
      <c r="EF29" s="32"/>
      <c r="EG29" s="32"/>
      <c r="EI29" s="34"/>
    </row>
    <row r="30" spans="2:139">
      <c r="B30" s="27">
        <f>'Data Bonds'!E29</f>
        <v>4.375</v>
      </c>
      <c r="C30" s="27">
        <f>'Data Bonds'!F29</f>
        <v>97.03125</v>
      </c>
      <c r="D30" s="27">
        <f>'Data Bonds'!G29</f>
        <v>97.0625</v>
      </c>
      <c r="E30" s="27">
        <f>'Data Bonds'!I29</f>
        <v>1.3611111111111112</v>
      </c>
      <c r="F30" s="40">
        <f>'Data Bonds'!H29</f>
        <v>5.1888888888888891</v>
      </c>
      <c r="G30" s="28">
        <f t="shared" si="4"/>
        <v>98.407986111111114</v>
      </c>
      <c r="H30" s="45">
        <f>IF('Data Bonds'!K29=0,0,theta0+(theta1+theta2)*(1-EXP(-'Data Bonds'!K29/la))/('Data Bonds'!K29/la)-theta2*EXP(-'Data Bonds'!K29/la))</f>
        <v>5.1598526027898411E-2</v>
      </c>
      <c r="I30" s="45">
        <f>IF('Data Bonds'!L29=0,0,theta0+(theta1+theta2)*(1-EXP(-'Data Bonds'!L29/la))/('Data Bonds'!L29/la)-theta2*EXP(-'Data Bonds'!L29/la))</f>
        <v>5.0271357324748023E-2</v>
      </c>
      <c r="J30" s="45">
        <f>IF('Data Bonds'!M29=0,0,theta0+(theta1+theta2)*(1-EXP(-'Data Bonds'!M29/la))/('Data Bonds'!M29/la)-theta2*EXP(-'Data Bonds'!M29/la))</f>
        <v>4.9578457297749672E-2</v>
      </c>
      <c r="K30" s="45">
        <f>IF('Data Bonds'!N29=0,0,theta0+(theta1+theta2)*(1-EXP(-'Data Bonds'!N29/la))/('Data Bonds'!N29/la)-theta2*EXP(-'Data Bonds'!N29/la))</f>
        <v>4.9285035750538553E-2</v>
      </c>
      <c r="L30" s="45">
        <f>IF('Data Bonds'!O29=0,0,theta0+(theta1+theta2)*(1-EXP(-'Data Bonds'!O29/la))/('Data Bonds'!O29/la)-theta2*EXP(-'Data Bonds'!O29/la))</f>
        <v>4.9237017363447266E-2</v>
      </c>
      <c r="M30" s="45">
        <f>IF('Data Bonds'!P29=0,0,theta0+(theta1+theta2)*(1-EXP(-'Data Bonds'!P29/la))/('Data Bonds'!P29/la)-theta2*EXP(-'Data Bonds'!P29/la))</f>
        <v>4.9334171753160738E-2</v>
      </c>
      <c r="N30" s="45">
        <f>IF('Data Bonds'!Q29=0,0,theta0+(theta1+theta2)*(1-EXP(-'Data Bonds'!Q29/la))/('Data Bonds'!Q29/la)-theta2*EXP(-'Data Bonds'!Q29/la))</f>
        <v>4.9512038088999483E-2</v>
      </c>
      <c r="O30" s="45">
        <f>IF('Data Bonds'!R29=0,0,theta0+(theta1+theta2)*(1-EXP(-'Data Bonds'!R29/la))/('Data Bonds'!R29/la)-theta2*EXP(-'Data Bonds'!R29/la))</f>
        <v>4.9729794635889335E-2</v>
      </c>
      <c r="P30" s="45">
        <f>IF('Data Bonds'!S29=0,0,theta0+(theta1+theta2)*(1-EXP(-'Data Bonds'!S29/la))/('Data Bonds'!S29/la)-theta2*EXP(-'Data Bonds'!S29/la))</f>
        <v>4.9962140977046696E-2</v>
      </c>
      <c r="Q30" s="45">
        <f>IF('Data Bonds'!T29=0,0,theta0+(theta1+theta2)*(1-EXP(-'Data Bonds'!T29/la))/('Data Bonds'!T29/la)-theta2*EXP(-'Data Bonds'!T29/la))</f>
        <v>5.0193884019659962E-2</v>
      </c>
      <c r="R30" s="45">
        <f>IF('Data Bonds'!U29=0,0,theta0+(theta1+theta2)*(1-EXP(-'Data Bonds'!U29/la))/('Data Bonds'!U29/la)-theta2*EXP(-'Data Bonds'!U29/la))</f>
        <v>5.0416342149512058E-2</v>
      </c>
      <c r="S30" s="45">
        <f>IF('Data Bonds'!V29=0,0,theta0+(theta1+theta2)*(1-EXP(-'Data Bonds'!V29/la))/('Data Bonds'!V29/la)-theta2*EXP(-'Data Bonds'!V29/la))</f>
        <v>0</v>
      </c>
      <c r="T30" s="45">
        <f>IF('Data Bonds'!W29=0,0,theta0+(theta1+theta2)*(1-EXP(-'Data Bonds'!W29/la))/('Data Bonds'!W29/la)-theta2*EXP(-'Data Bonds'!W29/la))</f>
        <v>0</v>
      </c>
      <c r="U30" s="45">
        <f>IF('Data Bonds'!X29=0,0,theta0+(theta1+theta2)*(1-EXP(-'Data Bonds'!X29/la))/('Data Bonds'!X29/la)-theta2*EXP(-'Data Bonds'!X29/la))</f>
        <v>0</v>
      </c>
      <c r="V30" s="45">
        <f>IF('Data Bonds'!Y29=0,0,theta0+(theta1+theta2)*(1-EXP(-'Data Bonds'!Y29/la))/('Data Bonds'!Y29/la)-theta2*EXP(-'Data Bonds'!Y29/la))</f>
        <v>0</v>
      </c>
      <c r="W30" s="45">
        <f>IF('Data Bonds'!Z29=0,0,theta0+(theta1+theta2)*(1-EXP(-'Data Bonds'!Z29/la))/('Data Bonds'!Z29/la)-theta2*EXP(-'Data Bonds'!Z29/la))</f>
        <v>0</v>
      </c>
      <c r="X30" s="45">
        <f>IF('Data Bonds'!AA29=0,0,theta0+(theta1+theta2)*(1-EXP(-'Data Bonds'!AA29/la))/('Data Bonds'!AA29/la)-theta2*EXP(-'Data Bonds'!AA29/la))</f>
        <v>0</v>
      </c>
      <c r="Y30" s="45">
        <f>IF('Data Bonds'!AB29=0,0,theta0+(theta1+theta2)*(1-EXP(-'Data Bonds'!AB29/la))/('Data Bonds'!AB29/la)-theta2*EXP(-'Data Bonds'!AB29/la))</f>
        <v>0</v>
      </c>
      <c r="Z30" s="45">
        <f>IF('Data Bonds'!AC29=0,0,theta0+(theta1+theta2)*(1-EXP(-'Data Bonds'!AC29/la))/('Data Bonds'!AC29/la)-theta2*EXP(-'Data Bonds'!AC29/la))</f>
        <v>0</v>
      </c>
      <c r="AA30" s="45">
        <f>IF('Data Bonds'!AD29=0,0,theta0+(theta1+theta2)*(1-EXP(-'Data Bonds'!AD29/la))/('Data Bonds'!AD29/la)-theta2*EXP(-'Data Bonds'!AD29/la))</f>
        <v>0</v>
      </c>
      <c r="AB30" s="45">
        <f>IF('Data Bonds'!AE29=0,0,theta0+(theta1+theta2)*(1-EXP(-'Data Bonds'!AE29/la))/('Data Bonds'!AE29/la)-theta2*EXP(-'Data Bonds'!AE29/la))</f>
        <v>0</v>
      </c>
      <c r="AC30" s="45">
        <f>IF('Data Bonds'!AF29=0,0,theta0+(theta1+theta2)*(1-EXP(-'Data Bonds'!AF29/la))/('Data Bonds'!AF29/la)-theta2*EXP(-'Data Bonds'!AF29/la))</f>
        <v>0</v>
      </c>
      <c r="AD30" s="45">
        <f>IF('Data Bonds'!AG29=0,0,theta0+(theta1+theta2)*(1-EXP(-'Data Bonds'!AG29/la))/('Data Bonds'!AG29/la)-theta2*EXP(-'Data Bonds'!AG29/la))</f>
        <v>0</v>
      </c>
      <c r="AE30" s="45">
        <f>IF('Data Bonds'!AH29=0,0,theta0+(theta1+theta2)*(1-EXP(-'Data Bonds'!AH29/la))/('Data Bonds'!AH29/la)-theta2*EXP(-'Data Bonds'!AH29/la))</f>
        <v>0</v>
      </c>
      <c r="AF30" s="45">
        <f>IF('Data Bonds'!AI29=0,0,theta0+(theta1+theta2)*(1-EXP(-'Data Bonds'!AI29/la))/('Data Bonds'!AI29/la)-theta2*EXP(-'Data Bonds'!AI29/la))</f>
        <v>0</v>
      </c>
      <c r="AG30" s="45">
        <f>IF('Data Bonds'!AJ29=0,0,theta0+(theta1+theta2)*(1-EXP(-'Data Bonds'!AJ29/la))/('Data Bonds'!AJ29/la)-theta2*EXP(-'Data Bonds'!AJ29/la))</f>
        <v>0</v>
      </c>
      <c r="AH30" s="45">
        <f>IF('Data Bonds'!AK29=0,0,theta0+(theta1+theta2)*(1-EXP(-'Data Bonds'!AK29/la))/('Data Bonds'!AK29/la)-theta2*EXP(-'Data Bonds'!AK29/la))</f>
        <v>0</v>
      </c>
      <c r="AI30" s="45">
        <f>IF('Data Bonds'!AL29=0,0,theta0+(theta1+theta2)*(1-EXP(-'Data Bonds'!AL29/la))/('Data Bonds'!AL29/la)-theta2*EXP(-'Data Bonds'!AL29/la))</f>
        <v>0</v>
      </c>
      <c r="AJ30" s="45">
        <f>IF('Data Bonds'!AM29=0,0,theta0+(theta1+theta2)*(1-EXP(-'Data Bonds'!AM29/la))/('Data Bonds'!AM29/la)-theta2*EXP(-'Data Bonds'!AM29/la))</f>
        <v>0</v>
      </c>
      <c r="AK30" s="45">
        <f>IF('Data Bonds'!AN29=0,0,theta0+(theta1+theta2)*(1-EXP(-'Data Bonds'!AN29/la))/('Data Bonds'!AN29/la)-theta2*EXP(-'Data Bonds'!AN29/la))</f>
        <v>0</v>
      </c>
      <c r="AL30" s="45">
        <f>IF('Data Bonds'!AO29=0,0,theta0+(theta1+theta2)*(1-EXP(-'Data Bonds'!AO29/la))/('Data Bonds'!AO29/la)-theta2*EXP(-'Data Bonds'!AO29/la))</f>
        <v>0</v>
      </c>
      <c r="AM30" s="45">
        <f>IF('Data Bonds'!AP29=0,0,theta0+(theta1+theta2)*(1-EXP(-'Data Bonds'!AP29/la))/('Data Bonds'!AP29/la)-theta2*EXP(-'Data Bonds'!AP29/la))</f>
        <v>0</v>
      </c>
      <c r="AN30" s="45">
        <f>IF('Data Bonds'!AQ29=0,0,theta0+(theta1+theta2)*(1-EXP(-'Data Bonds'!AQ29/la))/('Data Bonds'!AQ29/la)-theta2*EXP(-'Data Bonds'!AQ29/la))</f>
        <v>0</v>
      </c>
      <c r="AO30" s="45">
        <f>IF('Data Bonds'!AR29=0,0,theta0+(theta1+theta2)*(1-EXP(-'Data Bonds'!AR29/la))/('Data Bonds'!AR29/la)-theta2*EXP(-'Data Bonds'!AR29/la))</f>
        <v>0</v>
      </c>
      <c r="AP30" s="45">
        <f>IF('Data Bonds'!AS29=0,0,theta0+(theta1+theta2)*(1-EXP(-'Data Bonds'!AS29/la))/('Data Bonds'!AS29/la)-theta2*EXP(-'Data Bonds'!AS29/la))</f>
        <v>0</v>
      </c>
      <c r="AQ30" s="45">
        <f>IF('Data Bonds'!AT29=0,0,theta0+(theta1+theta2)*(1-EXP(-'Data Bonds'!AT29/la))/('Data Bonds'!AT29/la)-theta2*EXP(-'Data Bonds'!AT29/la))</f>
        <v>0</v>
      </c>
      <c r="AR30" s="45">
        <f>IF('Data Bonds'!AU29=0,0,theta0+(theta1+theta2)*(1-EXP(-'Data Bonds'!AU29/la))/('Data Bonds'!AU29/la)-theta2*EXP(-'Data Bonds'!AU29/la))</f>
        <v>0</v>
      </c>
      <c r="AS30" s="45">
        <f>IF('Data Bonds'!AV29=0,0,theta0+(theta1+theta2)*(1-EXP(-'Data Bonds'!AV29/la))/('Data Bonds'!AV29/la)-theta2*EXP(-'Data Bonds'!AV29/la))</f>
        <v>0</v>
      </c>
      <c r="AT30" s="45">
        <f>IF('Data Bonds'!AW29=0,0,theta0+(theta1+theta2)*(1-EXP(-'Data Bonds'!AW29/la))/('Data Bonds'!AW29/la)-theta2*EXP(-'Data Bonds'!AW29/la))</f>
        <v>0</v>
      </c>
      <c r="AU30" s="45">
        <f>IF('Data Bonds'!AX29=0,0,theta0+(theta1+theta2)*(1-EXP(-'Data Bonds'!AX29/la))/('Data Bonds'!AX29/la)-theta2*EXP(-'Data Bonds'!AX29/la))</f>
        <v>0</v>
      </c>
      <c r="AV30" s="45">
        <f>IF('Data Bonds'!AY29=0,0,theta0+(theta1+theta2)*(1-EXP(-'Data Bonds'!AY29/la))/('Data Bonds'!AY29/la)-theta2*EXP(-'Data Bonds'!AY29/la))</f>
        <v>0</v>
      </c>
      <c r="AW30" s="45">
        <f>IF('Data Bonds'!AZ29=0,0,theta0+(theta1+theta2)*(1-EXP(-'Data Bonds'!AZ29/la))/('Data Bonds'!AZ29/la)-theta2*EXP(-'Data Bonds'!AZ29/la))</f>
        <v>0</v>
      </c>
      <c r="AX30" s="45">
        <f>IF('Data Bonds'!BA29=0,0,theta0+(theta1+theta2)*(1-EXP(-'Data Bonds'!BA29/la))/('Data Bonds'!BA29/la)-theta2*EXP(-'Data Bonds'!BA29/la))</f>
        <v>0</v>
      </c>
      <c r="AY30" s="45">
        <f>IF('Data Bonds'!BB29=0,0,theta0+(theta1+theta2)*(1-EXP(-'Data Bonds'!BB29/la))/('Data Bonds'!BB29/la)-theta2*EXP(-'Data Bonds'!BB29/la))</f>
        <v>0</v>
      </c>
      <c r="AZ30" s="45">
        <f>IF('Data Bonds'!BC29=0,0,theta0+(theta1+theta2)*(1-EXP(-'Data Bonds'!BC29/la))/('Data Bonds'!BC29/la)-theta2*EXP(-'Data Bonds'!BC29/la))</f>
        <v>0</v>
      </c>
      <c r="BA30" s="45">
        <f>IF('Data Bonds'!BD29=0,0,theta0+(theta1+theta2)*(1-EXP(-'Data Bonds'!BD29/la))/('Data Bonds'!BD29/la)-theta2*EXP(-'Data Bonds'!BD29/la))</f>
        <v>0</v>
      </c>
      <c r="BB30" s="45">
        <f>IF('Data Bonds'!BE29=0,0,theta0+(theta1+theta2)*(1-EXP(-'Data Bonds'!BE29/la))/('Data Bonds'!BE29/la)-theta2*EXP(-'Data Bonds'!BE29/la))</f>
        <v>0</v>
      </c>
      <c r="BC30" s="45">
        <f>IF('Data Bonds'!BF29=0,0,theta0+(theta1+theta2)*(1-EXP(-'Data Bonds'!BF29/la))/('Data Bonds'!BF29/la)-theta2*EXP(-'Data Bonds'!BF29/la))</f>
        <v>0</v>
      </c>
      <c r="BD30" s="45">
        <f>IF('Data Bonds'!BG29=0,0,theta0+(theta1+theta2)*(1-EXP(-'Data Bonds'!BG29/la))/('Data Bonds'!BG29/la)-theta2*EXP(-'Data Bonds'!BG29/la))</f>
        <v>0</v>
      </c>
      <c r="BE30" s="45">
        <f>IF('Data Bonds'!BH29=0,0,theta0+(theta1+theta2)*(1-EXP(-'Data Bonds'!BH29/la))/('Data Bonds'!BH29/la)-theta2*EXP(-'Data Bonds'!BH29/la))</f>
        <v>0</v>
      </c>
      <c r="BF30" s="45">
        <f>IF('Data Bonds'!BI29=0,0,theta0+(theta1+theta2)*(1-EXP(-'Data Bonds'!BI29/la))/('Data Bonds'!BI29/la)-theta2*EXP(-'Data Bonds'!BI29/la))</f>
        <v>0</v>
      </c>
      <c r="BG30" s="45">
        <f>IF('Data Bonds'!BJ29=0,0,theta0+(theta1+theta2)*(1-EXP(-'Data Bonds'!BJ29/la))/('Data Bonds'!BJ29/la)-theta2*EXP(-'Data Bonds'!BJ29/la))</f>
        <v>0</v>
      </c>
      <c r="BH30" s="45">
        <f>IF('Data Bonds'!BK29=0,0,theta0+(theta1+theta2)*(1-EXP(-'Data Bonds'!BK29/la))/('Data Bonds'!BK29/la)-theta2*EXP(-'Data Bonds'!BK29/la))</f>
        <v>0</v>
      </c>
      <c r="BI30" s="45">
        <f>IF('Data Bonds'!BL29=0,0,theta0+(theta1+theta2)*(1-EXP(-'Data Bonds'!BL29/la))/('Data Bonds'!BL29/la)-theta2*EXP(-'Data Bonds'!BL29/la))</f>
        <v>0</v>
      </c>
      <c r="BJ30" s="45">
        <f>IF('Data Bonds'!BM29=0,0,theta0+(theta1+theta2)*(1-EXP(-'Data Bonds'!BM29/la))/('Data Bonds'!BM29/la)-theta2*EXP(-'Data Bonds'!BM29/la))</f>
        <v>0</v>
      </c>
      <c r="BK30" s="45">
        <f>IF('Data Bonds'!BN29=0,0,theta0+(theta1+theta2)*(1-EXP(-'Data Bonds'!BN29/la))/('Data Bonds'!BN29/la)-theta2*EXP(-'Data Bonds'!BN29/la))</f>
        <v>0</v>
      </c>
      <c r="BL30" s="45">
        <f>IF('Data Bonds'!BO29=0,0,theta0+(theta1+theta2)*(1-EXP(-'Data Bonds'!BO29/la))/('Data Bonds'!BO29/la)-theta2*EXP(-'Data Bonds'!BO29/la))</f>
        <v>0</v>
      </c>
      <c r="BM30" s="45">
        <f>IF('Data Bonds'!BP29=0,0,theta0+(theta1+theta2)*(1-EXP(-'Data Bonds'!BP29/la))/('Data Bonds'!BP29/la)-theta2*EXP(-'Data Bonds'!BP29/la))</f>
        <v>0</v>
      </c>
      <c r="BN30" s="45">
        <f>IF('Data Bonds'!BQ29=0,0,theta0+(theta1+theta2)*(1-EXP(-'Data Bonds'!BQ29/la))/('Data Bonds'!BQ29/la)-theta2*EXP(-'Data Bonds'!BQ29/la))</f>
        <v>0</v>
      </c>
      <c r="BO30" s="45">
        <f>IF('Data Bonds'!BR29=0,0,theta0+(theta1+theta2)*(1-EXP(-'Data Bonds'!BR29/la))/('Data Bonds'!BR29/la)-theta2*EXP(-'Data Bonds'!BR29/la))</f>
        <v>0</v>
      </c>
      <c r="BP30" s="38">
        <f>EXP(-'Data Bonds'!K29*H30)</f>
        <v>0.99030095386253514</v>
      </c>
      <c r="BQ30" s="38">
        <f>EXP(-'Data Bonds'!L29*I30)</f>
        <v>0.96596142383001249</v>
      </c>
      <c r="BR30" s="38">
        <f>EXP(-'Data Bonds'!M29*J30)</f>
        <v>0.94276024382077384</v>
      </c>
      <c r="BS30" s="38">
        <f>EXP(-'Data Bonds'!N29*K30)</f>
        <v>0.92013309652437447</v>
      </c>
      <c r="BT30" s="38">
        <f>EXP(-'Data Bonds'!O29*L30)</f>
        <v>0.8978301597681585</v>
      </c>
      <c r="BU30" s="38">
        <f>EXP(-'Data Bonds'!P29*M30)</f>
        <v>0.8757679623727499</v>
      </c>
      <c r="BV30" s="38">
        <f>EXP(-'Data Bonds'!Q29*N30)</f>
        <v>0.85394508705932803</v>
      </c>
      <c r="BW30" s="38">
        <f>EXP(-'Data Bonds'!R29*O30)</f>
        <v>0.83239541980118914</v>
      </c>
      <c r="BX30" s="38">
        <f>EXP(-'Data Bonds'!S29*P30)</f>
        <v>0.81116332561828708</v>
      </c>
      <c r="BY30" s="38">
        <f>EXP(-'Data Bonds'!T29*Q30)</f>
        <v>0.79029139660492453</v>
      </c>
      <c r="BZ30" s="38">
        <f>EXP(-'Data Bonds'!U29*R30)</f>
        <v>0.76981519641342533</v>
      </c>
      <c r="CA30" s="38">
        <f>EXP(-'Data Bonds'!V29*S30)</f>
        <v>1</v>
      </c>
      <c r="CB30" s="38">
        <f>EXP(-'Data Bonds'!W29*T30)</f>
        <v>1</v>
      </c>
      <c r="CC30" s="38">
        <f>EXP(-'Data Bonds'!X29*U30)</f>
        <v>1</v>
      </c>
      <c r="CD30" s="38">
        <f>EXP(-'Data Bonds'!Y29*V30)</f>
        <v>1</v>
      </c>
      <c r="CE30" s="38">
        <f>EXP(-'Data Bonds'!Z29*W30)</f>
        <v>1</v>
      </c>
      <c r="CF30" s="38">
        <f>EXP(-'Data Bonds'!AA29*X30)</f>
        <v>1</v>
      </c>
      <c r="CG30" s="38">
        <f>EXP(-'Data Bonds'!AB29*Y30)</f>
        <v>1</v>
      </c>
      <c r="CH30" s="38">
        <f>EXP(-'Data Bonds'!AC29*Z30)</f>
        <v>1</v>
      </c>
      <c r="CI30" s="38">
        <f>EXP(-'Data Bonds'!AD29*AA30)</f>
        <v>1</v>
      </c>
      <c r="CJ30" s="38">
        <f>EXP(-'Data Bonds'!AE29*AB30)</f>
        <v>1</v>
      </c>
      <c r="CK30" s="38">
        <f>EXP(-'Data Bonds'!AF29*AC30)</f>
        <v>1</v>
      </c>
      <c r="CL30" s="38">
        <f>EXP(-'Data Bonds'!AG29*AD30)</f>
        <v>1</v>
      </c>
      <c r="CM30" s="38">
        <f>EXP(-'Data Bonds'!AH29*AE30)</f>
        <v>1</v>
      </c>
      <c r="CN30" s="38">
        <f>EXP(-'Data Bonds'!AI29*AF30)</f>
        <v>1</v>
      </c>
      <c r="CO30" s="38">
        <f>EXP(-'Data Bonds'!AJ29*AG30)</f>
        <v>1</v>
      </c>
      <c r="CP30" s="38">
        <f>EXP(-'Data Bonds'!AK29*AH30)</f>
        <v>1</v>
      </c>
      <c r="CQ30" s="38">
        <f>EXP(-'Data Bonds'!AL29*AI30)</f>
        <v>1</v>
      </c>
      <c r="CR30" s="38">
        <f>EXP(-'Data Bonds'!AM29*AJ30)</f>
        <v>1</v>
      </c>
      <c r="CS30" s="38">
        <f>EXP(-'Data Bonds'!AN29*AK30)</f>
        <v>1</v>
      </c>
      <c r="CT30" s="38">
        <f>EXP(-'Data Bonds'!AO29*AL30)</f>
        <v>1</v>
      </c>
      <c r="CU30" s="38">
        <f>EXP(-'Data Bonds'!AP29*AM30)</f>
        <v>1</v>
      </c>
      <c r="CV30" s="38">
        <f>EXP(-'Data Bonds'!AQ29*AN30)</f>
        <v>1</v>
      </c>
      <c r="CW30" s="38">
        <f>EXP(-'Data Bonds'!AR29*AO30)</f>
        <v>1</v>
      </c>
      <c r="CX30" s="38">
        <f>EXP(-'Data Bonds'!AS29*AP30)</f>
        <v>1</v>
      </c>
      <c r="CY30" s="38">
        <f>EXP(-'Data Bonds'!AT29*AQ30)</f>
        <v>1</v>
      </c>
      <c r="CZ30" s="38">
        <f>EXP(-'Data Bonds'!AU29*AR30)</f>
        <v>1</v>
      </c>
      <c r="DA30" s="38">
        <f>EXP(-'Data Bonds'!AV29*AS30)</f>
        <v>1</v>
      </c>
      <c r="DB30" s="38">
        <f>EXP(-'Data Bonds'!AW29*AT30)</f>
        <v>1</v>
      </c>
      <c r="DC30" s="38">
        <f>EXP(-'Data Bonds'!AX29*AU30)</f>
        <v>1</v>
      </c>
      <c r="DD30" s="38">
        <f>EXP(-'Data Bonds'!AY29*AV30)</f>
        <v>1</v>
      </c>
      <c r="DE30" s="38">
        <f>EXP(-'Data Bonds'!AZ29*AW30)</f>
        <v>1</v>
      </c>
      <c r="DF30" s="38">
        <f>EXP(-'Data Bonds'!BA29*AX30)</f>
        <v>1</v>
      </c>
      <c r="DG30" s="38">
        <f>EXP(-'Data Bonds'!BB29*AY30)</f>
        <v>1</v>
      </c>
      <c r="DH30" s="38">
        <f>EXP(-'Data Bonds'!BC29*AZ30)</f>
        <v>1</v>
      </c>
      <c r="DI30" s="38">
        <f>EXP(-'Data Bonds'!BD29*BA30)</f>
        <v>1</v>
      </c>
      <c r="DJ30" s="38">
        <f>EXP(-'Data Bonds'!BE29*BB30)</f>
        <v>1</v>
      </c>
      <c r="DK30" s="38">
        <f>EXP(-'Data Bonds'!BF29*BC30)</f>
        <v>1</v>
      </c>
      <c r="DL30" s="38">
        <f>EXP(-'Data Bonds'!BG29*BD30)</f>
        <v>1</v>
      </c>
      <c r="DM30" s="38">
        <f>EXP(-'Data Bonds'!BH29*BE30)</f>
        <v>1</v>
      </c>
      <c r="DN30" s="38">
        <f>EXP(-'Data Bonds'!BI29*BF30)</f>
        <v>1</v>
      </c>
      <c r="DO30" s="38">
        <f>EXP(-'Data Bonds'!BJ29*BG30)</f>
        <v>1</v>
      </c>
      <c r="DP30" s="38">
        <f>EXP(-'Data Bonds'!BK29*BH30)</f>
        <v>1</v>
      </c>
      <c r="DQ30" s="38">
        <f>EXP(-'Data Bonds'!BL29*BI30)</f>
        <v>1</v>
      </c>
      <c r="DR30" s="38">
        <f>EXP(-'Data Bonds'!BM29*BJ30)</f>
        <v>1</v>
      </c>
      <c r="DS30" s="38">
        <f>EXP(-'Data Bonds'!BN29*BK30)</f>
        <v>1</v>
      </c>
      <c r="DT30" s="38">
        <f>EXP(-'Data Bonds'!BO29*BL30)</f>
        <v>1</v>
      </c>
      <c r="DU30" s="38">
        <f>EXP(-'Data Bonds'!BP29*BM30)</f>
        <v>1</v>
      </c>
      <c r="DV30" s="38">
        <f>EXP(-'Data Bonds'!BQ29*BN30)</f>
        <v>1</v>
      </c>
      <c r="DW30" s="38">
        <f>EXP(-'Data Bonds'!BR29*BO30)</f>
        <v>1</v>
      </c>
      <c r="DX30" s="28">
        <f>SUMPRODUCT(BP30:DW30,'Data Bonds'!BU29:EB29)</f>
        <v>98.091691472508259</v>
      </c>
      <c r="DY30" s="28">
        <f t="shared" si="5"/>
        <v>0.10004229840891073</v>
      </c>
      <c r="EA30" s="33">
        <f t="shared" si="6"/>
        <v>9.5</v>
      </c>
      <c r="EB30" s="29">
        <f t="shared" si="2"/>
        <v>5.1726643402453365E-2</v>
      </c>
      <c r="EC30" s="29">
        <f t="shared" si="3"/>
        <v>0.61176741330540596</v>
      </c>
      <c r="ED30" s="29">
        <f t="shared" si="7"/>
        <v>5.3581610612821663E-2</v>
      </c>
      <c r="EE30" s="32"/>
      <c r="EF30" s="32"/>
      <c r="EG30" s="32"/>
      <c r="EI30" s="34"/>
    </row>
    <row r="31" spans="2:139">
      <c r="B31" s="27">
        <f>'Data Bonds'!E30</f>
        <v>3.875</v>
      </c>
      <c r="C31" s="27">
        <f>'Data Bonds'!F30</f>
        <v>94.1875</v>
      </c>
      <c r="D31" s="27">
        <f>'Data Bonds'!G30</f>
        <v>94.21875</v>
      </c>
      <c r="E31" s="27">
        <f>'Data Bonds'!I30</f>
        <v>1.2055555555555555</v>
      </c>
      <c r="F31" s="40">
        <f>'Data Bonds'!H30</f>
        <v>5.6888888888888891</v>
      </c>
      <c r="G31" s="28">
        <f t="shared" si="4"/>
        <v>95.408680555555549</v>
      </c>
      <c r="H31" s="45">
        <f>IF('Data Bonds'!K30=0,0,theta0+(theta1+theta2)*(1-EXP(-'Data Bonds'!K30/la))/('Data Bonds'!K30/la)-theta2*EXP(-'Data Bonds'!K30/la))</f>
        <v>5.1598526027898411E-2</v>
      </c>
      <c r="I31" s="45">
        <f>IF('Data Bonds'!L30=0,0,theta0+(theta1+theta2)*(1-EXP(-'Data Bonds'!L30/la))/('Data Bonds'!L30/la)-theta2*EXP(-'Data Bonds'!L30/la))</f>
        <v>5.0271357324748023E-2</v>
      </c>
      <c r="J31" s="45">
        <f>IF('Data Bonds'!M30=0,0,theta0+(theta1+theta2)*(1-EXP(-'Data Bonds'!M30/la))/('Data Bonds'!M30/la)-theta2*EXP(-'Data Bonds'!M30/la))</f>
        <v>4.9578457297749672E-2</v>
      </c>
      <c r="K31" s="45">
        <f>IF('Data Bonds'!N30=0,0,theta0+(theta1+theta2)*(1-EXP(-'Data Bonds'!N30/la))/('Data Bonds'!N30/la)-theta2*EXP(-'Data Bonds'!N30/la))</f>
        <v>4.9285035750538553E-2</v>
      </c>
      <c r="L31" s="45">
        <f>IF('Data Bonds'!O30=0,0,theta0+(theta1+theta2)*(1-EXP(-'Data Bonds'!O30/la))/('Data Bonds'!O30/la)-theta2*EXP(-'Data Bonds'!O30/la))</f>
        <v>4.9237017363447266E-2</v>
      </c>
      <c r="M31" s="45">
        <f>IF('Data Bonds'!P30=0,0,theta0+(theta1+theta2)*(1-EXP(-'Data Bonds'!P30/la))/('Data Bonds'!P30/la)-theta2*EXP(-'Data Bonds'!P30/la))</f>
        <v>4.9334171753160738E-2</v>
      </c>
      <c r="N31" s="45">
        <f>IF('Data Bonds'!Q30=0,0,theta0+(theta1+theta2)*(1-EXP(-'Data Bonds'!Q30/la))/('Data Bonds'!Q30/la)-theta2*EXP(-'Data Bonds'!Q30/la))</f>
        <v>4.9512038088999483E-2</v>
      </c>
      <c r="O31" s="45">
        <f>IF('Data Bonds'!R30=0,0,theta0+(theta1+theta2)*(1-EXP(-'Data Bonds'!R30/la))/('Data Bonds'!R30/la)-theta2*EXP(-'Data Bonds'!R30/la))</f>
        <v>4.9729794635889335E-2</v>
      </c>
      <c r="P31" s="45">
        <f>IF('Data Bonds'!S30=0,0,theta0+(theta1+theta2)*(1-EXP(-'Data Bonds'!S30/la))/('Data Bonds'!S30/la)-theta2*EXP(-'Data Bonds'!S30/la))</f>
        <v>4.9962140977046696E-2</v>
      </c>
      <c r="Q31" s="45">
        <f>IF('Data Bonds'!T30=0,0,theta0+(theta1+theta2)*(1-EXP(-'Data Bonds'!T30/la))/('Data Bonds'!T30/la)-theta2*EXP(-'Data Bonds'!T30/la))</f>
        <v>5.0193884019659962E-2</v>
      </c>
      <c r="R31" s="45">
        <f>IF('Data Bonds'!U30=0,0,theta0+(theta1+theta2)*(1-EXP(-'Data Bonds'!U30/la))/('Data Bonds'!U30/la)-theta2*EXP(-'Data Bonds'!U30/la))</f>
        <v>5.0416342149512058E-2</v>
      </c>
      <c r="S31" s="45">
        <f>IF('Data Bonds'!V30=0,0,theta0+(theta1+theta2)*(1-EXP(-'Data Bonds'!V30/la))/('Data Bonds'!V30/la)-theta2*EXP(-'Data Bonds'!V30/la))</f>
        <v>5.0624969074311257E-2</v>
      </c>
      <c r="T31" s="45">
        <f>IF('Data Bonds'!W30=0,0,theta0+(theta1+theta2)*(1-EXP(-'Data Bonds'!W30/la))/('Data Bonds'!W30/la)-theta2*EXP(-'Data Bonds'!W30/la))</f>
        <v>0</v>
      </c>
      <c r="U31" s="45">
        <f>IF('Data Bonds'!X30=0,0,theta0+(theta1+theta2)*(1-EXP(-'Data Bonds'!X30/la))/('Data Bonds'!X30/la)-theta2*EXP(-'Data Bonds'!X30/la))</f>
        <v>0</v>
      </c>
      <c r="V31" s="45">
        <f>IF('Data Bonds'!Y30=0,0,theta0+(theta1+theta2)*(1-EXP(-'Data Bonds'!Y30/la))/('Data Bonds'!Y30/la)-theta2*EXP(-'Data Bonds'!Y30/la))</f>
        <v>0</v>
      </c>
      <c r="W31" s="45">
        <f>IF('Data Bonds'!Z30=0,0,theta0+(theta1+theta2)*(1-EXP(-'Data Bonds'!Z30/la))/('Data Bonds'!Z30/la)-theta2*EXP(-'Data Bonds'!Z30/la))</f>
        <v>0</v>
      </c>
      <c r="X31" s="45">
        <f>IF('Data Bonds'!AA30=0,0,theta0+(theta1+theta2)*(1-EXP(-'Data Bonds'!AA30/la))/('Data Bonds'!AA30/la)-theta2*EXP(-'Data Bonds'!AA30/la))</f>
        <v>0</v>
      </c>
      <c r="Y31" s="45">
        <f>IF('Data Bonds'!AB30=0,0,theta0+(theta1+theta2)*(1-EXP(-'Data Bonds'!AB30/la))/('Data Bonds'!AB30/la)-theta2*EXP(-'Data Bonds'!AB30/la))</f>
        <v>0</v>
      </c>
      <c r="Z31" s="45">
        <f>IF('Data Bonds'!AC30=0,0,theta0+(theta1+theta2)*(1-EXP(-'Data Bonds'!AC30/la))/('Data Bonds'!AC30/la)-theta2*EXP(-'Data Bonds'!AC30/la))</f>
        <v>0</v>
      </c>
      <c r="AA31" s="45">
        <f>IF('Data Bonds'!AD30=0,0,theta0+(theta1+theta2)*(1-EXP(-'Data Bonds'!AD30/la))/('Data Bonds'!AD30/la)-theta2*EXP(-'Data Bonds'!AD30/la))</f>
        <v>0</v>
      </c>
      <c r="AB31" s="45">
        <f>IF('Data Bonds'!AE30=0,0,theta0+(theta1+theta2)*(1-EXP(-'Data Bonds'!AE30/la))/('Data Bonds'!AE30/la)-theta2*EXP(-'Data Bonds'!AE30/la))</f>
        <v>0</v>
      </c>
      <c r="AC31" s="45">
        <f>IF('Data Bonds'!AF30=0,0,theta0+(theta1+theta2)*(1-EXP(-'Data Bonds'!AF30/la))/('Data Bonds'!AF30/la)-theta2*EXP(-'Data Bonds'!AF30/la))</f>
        <v>0</v>
      </c>
      <c r="AD31" s="45">
        <f>IF('Data Bonds'!AG30=0,0,theta0+(theta1+theta2)*(1-EXP(-'Data Bonds'!AG30/la))/('Data Bonds'!AG30/la)-theta2*EXP(-'Data Bonds'!AG30/la))</f>
        <v>0</v>
      </c>
      <c r="AE31" s="45">
        <f>IF('Data Bonds'!AH30=0,0,theta0+(theta1+theta2)*(1-EXP(-'Data Bonds'!AH30/la))/('Data Bonds'!AH30/la)-theta2*EXP(-'Data Bonds'!AH30/la))</f>
        <v>0</v>
      </c>
      <c r="AF31" s="45">
        <f>IF('Data Bonds'!AI30=0,0,theta0+(theta1+theta2)*(1-EXP(-'Data Bonds'!AI30/la))/('Data Bonds'!AI30/la)-theta2*EXP(-'Data Bonds'!AI30/la))</f>
        <v>0</v>
      </c>
      <c r="AG31" s="45">
        <f>IF('Data Bonds'!AJ30=0,0,theta0+(theta1+theta2)*(1-EXP(-'Data Bonds'!AJ30/la))/('Data Bonds'!AJ30/la)-theta2*EXP(-'Data Bonds'!AJ30/la))</f>
        <v>0</v>
      </c>
      <c r="AH31" s="45">
        <f>IF('Data Bonds'!AK30=0,0,theta0+(theta1+theta2)*(1-EXP(-'Data Bonds'!AK30/la))/('Data Bonds'!AK30/la)-theta2*EXP(-'Data Bonds'!AK30/la))</f>
        <v>0</v>
      </c>
      <c r="AI31" s="45">
        <f>IF('Data Bonds'!AL30=0,0,theta0+(theta1+theta2)*(1-EXP(-'Data Bonds'!AL30/la))/('Data Bonds'!AL30/la)-theta2*EXP(-'Data Bonds'!AL30/la))</f>
        <v>0</v>
      </c>
      <c r="AJ31" s="45">
        <f>IF('Data Bonds'!AM30=0,0,theta0+(theta1+theta2)*(1-EXP(-'Data Bonds'!AM30/la))/('Data Bonds'!AM30/la)-theta2*EXP(-'Data Bonds'!AM30/la))</f>
        <v>0</v>
      </c>
      <c r="AK31" s="45">
        <f>IF('Data Bonds'!AN30=0,0,theta0+(theta1+theta2)*(1-EXP(-'Data Bonds'!AN30/la))/('Data Bonds'!AN30/la)-theta2*EXP(-'Data Bonds'!AN30/la))</f>
        <v>0</v>
      </c>
      <c r="AL31" s="45">
        <f>IF('Data Bonds'!AO30=0,0,theta0+(theta1+theta2)*(1-EXP(-'Data Bonds'!AO30/la))/('Data Bonds'!AO30/la)-theta2*EXP(-'Data Bonds'!AO30/la))</f>
        <v>0</v>
      </c>
      <c r="AM31" s="45">
        <f>IF('Data Bonds'!AP30=0,0,theta0+(theta1+theta2)*(1-EXP(-'Data Bonds'!AP30/la))/('Data Bonds'!AP30/la)-theta2*EXP(-'Data Bonds'!AP30/la))</f>
        <v>0</v>
      </c>
      <c r="AN31" s="45">
        <f>IF('Data Bonds'!AQ30=0,0,theta0+(theta1+theta2)*(1-EXP(-'Data Bonds'!AQ30/la))/('Data Bonds'!AQ30/la)-theta2*EXP(-'Data Bonds'!AQ30/la))</f>
        <v>0</v>
      </c>
      <c r="AO31" s="45">
        <f>IF('Data Bonds'!AR30=0,0,theta0+(theta1+theta2)*(1-EXP(-'Data Bonds'!AR30/la))/('Data Bonds'!AR30/la)-theta2*EXP(-'Data Bonds'!AR30/la))</f>
        <v>0</v>
      </c>
      <c r="AP31" s="45">
        <f>IF('Data Bonds'!AS30=0,0,theta0+(theta1+theta2)*(1-EXP(-'Data Bonds'!AS30/la))/('Data Bonds'!AS30/la)-theta2*EXP(-'Data Bonds'!AS30/la))</f>
        <v>0</v>
      </c>
      <c r="AQ31" s="45">
        <f>IF('Data Bonds'!AT30=0,0,theta0+(theta1+theta2)*(1-EXP(-'Data Bonds'!AT30/la))/('Data Bonds'!AT30/la)-theta2*EXP(-'Data Bonds'!AT30/la))</f>
        <v>0</v>
      </c>
      <c r="AR31" s="45">
        <f>IF('Data Bonds'!AU30=0,0,theta0+(theta1+theta2)*(1-EXP(-'Data Bonds'!AU30/la))/('Data Bonds'!AU30/la)-theta2*EXP(-'Data Bonds'!AU30/la))</f>
        <v>0</v>
      </c>
      <c r="AS31" s="45">
        <f>IF('Data Bonds'!AV30=0,0,theta0+(theta1+theta2)*(1-EXP(-'Data Bonds'!AV30/la))/('Data Bonds'!AV30/la)-theta2*EXP(-'Data Bonds'!AV30/la))</f>
        <v>0</v>
      </c>
      <c r="AT31" s="45">
        <f>IF('Data Bonds'!AW30=0,0,theta0+(theta1+theta2)*(1-EXP(-'Data Bonds'!AW30/la))/('Data Bonds'!AW30/la)-theta2*EXP(-'Data Bonds'!AW30/la))</f>
        <v>0</v>
      </c>
      <c r="AU31" s="45">
        <f>IF('Data Bonds'!AX30=0,0,theta0+(theta1+theta2)*(1-EXP(-'Data Bonds'!AX30/la))/('Data Bonds'!AX30/la)-theta2*EXP(-'Data Bonds'!AX30/la))</f>
        <v>0</v>
      </c>
      <c r="AV31" s="45">
        <f>IF('Data Bonds'!AY30=0,0,theta0+(theta1+theta2)*(1-EXP(-'Data Bonds'!AY30/la))/('Data Bonds'!AY30/la)-theta2*EXP(-'Data Bonds'!AY30/la))</f>
        <v>0</v>
      </c>
      <c r="AW31" s="45">
        <f>IF('Data Bonds'!AZ30=0,0,theta0+(theta1+theta2)*(1-EXP(-'Data Bonds'!AZ30/la))/('Data Bonds'!AZ30/la)-theta2*EXP(-'Data Bonds'!AZ30/la))</f>
        <v>0</v>
      </c>
      <c r="AX31" s="45">
        <f>IF('Data Bonds'!BA30=0,0,theta0+(theta1+theta2)*(1-EXP(-'Data Bonds'!BA30/la))/('Data Bonds'!BA30/la)-theta2*EXP(-'Data Bonds'!BA30/la))</f>
        <v>0</v>
      </c>
      <c r="AY31" s="45">
        <f>IF('Data Bonds'!BB30=0,0,theta0+(theta1+theta2)*(1-EXP(-'Data Bonds'!BB30/la))/('Data Bonds'!BB30/la)-theta2*EXP(-'Data Bonds'!BB30/la))</f>
        <v>0</v>
      </c>
      <c r="AZ31" s="45">
        <f>IF('Data Bonds'!BC30=0,0,theta0+(theta1+theta2)*(1-EXP(-'Data Bonds'!BC30/la))/('Data Bonds'!BC30/la)-theta2*EXP(-'Data Bonds'!BC30/la))</f>
        <v>0</v>
      </c>
      <c r="BA31" s="45">
        <f>IF('Data Bonds'!BD30=0,0,theta0+(theta1+theta2)*(1-EXP(-'Data Bonds'!BD30/la))/('Data Bonds'!BD30/la)-theta2*EXP(-'Data Bonds'!BD30/la))</f>
        <v>0</v>
      </c>
      <c r="BB31" s="45">
        <f>IF('Data Bonds'!BE30=0,0,theta0+(theta1+theta2)*(1-EXP(-'Data Bonds'!BE30/la))/('Data Bonds'!BE30/la)-theta2*EXP(-'Data Bonds'!BE30/la))</f>
        <v>0</v>
      </c>
      <c r="BC31" s="45">
        <f>IF('Data Bonds'!BF30=0,0,theta0+(theta1+theta2)*(1-EXP(-'Data Bonds'!BF30/la))/('Data Bonds'!BF30/la)-theta2*EXP(-'Data Bonds'!BF30/la))</f>
        <v>0</v>
      </c>
      <c r="BD31" s="45">
        <f>IF('Data Bonds'!BG30=0,0,theta0+(theta1+theta2)*(1-EXP(-'Data Bonds'!BG30/la))/('Data Bonds'!BG30/la)-theta2*EXP(-'Data Bonds'!BG30/la))</f>
        <v>0</v>
      </c>
      <c r="BE31" s="45">
        <f>IF('Data Bonds'!BH30=0,0,theta0+(theta1+theta2)*(1-EXP(-'Data Bonds'!BH30/la))/('Data Bonds'!BH30/la)-theta2*EXP(-'Data Bonds'!BH30/la))</f>
        <v>0</v>
      </c>
      <c r="BF31" s="45">
        <f>IF('Data Bonds'!BI30=0,0,theta0+(theta1+theta2)*(1-EXP(-'Data Bonds'!BI30/la))/('Data Bonds'!BI30/la)-theta2*EXP(-'Data Bonds'!BI30/la))</f>
        <v>0</v>
      </c>
      <c r="BG31" s="45">
        <f>IF('Data Bonds'!BJ30=0,0,theta0+(theta1+theta2)*(1-EXP(-'Data Bonds'!BJ30/la))/('Data Bonds'!BJ30/la)-theta2*EXP(-'Data Bonds'!BJ30/la))</f>
        <v>0</v>
      </c>
      <c r="BH31" s="45">
        <f>IF('Data Bonds'!BK30=0,0,theta0+(theta1+theta2)*(1-EXP(-'Data Bonds'!BK30/la))/('Data Bonds'!BK30/la)-theta2*EXP(-'Data Bonds'!BK30/la))</f>
        <v>0</v>
      </c>
      <c r="BI31" s="45">
        <f>IF('Data Bonds'!BL30=0,0,theta0+(theta1+theta2)*(1-EXP(-'Data Bonds'!BL30/la))/('Data Bonds'!BL30/la)-theta2*EXP(-'Data Bonds'!BL30/la))</f>
        <v>0</v>
      </c>
      <c r="BJ31" s="45">
        <f>IF('Data Bonds'!BM30=0,0,theta0+(theta1+theta2)*(1-EXP(-'Data Bonds'!BM30/la))/('Data Bonds'!BM30/la)-theta2*EXP(-'Data Bonds'!BM30/la))</f>
        <v>0</v>
      </c>
      <c r="BK31" s="45">
        <f>IF('Data Bonds'!BN30=0,0,theta0+(theta1+theta2)*(1-EXP(-'Data Bonds'!BN30/la))/('Data Bonds'!BN30/la)-theta2*EXP(-'Data Bonds'!BN30/la))</f>
        <v>0</v>
      </c>
      <c r="BL31" s="45">
        <f>IF('Data Bonds'!BO30=0,0,theta0+(theta1+theta2)*(1-EXP(-'Data Bonds'!BO30/la))/('Data Bonds'!BO30/la)-theta2*EXP(-'Data Bonds'!BO30/la))</f>
        <v>0</v>
      </c>
      <c r="BM31" s="45">
        <f>IF('Data Bonds'!BP30=0,0,theta0+(theta1+theta2)*(1-EXP(-'Data Bonds'!BP30/la))/('Data Bonds'!BP30/la)-theta2*EXP(-'Data Bonds'!BP30/la))</f>
        <v>0</v>
      </c>
      <c r="BN31" s="45">
        <f>IF('Data Bonds'!BQ30=0,0,theta0+(theta1+theta2)*(1-EXP(-'Data Bonds'!BQ30/la))/('Data Bonds'!BQ30/la)-theta2*EXP(-'Data Bonds'!BQ30/la))</f>
        <v>0</v>
      </c>
      <c r="BO31" s="45">
        <f>IF('Data Bonds'!BR30=0,0,theta0+(theta1+theta2)*(1-EXP(-'Data Bonds'!BR30/la))/('Data Bonds'!BR30/la)-theta2*EXP(-'Data Bonds'!BR30/la))</f>
        <v>0</v>
      </c>
      <c r="BP31" s="38">
        <f>EXP(-'Data Bonds'!K30*H31)</f>
        <v>0.99030095386253514</v>
      </c>
      <c r="BQ31" s="38">
        <f>EXP(-'Data Bonds'!L30*I31)</f>
        <v>0.96596142383001249</v>
      </c>
      <c r="BR31" s="38">
        <f>EXP(-'Data Bonds'!M30*J31)</f>
        <v>0.94276024382077384</v>
      </c>
      <c r="BS31" s="38">
        <f>EXP(-'Data Bonds'!N30*K31)</f>
        <v>0.92013309652437447</v>
      </c>
      <c r="BT31" s="38">
        <f>EXP(-'Data Bonds'!O30*L31)</f>
        <v>0.8978301597681585</v>
      </c>
      <c r="BU31" s="38">
        <f>EXP(-'Data Bonds'!P30*M31)</f>
        <v>0.8757679623727499</v>
      </c>
      <c r="BV31" s="38">
        <f>EXP(-'Data Bonds'!Q30*N31)</f>
        <v>0.85394508705932803</v>
      </c>
      <c r="BW31" s="38">
        <f>EXP(-'Data Bonds'!R30*O31)</f>
        <v>0.83239541980118914</v>
      </c>
      <c r="BX31" s="38">
        <f>EXP(-'Data Bonds'!S30*P31)</f>
        <v>0.81116332561828708</v>
      </c>
      <c r="BY31" s="38">
        <f>EXP(-'Data Bonds'!T30*Q31)</f>
        <v>0.79029139660492453</v>
      </c>
      <c r="BZ31" s="38">
        <f>EXP(-'Data Bonds'!U30*R31)</f>
        <v>0.76981519641342533</v>
      </c>
      <c r="CA31" s="38">
        <f>EXP(-'Data Bonds'!V30*S31)</f>
        <v>0.74976172414671449</v>
      </c>
      <c r="CB31" s="38">
        <f>EXP(-'Data Bonds'!W30*T31)</f>
        <v>1</v>
      </c>
      <c r="CC31" s="38">
        <f>EXP(-'Data Bonds'!X30*U31)</f>
        <v>1</v>
      </c>
      <c r="CD31" s="38">
        <f>EXP(-'Data Bonds'!Y30*V31)</f>
        <v>1</v>
      </c>
      <c r="CE31" s="38">
        <f>EXP(-'Data Bonds'!Z30*W31)</f>
        <v>1</v>
      </c>
      <c r="CF31" s="38">
        <f>EXP(-'Data Bonds'!AA30*X31)</f>
        <v>1</v>
      </c>
      <c r="CG31" s="38">
        <f>EXP(-'Data Bonds'!AB30*Y31)</f>
        <v>1</v>
      </c>
      <c r="CH31" s="38">
        <f>EXP(-'Data Bonds'!AC30*Z31)</f>
        <v>1</v>
      </c>
      <c r="CI31" s="38">
        <f>EXP(-'Data Bonds'!AD30*AA31)</f>
        <v>1</v>
      </c>
      <c r="CJ31" s="38">
        <f>EXP(-'Data Bonds'!AE30*AB31)</f>
        <v>1</v>
      </c>
      <c r="CK31" s="38">
        <f>EXP(-'Data Bonds'!AF30*AC31)</f>
        <v>1</v>
      </c>
      <c r="CL31" s="38">
        <f>EXP(-'Data Bonds'!AG30*AD31)</f>
        <v>1</v>
      </c>
      <c r="CM31" s="38">
        <f>EXP(-'Data Bonds'!AH30*AE31)</f>
        <v>1</v>
      </c>
      <c r="CN31" s="38">
        <f>EXP(-'Data Bonds'!AI30*AF31)</f>
        <v>1</v>
      </c>
      <c r="CO31" s="38">
        <f>EXP(-'Data Bonds'!AJ30*AG31)</f>
        <v>1</v>
      </c>
      <c r="CP31" s="38">
        <f>EXP(-'Data Bonds'!AK30*AH31)</f>
        <v>1</v>
      </c>
      <c r="CQ31" s="38">
        <f>EXP(-'Data Bonds'!AL30*AI31)</f>
        <v>1</v>
      </c>
      <c r="CR31" s="38">
        <f>EXP(-'Data Bonds'!AM30*AJ31)</f>
        <v>1</v>
      </c>
      <c r="CS31" s="38">
        <f>EXP(-'Data Bonds'!AN30*AK31)</f>
        <v>1</v>
      </c>
      <c r="CT31" s="38">
        <f>EXP(-'Data Bonds'!AO30*AL31)</f>
        <v>1</v>
      </c>
      <c r="CU31" s="38">
        <f>EXP(-'Data Bonds'!AP30*AM31)</f>
        <v>1</v>
      </c>
      <c r="CV31" s="38">
        <f>EXP(-'Data Bonds'!AQ30*AN31)</f>
        <v>1</v>
      </c>
      <c r="CW31" s="38">
        <f>EXP(-'Data Bonds'!AR30*AO31)</f>
        <v>1</v>
      </c>
      <c r="CX31" s="38">
        <f>EXP(-'Data Bonds'!AS30*AP31)</f>
        <v>1</v>
      </c>
      <c r="CY31" s="38">
        <f>EXP(-'Data Bonds'!AT30*AQ31)</f>
        <v>1</v>
      </c>
      <c r="CZ31" s="38">
        <f>EXP(-'Data Bonds'!AU30*AR31)</f>
        <v>1</v>
      </c>
      <c r="DA31" s="38">
        <f>EXP(-'Data Bonds'!AV30*AS31)</f>
        <v>1</v>
      </c>
      <c r="DB31" s="38">
        <f>EXP(-'Data Bonds'!AW30*AT31)</f>
        <v>1</v>
      </c>
      <c r="DC31" s="38">
        <f>EXP(-'Data Bonds'!AX30*AU31)</f>
        <v>1</v>
      </c>
      <c r="DD31" s="38">
        <f>EXP(-'Data Bonds'!AY30*AV31)</f>
        <v>1</v>
      </c>
      <c r="DE31" s="38">
        <f>EXP(-'Data Bonds'!AZ30*AW31)</f>
        <v>1</v>
      </c>
      <c r="DF31" s="38">
        <f>EXP(-'Data Bonds'!BA30*AX31)</f>
        <v>1</v>
      </c>
      <c r="DG31" s="38">
        <f>EXP(-'Data Bonds'!BB30*AY31)</f>
        <v>1</v>
      </c>
      <c r="DH31" s="38">
        <f>EXP(-'Data Bonds'!BC30*AZ31)</f>
        <v>1</v>
      </c>
      <c r="DI31" s="38">
        <f>EXP(-'Data Bonds'!BD30*BA31)</f>
        <v>1</v>
      </c>
      <c r="DJ31" s="38">
        <f>EXP(-'Data Bonds'!BE30*BB31)</f>
        <v>1</v>
      </c>
      <c r="DK31" s="38">
        <f>EXP(-'Data Bonds'!BF30*BC31)</f>
        <v>1</v>
      </c>
      <c r="DL31" s="38">
        <f>EXP(-'Data Bonds'!BG30*BD31)</f>
        <v>1</v>
      </c>
      <c r="DM31" s="38">
        <f>EXP(-'Data Bonds'!BH30*BE31)</f>
        <v>1</v>
      </c>
      <c r="DN31" s="38">
        <f>EXP(-'Data Bonds'!BI30*BF31)</f>
        <v>1</v>
      </c>
      <c r="DO31" s="38">
        <f>EXP(-'Data Bonds'!BJ30*BG31)</f>
        <v>1</v>
      </c>
      <c r="DP31" s="38">
        <f>EXP(-'Data Bonds'!BK30*BH31)</f>
        <v>1</v>
      </c>
      <c r="DQ31" s="38">
        <f>EXP(-'Data Bonds'!BL30*BI31)</f>
        <v>1</v>
      </c>
      <c r="DR31" s="38">
        <f>EXP(-'Data Bonds'!BM30*BJ31)</f>
        <v>1</v>
      </c>
      <c r="DS31" s="38">
        <f>EXP(-'Data Bonds'!BN30*BK31)</f>
        <v>1</v>
      </c>
      <c r="DT31" s="38">
        <f>EXP(-'Data Bonds'!BO30*BL31)</f>
        <v>1</v>
      </c>
      <c r="DU31" s="38">
        <f>EXP(-'Data Bonds'!BP30*BM31)</f>
        <v>1</v>
      </c>
      <c r="DV31" s="38">
        <f>EXP(-'Data Bonds'!BQ30*BN31)</f>
        <v>1</v>
      </c>
      <c r="DW31" s="38">
        <f>EXP(-'Data Bonds'!BR30*BO31)</f>
        <v>1</v>
      </c>
      <c r="DX31" s="28">
        <f>SUMPRODUCT(BP31:DW31,'Data Bonds'!BU30:EB30)</f>
        <v>95.126416519952485</v>
      </c>
      <c r="DY31" s="28">
        <f t="shared" si="5"/>
        <v>7.9672985794927348E-2</v>
      </c>
      <c r="EA31" s="33">
        <f t="shared" si="6"/>
        <v>10</v>
      </c>
      <c r="EB31" s="29">
        <f t="shared" si="2"/>
        <v>5.1820535865133278E-2</v>
      </c>
      <c r="EC31" s="29">
        <f t="shared" si="3"/>
        <v>0.59558845709853192</v>
      </c>
      <c r="ED31" s="29">
        <f t="shared" si="7"/>
        <v>5.3604492656051578E-2</v>
      </c>
      <c r="EE31" s="32"/>
      <c r="EF31" s="32"/>
      <c r="EG31" s="32"/>
      <c r="EI31" s="34"/>
    </row>
    <row r="32" spans="2:139">
      <c r="B32" s="27">
        <f>'Data Bonds'!E31</f>
        <v>4.25</v>
      </c>
      <c r="C32" s="27">
        <f>'Data Bonds'!F31</f>
        <v>95.703125</v>
      </c>
      <c r="D32" s="27">
        <f>'Data Bonds'!G31</f>
        <v>95.734375</v>
      </c>
      <c r="E32" s="27">
        <f>'Data Bonds'!I31</f>
        <v>1.3222222222222222</v>
      </c>
      <c r="F32" s="40">
        <f>'Data Bonds'!H31</f>
        <v>6.1888888888888891</v>
      </c>
      <c r="G32" s="28">
        <f t="shared" si="4"/>
        <v>97.040972222222223</v>
      </c>
      <c r="H32" s="45">
        <f>IF('Data Bonds'!K31=0,0,theta0+(theta1+theta2)*(1-EXP(-'Data Bonds'!K31/la))/('Data Bonds'!K31/la)-theta2*EXP(-'Data Bonds'!K31/la))</f>
        <v>5.1598526027898411E-2</v>
      </c>
      <c r="I32" s="45">
        <f>IF('Data Bonds'!L31=0,0,theta0+(theta1+theta2)*(1-EXP(-'Data Bonds'!L31/la))/('Data Bonds'!L31/la)-theta2*EXP(-'Data Bonds'!L31/la))</f>
        <v>5.0271357324748023E-2</v>
      </c>
      <c r="J32" s="45">
        <f>IF('Data Bonds'!M31=0,0,theta0+(theta1+theta2)*(1-EXP(-'Data Bonds'!M31/la))/('Data Bonds'!M31/la)-theta2*EXP(-'Data Bonds'!M31/la))</f>
        <v>4.9578457297749672E-2</v>
      </c>
      <c r="K32" s="45">
        <f>IF('Data Bonds'!N31=0,0,theta0+(theta1+theta2)*(1-EXP(-'Data Bonds'!N31/la))/('Data Bonds'!N31/la)-theta2*EXP(-'Data Bonds'!N31/la))</f>
        <v>4.9285035750538553E-2</v>
      </c>
      <c r="L32" s="45">
        <f>IF('Data Bonds'!O31=0,0,theta0+(theta1+theta2)*(1-EXP(-'Data Bonds'!O31/la))/('Data Bonds'!O31/la)-theta2*EXP(-'Data Bonds'!O31/la))</f>
        <v>4.9237017363447266E-2</v>
      </c>
      <c r="M32" s="45">
        <f>IF('Data Bonds'!P31=0,0,theta0+(theta1+theta2)*(1-EXP(-'Data Bonds'!P31/la))/('Data Bonds'!P31/la)-theta2*EXP(-'Data Bonds'!P31/la))</f>
        <v>4.9334171753160738E-2</v>
      </c>
      <c r="N32" s="45">
        <f>IF('Data Bonds'!Q31=0,0,theta0+(theta1+theta2)*(1-EXP(-'Data Bonds'!Q31/la))/('Data Bonds'!Q31/la)-theta2*EXP(-'Data Bonds'!Q31/la))</f>
        <v>4.9512038088999483E-2</v>
      </c>
      <c r="O32" s="45">
        <f>IF('Data Bonds'!R31=0,0,theta0+(theta1+theta2)*(1-EXP(-'Data Bonds'!R31/la))/('Data Bonds'!R31/la)-theta2*EXP(-'Data Bonds'!R31/la))</f>
        <v>4.9729794635889335E-2</v>
      </c>
      <c r="P32" s="45">
        <f>IF('Data Bonds'!S31=0,0,theta0+(theta1+theta2)*(1-EXP(-'Data Bonds'!S31/la))/('Data Bonds'!S31/la)-theta2*EXP(-'Data Bonds'!S31/la))</f>
        <v>4.9962140977046696E-2</v>
      </c>
      <c r="Q32" s="45">
        <f>IF('Data Bonds'!T31=0,0,theta0+(theta1+theta2)*(1-EXP(-'Data Bonds'!T31/la))/('Data Bonds'!T31/la)-theta2*EXP(-'Data Bonds'!T31/la))</f>
        <v>5.0193884019659962E-2</v>
      </c>
      <c r="R32" s="45">
        <f>IF('Data Bonds'!U31=0,0,theta0+(theta1+theta2)*(1-EXP(-'Data Bonds'!U31/la))/('Data Bonds'!U31/la)-theta2*EXP(-'Data Bonds'!U31/la))</f>
        <v>5.0416342149512058E-2</v>
      </c>
      <c r="S32" s="45">
        <f>IF('Data Bonds'!V31=0,0,theta0+(theta1+theta2)*(1-EXP(-'Data Bonds'!V31/la))/('Data Bonds'!V31/la)-theta2*EXP(-'Data Bonds'!V31/la))</f>
        <v>5.0624969074311257E-2</v>
      </c>
      <c r="T32" s="45">
        <f>IF('Data Bonds'!W31=0,0,theta0+(theta1+theta2)*(1-EXP(-'Data Bonds'!W31/la))/('Data Bonds'!W31/la)-theta2*EXP(-'Data Bonds'!W31/la))</f>
        <v>5.0817793561872729E-2</v>
      </c>
      <c r="U32" s="45">
        <f>IF('Data Bonds'!X31=0,0,theta0+(theta1+theta2)*(1-EXP(-'Data Bonds'!X31/la))/('Data Bonds'!X31/la)-theta2*EXP(-'Data Bonds'!X31/la))</f>
        <v>0</v>
      </c>
      <c r="V32" s="45">
        <f>IF('Data Bonds'!Y31=0,0,theta0+(theta1+theta2)*(1-EXP(-'Data Bonds'!Y31/la))/('Data Bonds'!Y31/la)-theta2*EXP(-'Data Bonds'!Y31/la))</f>
        <v>0</v>
      </c>
      <c r="W32" s="45">
        <f>IF('Data Bonds'!Z31=0,0,theta0+(theta1+theta2)*(1-EXP(-'Data Bonds'!Z31/la))/('Data Bonds'!Z31/la)-theta2*EXP(-'Data Bonds'!Z31/la))</f>
        <v>0</v>
      </c>
      <c r="X32" s="45">
        <f>IF('Data Bonds'!AA31=0,0,theta0+(theta1+theta2)*(1-EXP(-'Data Bonds'!AA31/la))/('Data Bonds'!AA31/la)-theta2*EXP(-'Data Bonds'!AA31/la))</f>
        <v>0</v>
      </c>
      <c r="Y32" s="45">
        <f>IF('Data Bonds'!AB31=0,0,theta0+(theta1+theta2)*(1-EXP(-'Data Bonds'!AB31/la))/('Data Bonds'!AB31/la)-theta2*EXP(-'Data Bonds'!AB31/la))</f>
        <v>0</v>
      </c>
      <c r="Z32" s="45">
        <f>IF('Data Bonds'!AC31=0,0,theta0+(theta1+theta2)*(1-EXP(-'Data Bonds'!AC31/la))/('Data Bonds'!AC31/la)-theta2*EXP(-'Data Bonds'!AC31/la))</f>
        <v>0</v>
      </c>
      <c r="AA32" s="45">
        <f>IF('Data Bonds'!AD31=0,0,theta0+(theta1+theta2)*(1-EXP(-'Data Bonds'!AD31/la))/('Data Bonds'!AD31/la)-theta2*EXP(-'Data Bonds'!AD31/la))</f>
        <v>0</v>
      </c>
      <c r="AB32" s="45">
        <f>IF('Data Bonds'!AE31=0,0,theta0+(theta1+theta2)*(1-EXP(-'Data Bonds'!AE31/la))/('Data Bonds'!AE31/la)-theta2*EXP(-'Data Bonds'!AE31/la))</f>
        <v>0</v>
      </c>
      <c r="AC32" s="45">
        <f>IF('Data Bonds'!AF31=0,0,theta0+(theta1+theta2)*(1-EXP(-'Data Bonds'!AF31/la))/('Data Bonds'!AF31/la)-theta2*EXP(-'Data Bonds'!AF31/la))</f>
        <v>0</v>
      </c>
      <c r="AD32" s="45">
        <f>IF('Data Bonds'!AG31=0,0,theta0+(theta1+theta2)*(1-EXP(-'Data Bonds'!AG31/la))/('Data Bonds'!AG31/la)-theta2*EXP(-'Data Bonds'!AG31/la))</f>
        <v>0</v>
      </c>
      <c r="AE32" s="45">
        <f>IF('Data Bonds'!AH31=0,0,theta0+(theta1+theta2)*(1-EXP(-'Data Bonds'!AH31/la))/('Data Bonds'!AH31/la)-theta2*EXP(-'Data Bonds'!AH31/la))</f>
        <v>0</v>
      </c>
      <c r="AF32" s="45">
        <f>IF('Data Bonds'!AI31=0,0,theta0+(theta1+theta2)*(1-EXP(-'Data Bonds'!AI31/la))/('Data Bonds'!AI31/la)-theta2*EXP(-'Data Bonds'!AI31/la))</f>
        <v>0</v>
      </c>
      <c r="AG32" s="45">
        <f>IF('Data Bonds'!AJ31=0,0,theta0+(theta1+theta2)*(1-EXP(-'Data Bonds'!AJ31/la))/('Data Bonds'!AJ31/la)-theta2*EXP(-'Data Bonds'!AJ31/la))</f>
        <v>0</v>
      </c>
      <c r="AH32" s="45">
        <f>IF('Data Bonds'!AK31=0,0,theta0+(theta1+theta2)*(1-EXP(-'Data Bonds'!AK31/la))/('Data Bonds'!AK31/la)-theta2*EXP(-'Data Bonds'!AK31/la))</f>
        <v>0</v>
      </c>
      <c r="AI32" s="45">
        <f>IF('Data Bonds'!AL31=0,0,theta0+(theta1+theta2)*(1-EXP(-'Data Bonds'!AL31/la))/('Data Bonds'!AL31/la)-theta2*EXP(-'Data Bonds'!AL31/la))</f>
        <v>0</v>
      </c>
      <c r="AJ32" s="45">
        <f>IF('Data Bonds'!AM31=0,0,theta0+(theta1+theta2)*(1-EXP(-'Data Bonds'!AM31/la))/('Data Bonds'!AM31/la)-theta2*EXP(-'Data Bonds'!AM31/la))</f>
        <v>0</v>
      </c>
      <c r="AK32" s="45">
        <f>IF('Data Bonds'!AN31=0,0,theta0+(theta1+theta2)*(1-EXP(-'Data Bonds'!AN31/la))/('Data Bonds'!AN31/la)-theta2*EXP(-'Data Bonds'!AN31/la))</f>
        <v>0</v>
      </c>
      <c r="AL32" s="45">
        <f>IF('Data Bonds'!AO31=0,0,theta0+(theta1+theta2)*(1-EXP(-'Data Bonds'!AO31/la))/('Data Bonds'!AO31/la)-theta2*EXP(-'Data Bonds'!AO31/la))</f>
        <v>0</v>
      </c>
      <c r="AM32" s="45">
        <f>IF('Data Bonds'!AP31=0,0,theta0+(theta1+theta2)*(1-EXP(-'Data Bonds'!AP31/la))/('Data Bonds'!AP31/la)-theta2*EXP(-'Data Bonds'!AP31/la))</f>
        <v>0</v>
      </c>
      <c r="AN32" s="45">
        <f>IF('Data Bonds'!AQ31=0,0,theta0+(theta1+theta2)*(1-EXP(-'Data Bonds'!AQ31/la))/('Data Bonds'!AQ31/la)-theta2*EXP(-'Data Bonds'!AQ31/la))</f>
        <v>0</v>
      </c>
      <c r="AO32" s="45">
        <f>IF('Data Bonds'!AR31=0,0,theta0+(theta1+theta2)*(1-EXP(-'Data Bonds'!AR31/la))/('Data Bonds'!AR31/la)-theta2*EXP(-'Data Bonds'!AR31/la))</f>
        <v>0</v>
      </c>
      <c r="AP32" s="45">
        <f>IF('Data Bonds'!AS31=0,0,theta0+(theta1+theta2)*(1-EXP(-'Data Bonds'!AS31/la))/('Data Bonds'!AS31/la)-theta2*EXP(-'Data Bonds'!AS31/la))</f>
        <v>0</v>
      </c>
      <c r="AQ32" s="45">
        <f>IF('Data Bonds'!AT31=0,0,theta0+(theta1+theta2)*(1-EXP(-'Data Bonds'!AT31/la))/('Data Bonds'!AT31/la)-theta2*EXP(-'Data Bonds'!AT31/la))</f>
        <v>0</v>
      </c>
      <c r="AR32" s="45">
        <f>IF('Data Bonds'!AU31=0,0,theta0+(theta1+theta2)*(1-EXP(-'Data Bonds'!AU31/la))/('Data Bonds'!AU31/la)-theta2*EXP(-'Data Bonds'!AU31/la))</f>
        <v>0</v>
      </c>
      <c r="AS32" s="45">
        <f>IF('Data Bonds'!AV31=0,0,theta0+(theta1+theta2)*(1-EXP(-'Data Bonds'!AV31/la))/('Data Bonds'!AV31/la)-theta2*EXP(-'Data Bonds'!AV31/la))</f>
        <v>0</v>
      </c>
      <c r="AT32" s="45">
        <f>IF('Data Bonds'!AW31=0,0,theta0+(theta1+theta2)*(1-EXP(-'Data Bonds'!AW31/la))/('Data Bonds'!AW31/la)-theta2*EXP(-'Data Bonds'!AW31/la))</f>
        <v>0</v>
      </c>
      <c r="AU32" s="45">
        <f>IF('Data Bonds'!AX31=0,0,theta0+(theta1+theta2)*(1-EXP(-'Data Bonds'!AX31/la))/('Data Bonds'!AX31/la)-theta2*EXP(-'Data Bonds'!AX31/la))</f>
        <v>0</v>
      </c>
      <c r="AV32" s="45">
        <f>IF('Data Bonds'!AY31=0,0,theta0+(theta1+theta2)*(1-EXP(-'Data Bonds'!AY31/la))/('Data Bonds'!AY31/la)-theta2*EXP(-'Data Bonds'!AY31/la))</f>
        <v>0</v>
      </c>
      <c r="AW32" s="45">
        <f>IF('Data Bonds'!AZ31=0,0,theta0+(theta1+theta2)*(1-EXP(-'Data Bonds'!AZ31/la))/('Data Bonds'!AZ31/la)-theta2*EXP(-'Data Bonds'!AZ31/la))</f>
        <v>0</v>
      </c>
      <c r="AX32" s="45">
        <f>IF('Data Bonds'!BA31=0,0,theta0+(theta1+theta2)*(1-EXP(-'Data Bonds'!BA31/la))/('Data Bonds'!BA31/la)-theta2*EXP(-'Data Bonds'!BA31/la))</f>
        <v>0</v>
      </c>
      <c r="AY32" s="45">
        <f>IF('Data Bonds'!BB31=0,0,theta0+(theta1+theta2)*(1-EXP(-'Data Bonds'!BB31/la))/('Data Bonds'!BB31/la)-theta2*EXP(-'Data Bonds'!BB31/la))</f>
        <v>0</v>
      </c>
      <c r="AZ32" s="45">
        <f>IF('Data Bonds'!BC31=0,0,theta0+(theta1+theta2)*(1-EXP(-'Data Bonds'!BC31/la))/('Data Bonds'!BC31/la)-theta2*EXP(-'Data Bonds'!BC31/la))</f>
        <v>0</v>
      </c>
      <c r="BA32" s="45">
        <f>IF('Data Bonds'!BD31=0,0,theta0+(theta1+theta2)*(1-EXP(-'Data Bonds'!BD31/la))/('Data Bonds'!BD31/la)-theta2*EXP(-'Data Bonds'!BD31/la))</f>
        <v>0</v>
      </c>
      <c r="BB32" s="45">
        <f>IF('Data Bonds'!BE31=0,0,theta0+(theta1+theta2)*(1-EXP(-'Data Bonds'!BE31/la))/('Data Bonds'!BE31/la)-theta2*EXP(-'Data Bonds'!BE31/la))</f>
        <v>0</v>
      </c>
      <c r="BC32" s="45">
        <f>IF('Data Bonds'!BF31=0,0,theta0+(theta1+theta2)*(1-EXP(-'Data Bonds'!BF31/la))/('Data Bonds'!BF31/la)-theta2*EXP(-'Data Bonds'!BF31/la))</f>
        <v>0</v>
      </c>
      <c r="BD32" s="45">
        <f>IF('Data Bonds'!BG31=0,0,theta0+(theta1+theta2)*(1-EXP(-'Data Bonds'!BG31/la))/('Data Bonds'!BG31/la)-theta2*EXP(-'Data Bonds'!BG31/la))</f>
        <v>0</v>
      </c>
      <c r="BE32" s="45">
        <f>IF('Data Bonds'!BH31=0,0,theta0+(theta1+theta2)*(1-EXP(-'Data Bonds'!BH31/la))/('Data Bonds'!BH31/la)-theta2*EXP(-'Data Bonds'!BH31/la))</f>
        <v>0</v>
      </c>
      <c r="BF32" s="45">
        <f>IF('Data Bonds'!BI31=0,0,theta0+(theta1+theta2)*(1-EXP(-'Data Bonds'!BI31/la))/('Data Bonds'!BI31/la)-theta2*EXP(-'Data Bonds'!BI31/la))</f>
        <v>0</v>
      </c>
      <c r="BG32" s="45">
        <f>IF('Data Bonds'!BJ31=0,0,theta0+(theta1+theta2)*(1-EXP(-'Data Bonds'!BJ31/la))/('Data Bonds'!BJ31/la)-theta2*EXP(-'Data Bonds'!BJ31/la))</f>
        <v>0</v>
      </c>
      <c r="BH32" s="45">
        <f>IF('Data Bonds'!BK31=0,0,theta0+(theta1+theta2)*(1-EXP(-'Data Bonds'!BK31/la))/('Data Bonds'!BK31/la)-theta2*EXP(-'Data Bonds'!BK31/la))</f>
        <v>0</v>
      </c>
      <c r="BI32" s="45">
        <f>IF('Data Bonds'!BL31=0,0,theta0+(theta1+theta2)*(1-EXP(-'Data Bonds'!BL31/la))/('Data Bonds'!BL31/la)-theta2*EXP(-'Data Bonds'!BL31/la))</f>
        <v>0</v>
      </c>
      <c r="BJ32" s="45">
        <f>IF('Data Bonds'!BM31=0,0,theta0+(theta1+theta2)*(1-EXP(-'Data Bonds'!BM31/la))/('Data Bonds'!BM31/la)-theta2*EXP(-'Data Bonds'!BM31/la))</f>
        <v>0</v>
      </c>
      <c r="BK32" s="45">
        <f>IF('Data Bonds'!BN31=0,0,theta0+(theta1+theta2)*(1-EXP(-'Data Bonds'!BN31/la))/('Data Bonds'!BN31/la)-theta2*EXP(-'Data Bonds'!BN31/la))</f>
        <v>0</v>
      </c>
      <c r="BL32" s="45">
        <f>IF('Data Bonds'!BO31=0,0,theta0+(theta1+theta2)*(1-EXP(-'Data Bonds'!BO31/la))/('Data Bonds'!BO31/la)-theta2*EXP(-'Data Bonds'!BO31/la))</f>
        <v>0</v>
      </c>
      <c r="BM32" s="45">
        <f>IF('Data Bonds'!BP31=0,0,theta0+(theta1+theta2)*(1-EXP(-'Data Bonds'!BP31/la))/('Data Bonds'!BP31/la)-theta2*EXP(-'Data Bonds'!BP31/la))</f>
        <v>0</v>
      </c>
      <c r="BN32" s="45">
        <f>IF('Data Bonds'!BQ31=0,0,theta0+(theta1+theta2)*(1-EXP(-'Data Bonds'!BQ31/la))/('Data Bonds'!BQ31/la)-theta2*EXP(-'Data Bonds'!BQ31/la))</f>
        <v>0</v>
      </c>
      <c r="BO32" s="45">
        <f>IF('Data Bonds'!BR31=0,0,theta0+(theta1+theta2)*(1-EXP(-'Data Bonds'!BR31/la))/('Data Bonds'!BR31/la)-theta2*EXP(-'Data Bonds'!BR31/la))</f>
        <v>0</v>
      </c>
      <c r="BP32" s="38">
        <f>EXP(-'Data Bonds'!K31*H32)</f>
        <v>0.99030095386253514</v>
      </c>
      <c r="BQ32" s="38">
        <f>EXP(-'Data Bonds'!L31*I32)</f>
        <v>0.96596142383001249</v>
      </c>
      <c r="BR32" s="38">
        <f>EXP(-'Data Bonds'!M31*J32)</f>
        <v>0.94276024382077384</v>
      </c>
      <c r="BS32" s="38">
        <f>EXP(-'Data Bonds'!N31*K32)</f>
        <v>0.92013309652437447</v>
      </c>
      <c r="BT32" s="38">
        <f>EXP(-'Data Bonds'!O31*L32)</f>
        <v>0.8978301597681585</v>
      </c>
      <c r="BU32" s="38">
        <f>EXP(-'Data Bonds'!P31*M32)</f>
        <v>0.8757679623727499</v>
      </c>
      <c r="BV32" s="38">
        <f>EXP(-'Data Bonds'!Q31*N32)</f>
        <v>0.85394508705932803</v>
      </c>
      <c r="BW32" s="38">
        <f>EXP(-'Data Bonds'!R31*O32)</f>
        <v>0.83239541980118914</v>
      </c>
      <c r="BX32" s="38">
        <f>EXP(-'Data Bonds'!S31*P32)</f>
        <v>0.81116332561828708</v>
      </c>
      <c r="BY32" s="38">
        <f>EXP(-'Data Bonds'!T31*Q32)</f>
        <v>0.79029139660492453</v>
      </c>
      <c r="BZ32" s="38">
        <f>EXP(-'Data Bonds'!U31*R32)</f>
        <v>0.76981519641342533</v>
      </c>
      <c r="CA32" s="38">
        <f>EXP(-'Data Bonds'!V31*S32)</f>
        <v>0.74976172414671449</v>
      </c>
      <c r="CB32" s="38">
        <f>EXP(-'Data Bonds'!W31*T32)</f>
        <v>0.73014971419213559</v>
      </c>
      <c r="CC32" s="38">
        <f>EXP(-'Data Bonds'!X31*U32)</f>
        <v>1</v>
      </c>
      <c r="CD32" s="38">
        <f>EXP(-'Data Bonds'!Y31*V32)</f>
        <v>1</v>
      </c>
      <c r="CE32" s="38">
        <f>EXP(-'Data Bonds'!Z31*W32)</f>
        <v>1</v>
      </c>
      <c r="CF32" s="38">
        <f>EXP(-'Data Bonds'!AA31*X32)</f>
        <v>1</v>
      </c>
      <c r="CG32" s="38">
        <f>EXP(-'Data Bonds'!AB31*Y32)</f>
        <v>1</v>
      </c>
      <c r="CH32" s="38">
        <f>EXP(-'Data Bonds'!AC31*Z32)</f>
        <v>1</v>
      </c>
      <c r="CI32" s="38">
        <f>EXP(-'Data Bonds'!AD31*AA32)</f>
        <v>1</v>
      </c>
      <c r="CJ32" s="38">
        <f>EXP(-'Data Bonds'!AE31*AB32)</f>
        <v>1</v>
      </c>
      <c r="CK32" s="38">
        <f>EXP(-'Data Bonds'!AF31*AC32)</f>
        <v>1</v>
      </c>
      <c r="CL32" s="38">
        <f>EXP(-'Data Bonds'!AG31*AD32)</f>
        <v>1</v>
      </c>
      <c r="CM32" s="38">
        <f>EXP(-'Data Bonds'!AH31*AE32)</f>
        <v>1</v>
      </c>
      <c r="CN32" s="38">
        <f>EXP(-'Data Bonds'!AI31*AF32)</f>
        <v>1</v>
      </c>
      <c r="CO32" s="38">
        <f>EXP(-'Data Bonds'!AJ31*AG32)</f>
        <v>1</v>
      </c>
      <c r="CP32" s="38">
        <f>EXP(-'Data Bonds'!AK31*AH32)</f>
        <v>1</v>
      </c>
      <c r="CQ32" s="38">
        <f>EXP(-'Data Bonds'!AL31*AI32)</f>
        <v>1</v>
      </c>
      <c r="CR32" s="38">
        <f>EXP(-'Data Bonds'!AM31*AJ32)</f>
        <v>1</v>
      </c>
      <c r="CS32" s="38">
        <f>EXP(-'Data Bonds'!AN31*AK32)</f>
        <v>1</v>
      </c>
      <c r="CT32" s="38">
        <f>EXP(-'Data Bonds'!AO31*AL32)</f>
        <v>1</v>
      </c>
      <c r="CU32" s="38">
        <f>EXP(-'Data Bonds'!AP31*AM32)</f>
        <v>1</v>
      </c>
      <c r="CV32" s="38">
        <f>EXP(-'Data Bonds'!AQ31*AN32)</f>
        <v>1</v>
      </c>
      <c r="CW32" s="38">
        <f>EXP(-'Data Bonds'!AR31*AO32)</f>
        <v>1</v>
      </c>
      <c r="CX32" s="38">
        <f>EXP(-'Data Bonds'!AS31*AP32)</f>
        <v>1</v>
      </c>
      <c r="CY32" s="38">
        <f>EXP(-'Data Bonds'!AT31*AQ32)</f>
        <v>1</v>
      </c>
      <c r="CZ32" s="38">
        <f>EXP(-'Data Bonds'!AU31*AR32)</f>
        <v>1</v>
      </c>
      <c r="DA32" s="38">
        <f>EXP(-'Data Bonds'!AV31*AS32)</f>
        <v>1</v>
      </c>
      <c r="DB32" s="38">
        <f>EXP(-'Data Bonds'!AW31*AT32)</f>
        <v>1</v>
      </c>
      <c r="DC32" s="38">
        <f>EXP(-'Data Bonds'!AX31*AU32)</f>
        <v>1</v>
      </c>
      <c r="DD32" s="38">
        <f>EXP(-'Data Bonds'!AY31*AV32)</f>
        <v>1</v>
      </c>
      <c r="DE32" s="38">
        <f>EXP(-'Data Bonds'!AZ31*AW32)</f>
        <v>1</v>
      </c>
      <c r="DF32" s="38">
        <f>EXP(-'Data Bonds'!BA31*AX32)</f>
        <v>1</v>
      </c>
      <c r="DG32" s="38">
        <f>EXP(-'Data Bonds'!BB31*AY32)</f>
        <v>1</v>
      </c>
      <c r="DH32" s="38">
        <f>EXP(-'Data Bonds'!BC31*AZ32)</f>
        <v>1</v>
      </c>
      <c r="DI32" s="38">
        <f>EXP(-'Data Bonds'!BD31*BA32)</f>
        <v>1</v>
      </c>
      <c r="DJ32" s="38">
        <f>EXP(-'Data Bonds'!BE31*BB32)</f>
        <v>1</v>
      </c>
      <c r="DK32" s="38">
        <f>EXP(-'Data Bonds'!BF31*BC32)</f>
        <v>1</v>
      </c>
      <c r="DL32" s="38">
        <f>EXP(-'Data Bonds'!BG31*BD32)</f>
        <v>1</v>
      </c>
      <c r="DM32" s="38">
        <f>EXP(-'Data Bonds'!BH31*BE32)</f>
        <v>1</v>
      </c>
      <c r="DN32" s="38">
        <f>EXP(-'Data Bonds'!BI31*BF32)</f>
        <v>1</v>
      </c>
      <c r="DO32" s="38">
        <f>EXP(-'Data Bonds'!BJ31*BG32)</f>
        <v>1</v>
      </c>
      <c r="DP32" s="38">
        <f>EXP(-'Data Bonds'!BK31*BH32)</f>
        <v>1</v>
      </c>
      <c r="DQ32" s="38">
        <f>EXP(-'Data Bonds'!BL31*BI32)</f>
        <v>1</v>
      </c>
      <c r="DR32" s="38">
        <f>EXP(-'Data Bonds'!BM31*BJ32)</f>
        <v>1</v>
      </c>
      <c r="DS32" s="38">
        <f>EXP(-'Data Bonds'!BN31*BK32)</f>
        <v>1</v>
      </c>
      <c r="DT32" s="38">
        <f>EXP(-'Data Bonds'!BO31*BL32)</f>
        <v>1</v>
      </c>
      <c r="DU32" s="38">
        <f>EXP(-'Data Bonds'!BP31*BM32)</f>
        <v>1</v>
      </c>
      <c r="DV32" s="38">
        <f>EXP(-'Data Bonds'!BQ31*BN32)</f>
        <v>1</v>
      </c>
      <c r="DW32" s="38">
        <f>EXP(-'Data Bonds'!BR31*BO32)</f>
        <v>1</v>
      </c>
      <c r="DX32" s="28">
        <f>SUMPRODUCT(BP32:DW32,'Data Bonds'!BU31:EB31)</f>
        <v>96.666807290244606</v>
      </c>
      <c r="DY32" s="28">
        <f t="shared" si="5"/>
        <v>0.13999939632181493</v>
      </c>
      <c r="EA32" s="33">
        <f t="shared" si="6"/>
        <v>10.5</v>
      </c>
      <c r="EB32" s="29">
        <f t="shared" si="2"/>
        <v>5.1906277301398393E-2</v>
      </c>
      <c r="EC32" s="29">
        <f t="shared" si="3"/>
        <v>0.57983255716522275</v>
      </c>
      <c r="ED32" s="29">
        <f t="shared" si="7"/>
        <v>5.3621106026700623E-2</v>
      </c>
      <c r="EE32" s="32"/>
      <c r="EF32" s="32"/>
      <c r="EG32" s="32"/>
      <c r="EI32" s="34"/>
    </row>
    <row r="33" spans="2:139">
      <c r="B33" s="27">
        <f>'Data Bonds'!E32</f>
        <v>4</v>
      </c>
      <c r="C33" s="27">
        <f>'Data Bonds'!F32</f>
        <v>93.8125</v>
      </c>
      <c r="D33" s="27">
        <f>'Data Bonds'!G32</f>
        <v>93.84375</v>
      </c>
      <c r="E33" s="27">
        <f>'Data Bonds'!I32</f>
        <v>1.2444444444444445</v>
      </c>
      <c r="F33" s="40">
        <f>'Data Bonds'!H32</f>
        <v>6.6888888888888891</v>
      </c>
      <c r="G33" s="28">
        <f t="shared" si="4"/>
        <v>95.07256944444444</v>
      </c>
      <c r="H33" s="45">
        <f>IF('Data Bonds'!K32=0,0,theta0+(theta1+theta2)*(1-EXP(-'Data Bonds'!K32/la))/('Data Bonds'!K32/la)-theta2*EXP(-'Data Bonds'!K32/la))</f>
        <v>5.1598526027898411E-2</v>
      </c>
      <c r="I33" s="45">
        <f>IF('Data Bonds'!L32=0,0,theta0+(theta1+theta2)*(1-EXP(-'Data Bonds'!L32/la))/('Data Bonds'!L32/la)-theta2*EXP(-'Data Bonds'!L32/la))</f>
        <v>5.0271357324748023E-2</v>
      </c>
      <c r="J33" s="45">
        <f>IF('Data Bonds'!M32=0,0,theta0+(theta1+theta2)*(1-EXP(-'Data Bonds'!M32/la))/('Data Bonds'!M32/la)-theta2*EXP(-'Data Bonds'!M32/la))</f>
        <v>4.9578457297749672E-2</v>
      </c>
      <c r="K33" s="45">
        <f>IF('Data Bonds'!N32=0,0,theta0+(theta1+theta2)*(1-EXP(-'Data Bonds'!N32/la))/('Data Bonds'!N32/la)-theta2*EXP(-'Data Bonds'!N32/la))</f>
        <v>4.9285035750538553E-2</v>
      </c>
      <c r="L33" s="45">
        <f>IF('Data Bonds'!O32=0,0,theta0+(theta1+theta2)*(1-EXP(-'Data Bonds'!O32/la))/('Data Bonds'!O32/la)-theta2*EXP(-'Data Bonds'!O32/la))</f>
        <v>4.9237017363447266E-2</v>
      </c>
      <c r="M33" s="45">
        <f>IF('Data Bonds'!P32=0,0,theta0+(theta1+theta2)*(1-EXP(-'Data Bonds'!P32/la))/('Data Bonds'!P32/la)-theta2*EXP(-'Data Bonds'!P32/la))</f>
        <v>4.9334171753160738E-2</v>
      </c>
      <c r="N33" s="45">
        <f>IF('Data Bonds'!Q32=0,0,theta0+(theta1+theta2)*(1-EXP(-'Data Bonds'!Q32/la))/('Data Bonds'!Q32/la)-theta2*EXP(-'Data Bonds'!Q32/la))</f>
        <v>4.9512038088999483E-2</v>
      </c>
      <c r="O33" s="45">
        <f>IF('Data Bonds'!R32=0,0,theta0+(theta1+theta2)*(1-EXP(-'Data Bonds'!R32/la))/('Data Bonds'!R32/la)-theta2*EXP(-'Data Bonds'!R32/la))</f>
        <v>4.9729794635889335E-2</v>
      </c>
      <c r="P33" s="45">
        <f>IF('Data Bonds'!S32=0,0,theta0+(theta1+theta2)*(1-EXP(-'Data Bonds'!S32/la))/('Data Bonds'!S32/la)-theta2*EXP(-'Data Bonds'!S32/la))</f>
        <v>4.9962140977046696E-2</v>
      </c>
      <c r="Q33" s="45">
        <f>IF('Data Bonds'!T32=0,0,theta0+(theta1+theta2)*(1-EXP(-'Data Bonds'!T32/la))/('Data Bonds'!T32/la)-theta2*EXP(-'Data Bonds'!T32/la))</f>
        <v>5.0193884019659962E-2</v>
      </c>
      <c r="R33" s="45">
        <f>IF('Data Bonds'!U32=0,0,theta0+(theta1+theta2)*(1-EXP(-'Data Bonds'!U32/la))/('Data Bonds'!U32/la)-theta2*EXP(-'Data Bonds'!U32/la))</f>
        <v>5.0416342149512058E-2</v>
      </c>
      <c r="S33" s="45">
        <f>IF('Data Bonds'!V32=0,0,theta0+(theta1+theta2)*(1-EXP(-'Data Bonds'!V32/la))/('Data Bonds'!V32/la)-theta2*EXP(-'Data Bonds'!V32/la))</f>
        <v>5.0624969074311257E-2</v>
      </c>
      <c r="T33" s="45">
        <f>IF('Data Bonds'!W32=0,0,theta0+(theta1+theta2)*(1-EXP(-'Data Bonds'!W32/la))/('Data Bonds'!W32/la)-theta2*EXP(-'Data Bonds'!W32/la))</f>
        <v>5.0817793561872729E-2</v>
      </c>
      <c r="U33" s="45">
        <f>IF('Data Bonds'!X32=0,0,theta0+(theta1+theta2)*(1-EXP(-'Data Bonds'!X32/la))/('Data Bonds'!X32/la)-theta2*EXP(-'Data Bonds'!X32/la))</f>
        <v>5.0994403103277734E-2</v>
      </c>
      <c r="V33" s="45">
        <f>IF('Data Bonds'!Y32=0,0,theta0+(theta1+theta2)*(1-EXP(-'Data Bonds'!Y32/la))/('Data Bonds'!Y32/la)-theta2*EXP(-'Data Bonds'!Y32/la))</f>
        <v>0</v>
      </c>
      <c r="W33" s="45">
        <f>IF('Data Bonds'!Z32=0,0,theta0+(theta1+theta2)*(1-EXP(-'Data Bonds'!Z32/la))/('Data Bonds'!Z32/la)-theta2*EXP(-'Data Bonds'!Z32/la))</f>
        <v>0</v>
      </c>
      <c r="X33" s="45">
        <f>IF('Data Bonds'!AA32=0,0,theta0+(theta1+theta2)*(1-EXP(-'Data Bonds'!AA32/la))/('Data Bonds'!AA32/la)-theta2*EXP(-'Data Bonds'!AA32/la))</f>
        <v>0</v>
      </c>
      <c r="Y33" s="45">
        <f>IF('Data Bonds'!AB32=0,0,theta0+(theta1+theta2)*(1-EXP(-'Data Bonds'!AB32/la))/('Data Bonds'!AB32/la)-theta2*EXP(-'Data Bonds'!AB32/la))</f>
        <v>0</v>
      </c>
      <c r="Z33" s="45">
        <f>IF('Data Bonds'!AC32=0,0,theta0+(theta1+theta2)*(1-EXP(-'Data Bonds'!AC32/la))/('Data Bonds'!AC32/la)-theta2*EXP(-'Data Bonds'!AC32/la))</f>
        <v>0</v>
      </c>
      <c r="AA33" s="45">
        <f>IF('Data Bonds'!AD32=0,0,theta0+(theta1+theta2)*(1-EXP(-'Data Bonds'!AD32/la))/('Data Bonds'!AD32/la)-theta2*EXP(-'Data Bonds'!AD32/la))</f>
        <v>0</v>
      </c>
      <c r="AB33" s="45">
        <f>IF('Data Bonds'!AE32=0,0,theta0+(theta1+theta2)*(1-EXP(-'Data Bonds'!AE32/la))/('Data Bonds'!AE32/la)-theta2*EXP(-'Data Bonds'!AE32/la))</f>
        <v>0</v>
      </c>
      <c r="AC33" s="45">
        <f>IF('Data Bonds'!AF32=0,0,theta0+(theta1+theta2)*(1-EXP(-'Data Bonds'!AF32/la))/('Data Bonds'!AF32/la)-theta2*EXP(-'Data Bonds'!AF32/la))</f>
        <v>0</v>
      </c>
      <c r="AD33" s="45">
        <f>IF('Data Bonds'!AG32=0,0,theta0+(theta1+theta2)*(1-EXP(-'Data Bonds'!AG32/la))/('Data Bonds'!AG32/la)-theta2*EXP(-'Data Bonds'!AG32/la))</f>
        <v>0</v>
      </c>
      <c r="AE33" s="45">
        <f>IF('Data Bonds'!AH32=0,0,theta0+(theta1+theta2)*(1-EXP(-'Data Bonds'!AH32/la))/('Data Bonds'!AH32/la)-theta2*EXP(-'Data Bonds'!AH32/la))</f>
        <v>0</v>
      </c>
      <c r="AF33" s="45">
        <f>IF('Data Bonds'!AI32=0,0,theta0+(theta1+theta2)*(1-EXP(-'Data Bonds'!AI32/la))/('Data Bonds'!AI32/la)-theta2*EXP(-'Data Bonds'!AI32/la))</f>
        <v>0</v>
      </c>
      <c r="AG33" s="45">
        <f>IF('Data Bonds'!AJ32=0,0,theta0+(theta1+theta2)*(1-EXP(-'Data Bonds'!AJ32/la))/('Data Bonds'!AJ32/la)-theta2*EXP(-'Data Bonds'!AJ32/la))</f>
        <v>0</v>
      </c>
      <c r="AH33" s="45">
        <f>IF('Data Bonds'!AK32=0,0,theta0+(theta1+theta2)*(1-EXP(-'Data Bonds'!AK32/la))/('Data Bonds'!AK32/la)-theta2*EXP(-'Data Bonds'!AK32/la))</f>
        <v>0</v>
      </c>
      <c r="AI33" s="45">
        <f>IF('Data Bonds'!AL32=0,0,theta0+(theta1+theta2)*(1-EXP(-'Data Bonds'!AL32/la))/('Data Bonds'!AL32/la)-theta2*EXP(-'Data Bonds'!AL32/la))</f>
        <v>0</v>
      </c>
      <c r="AJ33" s="45">
        <f>IF('Data Bonds'!AM32=0,0,theta0+(theta1+theta2)*(1-EXP(-'Data Bonds'!AM32/la))/('Data Bonds'!AM32/la)-theta2*EXP(-'Data Bonds'!AM32/la))</f>
        <v>0</v>
      </c>
      <c r="AK33" s="45">
        <f>IF('Data Bonds'!AN32=0,0,theta0+(theta1+theta2)*(1-EXP(-'Data Bonds'!AN32/la))/('Data Bonds'!AN32/la)-theta2*EXP(-'Data Bonds'!AN32/la))</f>
        <v>0</v>
      </c>
      <c r="AL33" s="45">
        <f>IF('Data Bonds'!AO32=0,0,theta0+(theta1+theta2)*(1-EXP(-'Data Bonds'!AO32/la))/('Data Bonds'!AO32/la)-theta2*EXP(-'Data Bonds'!AO32/la))</f>
        <v>0</v>
      </c>
      <c r="AM33" s="45">
        <f>IF('Data Bonds'!AP32=0,0,theta0+(theta1+theta2)*(1-EXP(-'Data Bonds'!AP32/la))/('Data Bonds'!AP32/la)-theta2*EXP(-'Data Bonds'!AP32/la))</f>
        <v>0</v>
      </c>
      <c r="AN33" s="45">
        <f>IF('Data Bonds'!AQ32=0,0,theta0+(theta1+theta2)*(1-EXP(-'Data Bonds'!AQ32/la))/('Data Bonds'!AQ32/la)-theta2*EXP(-'Data Bonds'!AQ32/la))</f>
        <v>0</v>
      </c>
      <c r="AO33" s="45">
        <f>IF('Data Bonds'!AR32=0,0,theta0+(theta1+theta2)*(1-EXP(-'Data Bonds'!AR32/la))/('Data Bonds'!AR32/la)-theta2*EXP(-'Data Bonds'!AR32/la))</f>
        <v>0</v>
      </c>
      <c r="AP33" s="45">
        <f>IF('Data Bonds'!AS32=0,0,theta0+(theta1+theta2)*(1-EXP(-'Data Bonds'!AS32/la))/('Data Bonds'!AS32/la)-theta2*EXP(-'Data Bonds'!AS32/la))</f>
        <v>0</v>
      </c>
      <c r="AQ33" s="45">
        <f>IF('Data Bonds'!AT32=0,0,theta0+(theta1+theta2)*(1-EXP(-'Data Bonds'!AT32/la))/('Data Bonds'!AT32/la)-theta2*EXP(-'Data Bonds'!AT32/la))</f>
        <v>0</v>
      </c>
      <c r="AR33" s="45">
        <f>IF('Data Bonds'!AU32=0,0,theta0+(theta1+theta2)*(1-EXP(-'Data Bonds'!AU32/la))/('Data Bonds'!AU32/la)-theta2*EXP(-'Data Bonds'!AU32/la))</f>
        <v>0</v>
      </c>
      <c r="AS33" s="45">
        <f>IF('Data Bonds'!AV32=0,0,theta0+(theta1+theta2)*(1-EXP(-'Data Bonds'!AV32/la))/('Data Bonds'!AV32/la)-theta2*EXP(-'Data Bonds'!AV32/la))</f>
        <v>0</v>
      </c>
      <c r="AT33" s="45">
        <f>IF('Data Bonds'!AW32=0,0,theta0+(theta1+theta2)*(1-EXP(-'Data Bonds'!AW32/la))/('Data Bonds'!AW32/la)-theta2*EXP(-'Data Bonds'!AW32/la))</f>
        <v>0</v>
      </c>
      <c r="AU33" s="45">
        <f>IF('Data Bonds'!AX32=0,0,theta0+(theta1+theta2)*(1-EXP(-'Data Bonds'!AX32/la))/('Data Bonds'!AX32/la)-theta2*EXP(-'Data Bonds'!AX32/la))</f>
        <v>0</v>
      </c>
      <c r="AV33" s="45">
        <f>IF('Data Bonds'!AY32=0,0,theta0+(theta1+theta2)*(1-EXP(-'Data Bonds'!AY32/la))/('Data Bonds'!AY32/la)-theta2*EXP(-'Data Bonds'!AY32/la))</f>
        <v>0</v>
      </c>
      <c r="AW33" s="45">
        <f>IF('Data Bonds'!AZ32=0,0,theta0+(theta1+theta2)*(1-EXP(-'Data Bonds'!AZ32/la))/('Data Bonds'!AZ32/la)-theta2*EXP(-'Data Bonds'!AZ32/la))</f>
        <v>0</v>
      </c>
      <c r="AX33" s="45">
        <f>IF('Data Bonds'!BA32=0,0,theta0+(theta1+theta2)*(1-EXP(-'Data Bonds'!BA32/la))/('Data Bonds'!BA32/la)-theta2*EXP(-'Data Bonds'!BA32/la))</f>
        <v>0</v>
      </c>
      <c r="AY33" s="45">
        <f>IF('Data Bonds'!BB32=0,0,theta0+(theta1+theta2)*(1-EXP(-'Data Bonds'!BB32/la))/('Data Bonds'!BB32/la)-theta2*EXP(-'Data Bonds'!BB32/la))</f>
        <v>0</v>
      </c>
      <c r="AZ33" s="45">
        <f>IF('Data Bonds'!BC32=0,0,theta0+(theta1+theta2)*(1-EXP(-'Data Bonds'!BC32/la))/('Data Bonds'!BC32/la)-theta2*EXP(-'Data Bonds'!BC32/la))</f>
        <v>0</v>
      </c>
      <c r="BA33" s="45">
        <f>IF('Data Bonds'!BD32=0,0,theta0+(theta1+theta2)*(1-EXP(-'Data Bonds'!BD32/la))/('Data Bonds'!BD32/la)-theta2*EXP(-'Data Bonds'!BD32/la))</f>
        <v>0</v>
      </c>
      <c r="BB33" s="45">
        <f>IF('Data Bonds'!BE32=0,0,theta0+(theta1+theta2)*(1-EXP(-'Data Bonds'!BE32/la))/('Data Bonds'!BE32/la)-theta2*EXP(-'Data Bonds'!BE32/la))</f>
        <v>0</v>
      </c>
      <c r="BC33" s="45">
        <f>IF('Data Bonds'!BF32=0,0,theta0+(theta1+theta2)*(1-EXP(-'Data Bonds'!BF32/la))/('Data Bonds'!BF32/la)-theta2*EXP(-'Data Bonds'!BF32/la))</f>
        <v>0</v>
      </c>
      <c r="BD33" s="45">
        <f>IF('Data Bonds'!BG32=0,0,theta0+(theta1+theta2)*(1-EXP(-'Data Bonds'!BG32/la))/('Data Bonds'!BG32/la)-theta2*EXP(-'Data Bonds'!BG32/la))</f>
        <v>0</v>
      </c>
      <c r="BE33" s="45">
        <f>IF('Data Bonds'!BH32=0,0,theta0+(theta1+theta2)*(1-EXP(-'Data Bonds'!BH32/la))/('Data Bonds'!BH32/la)-theta2*EXP(-'Data Bonds'!BH32/la))</f>
        <v>0</v>
      </c>
      <c r="BF33" s="45">
        <f>IF('Data Bonds'!BI32=0,0,theta0+(theta1+theta2)*(1-EXP(-'Data Bonds'!BI32/la))/('Data Bonds'!BI32/la)-theta2*EXP(-'Data Bonds'!BI32/la))</f>
        <v>0</v>
      </c>
      <c r="BG33" s="45">
        <f>IF('Data Bonds'!BJ32=0,0,theta0+(theta1+theta2)*(1-EXP(-'Data Bonds'!BJ32/la))/('Data Bonds'!BJ32/la)-theta2*EXP(-'Data Bonds'!BJ32/la))</f>
        <v>0</v>
      </c>
      <c r="BH33" s="45">
        <f>IF('Data Bonds'!BK32=0,0,theta0+(theta1+theta2)*(1-EXP(-'Data Bonds'!BK32/la))/('Data Bonds'!BK32/la)-theta2*EXP(-'Data Bonds'!BK32/la))</f>
        <v>0</v>
      </c>
      <c r="BI33" s="45">
        <f>IF('Data Bonds'!BL32=0,0,theta0+(theta1+theta2)*(1-EXP(-'Data Bonds'!BL32/la))/('Data Bonds'!BL32/la)-theta2*EXP(-'Data Bonds'!BL32/la))</f>
        <v>0</v>
      </c>
      <c r="BJ33" s="45">
        <f>IF('Data Bonds'!BM32=0,0,theta0+(theta1+theta2)*(1-EXP(-'Data Bonds'!BM32/la))/('Data Bonds'!BM32/la)-theta2*EXP(-'Data Bonds'!BM32/la))</f>
        <v>0</v>
      </c>
      <c r="BK33" s="45">
        <f>IF('Data Bonds'!BN32=0,0,theta0+(theta1+theta2)*(1-EXP(-'Data Bonds'!BN32/la))/('Data Bonds'!BN32/la)-theta2*EXP(-'Data Bonds'!BN32/la))</f>
        <v>0</v>
      </c>
      <c r="BL33" s="45">
        <f>IF('Data Bonds'!BO32=0,0,theta0+(theta1+theta2)*(1-EXP(-'Data Bonds'!BO32/la))/('Data Bonds'!BO32/la)-theta2*EXP(-'Data Bonds'!BO32/la))</f>
        <v>0</v>
      </c>
      <c r="BM33" s="45">
        <f>IF('Data Bonds'!BP32=0,0,theta0+(theta1+theta2)*(1-EXP(-'Data Bonds'!BP32/la))/('Data Bonds'!BP32/la)-theta2*EXP(-'Data Bonds'!BP32/la))</f>
        <v>0</v>
      </c>
      <c r="BN33" s="45">
        <f>IF('Data Bonds'!BQ32=0,0,theta0+(theta1+theta2)*(1-EXP(-'Data Bonds'!BQ32/la))/('Data Bonds'!BQ32/la)-theta2*EXP(-'Data Bonds'!BQ32/la))</f>
        <v>0</v>
      </c>
      <c r="BO33" s="45">
        <f>IF('Data Bonds'!BR32=0,0,theta0+(theta1+theta2)*(1-EXP(-'Data Bonds'!BR32/la))/('Data Bonds'!BR32/la)-theta2*EXP(-'Data Bonds'!BR32/la))</f>
        <v>0</v>
      </c>
      <c r="BP33" s="38">
        <f>EXP(-'Data Bonds'!K32*H33)</f>
        <v>0.99030095386253514</v>
      </c>
      <c r="BQ33" s="38">
        <f>EXP(-'Data Bonds'!L32*I33)</f>
        <v>0.96596142383001249</v>
      </c>
      <c r="BR33" s="38">
        <f>EXP(-'Data Bonds'!M32*J33)</f>
        <v>0.94276024382077384</v>
      </c>
      <c r="BS33" s="38">
        <f>EXP(-'Data Bonds'!N32*K33)</f>
        <v>0.92013309652437447</v>
      </c>
      <c r="BT33" s="38">
        <f>EXP(-'Data Bonds'!O32*L33)</f>
        <v>0.8978301597681585</v>
      </c>
      <c r="BU33" s="38">
        <f>EXP(-'Data Bonds'!P32*M33)</f>
        <v>0.8757679623727499</v>
      </c>
      <c r="BV33" s="38">
        <f>EXP(-'Data Bonds'!Q32*N33)</f>
        <v>0.85394508705932803</v>
      </c>
      <c r="BW33" s="38">
        <f>EXP(-'Data Bonds'!R32*O33)</f>
        <v>0.83239541980118914</v>
      </c>
      <c r="BX33" s="38">
        <f>EXP(-'Data Bonds'!S32*P33)</f>
        <v>0.81116332561828708</v>
      </c>
      <c r="BY33" s="38">
        <f>EXP(-'Data Bonds'!T32*Q33)</f>
        <v>0.79029139660492453</v>
      </c>
      <c r="BZ33" s="38">
        <f>EXP(-'Data Bonds'!U32*R33)</f>
        <v>0.76981519641342533</v>
      </c>
      <c r="CA33" s="38">
        <f>EXP(-'Data Bonds'!V32*S33)</f>
        <v>0.74976172414671449</v>
      </c>
      <c r="CB33" s="38">
        <f>EXP(-'Data Bonds'!W32*T33)</f>
        <v>0.73014971419213559</v>
      </c>
      <c r="CC33" s="38">
        <f>EXP(-'Data Bonds'!X32*U33)</f>
        <v>0.71099072354814263</v>
      </c>
      <c r="CD33" s="38">
        <f>EXP(-'Data Bonds'!Y32*V33)</f>
        <v>1</v>
      </c>
      <c r="CE33" s="38">
        <f>EXP(-'Data Bonds'!Z32*W33)</f>
        <v>1</v>
      </c>
      <c r="CF33" s="38">
        <f>EXP(-'Data Bonds'!AA32*X33)</f>
        <v>1</v>
      </c>
      <c r="CG33" s="38">
        <f>EXP(-'Data Bonds'!AB32*Y33)</f>
        <v>1</v>
      </c>
      <c r="CH33" s="38">
        <f>EXP(-'Data Bonds'!AC32*Z33)</f>
        <v>1</v>
      </c>
      <c r="CI33" s="38">
        <f>EXP(-'Data Bonds'!AD32*AA33)</f>
        <v>1</v>
      </c>
      <c r="CJ33" s="38">
        <f>EXP(-'Data Bonds'!AE32*AB33)</f>
        <v>1</v>
      </c>
      <c r="CK33" s="38">
        <f>EXP(-'Data Bonds'!AF32*AC33)</f>
        <v>1</v>
      </c>
      <c r="CL33" s="38">
        <f>EXP(-'Data Bonds'!AG32*AD33)</f>
        <v>1</v>
      </c>
      <c r="CM33" s="38">
        <f>EXP(-'Data Bonds'!AH32*AE33)</f>
        <v>1</v>
      </c>
      <c r="CN33" s="38">
        <f>EXP(-'Data Bonds'!AI32*AF33)</f>
        <v>1</v>
      </c>
      <c r="CO33" s="38">
        <f>EXP(-'Data Bonds'!AJ32*AG33)</f>
        <v>1</v>
      </c>
      <c r="CP33" s="38">
        <f>EXP(-'Data Bonds'!AK32*AH33)</f>
        <v>1</v>
      </c>
      <c r="CQ33" s="38">
        <f>EXP(-'Data Bonds'!AL32*AI33)</f>
        <v>1</v>
      </c>
      <c r="CR33" s="38">
        <f>EXP(-'Data Bonds'!AM32*AJ33)</f>
        <v>1</v>
      </c>
      <c r="CS33" s="38">
        <f>EXP(-'Data Bonds'!AN32*AK33)</f>
        <v>1</v>
      </c>
      <c r="CT33" s="38">
        <f>EXP(-'Data Bonds'!AO32*AL33)</f>
        <v>1</v>
      </c>
      <c r="CU33" s="38">
        <f>EXP(-'Data Bonds'!AP32*AM33)</f>
        <v>1</v>
      </c>
      <c r="CV33" s="38">
        <f>EXP(-'Data Bonds'!AQ32*AN33)</f>
        <v>1</v>
      </c>
      <c r="CW33" s="38">
        <f>EXP(-'Data Bonds'!AR32*AO33)</f>
        <v>1</v>
      </c>
      <c r="CX33" s="38">
        <f>EXP(-'Data Bonds'!AS32*AP33)</f>
        <v>1</v>
      </c>
      <c r="CY33" s="38">
        <f>EXP(-'Data Bonds'!AT32*AQ33)</f>
        <v>1</v>
      </c>
      <c r="CZ33" s="38">
        <f>EXP(-'Data Bonds'!AU32*AR33)</f>
        <v>1</v>
      </c>
      <c r="DA33" s="38">
        <f>EXP(-'Data Bonds'!AV32*AS33)</f>
        <v>1</v>
      </c>
      <c r="DB33" s="38">
        <f>EXP(-'Data Bonds'!AW32*AT33)</f>
        <v>1</v>
      </c>
      <c r="DC33" s="38">
        <f>EXP(-'Data Bonds'!AX32*AU33)</f>
        <v>1</v>
      </c>
      <c r="DD33" s="38">
        <f>EXP(-'Data Bonds'!AY32*AV33)</f>
        <v>1</v>
      </c>
      <c r="DE33" s="38">
        <f>EXP(-'Data Bonds'!AZ32*AW33)</f>
        <v>1</v>
      </c>
      <c r="DF33" s="38">
        <f>EXP(-'Data Bonds'!BA32*AX33)</f>
        <v>1</v>
      </c>
      <c r="DG33" s="38">
        <f>EXP(-'Data Bonds'!BB32*AY33)</f>
        <v>1</v>
      </c>
      <c r="DH33" s="38">
        <f>EXP(-'Data Bonds'!BC32*AZ33)</f>
        <v>1</v>
      </c>
      <c r="DI33" s="38">
        <f>EXP(-'Data Bonds'!BD32*BA33)</f>
        <v>1</v>
      </c>
      <c r="DJ33" s="38">
        <f>EXP(-'Data Bonds'!BE32*BB33)</f>
        <v>1</v>
      </c>
      <c r="DK33" s="38">
        <f>EXP(-'Data Bonds'!BF32*BC33)</f>
        <v>1</v>
      </c>
      <c r="DL33" s="38">
        <f>EXP(-'Data Bonds'!BG32*BD33)</f>
        <v>1</v>
      </c>
      <c r="DM33" s="38">
        <f>EXP(-'Data Bonds'!BH32*BE33)</f>
        <v>1</v>
      </c>
      <c r="DN33" s="38">
        <f>EXP(-'Data Bonds'!BI32*BF33)</f>
        <v>1</v>
      </c>
      <c r="DO33" s="38">
        <f>EXP(-'Data Bonds'!BJ32*BG33)</f>
        <v>1</v>
      </c>
      <c r="DP33" s="38">
        <f>EXP(-'Data Bonds'!BK32*BH33)</f>
        <v>1</v>
      </c>
      <c r="DQ33" s="38">
        <f>EXP(-'Data Bonds'!BL32*BI33)</f>
        <v>1</v>
      </c>
      <c r="DR33" s="38">
        <f>EXP(-'Data Bonds'!BM32*BJ33)</f>
        <v>1</v>
      </c>
      <c r="DS33" s="38">
        <f>EXP(-'Data Bonds'!BN32*BK33)</f>
        <v>1</v>
      </c>
      <c r="DT33" s="38">
        <f>EXP(-'Data Bonds'!BO32*BL33)</f>
        <v>1</v>
      </c>
      <c r="DU33" s="38">
        <f>EXP(-'Data Bonds'!BP32*BM33)</f>
        <v>1</v>
      </c>
      <c r="DV33" s="38">
        <f>EXP(-'Data Bonds'!BQ32*BN33)</f>
        <v>1</v>
      </c>
      <c r="DW33" s="38">
        <f>EXP(-'Data Bonds'!BR32*BO33)</f>
        <v>1</v>
      </c>
      <c r="DX33" s="28">
        <f>SUMPRODUCT(BP33:DW33,'Data Bonds'!BU32:EB32)</f>
        <v>94.781605209939769</v>
      </c>
      <c r="DY33" s="28">
        <f t="shared" si="5"/>
        <v>8.4660185760888934E-2</v>
      </c>
      <c r="EA33" s="33">
        <f t="shared" si="6"/>
        <v>11</v>
      </c>
      <c r="EB33" s="29">
        <f t="shared" si="2"/>
        <v>5.1984770560775988E-2</v>
      </c>
      <c r="EC33" s="29">
        <f t="shared" si="3"/>
        <v>0.56449007573912113</v>
      </c>
      <c r="ED33" s="29">
        <f t="shared" si="7"/>
        <v>5.3633129007705685E-2</v>
      </c>
      <c r="EE33" s="32"/>
      <c r="EF33" s="32"/>
      <c r="EG33" s="32"/>
      <c r="EI33" s="34"/>
    </row>
    <row r="34" spans="2:139">
      <c r="B34" s="27">
        <f>'Data Bonds'!E33</f>
        <v>4.25</v>
      </c>
      <c r="C34" s="27">
        <f>'Data Bonds'!F33</f>
        <v>94.78125</v>
      </c>
      <c r="D34" s="27">
        <f>'Data Bonds'!G33</f>
        <v>94.8125</v>
      </c>
      <c r="E34" s="27">
        <f>'Data Bonds'!I33</f>
        <v>1.3222222222222222</v>
      </c>
      <c r="F34" s="40">
        <f>'Data Bonds'!H33</f>
        <v>7.1888888888888891</v>
      </c>
      <c r="G34" s="28">
        <f t="shared" si="4"/>
        <v>96.119097222222223</v>
      </c>
      <c r="H34" s="45">
        <f>IF('Data Bonds'!K33=0,0,theta0+(theta1+theta2)*(1-EXP(-'Data Bonds'!K33/la))/('Data Bonds'!K33/la)-theta2*EXP(-'Data Bonds'!K33/la))</f>
        <v>5.1598526027898411E-2</v>
      </c>
      <c r="I34" s="45">
        <f>IF('Data Bonds'!L33=0,0,theta0+(theta1+theta2)*(1-EXP(-'Data Bonds'!L33/la))/('Data Bonds'!L33/la)-theta2*EXP(-'Data Bonds'!L33/la))</f>
        <v>5.0271357324748023E-2</v>
      </c>
      <c r="J34" s="45">
        <f>IF('Data Bonds'!M33=0,0,theta0+(theta1+theta2)*(1-EXP(-'Data Bonds'!M33/la))/('Data Bonds'!M33/la)-theta2*EXP(-'Data Bonds'!M33/la))</f>
        <v>4.9578457297749672E-2</v>
      </c>
      <c r="K34" s="45">
        <f>IF('Data Bonds'!N33=0,0,theta0+(theta1+theta2)*(1-EXP(-'Data Bonds'!N33/la))/('Data Bonds'!N33/la)-theta2*EXP(-'Data Bonds'!N33/la))</f>
        <v>4.9285035750538553E-2</v>
      </c>
      <c r="L34" s="45">
        <f>IF('Data Bonds'!O33=0,0,theta0+(theta1+theta2)*(1-EXP(-'Data Bonds'!O33/la))/('Data Bonds'!O33/la)-theta2*EXP(-'Data Bonds'!O33/la))</f>
        <v>4.9237017363447266E-2</v>
      </c>
      <c r="M34" s="45">
        <f>IF('Data Bonds'!P33=0,0,theta0+(theta1+theta2)*(1-EXP(-'Data Bonds'!P33/la))/('Data Bonds'!P33/la)-theta2*EXP(-'Data Bonds'!P33/la))</f>
        <v>4.9334171753160738E-2</v>
      </c>
      <c r="N34" s="45">
        <f>IF('Data Bonds'!Q33=0,0,theta0+(theta1+theta2)*(1-EXP(-'Data Bonds'!Q33/la))/('Data Bonds'!Q33/la)-theta2*EXP(-'Data Bonds'!Q33/la))</f>
        <v>4.9512038088999483E-2</v>
      </c>
      <c r="O34" s="45">
        <f>IF('Data Bonds'!R33=0,0,theta0+(theta1+theta2)*(1-EXP(-'Data Bonds'!R33/la))/('Data Bonds'!R33/la)-theta2*EXP(-'Data Bonds'!R33/la))</f>
        <v>4.9729794635889335E-2</v>
      </c>
      <c r="P34" s="45">
        <f>IF('Data Bonds'!S33=0,0,theta0+(theta1+theta2)*(1-EXP(-'Data Bonds'!S33/la))/('Data Bonds'!S33/la)-theta2*EXP(-'Data Bonds'!S33/la))</f>
        <v>4.9962140977046696E-2</v>
      </c>
      <c r="Q34" s="45">
        <f>IF('Data Bonds'!T33=0,0,theta0+(theta1+theta2)*(1-EXP(-'Data Bonds'!T33/la))/('Data Bonds'!T33/la)-theta2*EXP(-'Data Bonds'!T33/la))</f>
        <v>5.0193884019659962E-2</v>
      </c>
      <c r="R34" s="45">
        <f>IF('Data Bonds'!U33=0,0,theta0+(theta1+theta2)*(1-EXP(-'Data Bonds'!U33/la))/('Data Bonds'!U33/la)-theta2*EXP(-'Data Bonds'!U33/la))</f>
        <v>5.0416342149512058E-2</v>
      </c>
      <c r="S34" s="45">
        <f>IF('Data Bonds'!V33=0,0,theta0+(theta1+theta2)*(1-EXP(-'Data Bonds'!V33/la))/('Data Bonds'!V33/la)-theta2*EXP(-'Data Bonds'!V33/la))</f>
        <v>5.0624969074311257E-2</v>
      </c>
      <c r="T34" s="45">
        <f>IF('Data Bonds'!W33=0,0,theta0+(theta1+theta2)*(1-EXP(-'Data Bonds'!W33/la))/('Data Bonds'!W33/la)-theta2*EXP(-'Data Bonds'!W33/la))</f>
        <v>5.0817793561872729E-2</v>
      </c>
      <c r="U34" s="45">
        <f>IF('Data Bonds'!X33=0,0,theta0+(theta1+theta2)*(1-EXP(-'Data Bonds'!X33/la))/('Data Bonds'!X33/la)-theta2*EXP(-'Data Bonds'!X33/la))</f>
        <v>5.0994403103277734E-2</v>
      </c>
      <c r="V34" s="45">
        <f>IF('Data Bonds'!Y33=0,0,theta0+(theta1+theta2)*(1-EXP(-'Data Bonds'!Y33/la))/('Data Bonds'!Y33/la)-theta2*EXP(-'Data Bonds'!Y33/la))</f>
        <v>5.1155288695615496E-2</v>
      </c>
      <c r="W34" s="45">
        <f>IF('Data Bonds'!Z33=0,0,theta0+(theta1+theta2)*(1-EXP(-'Data Bonds'!Z33/la))/('Data Bonds'!Z33/la)-theta2*EXP(-'Data Bonds'!Z33/la))</f>
        <v>0</v>
      </c>
      <c r="X34" s="45">
        <f>IF('Data Bonds'!AA33=0,0,theta0+(theta1+theta2)*(1-EXP(-'Data Bonds'!AA33/la))/('Data Bonds'!AA33/la)-theta2*EXP(-'Data Bonds'!AA33/la))</f>
        <v>0</v>
      </c>
      <c r="Y34" s="45">
        <f>IF('Data Bonds'!AB33=0,0,theta0+(theta1+theta2)*(1-EXP(-'Data Bonds'!AB33/la))/('Data Bonds'!AB33/la)-theta2*EXP(-'Data Bonds'!AB33/la))</f>
        <v>0</v>
      </c>
      <c r="Z34" s="45">
        <f>IF('Data Bonds'!AC33=0,0,theta0+(theta1+theta2)*(1-EXP(-'Data Bonds'!AC33/la))/('Data Bonds'!AC33/la)-theta2*EXP(-'Data Bonds'!AC33/la))</f>
        <v>0</v>
      </c>
      <c r="AA34" s="45">
        <f>IF('Data Bonds'!AD33=0,0,theta0+(theta1+theta2)*(1-EXP(-'Data Bonds'!AD33/la))/('Data Bonds'!AD33/la)-theta2*EXP(-'Data Bonds'!AD33/la))</f>
        <v>0</v>
      </c>
      <c r="AB34" s="45">
        <f>IF('Data Bonds'!AE33=0,0,theta0+(theta1+theta2)*(1-EXP(-'Data Bonds'!AE33/la))/('Data Bonds'!AE33/la)-theta2*EXP(-'Data Bonds'!AE33/la))</f>
        <v>0</v>
      </c>
      <c r="AC34" s="45">
        <f>IF('Data Bonds'!AF33=0,0,theta0+(theta1+theta2)*(1-EXP(-'Data Bonds'!AF33/la))/('Data Bonds'!AF33/la)-theta2*EXP(-'Data Bonds'!AF33/la))</f>
        <v>0</v>
      </c>
      <c r="AD34" s="45">
        <f>IF('Data Bonds'!AG33=0,0,theta0+(theta1+theta2)*(1-EXP(-'Data Bonds'!AG33/la))/('Data Bonds'!AG33/la)-theta2*EXP(-'Data Bonds'!AG33/la))</f>
        <v>0</v>
      </c>
      <c r="AE34" s="45">
        <f>IF('Data Bonds'!AH33=0,0,theta0+(theta1+theta2)*(1-EXP(-'Data Bonds'!AH33/la))/('Data Bonds'!AH33/la)-theta2*EXP(-'Data Bonds'!AH33/la))</f>
        <v>0</v>
      </c>
      <c r="AF34" s="45">
        <f>IF('Data Bonds'!AI33=0,0,theta0+(theta1+theta2)*(1-EXP(-'Data Bonds'!AI33/la))/('Data Bonds'!AI33/la)-theta2*EXP(-'Data Bonds'!AI33/la))</f>
        <v>0</v>
      </c>
      <c r="AG34" s="45">
        <f>IF('Data Bonds'!AJ33=0,0,theta0+(theta1+theta2)*(1-EXP(-'Data Bonds'!AJ33/la))/('Data Bonds'!AJ33/la)-theta2*EXP(-'Data Bonds'!AJ33/la))</f>
        <v>0</v>
      </c>
      <c r="AH34" s="45">
        <f>IF('Data Bonds'!AK33=0,0,theta0+(theta1+theta2)*(1-EXP(-'Data Bonds'!AK33/la))/('Data Bonds'!AK33/la)-theta2*EXP(-'Data Bonds'!AK33/la))</f>
        <v>0</v>
      </c>
      <c r="AI34" s="45">
        <f>IF('Data Bonds'!AL33=0,0,theta0+(theta1+theta2)*(1-EXP(-'Data Bonds'!AL33/la))/('Data Bonds'!AL33/la)-theta2*EXP(-'Data Bonds'!AL33/la))</f>
        <v>0</v>
      </c>
      <c r="AJ34" s="45">
        <f>IF('Data Bonds'!AM33=0,0,theta0+(theta1+theta2)*(1-EXP(-'Data Bonds'!AM33/la))/('Data Bonds'!AM33/la)-theta2*EXP(-'Data Bonds'!AM33/la))</f>
        <v>0</v>
      </c>
      <c r="AK34" s="45">
        <f>IF('Data Bonds'!AN33=0,0,theta0+(theta1+theta2)*(1-EXP(-'Data Bonds'!AN33/la))/('Data Bonds'!AN33/la)-theta2*EXP(-'Data Bonds'!AN33/la))</f>
        <v>0</v>
      </c>
      <c r="AL34" s="45">
        <f>IF('Data Bonds'!AO33=0,0,theta0+(theta1+theta2)*(1-EXP(-'Data Bonds'!AO33/la))/('Data Bonds'!AO33/la)-theta2*EXP(-'Data Bonds'!AO33/la))</f>
        <v>0</v>
      </c>
      <c r="AM34" s="45">
        <f>IF('Data Bonds'!AP33=0,0,theta0+(theta1+theta2)*(1-EXP(-'Data Bonds'!AP33/la))/('Data Bonds'!AP33/la)-theta2*EXP(-'Data Bonds'!AP33/la))</f>
        <v>0</v>
      </c>
      <c r="AN34" s="45">
        <f>IF('Data Bonds'!AQ33=0,0,theta0+(theta1+theta2)*(1-EXP(-'Data Bonds'!AQ33/la))/('Data Bonds'!AQ33/la)-theta2*EXP(-'Data Bonds'!AQ33/la))</f>
        <v>0</v>
      </c>
      <c r="AO34" s="45">
        <f>IF('Data Bonds'!AR33=0,0,theta0+(theta1+theta2)*(1-EXP(-'Data Bonds'!AR33/la))/('Data Bonds'!AR33/la)-theta2*EXP(-'Data Bonds'!AR33/la))</f>
        <v>0</v>
      </c>
      <c r="AP34" s="45">
        <f>IF('Data Bonds'!AS33=0,0,theta0+(theta1+theta2)*(1-EXP(-'Data Bonds'!AS33/la))/('Data Bonds'!AS33/la)-theta2*EXP(-'Data Bonds'!AS33/la))</f>
        <v>0</v>
      </c>
      <c r="AQ34" s="45">
        <f>IF('Data Bonds'!AT33=0,0,theta0+(theta1+theta2)*(1-EXP(-'Data Bonds'!AT33/la))/('Data Bonds'!AT33/la)-theta2*EXP(-'Data Bonds'!AT33/la))</f>
        <v>0</v>
      </c>
      <c r="AR34" s="45">
        <f>IF('Data Bonds'!AU33=0,0,theta0+(theta1+theta2)*(1-EXP(-'Data Bonds'!AU33/la))/('Data Bonds'!AU33/la)-theta2*EXP(-'Data Bonds'!AU33/la))</f>
        <v>0</v>
      </c>
      <c r="AS34" s="45">
        <f>IF('Data Bonds'!AV33=0,0,theta0+(theta1+theta2)*(1-EXP(-'Data Bonds'!AV33/la))/('Data Bonds'!AV33/la)-theta2*EXP(-'Data Bonds'!AV33/la))</f>
        <v>0</v>
      </c>
      <c r="AT34" s="45">
        <f>IF('Data Bonds'!AW33=0,0,theta0+(theta1+theta2)*(1-EXP(-'Data Bonds'!AW33/la))/('Data Bonds'!AW33/la)-theta2*EXP(-'Data Bonds'!AW33/la))</f>
        <v>0</v>
      </c>
      <c r="AU34" s="45">
        <f>IF('Data Bonds'!AX33=0,0,theta0+(theta1+theta2)*(1-EXP(-'Data Bonds'!AX33/la))/('Data Bonds'!AX33/la)-theta2*EXP(-'Data Bonds'!AX33/la))</f>
        <v>0</v>
      </c>
      <c r="AV34" s="45">
        <f>IF('Data Bonds'!AY33=0,0,theta0+(theta1+theta2)*(1-EXP(-'Data Bonds'!AY33/la))/('Data Bonds'!AY33/la)-theta2*EXP(-'Data Bonds'!AY33/la))</f>
        <v>0</v>
      </c>
      <c r="AW34" s="45">
        <f>IF('Data Bonds'!AZ33=0,0,theta0+(theta1+theta2)*(1-EXP(-'Data Bonds'!AZ33/la))/('Data Bonds'!AZ33/la)-theta2*EXP(-'Data Bonds'!AZ33/la))</f>
        <v>0</v>
      </c>
      <c r="AX34" s="45">
        <f>IF('Data Bonds'!BA33=0,0,theta0+(theta1+theta2)*(1-EXP(-'Data Bonds'!BA33/la))/('Data Bonds'!BA33/la)-theta2*EXP(-'Data Bonds'!BA33/la))</f>
        <v>0</v>
      </c>
      <c r="AY34" s="45">
        <f>IF('Data Bonds'!BB33=0,0,theta0+(theta1+theta2)*(1-EXP(-'Data Bonds'!BB33/la))/('Data Bonds'!BB33/la)-theta2*EXP(-'Data Bonds'!BB33/la))</f>
        <v>0</v>
      </c>
      <c r="AZ34" s="45">
        <f>IF('Data Bonds'!BC33=0,0,theta0+(theta1+theta2)*(1-EXP(-'Data Bonds'!BC33/la))/('Data Bonds'!BC33/la)-theta2*EXP(-'Data Bonds'!BC33/la))</f>
        <v>0</v>
      </c>
      <c r="BA34" s="45">
        <f>IF('Data Bonds'!BD33=0,0,theta0+(theta1+theta2)*(1-EXP(-'Data Bonds'!BD33/la))/('Data Bonds'!BD33/la)-theta2*EXP(-'Data Bonds'!BD33/la))</f>
        <v>0</v>
      </c>
      <c r="BB34" s="45">
        <f>IF('Data Bonds'!BE33=0,0,theta0+(theta1+theta2)*(1-EXP(-'Data Bonds'!BE33/la))/('Data Bonds'!BE33/la)-theta2*EXP(-'Data Bonds'!BE33/la))</f>
        <v>0</v>
      </c>
      <c r="BC34" s="45">
        <f>IF('Data Bonds'!BF33=0,0,theta0+(theta1+theta2)*(1-EXP(-'Data Bonds'!BF33/la))/('Data Bonds'!BF33/la)-theta2*EXP(-'Data Bonds'!BF33/la))</f>
        <v>0</v>
      </c>
      <c r="BD34" s="45">
        <f>IF('Data Bonds'!BG33=0,0,theta0+(theta1+theta2)*(1-EXP(-'Data Bonds'!BG33/la))/('Data Bonds'!BG33/la)-theta2*EXP(-'Data Bonds'!BG33/la))</f>
        <v>0</v>
      </c>
      <c r="BE34" s="45">
        <f>IF('Data Bonds'!BH33=0,0,theta0+(theta1+theta2)*(1-EXP(-'Data Bonds'!BH33/la))/('Data Bonds'!BH33/la)-theta2*EXP(-'Data Bonds'!BH33/la))</f>
        <v>0</v>
      </c>
      <c r="BF34" s="45">
        <f>IF('Data Bonds'!BI33=0,0,theta0+(theta1+theta2)*(1-EXP(-'Data Bonds'!BI33/la))/('Data Bonds'!BI33/la)-theta2*EXP(-'Data Bonds'!BI33/la))</f>
        <v>0</v>
      </c>
      <c r="BG34" s="45">
        <f>IF('Data Bonds'!BJ33=0,0,theta0+(theta1+theta2)*(1-EXP(-'Data Bonds'!BJ33/la))/('Data Bonds'!BJ33/la)-theta2*EXP(-'Data Bonds'!BJ33/la))</f>
        <v>0</v>
      </c>
      <c r="BH34" s="45">
        <f>IF('Data Bonds'!BK33=0,0,theta0+(theta1+theta2)*(1-EXP(-'Data Bonds'!BK33/la))/('Data Bonds'!BK33/la)-theta2*EXP(-'Data Bonds'!BK33/la))</f>
        <v>0</v>
      </c>
      <c r="BI34" s="45">
        <f>IF('Data Bonds'!BL33=0,0,theta0+(theta1+theta2)*(1-EXP(-'Data Bonds'!BL33/la))/('Data Bonds'!BL33/la)-theta2*EXP(-'Data Bonds'!BL33/la))</f>
        <v>0</v>
      </c>
      <c r="BJ34" s="45">
        <f>IF('Data Bonds'!BM33=0,0,theta0+(theta1+theta2)*(1-EXP(-'Data Bonds'!BM33/la))/('Data Bonds'!BM33/la)-theta2*EXP(-'Data Bonds'!BM33/la))</f>
        <v>0</v>
      </c>
      <c r="BK34" s="45">
        <f>IF('Data Bonds'!BN33=0,0,theta0+(theta1+theta2)*(1-EXP(-'Data Bonds'!BN33/la))/('Data Bonds'!BN33/la)-theta2*EXP(-'Data Bonds'!BN33/la))</f>
        <v>0</v>
      </c>
      <c r="BL34" s="45">
        <f>IF('Data Bonds'!BO33=0,0,theta0+(theta1+theta2)*(1-EXP(-'Data Bonds'!BO33/la))/('Data Bonds'!BO33/la)-theta2*EXP(-'Data Bonds'!BO33/la))</f>
        <v>0</v>
      </c>
      <c r="BM34" s="45">
        <f>IF('Data Bonds'!BP33=0,0,theta0+(theta1+theta2)*(1-EXP(-'Data Bonds'!BP33/la))/('Data Bonds'!BP33/la)-theta2*EXP(-'Data Bonds'!BP33/la))</f>
        <v>0</v>
      </c>
      <c r="BN34" s="45">
        <f>IF('Data Bonds'!BQ33=0,0,theta0+(theta1+theta2)*(1-EXP(-'Data Bonds'!BQ33/la))/('Data Bonds'!BQ33/la)-theta2*EXP(-'Data Bonds'!BQ33/la))</f>
        <v>0</v>
      </c>
      <c r="BO34" s="45">
        <f>IF('Data Bonds'!BR33=0,0,theta0+(theta1+theta2)*(1-EXP(-'Data Bonds'!BR33/la))/('Data Bonds'!BR33/la)-theta2*EXP(-'Data Bonds'!BR33/la))</f>
        <v>0</v>
      </c>
      <c r="BP34" s="38">
        <f>EXP(-'Data Bonds'!K33*H34)</f>
        <v>0.99030095386253514</v>
      </c>
      <c r="BQ34" s="38">
        <f>EXP(-'Data Bonds'!L33*I34)</f>
        <v>0.96596142383001249</v>
      </c>
      <c r="BR34" s="38">
        <f>EXP(-'Data Bonds'!M33*J34)</f>
        <v>0.94276024382077384</v>
      </c>
      <c r="BS34" s="38">
        <f>EXP(-'Data Bonds'!N33*K34)</f>
        <v>0.92013309652437447</v>
      </c>
      <c r="BT34" s="38">
        <f>EXP(-'Data Bonds'!O33*L34)</f>
        <v>0.8978301597681585</v>
      </c>
      <c r="BU34" s="38">
        <f>EXP(-'Data Bonds'!P33*M34)</f>
        <v>0.8757679623727499</v>
      </c>
      <c r="BV34" s="38">
        <f>EXP(-'Data Bonds'!Q33*N34)</f>
        <v>0.85394508705932803</v>
      </c>
      <c r="BW34" s="38">
        <f>EXP(-'Data Bonds'!R33*O34)</f>
        <v>0.83239541980118914</v>
      </c>
      <c r="BX34" s="38">
        <f>EXP(-'Data Bonds'!S33*P34)</f>
        <v>0.81116332561828708</v>
      </c>
      <c r="BY34" s="38">
        <f>EXP(-'Data Bonds'!T33*Q34)</f>
        <v>0.79029139660492453</v>
      </c>
      <c r="BZ34" s="38">
        <f>EXP(-'Data Bonds'!U33*R34)</f>
        <v>0.76981519641342533</v>
      </c>
      <c r="CA34" s="38">
        <f>EXP(-'Data Bonds'!V33*S34)</f>
        <v>0.74976172414671449</v>
      </c>
      <c r="CB34" s="38">
        <f>EXP(-'Data Bonds'!W33*T34)</f>
        <v>0.73014971419213559</v>
      </c>
      <c r="CC34" s="38">
        <f>EXP(-'Data Bonds'!X33*U34)</f>
        <v>0.71099072354814263</v>
      </c>
      <c r="CD34" s="38">
        <f>EXP(-'Data Bonds'!Y33*V34)</f>
        <v>0.69229044963946051</v>
      </c>
      <c r="CE34" s="38">
        <f>EXP(-'Data Bonds'!Z33*W34)</f>
        <v>1</v>
      </c>
      <c r="CF34" s="38">
        <f>EXP(-'Data Bonds'!AA33*X34)</f>
        <v>1</v>
      </c>
      <c r="CG34" s="38">
        <f>EXP(-'Data Bonds'!AB33*Y34)</f>
        <v>1</v>
      </c>
      <c r="CH34" s="38">
        <f>EXP(-'Data Bonds'!AC33*Z34)</f>
        <v>1</v>
      </c>
      <c r="CI34" s="38">
        <f>EXP(-'Data Bonds'!AD33*AA34)</f>
        <v>1</v>
      </c>
      <c r="CJ34" s="38">
        <f>EXP(-'Data Bonds'!AE33*AB34)</f>
        <v>1</v>
      </c>
      <c r="CK34" s="38">
        <f>EXP(-'Data Bonds'!AF33*AC34)</f>
        <v>1</v>
      </c>
      <c r="CL34" s="38">
        <f>EXP(-'Data Bonds'!AG33*AD34)</f>
        <v>1</v>
      </c>
      <c r="CM34" s="38">
        <f>EXP(-'Data Bonds'!AH33*AE34)</f>
        <v>1</v>
      </c>
      <c r="CN34" s="38">
        <f>EXP(-'Data Bonds'!AI33*AF34)</f>
        <v>1</v>
      </c>
      <c r="CO34" s="38">
        <f>EXP(-'Data Bonds'!AJ33*AG34)</f>
        <v>1</v>
      </c>
      <c r="CP34" s="38">
        <f>EXP(-'Data Bonds'!AK33*AH34)</f>
        <v>1</v>
      </c>
      <c r="CQ34" s="38">
        <f>EXP(-'Data Bonds'!AL33*AI34)</f>
        <v>1</v>
      </c>
      <c r="CR34" s="38">
        <f>EXP(-'Data Bonds'!AM33*AJ34)</f>
        <v>1</v>
      </c>
      <c r="CS34" s="38">
        <f>EXP(-'Data Bonds'!AN33*AK34)</f>
        <v>1</v>
      </c>
      <c r="CT34" s="38">
        <f>EXP(-'Data Bonds'!AO33*AL34)</f>
        <v>1</v>
      </c>
      <c r="CU34" s="38">
        <f>EXP(-'Data Bonds'!AP33*AM34)</f>
        <v>1</v>
      </c>
      <c r="CV34" s="38">
        <f>EXP(-'Data Bonds'!AQ33*AN34)</f>
        <v>1</v>
      </c>
      <c r="CW34" s="38">
        <f>EXP(-'Data Bonds'!AR33*AO34)</f>
        <v>1</v>
      </c>
      <c r="CX34" s="38">
        <f>EXP(-'Data Bonds'!AS33*AP34)</f>
        <v>1</v>
      </c>
      <c r="CY34" s="38">
        <f>EXP(-'Data Bonds'!AT33*AQ34)</f>
        <v>1</v>
      </c>
      <c r="CZ34" s="38">
        <f>EXP(-'Data Bonds'!AU33*AR34)</f>
        <v>1</v>
      </c>
      <c r="DA34" s="38">
        <f>EXP(-'Data Bonds'!AV33*AS34)</f>
        <v>1</v>
      </c>
      <c r="DB34" s="38">
        <f>EXP(-'Data Bonds'!AW33*AT34)</f>
        <v>1</v>
      </c>
      <c r="DC34" s="38">
        <f>EXP(-'Data Bonds'!AX33*AU34)</f>
        <v>1</v>
      </c>
      <c r="DD34" s="38">
        <f>EXP(-'Data Bonds'!AY33*AV34)</f>
        <v>1</v>
      </c>
      <c r="DE34" s="38">
        <f>EXP(-'Data Bonds'!AZ33*AW34)</f>
        <v>1</v>
      </c>
      <c r="DF34" s="38">
        <f>EXP(-'Data Bonds'!BA33*AX34)</f>
        <v>1</v>
      </c>
      <c r="DG34" s="38">
        <f>EXP(-'Data Bonds'!BB33*AY34)</f>
        <v>1</v>
      </c>
      <c r="DH34" s="38">
        <f>EXP(-'Data Bonds'!BC33*AZ34)</f>
        <v>1</v>
      </c>
      <c r="DI34" s="38">
        <f>EXP(-'Data Bonds'!BD33*BA34)</f>
        <v>1</v>
      </c>
      <c r="DJ34" s="38">
        <f>EXP(-'Data Bonds'!BE33*BB34)</f>
        <v>1</v>
      </c>
      <c r="DK34" s="38">
        <f>EXP(-'Data Bonds'!BF33*BC34)</f>
        <v>1</v>
      </c>
      <c r="DL34" s="38">
        <f>EXP(-'Data Bonds'!BG33*BD34)</f>
        <v>1</v>
      </c>
      <c r="DM34" s="38">
        <f>EXP(-'Data Bonds'!BH33*BE34)</f>
        <v>1</v>
      </c>
      <c r="DN34" s="38">
        <f>EXP(-'Data Bonds'!BI33*BF34)</f>
        <v>1</v>
      </c>
      <c r="DO34" s="38">
        <f>EXP(-'Data Bonds'!BJ33*BG34)</f>
        <v>1</v>
      </c>
      <c r="DP34" s="38">
        <f>EXP(-'Data Bonds'!BK33*BH34)</f>
        <v>1</v>
      </c>
      <c r="DQ34" s="38">
        <f>EXP(-'Data Bonds'!BL33*BI34)</f>
        <v>1</v>
      </c>
      <c r="DR34" s="38">
        <f>EXP(-'Data Bonds'!BM33*BJ34)</f>
        <v>1</v>
      </c>
      <c r="DS34" s="38">
        <f>EXP(-'Data Bonds'!BN33*BK34)</f>
        <v>1</v>
      </c>
      <c r="DT34" s="38">
        <f>EXP(-'Data Bonds'!BO33*BL34)</f>
        <v>1</v>
      </c>
      <c r="DU34" s="38">
        <f>EXP(-'Data Bonds'!BP33*BM34)</f>
        <v>1</v>
      </c>
      <c r="DV34" s="38">
        <f>EXP(-'Data Bonds'!BQ33*BN34)</f>
        <v>1</v>
      </c>
      <c r="DW34" s="38">
        <f>EXP(-'Data Bonds'!BR33*BO34)</f>
        <v>1</v>
      </c>
      <c r="DX34" s="28">
        <f>SUMPRODUCT(BP34:DW34,'Data Bonds'!BU33:EB33)</f>
        <v>95.862853328000753</v>
      </c>
      <c r="DY34" s="28">
        <f t="shared" si="5"/>
        <v>6.566093332578378E-2</v>
      </c>
      <c r="EA34" s="33">
        <f t="shared" si="6"/>
        <v>11.5</v>
      </c>
      <c r="EB34" s="29">
        <f t="shared" si="2"/>
        <v>5.2056815524814573E-2</v>
      </c>
      <c r="EC34" s="29">
        <f t="shared" si="3"/>
        <v>0.54955117545126075</v>
      </c>
      <c r="ED34" s="29">
        <f t="shared" si="7"/>
        <v>5.364180473366352E-2</v>
      </c>
      <c r="EE34" s="32"/>
      <c r="EF34" s="32"/>
      <c r="EG34" s="32"/>
      <c r="EI34" s="34"/>
    </row>
    <row r="35" spans="2:139">
      <c r="B35" s="27">
        <f>'Data Bonds'!E34</f>
        <v>4</v>
      </c>
      <c r="C35" s="27">
        <f>'Data Bonds'!F34</f>
        <v>92.84375</v>
      </c>
      <c r="D35" s="27">
        <f>'Data Bonds'!G34</f>
        <v>92.875</v>
      </c>
      <c r="E35" s="27">
        <f>'Data Bonds'!I34</f>
        <v>1.2444444444444445</v>
      </c>
      <c r="F35" s="40">
        <f>'Data Bonds'!H34</f>
        <v>7.6888888888888891</v>
      </c>
      <c r="G35" s="28">
        <f t="shared" si="4"/>
        <v>94.10381944444444</v>
      </c>
      <c r="H35" s="45">
        <f>IF('Data Bonds'!K34=0,0,theta0+(theta1+theta2)*(1-EXP(-'Data Bonds'!K34/la))/('Data Bonds'!K34/la)-theta2*EXP(-'Data Bonds'!K34/la))</f>
        <v>5.1598526027898411E-2</v>
      </c>
      <c r="I35" s="45">
        <f>IF('Data Bonds'!L34=0,0,theta0+(theta1+theta2)*(1-EXP(-'Data Bonds'!L34/la))/('Data Bonds'!L34/la)-theta2*EXP(-'Data Bonds'!L34/la))</f>
        <v>5.0271357324748023E-2</v>
      </c>
      <c r="J35" s="45">
        <f>IF('Data Bonds'!M34=0,0,theta0+(theta1+theta2)*(1-EXP(-'Data Bonds'!M34/la))/('Data Bonds'!M34/la)-theta2*EXP(-'Data Bonds'!M34/la))</f>
        <v>4.9578457297749672E-2</v>
      </c>
      <c r="K35" s="45">
        <f>IF('Data Bonds'!N34=0,0,theta0+(theta1+theta2)*(1-EXP(-'Data Bonds'!N34/la))/('Data Bonds'!N34/la)-theta2*EXP(-'Data Bonds'!N34/la))</f>
        <v>4.9285035750538553E-2</v>
      </c>
      <c r="L35" s="45">
        <f>IF('Data Bonds'!O34=0,0,theta0+(theta1+theta2)*(1-EXP(-'Data Bonds'!O34/la))/('Data Bonds'!O34/la)-theta2*EXP(-'Data Bonds'!O34/la))</f>
        <v>4.9237017363447266E-2</v>
      </c>
      <c r="M35" s="45">
        <f>IF('Data Bonds'!P34=0,0,theta0+(theta1+theta2)*(1-EXP(-'Data Bonds'!P34/la))/('Data Bonds'!P34/la)-theta2*EXP(-'Data Bonds'!P34/la))</f>
        <v>4.9334171753160738E-2</v>
      </c>
      <c r="N35" s="45">
        <f>IF('Data Bonds'!Q34=0,0,theta0+(theta1+theta2)*(1-EXP(-'Data Bonds'!Q34/la))/('Data Bonds'!Q34/la)-theta2*EXP(-'Data Bonds'!Q34/la))</f>
        <v>4.9512038088999483E-2</v>
      </c>
      <c r="O35" s="45">
        <f>IF('Data Bonds'!R34=0,0,theta0+(theta1+theta2)*(1-EXP(-'Data Bonds'!R34/la))/('Data Bonds'!R34/la)-theta2*EXP(-'Data Bonds'!R34/la))</f>
        <v>4.9729794635889335E-2</v>
      </c>
      <c r="P35" s="45">
        <f>IF('Data Bonds'!S34=0,0,theta0+(theta1+theta2)*(1-EXP(-'Data Bonds'!S34/la))/('Data Bonds'!S34/la)-theta2*EXP(-'Data Bonds'!S34/la))</f>
        <v>4.9962140977046696E-2</v>
      </c>
      <c r="Q35" s="45">
        <f>IF('Data Bonds'!T34=0,0,theta0+(theta1+theta2)*(1-EXP(-'Data Bonds'!T34/la))/('Data Bonds'!T34/la)-theta2*EXP(-'Data Bonds'!T34/la))</f>
        <v>5.0193884019659962E-2</v>
      </c>
      <c r="R35" s="45">
        <f>IF('Data Bonds'!U34=0,0,theta0+(theta1+theta2)*(1-EXP(-'Data Bonds'!U34/la))/('Data Bonds'!U34/la)-theta2*EXP(-'Data Bonds'!U34/la))</f>
        <v>5.0416342149512058E-2</v>
      </c>
      <c r="S35" s="45">
        <f>IF('Data Bonds'!V34=0,0,theta0+(theta1+theta2)*(1-EXP(-'Data Bonds'!V34/la))/('Data Bonds'!V34/la)-theta2*EXP(-'Data Bonds'!V34/la))</f>
        <v>5.0624969074311257E-2</v>
      </c>
      <c r="T35" s="45">
        <f>IF('Data Bonds'!W34=0,0,theta0+(theta1+theta2)*(1-EXP(-'Data Bonds'!W34/la))/('Data Bonds'!W34/la)-theta2*EXP(-'Data Bonds'!W34/la))</f>
        <v>5.0817793561872729E-2</v>
      </c>
      <c r="U35" s="45">
        <f>IF('Data Bonds'!X34=0,0,theta0+(theta1+theta2)*(1-EXP(-'Data Bonds'!X34/la))/('Data Bonds'!X34/la)-theta2*EXP(-'Data Bonds'!X34/la))</f>
        <v>5.0994403103277734E-2</v>
      </c>
      <c r="V35" s="45">
        <f>IF('Data Bonds'!Y34=0,0,theta0+(theta1+theta2)*(1-EXP(-'Data Bonds'!Y34/la))/('Data Bonds'!Y34/la)-theta2*EXP(-'Data Bonds'!Y34/la))</f>
        <v>5.1155288695615496E-2</v>
      </c>
      <c r="W35" s="45">
        <f>IF('Data Bonds'!Z34=0,0,theta0+(theta1+theta2)*(1-EXP(-'Data Bonds'!Z34/la))/('Data Bonds'!Z34/la)-theta2*EXP(-'Data Bonds'!Z34/la))</f>
        <v>5.1301428168232986E-2</v>
      </c>
      <c r="X35" s="45">
        <f>IF('Data Bonds'!AA34=0,0,theta0+(theta1+theta2)*(1-EXP(-'Data Bonds'!AA34/la))/('Data Bonds'!AA34/la)-theta2*EXP(-'Data Bonds'!AA34/la))</f>
        <v>0</v>
      </c>
      <c r="Y35" s="45">
        <f>IF('Data Bonds'!AB34=0,0,theta0+(theta1+theta2)*(1-EXP(-'Data Bonds'!AB34/la))/('Data Bonds'!AB34/la)-theta2*EXP(-'Data Bonds'!AB34/la))</f>
        <v>0</v>
      </c>
      <c r="Z35" s="45">
        <f>IF('Data Bonds'!AC34=0,0,theta0+(theta1+theta2)*(1-EXP(-'Data Bonds'!AC34/la))/('Data Bonds'!AC34/la)-theta2*EXP(-'Data Bonds'!AC34/la))</f>
        <v>0</v>
      </c>
      <c r="AA35" s="45">
        <f>IF('Data Bonds'!AD34=0,0,theta0+(theta1+theta2)*(1-EXP(-'Data Bonds'!AD34/la))/('Data Bonds'!AD34/la)-theta2*EXP(-'Data Bonds'!AD34/la))</f>
        <v>0</v>
      </c>
      <c r="AB35" s="45">
        <f>IF('Data Bonds'!AE34=0,0,theta0+(theta1+theta2)*(1-EXP(-'Data Bonds'!AE34/la))/('Data Bonds'!AE34/la)-theta2*EXP(-'Data Bonds'!AE34/la))</f>
        <v>0</v>
      </c>
      <c r="AC35" s="45">
        <f>IF('Data Bonds'!AF34=0,0,theta0+(theta1+theta2)*(1-EXP(-'Data Bonds'!AF34/la))/('Data Bonds'!AF34/la)-theta2*EXP(-'Data Bonds'!AF34/la))</f>
        <v>0</v>
      </c>
      <c r="AD35" s="45">
        <f>IF('Data Bonds'!AG34=0,0,theta0+(theta1+theta2)*(1-EXP(-'Data Bonds'!AG34/la))/('Data Bonds'!AG34/la)-theta2*EXP(-'Data Bonds'!AG34/la))</f>
        <v>0</v>
      </c>
      <c r="AE35" s="45">
        <f>IF('Data Bonds'!AH34=0,0,theta0+(theta1+theta2)*(1-EXP(-'Data Bonds'!AH34/la))/('Data Bonds'!AH34/la)-theta2*EXP(-'Data Bonds'!AH34/la))</f>
        <v>0</v>
      </c>
      <c r="AF35" s="45">
        <f>IF('Data Bonds'!AI34=0,0,theta0+(theta1+theta2)*(1-EXP(-'Data Bonds'!AI34/la))/('Data Bonds'!AI34/la)-theta2*EXP(-'Data Bonds'!AI34/la))</f>
        <v>0</v>
      </c>
      <c r="AG35" s="45">
        <f>IF('Data Bonds'!AJ34=0,0,theta0+(theta1+theta2)*(1-EXP(-'Data Bonds'!AJ34/la))/('Data Bonds'!AJ34/la)-theta2*EXP(-'Data Bonds'!AJ34/la))</f>
        <v>0</v>
      </c>
      <c r="AH35" s="45">
        <f>IF('Data Bonds'!AK34=0,0,theta0+(theta1+theta2)*(1-EXP(-'Data Bonds'!AK34/la))/('Data Bonds'!AK34/la)-theta2*EXP(-'Data Bonds'!AK34/la))</f>
        <v>0</v>
      </c>
      <c r="AI35" s="45">
        <f>IF('Data Bonds'!AL34=0,0,theta0+(theta1+theta2)*(1-EXP(-'Data Bonds'!AL34/la))/('Data Bonds'!AL34/la)-theta2*EXP(-'Data Bonds'!AL34/la))</f>
        <v>0</v>
      </c>
      <c r="AJ35" s="45">
        <f>IF('Data Bonds'!AM34=0,0,theta0+(theta1+theta2)*(1-EXP(-'Data Bonds'!AM34/la))/('Data Bonds'!AM34/la)-theta2*EXP(-'Data Bonds'!AM34/la))</f>
        <v>0</v>
      </c>
      <c r="AK35" s="45">
        <f>IF('Data Bonds'!AN34=0,0,theta0+(theta1+theta2)*(1-EXP(-'Data Bonds'!AN34/la))/('Data Bonds'!AN34/la)-theta2*EXP(-'Data Bonds'!AN34/la))</f>
        <v>0</v>
      </c>
      <c r="AL35" s="45">
        <f>IF('Data Bonds'!AO34=0,0,theta0+(theta1+theta2)*(1-EXP(-'Data Bonds'!AO34/la))/('Data Bonds'!AO34/la)-theta2*EXP(-'Data Bonds'!AO34/la))</f>
        <v>0</v>
      </c>
      <c r="AM35" s="45">
        <f>IF('Data Bonds'!AP34=0,0,theta0+(theta1+theta2)*(1-EXP(-'Data Bonds'!AP34/la))/('Data Bonds'!AP34/la)-theta2*EXP(-'Data Bonds'!AP34/la))</f>
        <v>0</v>
      </c>
      <c r="AN35" s="45">
        <f>IF('Data Bonds'!AQ34=0,0,theta0+(theta1+theta2)*(1-EXP(-'Data Bonds'!AQ34/la))/('Data Bonds'!AQ34/la)-theta2*EXP(-'Data Bonds'!AQ34/la))</f>
        <v>0</v>
      </c>
      <c r="AO35" s="45">
        <f>IF('Data Bonds'!AR34=0,0,theta0+(theta1+theta2)*(1-EXP(-'Data Bonds'!AR34/la))/('Data Bonds'!AR34/la)-theta2*EXP(-'Data Bonds'!AR34/la))</f>
        <v>0</v>
      </c>
      <c r="AP35" s="45">
        <f>IF('Data Bonds'!AS34=0,0,theta0+(theta1+theta2)*(1-EXP(-'Data Bonds'!AS34/la))/('Data Bonds'!AS34/la)-theta2*EXP(-'Data Bonds'!AS34/la))</f>
        <v>0</v>
      </c>
      <c r="AQ35" s="45">
        <f>IF('Data Bonds'!AT34=0,0,theta0+(theta1+theta2)*(1-EXP(-'Data Bonds'!AT34/la))/('Data Bonds'!AT34/la)-theta2*EXP(-'Data Bonds'!AT34/la))</f>
        <v>0</v>
      </c>
      <c r="AR35" s="45">
        <f>IF('Data Bonds'!AU34=0,0,theta0+(theta1+theta2)*(1-EXP(-'Data Bonds'!AU34/la))/('Data Bonds'!AU34/la)-theta2*EXP(-'Data Bonds'!AU34/la))</f>
        <v>0</v>
      </c>
      <c r="AS35" s="45">
        <f>IF('Data Bonds'!AV34=0,0,theta0+(theta1+theta2)*(1-EXP(-'Data Bonds'!AV34/la))/('Data Bonds'!AV34/la)-theta2*EXP(-'Data Bonds'!AV34/la))</f>
        <v>0</v>
      </c>
      <c r="AT35" s="45">
        <f>IF('Data Bonds'!AW34=0,0,theta0+(theta1+theta2)*(1-EXP(-'Data Bonds'!AW34/la))/('Data Bonds'!AW34/la)-theta2*EXP(-'Data Bonds'!AW34/la))</f>
        <v>0</v>
      </c>
      <c r="AU35" s="45">
        <f>IF('Data Bonds'!AX34=0,0,theta0+(theta1+theta2)*(1-EXP(-'Data Bonds'!AX34/la))/('Data Bonds'!AX34/la)-theta2*EXP(-'Data Bonds'!AX34/la))</f>
        <v>0</v>
      </c>
      <c r="AV35" s="45">
        <f>IF('Data Bonds'!AY34=0,0,theta0+(theta1+theta2)*(1-EXP(-'Data Bonds'!AY34/la))/('Data Bonds'!AY34/la)-theta2*EXP(-'Data Bonds'!AY34/la))</f>
        <v>0</v>
      </c>
      <c r="AW35" s="45">
        <f>IF('Data Bonds'!AZ34=0,0,theta0+(theta1+theta2)*(1-EXP(-'Data Bonds'!AZ34/la))/('Data Bonds'!AZ34/la)-theta2*EXP(-'Data Bonds'!AZ34/la))</f>
        <v>0</v>
      </c>
      <c r="AX35" s="45">
        <f>IF('Data Bonds'!BA34=0,0,theta0+(theta1+theta2)*(1-EXP(-'Data Bonds'!BA34/la))/('Data Bonds'!BA34/la)-theta2*EXP(-'Data Bonds'!BA34/la))</f>
        <v>0</v>
      </c>
      <c r="AY35" s="45">
        <f>IF('Data Bonds'!BB34=0,0,theta0+(theta1+theta2)*(1-EXP(-'Data Bonds'!BB34/la))/('Data Bonds'!BB34/la)-theta2*EXP(-'Data Bonds'!BB34/la))</f>
        <v>0</v>
      </c>
      <c r="AZ35" s="45">
        <f>IF('Data Bonds'!BC34=0,0,theta0+(theta1+theta2)*(1-EXP(-'Data Bonds'!BC34/la))/('Data Bonds'!BC34/la)-theta2*EXP(-'Data Bonds'!BC34/la))</f>
        <v>0</v>
      </c>
      <c r="BA35" s="45">
        <f>IF('Data Bonds'!BD34=0,0,theta0+(theta1+theta2)*(1-EXP(-'Data Bonds'!BD34/la))/('Data Bonds'!BD34/la)-theta2*EXP(-'Data Bonds'!BD34/la))</f>
        <v>0</v>
      </c>
      <c r="BB35" s="45">
        <f>IF('Data Bonds'!BE34=0,0,theta0+(theta1+theta2)*(1-EXP(-'Data Bonds'!BE34/la))/('Data Bonds'!BE34/la)-theta2*EXP(-'Data Bonds'!BE34/la))</f>
        <v>0</v>
      </c>
      <c r="BC35" s="45">
        <f>IF('Data Bonds'!BF34=0,0,theta0+(theta1+theta2)*(1-EXP(-'Data Bonds'!BF34/la))/('Data Bonds'!BF34/la)-theta2*EXP(-'Data Bonds'!BF34/la))</f>
        <v>0</v>
      </c>
      <c r="BD35" s="45">
        <f>IF('Data Bonds'!BG34=0,0,theta0+(theta1+theta2)*(1-EXP(-'Data Bonds'!BG34/la))/('Data Bonds'!BG34/la)-theta2*EXP(-'Data Bonds'!BG34/la))</f>
        <v>0</v>
      </c>
      <c r="BE35" s="45">
        <f>IF('Data Bonds'!BH34=0,0,theta0+(theta1+theta2)*(1-EXP(-'Data Bonds'!BH34/la))/('Data Bonds'!BH34/la)-theta2*EXP(-'Data Bonds'!BH34/la))</f>
        <v>0</v>
      </c>
      <c r="BF35" s="45">
        <f>IF('Data Bonds'!BI34=0,0,theta0+(theta1+theta2)*(1-EXP(-'Data Bonds'!BI34/la))/('Data Bonds'!BI34/la)-theta2*EXP(-'Data Bonds'!BI34/la))</f>
        <v>0</v>
      </c>
      <c r="BG35" s="45">
        <f>IF('Data Bonds'!BJ34=0,0,theta0+(theta1+theta2)*(1-EXP(-'Data Bonds'!BJ34/la))/('Data Bonds'!BJ34/la)-theta2*EXP(-'Data Bonds'!BJ34/la))</f>
        <v>0</v>
      </c>
      <c r="BH35" s="45">
        <f>IF('Data Bonds'!BK34=0,0,theta0+(theta1+theta2)*(1-EXP(-'Data Bonds'!BK34/la))/('Data Bonds'!BK34/la)-theta2*EXP(-'Data Bonds'!BK34/la))</f>
        <v>0</v>
      </c>
      <c r="BI35" s="45">
        <f>IF('Data Bonds'!BL34=0,0,theta0+(theta1+theta2)*(1-EXP(-'Data Bonds'!BL34/la))/('Data Bonds'!BL34/la)-theta2*EXP(-'Data Bonds'!BL34/la))</f>
        <v>0</v>
      </c>
      <c r="BJ35" s="45">
        <f>IF('Data Bonds'!BM34=0,0,theta0+(theta1+theta2)*(1-EXP(-'Data Bonds'!BM34/la))/('Data Bonds'!BM34/la)-theta2*EXP(-'Data Bonds'!BM34/la))</f>
        <v>0</v>
      </c>
      <c r="BK35" s="45">
        <f>IF('Data Bonds'!BN34=0,0,theta0+(theta1+theta2)*(1-EXP(-'Data Bonds'!BN34/la))/('Data Bonds'!BN34/la)-theta2*EXP(-'Data Bonds'!BN34/la))</f>
        <v>0</v>
      </c>
      <c r="BL35" s="45">
        <f>IF('Data Bonds'!BO34=0,0,theta0+(theta1+theta2)*(1-EXP(-'Data Bonds'!BO34/la))/('Data Bonds'!BO34/la)-theta2*EXP(-'Data Bonds'!BO34/la))</f>
        <v>0</v>
      </c>
      <c r="BM35" s="45">
        <f>IF('Data Bonds'!BP34=0,0,theta0+(theta1+theta2)*(1-EXP(-'Data Bonds'!BP34/la))/('Data Bonds'!BP34/la)-theta2*EXP(-'Data Bonds'!BP34/la))</f>
        <v>0</v>
      </c>
      <c r="BN35" s="45">
        <f>IF('Data Bonds'!BQ34=0,0,theta0+(theta1+theta2)*(1-EXP(-'Data Bonds'!BQ34/la))/('Data Bonds'!BQ34/la)-theta2*EXP(-'Data Bonds'!BQ34/la))</f>
        <v>0</v>
      </c>
      <c r="BO35" s="45">
        <f>IF('Data Bonds'!BR34=0,0,theta0+(theta1+theta2)*(1-EXP(-'Data Bonds'!BR34/la))/('Data Bonds'!BR34/la)-theta2*EXP(-'Data Bonds'!BR34/la))</f>
        <v>0</v>
      </c>
      <c r="BP35" s="38">
        <f>EXP(-'Data Bonds'!K34*H35)</f>
        <v>0.99030095386253514</v>
      </c>
      <c r="BQ35" s="38">
        <f>EXP(-'Data Bonds'!L34*I35)</f>
        <v>0.96596142383001249</v>
      </c>
      <c r="BR35" s="38">
        <f>EXP(-'Data Bonds'!M34*J35)</f>
        <v>0.94276024382077384</v>
      </c>
      <c r="BS35" s="38">
        <f>EXP(-'Data Bonds'!N34*K35)</f>
        <v>0.92013309652437447</v>
      </c>
      <c r="BT35" s="38">
        <f>EXP(-'Data Bonds'!O34*L35)</f>
        <v>0.8978301597681585</v>
      </c>
      <c r="BU35" s="38">
        <f>EXP(-'Data Bonds'!P34*M35)</f>
        <v>0.8757679623727499</v>
      </c>
      <c r="BV35" s="38">
        <f>EXP(-'Data Bonds'!Q34*N35)</f>
        <v>0.85394508705932803</v>
      </c>
      <c r="BW35" s="38">
        <f>EXP(-'Data Bonds'!R34*O35)</f>
        <v>0.83239541980118914</v>
      </c>
      <c r="BX35" s="38">
        <f>EXP(-'Data Bonds'!S34*P35)</f>
        <v>0.81116332561828708</v>
      </c>
      <c r="BY35" s="38">
        <f>EXP(-'Data Bonds'!T34*Q35)</f>
        <v>0.79029139660492453</v>
      </c>
      <c r="BZ35" s="38">
        <f>EXP(-'Data Bonds'!U34*R35)</f>
        <v>0.76981519641342533</v>
      </c>
      <c r="CA35" s="38">
        <f>EXP(-'Data Bonds'!V34*S35)</f>
        <v>0.74976172414671449</v>
      </c>
      <c r="CB35" s="38">
        <f>EXP(-'Data Bonds'!W34*T35)</f>
        <v>0.73014971419213559</v>
      </c>
      <c r="CC35" s="38">
        <f>EXP(-'Data Bonds'!X34*U35)</f>
        <v>0.71099072354814263</v>
      </c>
      <c r="CD35" s="38">
        <f>EXP(-'Data Bonds'!Y34*V35)</f>
        <v>0.69229044963946051</v>
      </c>
      <c r="CE35" s="38">
        <f>EXP(-'Data Bonds'!Z34*W35)</f>
        <v>0.67405000392176173</v>
      </c>
      <c r="CF35" s="38">
        <f>EXP(-'Data Bonds'!AA34*X35)</f>
        <v>1</v>
      </c>
      <c r="CG35" s="38">
        <f>EXP(-'Data Bonds'!AB34*Y35)</f>
        <v>1</v>
      </c>
      <c r="CH35" s="38">
        <f>EXP(-'Data Bonds'!AC34*Z35)</f>
        <v>1</v>
      </c>
      <c r="CI35" s="38">
        <f>EXP(-'Data Bonds'!AD34*AA35)</f>
        <v>1</v>
      </c>
      <c r="CJ35" s="38">
        <f>EXP(-'Data Bonds'!AE34*AB35)</f>
        <v>1</v>
      </c>
      <c r="CK35" s="38">
        <f>EXP(-'Data Bonds'!AF34*AC35)</f>
        <v>1</v>
      </c>
      <c r="CL35" s="38">
        <f>EXP(-'Data Bonds'!AG34*AD35)</f>
        <v>1</v>
      </c>
      <c r="CM35" s="38">
        <f>EXP(-'Data Bonds'!AH34*AE35)</f>
        <v>1</v>
      </c>
      <c r="CN35" s="38">
        <f>EXP(-'Data Bonds'!AI34*AF35)</f>
        <v>1</v>
      </c>
      <c r="CO35" s="38">
        <f>EXP(-'Data Bonds'!AJ34*AG35)</f>
        <v>1</v>
      </c>
      <c r="CP35" s="38">
        <f>EXP(-'Data Bonds'!AK34*AH35)</f>
        <v>1</v>
      </c>
      <c r="CQ35" s="38">
        <f>EXP(-'Data Bonds'!AL34*AI35)</f>
        <v>1</v>
      </c>
      <c r="CR35" s="38">
        <f>EXP(-'Data Bonds'!AM34*AJ35)</f>
        <v>1</v>
      </c>
      <c r="CS35" s="38">
        <f>EXP(-'Data Bonds'!AN34*AK35)</f>
        <v>1</v>
      </c>
      <c r="CT35" s="38">
        <f>EXP(-'Data Bonds'!AO34*AL35)</f>
        <v>1</v>
      </c>
      <c r="CU35" s="38">
        <f>EXP(-'Data Bonds'!AP34*AM35)</f>
        <v>1</v>
      </c>
      <c r="CV35" s="38">
        <f>EXP(-'Data Bonds'!AQ34*AN35)</f>
        <v>1</v>
      </c>
      <c r="CW35" s="38">
        <f>EXP(-'Data Bonds'!AR34*AO35)</f>
        <v>1</v>
      </c>
      <c r="CX35" s="38">
        <f>EXP(-'Data Bonds'!AS34*AP35)</f>
        <v>1</v>
      </c>
      <c r="CY35" s="38">
        <f>EXP(-'Data Bonds'!AT34*AQ35)</f>
        <v>1</v>
      </c>
      <c r="CZ35" s="38">
        <f>EXP(-'Data Bonds'!AU34*AR35)</f>
        <v>1</v>
      </c>
      <c r="DA35" s="38">
        <f>EXP(-'Data Bonds'!AV34*AS35)</f>
        <v>1</v>
      </c>
      <c r="DB35" s="38">
        <f>EXP(-'Data Bonds'!AW34*AT35)</f>
        <v>1</v>
      </c>
      <c r="DC35" s="38">
        <f>EXP(-'Data Bonds'!AX34*AU35)</f>
        <v>1</v>
      </c>
      <c r="DD35" s="38">
        <f>EXP(-'Data Bonds'!AY34*AV35)</f>
        <v>1</v>
      </c>
      <c r="DE35" s="38">
        <f>EXP(-'Data Bonds'!AZ34*AW35)</f>
        <v>1</v>
      </c>
      <c r="DF35" s="38">
        <f>EXP(-'Data Bonds'!BA34*AX35)</f>
        <v>1</v>
      </c>
      <c r="DG35" s="38">
        <f>EXP(-'Data Bonds'!BB34*AY35)</f>
        <v>1</v>
      </c>
      <c r="DH35" s="38">
        <f>EXP(-'Data Bonds'!BC34*AZ35)</f>
        <v>1</v>
      </c>
      <c r="DI35" s="38">
        <f>EXP(-'Data Bonds'!BD34*BA35)</f>
        <v>1</v>
      </c>
      <c r="DJ35" s="38">
        <f>EXP(-'Data Bonds'!BE34*BB35)</f>
        <v>1</v>
      </c>
      <c r="DK35" s="38">
        <f>EXP(-'Data Bonds'!BF34*BC35)</f>
        <v>1</v>
      </c>
      <c r="DL35" s="38">
        <f>EXP(-'Data Bonds'!BG34*BD35)</f>
        <v>1</v>
      </c>
      <c r="DM35" s="38">
        <f>EXP(-'Data Bonds'!BH34*BE35)</f>
        <v>1</v>
      </c>
      <c r="DN35" s="38">
        <f>EXP(-'Data Bonds'!BI34*BF35)</f>
        <v>1</v>
      </c>
      <c r="DO35" s="38">
        <f>EXP(-'Data Bonds'!BJ34*BG35)</f>
        <v>1</v>
      </c>
      <c r="DP35" s="38">
        <f>EXP(-'Data Bonds'!BK34*BH35)</f>
        <v>1</v>
      </c>
      <c r="DQ35" s="38">
        <f>EXP(-'Data Bonds'!BL34*BI35)</f>
        <v>1</v>
      </c>
      <c r="DR35" s="38">
        <f>EXP(-'Data Bonds'!BM34*BJ35)</f>
        <v>1</v>
      </c>
      <c r="DS35" s="38">
        <f>EXP(-'Data Bonds'!BN34*BK35)</f>
        <v>1</v>
      </c>
      <c r="DT35" s="38">
        <f>EXP(-'Data Bonds'!BO34*BL35)</f>
        <v>1</v>
      </c>
      <c r="DU35" s="38">
        <f>EXP(-'Data Bonds'!BP34*BM35)</f>
        <v>1</v>
      </c>
      <c r="DV35" s="38">
        <f>EXP(-'Data Bonds'!BQ34*BN35)</f>
        <v>1</v>
      </c>
      <c r="DW35" s="38">
        <f>EXP(-'Data Bonds'!BR34*BO35)</f>
        <v>1</v>
      </c>
      <c r="DX35" s="28">
        <f>SUMPRODUCT(BP35:DW35,'Data Bonds'!BU34:EB34)</f>
        <v>93.820214154424121</v>
      </c>
      <c r="DY35" s="28">
        <f t="shared" si="5"/>
        <v>8.0431960527508992E-2</v>
      </c>
      <c r="EA35" s="33">
        <f t="shared" si="6"/>
        <v>12</v>
      </c>
      <c r="EB35" s="29">
        <f t="shared" si="2"/>
        <v>5.212311690944392E-2</v>
      </c>
      <c r="EC35" s="29">
        <f t="shared" si="3"/>
        <v>0.53500595414058216</v>
      </c>
      <c r="ED35" s="29">
        <f t="shared" si="7"/>
        <v>5.3648048755918491E-2</v>
      </c>
      <c r="EE35" s="32"/>
      <c r="EF35" s="32"/>
      <c r="EG35" s="32"/>
      <c r="EI35" s="34"/>
    </row>
    <row r="36" spans="2:139">
      <c r="B36" s="27">
        <f>'Data Bonds'!E35</f>
        <v>4.25</v>
      </c>
      <c r="C36" s="27">
        <f>'Data Bonds'!F35</f>
        <v>94.140625</v>
      </c>
      <c r="D36" s="27">
        <f>'Data Bonds'!G35</f>
        <v>94.171875</v>
      </c>
      <c r="E36" s="27">
        <f>'Data Bonds'!I35</f>
        <v>1.3222222222222222</v>
      </c>
      <c r="F36" s="40">
        <f>'Data Bonds'!H35</f>
        <v>8.1888888888888882</v>
      </c>
      <c r="G36" s="28">
        <f t="shared" si="4"/>
        <v>95.478472222222223</v>
      </c>
      <c r="H36" s="45">
        <f>IF('Data Bonds'!K35=0,0,theta0+(theta1+theta2)*(1-EXP(-'Data Bonds'!K35/la))/('Data Bonds'!K35/la)-theta2*EXP(-'Data Bonds'!K35/la))</f>
        <v>5.1598526027898411E-2</v>
      </c>
      <c r="I36" s="45">
        <f>IF('Data Bonds'!L35=0,0,theta0+(theta1+theta2)*(1-EXP(-'Data Bonds'!L35/la))/('Data Bonds'!L35/la)-theta2*EXP(-'Data Bonds'!L35/la))</f>
        <v>5.0271357324748023E-2</v>
      </c>
      <c r="J36" s="45">
        <f>IF('Data Bonds'!M35=0,0,theta0+(theta1+theta2)*(1-EXP(-'Data Bonds'!M35/la))/('Data Bonds'!M35/la)-theta2*EXP(-'Data Bonds'!M35/la))</f>
        <v>4.9578457297749672E-2</v>
      </c>
      <c r="K36" s="45">
        <f>IF('Data Bonds'!N35=0,0,theta0+(theta1+theta2)*(1-EXP(-'Data Bonds'!N35/la))/('Data Bonds'!N35/la)-theta2*EXP(-'Data Bonds'!N35/la))</f>
        <v>4.9285035750538553E-2</v>
      </c>
      <c r="L36" s="45">
        <f>IF('Data Bonds'!O35=0,0,theta0+(theta1+theta2)*(1-EXP(-'Data Bonds'!O35/la))/('Data Bonds'!O35/la)-theta2*EXP(-'Data Bonds'!O35/la))</f>
        <v>4.9237017363447266E-2</v>
      </c>
      <c r="M36" s="45">
        <f>IF('Data Bonds'!P35=0,0,theta0+(theta1+theta2)*(1-EXP(-'Data Bonds'!P35/la))/('Data Bonds'!P35/la)-theta2*EXP(-'Data Bonds'!P35/la))</f>
        <v>4.9334171753160738E-2</v>
      </c>
      <c r="N36" s="45">
        <f>IF('Data Bonds'!Q35=0,0,theta0+(theta1+theta2)*(1-EXP(-'Data Bonds'!Q35/la))/('Data Bonds'!Q35/la)-theta2*EXP(-'Data Bonds'!Q35/la))</f>
        <v>4.9512038088999483E-2</v>
      </c>
      <c r="O36" s="45">
        <f>IF('Data Bonds'!R35=0,0,theta0+(theta1+theta2)*(1-EXP(-'Data Bonds'!R35/la))/('Data Bonds'!R35/la)-theta2*EXP(-'Data Bonds'!R35/la))</f>
        <v>4.9729794635889335E-2</v>
      </c>
      <c r="P36" s="45">
        <f>IF('Data Bonds'!S35=0,0,theta0+(theta1+theta2)*(1-EXP(-'Data Bonds'!S35/la))/('Data Bonds'!S35/la)-theta2*EXP(-'Data Bonds'!S35/la))</f>
        <v>4.9962140977046696E-2</v>
      </c>
      <c r="Q36" s="45">
        <f>IF('Data Bonds'!T35=0,0,theta0+(theta1+theta2)*(1-EXP(-'Data Bonds'!T35/la))/('Data Bonds'!T35/la)-theta2*EXP(-'Data Bonds'!T35/la))</f>
        <v>5.0193884019659962E-2</v>
      </c>
      <c r="R36" s="45">
        <f>IF('Data Bonds'!U35=0,0,theta0+(theta1+theta2)*(1-EXP(-'Data Bonds'!U35/la))/('Data Bonds'!U35/la)-theta2*EXP(-'Data Bonds'!U35/la))</f>
        <v>5.0416342149512058E-2</v>
      </c>
      <c r="S36" s="45">
        <f>IF('Data Bonds'!V35=0,0,theta0+(theta1+theta2)*(1-EXP(-'Data Bonds'!V35/la))/('Data Bonds'!V35/la)-theta2*EXP(-'Data Bonds'!V35/la))</f>
        <v>5.0624969074311257E-2</v>
      </c>
      <c r="T36" s="45">
        <f>IF('Data Bonds'!W35=0,0,theta0+(theta1+theta2)*(1-EXP(-'Data Bonds'!W35/la))/('Data Bonds'!W35/la)-theta2*EXP(-'Data Bonds'!W35/la))</f>
        <v>5.0817793561872729E-2</v>
      </c>
      <c r="U36" s="45">
        <f>IF('Data Bonds'!X35=0,0,theta0+(theta1+theta2)*(1-EXP(-'Data Bonds'!X35/la))/('Data Bonds'!X35/la)-theta2*EXP(-'Data Bonds'!X35/la))</f>
        <v>5.0994403103277734E-2</v>
      </c>
      <c r="V36" s="45">
        <f>IF('Data Bonds'!Y35=0,0,theta0+(theta1+theta2)*(1-EXP(-'Data Bonds'!Y35/la))/('Data Bonds'!Y35/la)-theta2*EXP(-'Data Bonds'!Y35/la))</f>
        <v>5.1155288695615496E-2</v>
      </c>
      <c r="W36" s="45">
        <f>IF('Data Bonds'!Z35=0,0,theta0+(theta1+theta2)*(1-EXP(-'Data Bonds'!Z35/la))/('Data Bonds'!Z35/la)-theta2*EXP(-'Data Bonds'!Z35/la))</f>
        <v>5.1301428168232986E-2</v>
      </c>
      <c r="X36" s="45">
        <f>IF('Data Bonds'!AA35=0,0,theta0+(theta1+theta2)*(1-EXP(-'Data Bonds'!AA35/la))/('Data Bonds'!AA35/la)-theta2*EXP(-'Data Bonds'!AA35/la))</f>
        <v>5.1434026097624264E-2</v>
      </c>
      <c r="Y36" s="45">
        <f>IF('Data Bonds'!AB35=0,0,theta0+(theta1+theta2)*(1-EXP(-'Data Bonds'!AB35/la))/('Data Bonds'!AB35/la)-theta2*EXP(-'Data Bonds'!AB35/la))</f>
        <v>0</v>
      </c>
      <c r="Z36" s="45">
        <f>IF('Data Bonds'!AC35=0,0,theta0+(theta1+theta2)*(1-EXP(-'Data Bonds'!AC35/la))/('Data Bonds'!AC35/la)-theta2*EXP(-'Data Bonds'!AC35/la))</f>
        <v>0</v>
      </c>
      <c r="AA36" s="45">
        <f>IF('Data Bonds'!AD35=0,0,theta0+(theta1+theta2)*(1-EXP(-'Data Bonds'!AD35/la))/('Data Bonds'!AD35/la)-theta2*EXP(-'Data Bonds'!AD35/la))</f>
        <v>0</v>
      </c>
      <c r="AB36" s="45">
        <f>IF('Data Bonds'!AE35=0,0,theta0+(theta1+theta2)*(1-EXP(-'Data Bonds'!AE35/la))/('Data Bonds'!AE35/la)-theta2*EXP(-'Data Bonds'!AE35/la))</f>
        <v>0</v>
      </c>
      <c r="AC36" s="45">
        <f>IF('Data Bonds'!AF35=0,0,theta0+(theta1+theta2)*(1-EXP(-'Data Bonds'!AF35/la))/('Data Bonds'!AF35/la)-theta2*EXP(-'Data Bonds'!AF35/la))</f>
        <v>0</v>
      </c>
      <c r="AD36" s="45">
        <f>IF('Data Bonds'!AG35=0,0,theta0+(theta1+theta2)*(1-EXP(-'Data Bonds'!AG35/la))/('Data Bonds'!AG35/la)-theta2*EXP(-'Data Bonds'!AG35/la))</f>
        <v>0</v>
      </c>
      <c r="AE36" s="45">
        <f>IF('Data Bonds'!AH35=0,0,theta0+(theta1+theta2)*(1-EXP(-'Data Bonds'!AH35/la))/('Data Bonds'!AH35/la)-theta2*EXP(-'Data Bonds'!AH35/la))</f>
        <v>0</v>
      </c>
      <c r="AF36" s="45">
        <f>IF('Data Bonds'!AI35=0,0,theta0+(theta1+theta2)*(1-EXP(-'Data Bonds'!AI35/la))/('Data Bonds'!AI35/la)-theta2*EXP(-'Data Bonds'!AI35/la))</f>
        <v>0</v>
      </c>
      <c r="AG36" s="45">
        <f>IF('Data Bonds'!AJ35=0,0,theta0+(theta1+theta2)*(1-EXP(-'Data Bonds'!AJ35/la))/('Data Bonds'!AJ35/la)-theta2*EXP(-'Data Bonds'!AJ35/la))</f>
        <v>0</v>
      </c>
      <c r="AH36" s="45">
        <f>IF('Data Bonds'!AK35=0,0,theta0+(theta1+theta2)*(1-EXP(-'Data Bonds'!AK35/la))/('Data Bonds'!AK35/la)-theta2*EXP(-'Data Bonds'!AK35/la))</f>
        <v>0</v>
      </c>
      <c r="AI36" s="45">
        <f>IF('Data Bonds'!AL35=0,0,theta0+(theta1+theta2)*(1-EXP(-'Data Bonds'!AL35/la))/('Data Bonds'!AL35/la)-theta2*EXP(-'Data Bonds'!AL35/la))</f>
        <v>0</v>
      </c>
      <c r="AJ36" s="45">
        <f>IF('Data Bonds'!AM35=0,0,theta0+(theta1+theta2)*(1-EXP(-'Data Bonds'!AM35/la))/('Data Bonds'!AM35/la)-theta2*EXP(-'Data Bonds'!AM35/la))</f>
        <v>0</v>
      </c>
      <c r="AK36" s="45">
        <f>IF('Data Bonds'!AN35=0,0,theta0+(theta1+theta2)*(1-EXP(-'Data Bonds'!AN35/la))/('Data Bonds'!AN35/la)-theta2*EXP(-'Data Bonds'!AN35/la))</f>
        <v>0</v>
      </c>
      <c r="AL36" s="45">
        <f>IF('Data Bonds'!AO35=0,0,theta0+(theta1+theta2)*(1-EXP(-'Data Bonds'!AO35/la))/('Data Bonds'!AO35/la)-theta2*EXP(-'Data Bonds'!AO35/la))</f>
        <v>0</v>
      </c>
      <c r="AM36" s="45">
        <f>IF('Data Bonds'!AP35=0,0,theta0+(theta1+theta2)*(1-EXP(-'Data Bonds'!AP35/la))/('Data Bonds'!AP35/la)-theta2*EXP(-'Data Bonds'!AP35/la))</f>
        <v>0</v>
      </c>
      <c r="AN36" s="45">
        <f>IF('Data Bonds'!AQ35=0,0,theta0+(theta1+theta2)*(1-EXP(-'Data Bonds'!AQ35/la))/('Data Bonds'!AQ35/la)-theta2*EXP(-'Data Bonds'!AQ35/la))</f>
        <v>0</v>
      </c>
      <c r="AO36" s="45">
        <f>IF('Data Bonds'!AR35=0,0,theta0+(theta1+theta2)*(1-EXP(-'Data Bonds'!AR35/la))/('Data Bonds'!AR35/la)-theta2*EXP(-'Data Bonds'!AR35/la))</f>
        <v>0</v>
      </c>
      <c r="AP36" s="45">
        <f>IF('Data Bonds'!AS35=0,0,theta0+(theta1+theta2)*(1-EXP(-'Data Bonds'!AS35/la))/('Data Bonds'!AS35/la)-theta2*EXP(-'Data Bonds'!AS35/la))</f>
        <v>0</v>
      </c>
      <c r="AQ36" s="45">
        <f>IF('Data Bonds'!AT35=0,0,theta0+(theta1+theta2)*(1-EXP(-'Data Bonds'!AT35/la))/('Data Bonds'!AT35/la)-theta2*EXP(-'Data Bonds'!AT35/la))</f>
        <v>0</v>
      </c>
      <c r="AR36" s="45">
        <f>IF('Data Bonds'!AU35=0,0,theta0+(theta1+theta2)*(1-EXP(-'Data Bonds'!AU35/la))/('Data Bonds'!AU35/la)-theta2*EXP(-'Data Bonds'!AU35/la))</f>
        <v>0</v>
      </c>
      <c r="AS36" s="45">
        <f>IF('Data Bonds'!AV35=0,0,theta0+(theta1+theta2)*(1-EXP(-'Data Bonds'!AV35/la))/('Data Bonds'!AV35/la)-theta2*EXP(-'Data Bonds'!AV35/la))</f>
        <v>0</v>
      </c>
      <c r="AT36" s="45">
        <f>IF('Data Bonds'!AW35=0,0,theta0+(theta1+theta2)*(1-EXP(-'Data Bonds'!AW35/la))/('Data Bonds'!AW35/la)-theta2*EXP(-'Data Bonds'!AW35/la))</f>
        <v>0</v>
      </c>
      <c r="AU36" s="45">
        <f>IF('Data Bonds'!AX35=0,0,theta0+(theta1+theta2)*(1-EXP(-'Data Bonds'!AX35/la))/('Data Bonds'!AX35/la)-theta2*EXP(-'Data Bonds'!AX35/la))</f>
        <v>0</v>
      </c>
      <c r="AV36" s="45">
        <f>IF('Data Bonds'!AY35=0,0,theta0+(theta1+theta2)*(1-EXP(-'Data Bonds'!AY35/la))/('Data Bonds'!AY35/la)-theta2*EXP(-'Data Bonds'!AY35/la))</f>
        <v>0</v>
      </c>
      <c r="AW36" s="45">
        <f>IF('Data Bonds'!AZ35=0,0,theta0+(theta1+theta2)*(1-EXP(-'Data Bonds'!AZ35/la))/('Data Bonds'!AZ35/la)-theta2*EXP(-'Data Bonds'!AZ35/la))</f>
        <v>0</v>
      </c>
      <c r="AX36" s="45">
        <f>IF('Data Bonds'!BA35=0,0,theta0+(theta1+theta2)*(1-EXP(-'Data Bonds'!BA35/la))/('Data Bonds'!BA35/la)-theta2*EXP(-'Data Bonds'!BA35/la))</f>
        <v>0</v>
      </c>
      <c r="AY36" s="45">
        <f>IF('Data Bonds'!BB35=0,0,theta0+(theta1+theta2)*(1-EXP(-'Data Bonds'!BB35/la))/('Data Bonds'!BB35/la)-theta2*EXP(-'Data Bonds'!BB35/la))</f>
        <v>0</v>
      </c>
      <c r="AZ36" s="45">
        <f>IF('Data Bonds'!BC35=0,0,theta0+(theta1+theta2)*(1-EXP(-'Data Bonds'!BC35/la))/('Data Bonds'!BC35/la)-theta2*EXP(-'Data Bonds'!BC35/la))</f>
        <v>0</v>
      </c>
      <c r="BA36" s="45">
        <f>IF('Data Bonds'!BD35=0,0,theta0+(theta1+theta2)*(1-EXP(-'Data Bonds'!BD35/la))/('Data Bonds'!BD35/la)-theta2*EXP(-'Data Bonds'!BD35/la))</f>
        <v>0</v>
      </c>
      <c r="BB36" s="45">
        <f>IF('Data Bonds'!BE35=0,0,theta0+(theta1+theta2)*(1-EXP(-'Data Bonds'!BE35/la))/('Data Bonds'!BE35/la)-theta2*EXP(-'Data Bonds'!BE35/la))</f>
        <v>0</v>
      </c>
      <c r="BC36" s="45">
        <f>IF('Data Bonds'!BF35=0,0,theta0+(theta1+theta2)*(1-EXP(-'Data Bonds'!BF35/la))/('Data Bonds'!BF35/la)-theta2*EXP(-'Data Bonds'!BF35/la))</f>
        <v>0</v>
      </c>
      <c r="BD36" s="45">
        <f>IF('Data Bonds'!BG35=0,0,theta0+(theta1+theta2)*(1-EXP(-'Data Bonds'!BG35/la))/('Data Bonds'!BG35/la)-theta2*EXP(-'Data Bonds'!BG35/la))</f>
        <v>0</v>
      </c>
      <c r="BE36" s="45">
        <f>IF('Data Bonds'!BH35=0,0,theta0+(theta1+theta2)*(1-EXP(-'Data Bonds'!BH35/la))/('Data Bonds'!BH35/la)-theta2*EXP(-'Data Bonds'!BH35/la))</f>
        <v>0</v>
      </c>
      <c r="BF36" s="45">
        <f>IF('Data Bonds'!BI35=0,0,theta0+(theta1+theta2)*(1-EXP(-'Data Bonds'!BI35/la))/('Data Bonds'!BI35/la)-theta2*EXP(-'Data Bonds'!BI35/la))</f>
        <v>0</v>
      </c>
      <c r="BG36" s="45">
        <f>IF('Data Bonds'!BJ35=0,0,theta0+(theta1+theta2)*(1-EXP(-'Data Bonds'!BJ35/la))/('Data Bonds'!BJ35/la)-theta2*EXP(-'Data Bonds'!BJ35/la))</f>
        <v>0</v>
      </c>
      <c r="BH36" s="45">
        <f>IF('Data Bonds'!BK35=0,0,theta0+(theta1+theta2)*(1-EXP(-'Data Bonds'!BK35/la))/('Data Bonds'!BK35/la)-theta2*EXP(-'Data Bonds'!BK35/la))</f>
        <v>0</v>
      </c>
      <c r="BI36" s="45">
        <f>IF('Data Bonds'!BL35=0,0,theta0+(theta1+theta2)*(1-EXP(-'Data Bonds'!BL35/la))/('Data Bonds'!BL35/la)-theta2*EXP(-'Data Bonds'!BL35/la))</f>
        <v>0</v>
      </c>
      <c r="BJ36" s="45">
        <f>IF('Data Bonds'!BM35=0,0,theta0+(theta1+theta2)*(1-EXP(-'Data Bonds'!BM35/la))/('Data Bonds'!BM35/la)-theta2*EXP(-'Data Bonds'!BM35/la))</f>
        <v>0</v>
      </c>
      <c r="BK36" s="45">
        <f>IF('Data Bonds'!BN35=0,0,theta0+(theta1+theta2)*(1-EXP(-'Data Bonds'!BN35/la))/('Data Bonds'!BN35/la)-theta2*EXP(-'Data Bonds'!BN35/la))</f>
        <v>0</v>
      </c>
      <c r="BL36" s="45">
        <f>IF('Data Bonds'!BO35=0,0,theta0+(theta1+theta2)*(1-EXP(-'Data Bonds'!BO35/la))/('Data Bonds'!BO35/la)-theta2*EXP(-'Data Bonds'!BO35/la))</f>
        <v>0</v>
      </c>
      <c r="BM36" s="45">
        <f>IF('Data Bonds'!BP35=0,0,theta0+(theta1+theta2)*(1-EXP(-'Data Bonds'!BP35/la))/('Data Bonds'!BP35/la)-theta2*EXP(-'Data Bonds'!BP35/la))</f>
        <v>0</v>
      </c>
      <c r="BN36" s="45">
        <f>IF('Data Bonds'!BQ35=0,0,theta0+(theta1+theta2)*(1-EXP(-'Data Bonds'!BQ35/la))/('Data Bonds'!BQ35/la)-theta2*EXP(-'Data Bonds'!BQ35/la))</f>
        <v>0</v>
      </c>
      <c r="BO36" s="45">
        <f>IF('Data Bonds'!BR35=0,0,theta0+(theta1+theta2)*(1-EXP(-'Data Bonds'!BR35/la))/('Data Bonds'!BR35/la)-theta2*EXP(-'Data Bonds'!BR35/la))</f>
        <v>0</v>
      </c>
      <c r="BP36" s="38">
        <f>EXP(-'Data Bonds'!K35*H36)</f>
        <v>0.99030095386253514</v>
      </c>
      <c r="BQ36" s="38">
        <f>EXP(-'Data Bonds'!L35*I36)</f>
        <v>0.96596142383001249</v>
      </c>
      <c r="BR36" s="38">
        <f>EXP(-'Data Bonds'!M35*J36)</f>
        <v>0.94276024382077384</v>
      </c>
      <c r="BS36" s="38">
        <f>EXP(-'Data Bonds'!N35*K36)</f>
        <v>0.92013309652437447</v>
      </c>
      <c r="BT36" s="38">
        <f>EXP(-'Data Bonds'!O35*L36)</f>
        <v>0.8978301597681585</v>
      </c>
      <c r="BU36" s="38">
        <f>EXP(-'Data Bonds'!P35*M36)</f>
        <v>0.8757679623727499</v>
      </c>
      <c r="BV36" s="38">
        <f>EXP(-'Data Bonds'!Q35*N36)</f>
        <v>0.85394508705932803</v>
      </c>
      <c r="BW36" s="38">
        <f>EXP(-'Data Bonds'!R35*O36)</f>
        <v>0.83239541980118914</v>
      </c>
      <c r="BX36" s="38">
        <f>EXP(-'Data Bonds'!S35*P36)</f>
        <v>0.81116332561828708</v>
      </c>
      <c r="BY36" s="38">
        <f>EXP(-'Data Bonds'!T35*Q36)</f>
        <v>0.79029139660492453</v>
      </c>
      <c r="BZ36" s="38">
        <f>EXP(-'Data Bonds'!U35*R36)</f>
        <v>0.76981519641342533</v>
      </c>
      <c r="CA36" s="38">
        <f>EXP(-'Data Bonds'!V35*S36)</f>
        <v>0.74976172414671449</v>
      </c>
      <c r="CB36" s="38">
        <f>EXP(-'Data Bonds'!W35*T36)</f>
        <v>0.73014971419213559</v>
      </c>
      <c r="CC36" s="38">
        <f>EXP(-'Data Bonds'!X35*U36)</f>
        <v>0.71099072354814263</v>
      </c>
      <c r="CD36" s="38">
        <f>EXP(-'Data Bonds'!Y35*V36)</f>
        <v>0.69229044963946051</v>
      </c>
      <c r="CE36" s="38">
        <f>EXP(-'Data Bonds'!Z35*W36)</f>
        <v>0.67405000392176173</v>
      </c>
      <c r="CF36" s="38">
        <f>EXP(-'Data Bonds'!AA35*X36)</f>
        <v>0.65626702351290833</v>
      </c>
      <c r="CG36" s="38">
        <f>EXP(-'Data Bonds'!AB35*Y36)</f>
        <v>1</v>
      </c>
      <c r="CH36" s="38">
        <f>EXP(-'Data Bonds'!AC35*Z36)</f>
        <v>1</v>
      </c>
      <c r="CI36" s="38">
        <f>EXP(-'Data Bonds'!AD35*AA36)</f>
        <v>1</v>
      </c>
      <c r="CJ36" s="38">
        <f>EXP(-'Data Bonds'!AE35*AB36)</f>
        <v>1</v>
      </c>
      <c r="CK36" s="38">
        <f>EXP(-'Data Bonds'!AF35*AC36)</f>
        <v>1</v>
      </c>
      <c r="CL36" s="38">
        <f>EXP(-'Data Bonds'!AG35*AD36)</f>
        <v>1</v>
      </c>
      <c r="CM36" s="38">
        <f>EXP(-'Data Bonds'!AH35*AE36)</f>
        <v>1</v>
      </c>
      <c r="CN36" s="38">
        <f>EXP(-'Data Bonds'!AI35*AF36)</f>
        <v>1</v>
      </c>
      <c r="CO36" s="38">
        <f>EXP(-'Data Bonds'!AJ35*AG36)</f>
        <v>1</v>
      </c>
      <c r="CP36" s="38">
        <f>EXP(-'Data Bonds'!AK35*AH36)</f>
        <v>1</v>
      </c>
      <c r="CQ36" s="38">
        <f>EXP(-'Data Bonds'!AL35*AI36)</f>
        <v>1</v>
      </c>
      <c r="CR36" s="38">
        <f>EXP(-'Data Bonds'!AM35*AJ36)</f>
        <v>1</v>
      </c>
      <c r="CS36" s="38">
        <f>EXP(-'Data Bonds'!AN35*AK36)</f>
        <v>1</v>
      </c>
      <c r="CT36" s="38">
        <f>EXP(-'Data Bonds'!AO35*AL36)</f>
        <v>1</v>
      </c>
      <c r="CU36" s="38">
        <f>EXP(-'Data Bonds'!AP35*AM36)</f>
        <v>1</v>
      </c>
      <c r="CV36" s="38">
        <f>EXP(-'Data Bonds'!AQ35*AN36)</f>
        <v>1</v>
      </c>
      <c r="CW36" s="38">
        <f>EXP(-'Data Bonds'!AR35*AO36)</f>
        <v>1</v>
      </c>
      <c r="CX36" s="38">
        <f>EXP(-'Data Bonds'!AS35*AP36)</f>
        <v>1</v>
      </c>
      <c r="CY36" s="38">
        <f>EXP(-'Data Bonds'!AT35*AQ36)</f>
        <v>1</v>
      </c>
      <c r="CZ36" s="38">
        <f>EXP(-'Data Bonds'!AU35*AR36)</f>
        <v>1</v>
      </c>
      <c r="DA36" s="38">
        <f>EXP(-'Data Bonds'!AV35*AS36)</f>
        <v>1</v>
      </c>
      <c r="DB36" s="38">
        <f>EXP(-'Data Bonds'!AW35*AT36)</f>
        <v>1</v>
      </c>
      <c r="DC36" s="38">
        <f>EXP(-'Data Bonds'!AX35*AU36)</f>
        <v>1</v>
      </c>
      <c r="DD36" s="38">
        <f>EXP(-'Data Bonds'!AY35*AV36)</f>
        <v>1</v>
      </c>
      <c r="DE36" s="38">
        <f>EXP(-'Data Bonds'!AZ35*AW36)</f>
        <v>1</v>
      </c>
      <c r="DF36" s="38">
        <f>EXP(-'Data Bonds'!BA35*AX36)</f>
        <v>1</v>
      </c>
      <c r="DG36" s="38">
        <f>EXP(-'Data Bonds'!BB35*AY36)</f>
        <v>1</v>
      </c>
      <c r="DH36" s="38">
        <f>EXP(-'Data Bonds'!BC35*AZ36)</f>
        <v>1</v>
      </c>
      <c r="DI36" s="38">
        <f>EXP(-'Data Bonds'!BD35*BA36)</f>
        <v>1</v>
      </c>
      <c r="DJ36" s="38">
        <f>EXP(-'Data Bonds'!BE35*BB36)</f>
        <v>1</v>
      </c>
      <c r="DK36" s="38">
        <f>EXP(-'Data Bonds'!BF35*BC36)</f>
        <v>1</v>
      </c>
      <c r="DL36" s="38">
        <f>EXP(-'Data Bonds'!BG35*BD36)</f>
        <v>1</v>
      </c>
      <c r="DM36" s="38">
        <f>EXP(-'Data Bonds'!BH35*BE36)</f>
        <v>1</v>
      </c>
      <c r="DN36" s="38">
        <f>EXP(-'Data Bonds'!BI35*BF36)</f>
        <v>1</v>
      </c>
      <c r="DO36" s="38">
        <f>EXP(-'Data Bonds'!BJ35*BG36)</f>
        <v>1</v>
      </c>
      <c r="DP36" s="38">
        <f>EXP(-'Data Bonds'!BK35*BH36)</f>
        <v>1</v>
      </c>
      <c r="DQ36" s="38">
        <f>EXP(-'Data Bonds'!BL35*BI36)</f>
        <v>1</v>
      </c>
      <c r="DR36" s="38">
        <f>EXP(-'Data Bonds'!BM35*BJ36)</f>
        <v>1</v>
      </c>
      <c r="DS36" s="38">
        <f>EXP(-'Data Bonds'!BN35*BK36)</f>
        <v>1</v>
      </c>
      <c r="DT36" s="38">
        <f>EXP(-'Data Bonds'!BO35*BL36)</f>
        <v>1</v>
      </c>
      <c r="DU36" s="38">
        <f>EXP(-'Data Bonds'!BP35*BM36)</f>
        <v>1</v>
      </c>
      <c r="DV36" s="38">
        <f>EXP(-'Data Bonds'!BQ35*BN36)</f>
        <v>1</v>
      </c>
      <c r="DW36" s="38">
        <f>EXP(-'Data Bonds'!BR35*BO36)</f>
        <v>1</v>
      </c>
      <c r="DX36" s="28">
        <f>SUMPRODUCT(BP36:DW36,'Data Bonds'!BU35:EB35)</f>
        <v>95.087434398644206</v>
      </c>
      <c r="DY36" s="28">
        <f t="shared" si="5"/>
        <v>0.15291057946863251</v>
      </c>
      <c r="EA36" s="33">
        <f t="shared" si="6"/>
        <v>12.5</v>
      </c>
      <c r="EB36" s="29">
        <f t="shared" si="2"/>
        <v>5.2184293514476107E-2</v>
      </c>
      <c r="EC36" s="29">
        <f t="shared" si="3"/>
        <v>0.52084454028137162</v>
      </c>
      <c r="ED36" s="29">
        <f t="shared" si="7"/>
        <v>5.3652532035248619E-2</v>
      </c>
      <c r="EE36" s="32"/>
      <c r="EF36" s="32"/>
      <c r="EG36" s="32"/>
      <c r="EI36" s="34"/>
    </row>
    <row r="37" spans="2:139">
      <c r="B37" s="27">
        <f>'Data Bonds'!E36</f>
        <v>4.5</v>
      </c>
      <c r="C37" s="27">
        <f>'Data Bonds'!F36</f>
        <v>95.625</v>
      </c>
      <c r="D37" s="27">
        <f>'Data Bonds'!G36</f>
        <v>95.65625</v>
      </c>
      <c r="E37" s="27">
        <f>'Data Bonds'!I36</f>
        <v>1.4</v>
      </c>
      <c r="F37" s="40">
        <f>'Data Bonds'!H36</f>
        <v>8.6888888888888882</v>
      </c>
      <c r="G37" s="28">
        <f t="shared" si="4"/>
        <v>97.040625000000006</v>
      </c>
      <c r="H37" s="45">
        <f>IF('Data Bonds'!K36=0,0,theta0+(theta1+theta2)*(1-EXP(-'Data Bonds'!K36/la))/('Data Bonds'!K36/la)-theta2*EXP(-'Data Bonds'!K36/la))</f>
        <v>5.1598526027898411E-2</v>
      </c>
      <c r="I37" s="45">
        <f>IF('Data Bonds'!L36=0,0,theta0+(theta1+theta2)*(1-EXP(-'Data Bonds'!L36/la))/('Data Bonds'!L36/la)-theta2*EXP(-'Data Bonds'!L36/la))</f>
        <v>5.0271357324748023E-2</v>
      </c>
      <c r="J37" s="45">
        <f>IF('Data Bonds'!M36=0,0,theta0+(theta1+theta2)*(1-EXP(-'Data Bonds'!M36/la))/('Data Bonds'!M36/la)-theta2*EXP(-'Data Bonds'!M36/la))</f>
        <v>4.9578457297749672E-2</v>
      </c>
      <c r="K37" s="45">
        <f>IF('Data Bonds'!N36=0,0,theta0+(theta1+theta2)*(1-EXP(-'Data Bonds'!N36/la))/('Data Bonds'!N36/la)-theta2*EXP(-'Data Bonds'!N36/la))</f>
        <v>4.9285035750538553E-2</v>
      </c>
      <c r="L37" s="45">
        <f>IF('Data Bonds'!O36=0,0,theta0+(theta1+theta2)*(1-EXP(-'Data Bonds'!O36/la))/('Data Bonds'!O36/la)-theta2*EXP(-'Data Bonds'!O36/la))</f>
        <v>4.9237017363447266E-2</v>
      </c>
      <c r="M37" s="45">
        <f>IF('Data Bonds'!P36=0,0,theta0+(theta1+theta2)*(1-EXP(-'Data Bonds'!P36/la))/('Data Bonds'!P36/la)-theta2*EXP(-'Data Bonds'!P36/la))</f>
        <v>4.9334171753160738E-2</v>
      </c>
      <c r="N37" s="45">
        <f>IF('Data Bonds'!Q36=0,0,theta0+(theta1+theta2)*(1-EXP(-'Data Bonds'!Q36/la))/('Data Bonds'!Q36/la)-theta2*EXP(-'Data Bonds'!Q36/la))</f>
        <v>4.9512038088999483E-2</v>
      </c>
      <c r="O37" s="45">
        <f>IF('Data Bonds'!R36=0,0,theta0+(theta1+theta2)*(1-EXP(-'Data Bonds'!R36/la))/('Data Bonds'!R36/la)-theta2*EXP(-'Data Bonds'!R36/la))</f>
        <v>4.9729794635889335E-2</v>
      </c>
      <c r="P37" s="45">
        <f>IF('Data Bonds'!S36=0,0,theta0+(theta1+theta2)*(1-EXP(-'Data Bonds'!S36/la))/('Data Bonds'!S36/la)-theta2*EXP(-'Data Bonds'!S36/la))</f>
        <v>4.9962140977046696E-2</v>
      </c>
      <c r="Q37" s="45">
        <f>IF('Data Bonds'!T36=0,0,theta0+(theta1+theta2)*(1-EXP(-'Data Bonds'!T36/la))/('Data Bonds'!T36/la)-theta2*EXP(-'Data Bonds'!T36/la))</f>
        <v>5.0193884019659962E-2</v>
      </c>
      <c r="R37" s="45">
        <f>IF('Data Bonds'!U36=0,0,theta0+(theta1+theta2)*(1-EXP(-'Data Bonds'!U36/la))/('Data Bonds'!U36/la)-theta2*EXP(-'Data Bonds'!U36/la))</f>
        <v>5.0416342149512058E-2</v>
      </c>
      <c r="S37" s="45">
        <f>IF('Data Bonds'!V36=0,0,theta0+(theta1+theta2)*(1-EXP(-'Data Bonds'!V36/la))/('Data Bonds'!V36/la)-theta2*EXP(-'Data Bonds'!V36/la))</f>
        <v>5.0624969074311257E-2</v>
      </c>
      <c r="T37" s="45">
        <f>IF('Data Bonds'!W36=0,0,theta0+(theta1+theta2)*(1-EXP(-'Data Bonds'!W36/la))/('Data Bonds'!W36/la)-theta2*EXP(-'Data Bonds'!W36/la))</f>
        <v>5.0817793561872729E-2</v>
      </c>
      <c r="U37" s="45">
        <f>IF('Data Bonds'!X36=0,0,theta0+(theta1+theta2)*(1-EXP(-'Data Bonds'!X36/la))/('Data Bonds'!X36/la)-theta2*EXP(-'Data Bonds'!X36/la))</f>
        <v>5.0994403103277734E-2</v>
      </c>
      <c r="V37" s="45">
        <f>IF('Data Bonds'!Y36=0,0,theta0+(theta1+theta2)*(1-EXP(-'Data Bonds'!Y36/la))/('Data Bonds'!Y36/la)-theta2*EXP(-'Data Bonds'!Y36/la))</f>
        <v>5.1155288695615496E-2</v>
      </c>
      <c r="W37" s="45">
        <f>IF('Data Bonds'!Z36=0,0,theta0+(theta1+theta2)*(1-EXP(-'Data Bonds'!Z36/la))/('Data Bonds'!Z36/la)-theta2*EXP(-'Data Bonds'!Z36/la))</f>
        <v>5.1301428168232986E-2</v>
      </c>
      <c r="X37" s="45">
        <f>IF('Data Bonds'!AA36=0,0,theta0+(theta1+theta2)*(1-EXP(-'Data Bonds'!AA36/la))/('Data Bonds'!AA36/la)-theta2*EXP(-'Data Bonds'!AA36/la))</f>
        <v>5.1434026097624264E-2</v>
      </c>
      <c r="Y37" s="45">
        <f>IF('Data Bonds'!AB36=0,0,theta0+(theta1+theta2)*(1-EXP(-'Data Bonds'!AB36/la))/('Data Bonds'!AB36/la)-theta2*EXP(-'Data Bonds'!AB36/la))</f>
        <v>5.1554355703636381E-2</v>
      </c>
      <c r="Z37" s="45">
        <f>IF('Data Bonds'!AC36=0,0,theta0+(theta1+theta2)*(1-EXP(-'Data Bonds'!AC36/la))/('Data Bonds'!AC36/la)-theta2*EXP(-'Data Bonds'!AC36/la))</f>
        <v>0</v>
      </c>
      <c r="AA37" s="45">
        <f>IF('Data Bonds'!AD36=0,0,theta0+(theta1+theta2)*(1-EXP(-'Data Bonds'!AD36/la))/('Data Bonds'!AD36/la)-theta2*EXP(-'Data Bonds'!AD36/la))</f>
        <v>0</v>
      </c>
      <c r="AB37" s="45">
        <f>IF('Data Bonds'!AE36=0,0,theta0+(theta1+theta2)*(1-EXP(-'Data Bonds'!AE36/la))/('Data Bonds'!AE36/la)-theta2*EXP(-'Data Bonds'!AE36/la))</f>
        <v>0</v>
      </c>
      <c r="AC37" s="45">
        <f>IF('Data Bonds'!AF36=0,0,theta0+(theta1+theta2)*(1-EXP(-'Data Bonds'!AF36/la))/('Data Bonds'!AF36/la)-theta2*EXP(-'Data Bonds'!AF36/la))</f>
        <v>0</v>
      </c>
      <c r="AD37" s="45">
        <f>IF('Data Bonds'!AG36=0,0,theta0+(theta1+theta2)*(1-EXP(-'Data Bonds'!AG36/la))/('Data Bonds'!AG36/la)-theta2*EXP(-'Data Bonds'!AG36/la))</f>
        <v>0</v>
      </c>
      <c r="AE37" s="45">
        <f>IF('Data Bonds'!AH36=0,0,theta0+(theta1+theta2)*(1-EXP(-'Data Bonds'!AH36/la))/('Data Bonds'!AH36/la)-theta2*EXP(-'Data Bonds'!AH36/la))</f>
        <v>0</v>
      </c>
      <c r="AF37" s="45">
        <f>IF('Data Bonds'!AI36=0,0,theta0+(theta1+theta2)*(1-EXP(-'Data Bonds'!AI36/la))/('Data Bonds'!AI36/la)-theta2*EXP(-'Data Bonds'!AI36/la))</f>
        <v>0</v>
      </c>
      <c r="AG37" s="45">
        <f>IF('Data Bonds'!AJ36=0,0,theta0+(theta1+theta2)*(1-EXP(-'Data Bonds'!AJ36/la))/('Data Bonds'!AJ36/la)-theta2*EXP(-'Data Bonds'!AJ36/la))</f>
        <v>0</v>
      </c>
      <c r="AH37" s="45">
        <f>IF('Data Bonds'!AK36=0,0,theta0+(theta1+theta2)*(1-EXP(-'Data Bonds'!AK36/la))/('Data Bonds'!AK36/la)-theta2*EXP(-'Data Bonds'!AK36/la))</f>
        <v>0</v>
      </c>
      <c r="AI37" s="45">
        <f>IF('Data Bonds'!AL36=0,0,theta0+(theta1+theta2)*(1-EXP(-'Data Bonds'!AL36/la))/('Data Bonds'!AL36/la)-theta2*EXP(-'Data Bonds'!AL36/la))</f>
        <v>0</v>
      </c>
      <c r="AJ37" s="45">
        <f>IF('Data Bonds'!AM36=0,0,theta0+(theta1+theta2)*(1-EXP(-'Data Bonds'!AM36/la))/('Data Bonds'!AM36/la)-theta2*EXP(-'Data Bonds'!AM36/la))</f>
        <v>0</v>
      </c>
      <c r="AK37" s="45">
        <f>IF('Data Bonds'!AN36=0,0,theta0+(theta1+theta2)*(1-EXP(-'Data Bonds'!AN36/la))/('Data Bonds'!AN36/la)-theta2*EXP(-'Data Bonds'!AN36/la))</f>
        <v>0</v>
      </c>
      <c r="AL37" s="45">
        <f>IF('Data Bonds'!AO36=0,0,theta0+(theta1+theta2)*(1-EXP(-'Data Bonds'!AO36/la))/('Data Bonds'!AO36/la)-theta2*EXP(-'Data Bonds'!AO36/la))</f>
        <v>0</v>
      </c>
      <c r="AM37" s="45">
        <f>IF('Data Bonds'!AP36=0,0,theta0+(theta1+theta2)*(1-EXP(-'Data Bonds'!AP36/la))/('Data Bonds'!AP36/la)-theta2*EXP(-'Data Bonds'!AP36/la))</f>
        <v>0</v>
      </c>
      <c r="AN37" s="45">
        <f>IF('Data Bonds'!AQ36=0,0,theta0+(theta1+theta2)*(1-EXP(-'Data Bonds'!AQ36/la))/('Data Bonds'!AQ36/la)-theta2*EXP(-'Data Bonds'!AQ36/la))</f>
        <v>0</v>
      </c>
      <c r="AO37" s="45">
        <f>IF('Data Bonds'!AR36=0,0,theta0+(theta1+theta2)*(1-EXP(-'Data Bonds'!AR36/la))/('Data Bonds'!AR36/la)-theta2*EXP(-'Data Bonds'!AR36/la))</f>
        <v>0</v>
      </c>
      <c r="AP37" s="45">
        <f>IF('Data Bonds'!AS36=0,0,theta0+(theta1+theta2)*(1-EXP(-'Data Bonds'!AS36/la))/('Data Bonds'!AS36/la)-theta2*EXP(-'Data Bonds'!AS36/la))</f>
        <v>0</v>
      </c>
      <c r="AQ37" s="45">
        <f>IF('Data Bonds'!AT36=0,0,theta0+(theta1+theta2)*(1-EXP(-'Data Bonds'!AT36/la))/('Data Bonds'!AT36/la)-theta2*EXP(-'Data Bonds'!AT36/la))</f>
        <v>0</v>
      </c>
      <c r="AR37" s="45">
        <f>IF('Data Bonds'!AU36=0,0,theta0+(theta1+theta2)*(1-EXP(-'Data Bonds'!AU36/la))/('Data Bonds'!AU36/la)-theta2*EXP(-'Data Bonds'!AU36/la))</f>
        <v>0</v>
      </c>
      <c r="AS37" s="45">
        <f>IF('Data Bonds'!AV36=0,0,theta0+(theta1+theta2)*(1-EXP(-'Data Bonds'!AV36/la))/('Data Bonds'!AV36/la)-theta2*EXP(-'Data Bonds'!AV36/la))</f>
        <v>0</v>
      </c>
      <c r="AT37" s="45">
        <f>IF('Data Bonds'!AW36=0,0,theta0+(theta1+theta2)*(1-EXP(-'Data Bonds'!AW36/la))/('Data Bonds'!AW36/la)-theta2*EXP(-'Data Bonds'!AW36/la))</f>
        <v>0</v>
      </c>
      <c r="AU37" s="45">
        <f>IF('Data Bonds'!AX36=0,0,theta0+(theta1+theta2)*(1-EXP(-'Data Bonds'!AX36/la))/('Data Bonds'!AX36/la)-theta2*EXP(-'Data Bonds'!AX36/la))</f>
        <v>0</v>
      </c>
      <c r="AV37" s="45">
        <f>IF('Data Bonds'!AY36=0,0,theta0+(theta1+theta2)*(1-EXP(-'Data Bonds'!AY36/la))/('Data Bonds'!AY36/la)-theta2*EXP(-'Data Bonds'!AY36/la))</f>
        <v>0</v>
      </c>
      <c r="AW37" s="45">
        <f>IF('Data Bonds'!AZ36=0,0,theta0+(theta1+theta2)*(1-EXP(-'Data Bonds'!AZ36/la))/('Data Bonds'!AZ36/la)-theta2*EXP(-'Data Bonds'!AZ36/la))</f>
        <v>0</v>
      </c>
      <c r="AX37" s="45">
        <f>IF('Data Bonds'!BA36=0,0,theta0+(theta1+theta2)*(1-EXP(-'Data Bonds'!BA36/la))/('Data Bonds'!BA36/la)-theta2*EXP(-'Data Bonds'!BA36/la))</f>
        <v>0</v>
      </c>
      <c r="AY37" s="45">
        <f>IF('Data Bonds'!BB36=0,0,theta0+(theta1+theta2)*(1-EXP(-'Data Bonds'!BB36/la))/('Data Bonds'!BB36/la)-theta2*EXP(-'Data Bonds'!BB36/la))</f>
        <v>0</v>
      </c>
      <c r="AZ37" s="45">
        <f>IF('Data Bonds'!BC36=0,0,theta0+(theta1+theta2)*(1-EXP(-'Data Bonds'!BC36/la))/('Data Bonds'!BC36/la)-theta2*EXP(-'Data Bonds'!BC36/la))</f>
        <v>0</v>
      </c>
      <c r="BA37" s="45">
        <f>IF('Data Bonds'!BD36=0,0,theta0+(theta1+theta2)*(1-EXP(-'Data Bonds'!BD36/la))/('Data Bonds'!BD36/la)-theta2*EXP(-'Data Bonds'!BD36/la))</f>
        <v>0</v>
      </c>
      <c r="BB37" s="45">
        <f>IF('Data Bonds'!BE36=0,0,theta0+(theta1+theta2)*(1-EXP(-'Data Bonds'!BE36/la))/('Data Bonds'!BE36/la)-theta2*EXP(-'Data Bonds'!BE36/la))</f>
        <v>0</v>
      </c>
      <c r="BC37" s="45">
        <f>IF('Data Bonds'!BF36=0,0,theta0+(theta1+theta2)*(1-EXP(-'Data Bonds'!BF36/la))/('Data Bonds'!BF36/la)-theta2*EXP(-'Data Bonds'!BF36/la))</f>
        <v>0</v>
      </c>
      <c r="BD37" s="45">
        <f>IF('Data Bonds'!BG36=0,0,theta0+(theta1+theta2)*(1-EXP(-'Data Bonds'!BG36/la))/('Data Bonds'!BG36/la)-theta2*EXP(-'Data Bonds'!BG36/la))</f>
        <v>0</v>
      </c>
      <c r="BE37" s="45">
        <f>IF('Data Bonds'!BH36=0,0,theta0+(theta1+theta2)*(1-EXP(-'Data Bonds'!BH36/la))/('Data Bonds'!BH36/la)-theta2*EXP(-'Data Bonds'!BH36/la))</f>
        <v>0</v>
      </c>
      <c r="BF37" s="45">
        <f>IF('Data Bonds'!BI36=0,0,theta0+(theta1+theta2)*(1-EXP(-'Data Bonds'!BI36/la))/('Data Bonds'!BI36/la)-theta2*EXP(-'Data Bonds'!BI36/la))</f>
        <v>0</v>
      </c>
      <c r="BG37" s="45">
        <f>IF('Data Bonds'!BJ36=0,0,theta0+(theta1+theta2)*(1-EXP(-'Data Bonds'!BJ36/la))/('Data Bonds'!BJ36/la)-theta2*EXP(-'Data Bonds'!BJ36/la))</f>
        <v>0</v>
      </c>
      <c r="BH37" s="45">
        <f>IF('Data Bonds'!BK36=0,0,theta0+(theta1+theta2)*(1-EXP(-'Data Bonds'!BK36/la))/('Data Bonds'!BK36/la)-theta2*EXP(-'Data Bonds'!BK36/la))</f>
        <v>0</v>
      </c>
      <c r="BI37" s="45">
        <f>IF('Data Bonds'!BL36=0,0,theta0+(theta1+theta2)*(1-EXP(-'Data Bonds'!BL36/la))/('Data Bonds'!BL36/la)-theta2*EXP(-'Data Bonds'!BL36/la))</f>
        <v>0</v>
      </c>
      <c r="BJ37" s="45">
        <f>IF('Data Bonds'!BM36=0,0,theta0+(theta1+theta2)*(1-EXP(-'Data Bonds'!BM36/la))/('Data Bonds'!BM36/la)-theta2*EXP(-'Data Bonds'!BM36/la))</f>
        <v>0</v>
      </c>
      <c r="BK37" s="45">
        <f>IF('Data Bonds'!BN36=0,0,theta0+(theta1+theta2)*(1-EXP(-'Data Bonds'!BN36/la))/('Data Bonds'!BN36/la)-theta2*EXP(-'Data Bonds'!BN36/la))</f>
        <v>0</v>
      </c>
      <c r="BL37" s="45">
        <f>IF('Data Bonds'!BO36=0,0,theta0+(theta1+theta2)*(1-EXP(-'Data Bonds'!BO36/la))/('Data Bonds'!BO36/la)-theta2*EXP(-'Data Bonds'!BO36/la))</f>
        <v>0</v>
      </c>
      <c r="BM37" s="45">
        <f>IF('Data Bonds'!BP36=0,0,theta0+(theta1+theta2)*(1-EXP(-'Data Bonds'!BP36/la))/('Data Bonds'!BP36/la)-theta2*EXP(-'Data Bonds'!BP36/la))</f>
        <v>0</v>
      </c>
      <c r="BN37" s="45">
        <f>IF('Data Bonds'!BQ36=0,0,theta0+(theta1+theta2)*(1-EXP(-'Data Bonds'!BQ36/la))/('Data Bonds'!BQ36/la)-theta2*EXP(-'Data Bonds'!BQ36/la))</f>
        <v>0</v>
      </c>
      <c r="BO37" s="45">
        <f>IF('Data Bonds'!BR36=0,0,theta0+(theta1+theta2)*(1-EXP(-'Data Bonds'!BR36/la))/('Data Bonds'!BR36/la)-theta2*EXP(-'Data Bonds'!BR36/la))</f>
        <v>0</v>
      </c>
      <c r="BP37" s="38">
        <f>EXP(-'Data Bonds'!K36*H37)</f>
        <v>0.99030095386253514</v>
      </c>
      <c r="BQ37" s="38">
        <f>EXP(-'Data Bonds'!L36*I37)</f>
        <v>0.96596142383001249</v>
      </c>
      <c r="BR37" s="38">
        <f>EXP(-'Data Bonds'!M36*J37)</f>
        <v>0.94276024382077384</v>
      </c>
      <c r="BS37" s="38">
        <f>EXP(-'Data Bonds'!N36*K37)</f>
        <v>0.92013309652437447</v>
      </c>
      <c r="BT37" s="38">
        <f>EXP(-'Data Bonds'!O36*L37)</f>
        <v>0.8978301597681585</v>
      </c>
      <c r="BU37" s="38">
        <f>EXP(-'Data Bonds'!P36*M37)</f>
        <v>0.8757679623727499</v>
      </c>
      <c r="BV37" s="38">
        <f>EXP(-'Data Bonds'!Q36*N37)</f>
        <v>0.85394508705932803</v>
      </c>
      <c r="BW37" s="38">
        <f>EXP(-'Data Bonds'!R36*O37)</f>
        <v>0.83239541980118914</v>
      </c>
      <c r="BX37" s="38">
        <f>EXP(-'Data Bonds'!S36*P37)</f>
        <v>0.81116332561828708</v>
      </c>
      <c r="BY37" s="38">
        <f>EXP(-'Data Bonds'!T36*Q37)</f>
        <v>0.79029139660492453</v>
      </c>
      <c r="BZ37" s="38">
        <f>EXP(-'Data Bonds'!U36*R37)</f>
        <v>0.76981519641342533</v>
      </c>
      <c r="CA37" s="38">
        <f>EXP(-'Data Bonds'!V36*S37)</f>
        <v>0.74976172414671449</v>
      </c>
      <c r="CB37" s="38">
        <f>EXP(-'Data Bonds'!W36*T37)</f>
        <v>0.73014971419213559</v>
      </c>
      <c r="CC37" s="38">
        <f>EXP(-'Data Bonds'!X36*U37)</f>
        <v>0.71099072354814263</v>
      </c>
      <c r="CD37" s="38">
        <f>EXP(-'Data Bonds'!Y36*V37)</f>
        <v>0.69229044963946051</v>
      </c>
      <c r="CE37" s="38">
        <f>EXP(-'Data Bonds'!Z36*W37)</f>
        <v>0.67405000392176173</v>
      </c>
      <c r="CF37" s="38">
        <f>EXP(-'Data Bonds'!AA36*X37)</f>
        <v>0.65626702351290833</v>
      </c>
      <c r="CG37" s="38">
        <f>EXP(-'Data Bonds'!AB36*Y37)</f>
        <v>0.63893658633137096</v>
      </c>
      <c r="CH37" s="38">
        <f>EXP(-'Data Bonds'!AC36*Z37)</f>
        <v>1</v>
      </c>
      <c r="CI37" s="38">
        <f>EXP(-'Data Bonds'!AD36*AA37)</f>
        <v>1</v>
      </c>
      <c r="CJ37" s="38">
        <f>EXP(-'Data Bonds'!AE36*AB37)</f>
        <v>1</v>
      </c>
      <c r="CK37" s="38">
        <f>EXP(-'Data Bonds'!AF36*AC37)</f>
        <v>1</v>
      </c>
      <c r="CL37" s="38">
        <f>EXP(-'Data Bonds'!AG36*AD37)</f>
        <v>1</v>
      </c>
      <c r="CM37" s="38">
        <f>EXP(-'Data Bonds'!AH36*AE37)</f>
        <v>1</v>
      </c>
      <c r="CN37" s="38">
        <f>EXP(-'Data Bonds'!AI36*AF37)</f>
        <v>1</v>
      </c>
      <c r="CO37" s="38">
        <f>EXP(-'Data Bonds'!AJ36*AG37)</f>
        <v>1</v>
      </c>
      <c r="CP37" s="38">
        <f>EXP(-'Data Bonds'!AK36*AH37)</f>
        <v>1</v>
      </c>
      <c r="CQ37" s="38">
        <f>EXP(-'Data Bonds'!AL36*AI37)</f>
        <v>1</v>
      </c>
      <c r="CR37" s="38">
        <f>EXP(-'Data Bonds'!AM36*AJ37)</f>
        <v>1</v>
      </c>
      <c r="CS37" s="38">
        <f>EXP(-'Data Bonds'!AN36*AK37)</f>
        <v>1</v>
      </c>
      <c r="CT37" s="38">
        <f>EXP(-'Data Bonds'!AO36*AL37)</f>
        <v>1</v>
      </c>
      <c r="CU37" s="38">
        <f>EXP(-'Data Bonds'!AP36*AM37)</f>
        <v>1</v>
      </c>
      <c r="CV37" s="38">
        <f>EXP(-'Data Bonds'!AQ36*AN37)</f>
        <v>1</v>
      </c>
      <c r="CW37" s="38">
        <f>EXP(-'Data Bonds'!AR36*AO37)</f>
        <v>1</v>
      </c>
      <c r="CX37" s="38">
        <f>EXP(-'Data Bonds'!AS36*AP37)</f>
        <v>1</v>
      </c>
      <c r="CY37" s="38">
        <f>EXP(-'Data Bonds'!AT36*AQ37)</f>
        <v>1</v>
      </c>
      <c r="CZ37" s="38">
        <f>EXP(-'Data Bonds'!AU36*AR37)</f>
        <v>1</v>
      </c>
      <c r="DA37" s="38">
        <f>EXP(-'Data Bonds'!AV36*AS37)</f>
        <v>1</v>
      </c>
      <c r="DB37" s="38">
        <f>EXP(-'Data Bonds'!AW36*AT37)</f>
        <v>1</v>
      </c>
      <c r="DC37" s="38">
        <f>EXP(-'Data Bonds'!AX36*AU37)</f>
        <v>1</v>
      </c>
      <c r="DD37" s="38">
        <f>EXP(-'Data Bonds'!AY36*AV37)</f>
        <v>1</v>
      </c>
      <c r="DE37" s="38">
        <f>EXP(-'Data Bonds'!AZ36*AW37)</f>
        <v>1</v>
      </c>
      <c r="DF37" s="38">
        <f>EXP(-'Data Bonds'!BA36*AX37)</f>
        <v>1</v>
      </c>
      <c r="DG37" s="38">
        <f>EXP(-'Data Bonds'!BB36*AY37)</f>
        <v>1</v>
      </c>
      <c r="DH37" s="38">
        <f>EXP(-'Data Bonds'!BC36*AZ37)</f>
        <v>1</v>
      </c>
      <c r="DI37" s="38">
        <f>EXP(-'Data Bonds'!BD36*BA37)</f>
        <v>1</v>
      </c>
      <c r="DJ37" s="38">
        <f>EXP(-'Data Bonds'!BE36*BB37)</f>
        <v>1</v>
      </c>
      <c r="DK37" s="38">
        <f>EXP(-'Data Bonds'!BF36*BC37)</f>
        <v>1</v>
      </c>
      <c r="DL37" s="38">
        <f>EXP(-'Data Bonds'!BG36*BD37)</f>
        <v>1</v>
      </c>
      <c r="DM37" s="38">
        <f>EXP(-'Data Bonds'!BH36*BE37)</f>
        <v>1</v>
      </c>
      <c r="DN37" s="38">
        <f>EXP(-'Data Bonds'!BI36*BF37)</f>
        <v>1</v>
      </c>
      <c r="DO37" s="38">
        <f>EXP(-'Data Bonds'!BJ36*BG37)</f>
        <v>1</v>
      </c>
      <c r="DP37" s="38">
        <f>EXP(-'Data Bonds'!BK36*BH37)</f>
        <v>1</v>
      </c>
      <c r="DQ37" s="38">
        <f>EXP(-'Data Bonds'!BL36*BI37)</f>
        <v>1</v>
      </c>
      <c r="DR37" s="38">
        <f>EXP(-'Data Bonds'!BM36*BJ37)</f>
        <v>1</v>
      </c>
      <c r="DS37" s="38">
        <f>EXP(-'Data Bonds'!BN36*BK37)</f>
        <v>1</v>
      </c>
      <c r="DT37" s="38">
        <f>EXP(-'Data Bonds'!BO36*BL37)</f>
        <v>1</v>
      </c>
      <c r="DU37" s="38">
        <f>EXP(-'Data Bonds'!BP36*BM37)</f>
        <v>1</v>
      </c>
      <c r="DV37" s="38">
        <f>EXP(-'Data Bonds'!BQ36*BN37)</f>
        <v>1</v>
      </c>
      <c r="DW37" s="38">
        <f>EXP(-'Data Bonds'!BR36*BO37)</f>
        <v>1</v>
      </c>
      <c r="DX37" s="28">
        <f>SUMPRODUCT(BP37:DW37,'Data Bonds'!BU36:EB36)</f>
        <v>96.524982237815664</v>
      </c>
      <c r="DY37" s="28">
        <f t="shared" si="5"/>
        <v>0.26588745819309789</v>
      </c>
      <c r="EA37" s="33">
        <f t="shared" si="6"/>
        <v>13</v>
      </c>
      <c r="EB37" s="29">
        <f t="shared" si="2"/>
        <v>5.2240887770248393E-2</v>
      </c>
      <c r="EC37" s="29">
        <f t="shared" si="3"/>
        <v>0.5070571595513691</v>
      </c>
      <c r="ED37" s="29">
        <f t="shared" si="7"/>
        <v>5.3655744164555708E-2</v>
      </c>
      <c r="EE37" s="32"/>
      <c r="EF37" s="32"/>
      <c r="EG37" s="32"/>
      <c r="EI37" s="34"/>
    </row>
    <row r="38" spans="2:139">
      <c r="B38" s="27">
        <f>'Data Bonds'!E37</f>
        <v>4.875</v>
      </c>
      <c r="C38" s="27">
        <f>'Data Bonds'!F37</f>
        <v>97.953125</v>
      </c>
      <c r="D38" s="27">
        <f>'Data Bonds'!G37</f>
        <v>97.984375</v>
      </c>
      <c r="E38" s="27">
        <f>'Data Bonds'!I37</f>
        <v>1.5166666666666666</v>
      </c>
      <c r="F38" s="40">
        <f>'Data Bonds'!H37</f>
        <v>9.1888888888888882</v>
      </c>
      <c r="G38" s="28">
        <f t="shared" si="4"/>
        <v>99.485416666666666</v>
      </c>
      <c r="H38" s="45">
        <f>IF('Data Bonds'!K37=0,0,theta0+(theta1+theta2)*(1-EXP(-'Data Bonds'!K37/la))/('Data Bonds'!K37/la)-theta2*EXP(-'Data Bonds'!K37/la))</f>
        <v>5.1598526027898411E-2</v>
      </c>
      <c r="I38" s="45">
        <f>IF('Data Bonds'!L37=0,0,theta0+(theta1+theta2)*(1-EXP(-'Data Bonds'!L37/la))/('Data Bonds'!L37/la)-theta2*EXP(-'Data Bonds'!L37/la))</f>
        <v>5.0271357324748023E-2</v>
      </c>
      <c r="J38" s="45">
        <f>IF('Data Bonds'!M37=0,0,theta0+(theta1+theta2)*(1-EXP(-'Data Bonds'!M37/la))/('Data Bonds'!M37/la)-theta2*EXP(-'Data Bonds'!M37/la))</f>
        <v>4.9578457297749672E-2</v>
      </c>
      <c r="K38" s="45">
        <f>IF('Data Bonds'!N37=0,0,theta0+(theta1+theta2)*(1-EXP(-'Data Bonds'!N37/la))/('Data Bonds'!N37/la)-theta2*EXP(-'Data Bonds'!N37/la))</f>
        <v>4.9285035750538553E-2</v>
      </c>
      <c r="L38" s="45">
        <f>IF('Data Bonds'!O37=0,0,theta0+(theta1+theta2)*(1-EXP(-'Data Bonds'!O37/la))/('Data Bonds'!O37/la)-theta2*EXP(-'Data Bonds'!O37/la))</f>
        <v>4.9237017363447266E-2</v>
      </c>
      <c r="M38" s="45">
        <f>IF('Data Bonds'!P37=0,0,theta0+(theta1+theta2)*(1-EXP(-'Data Bonds'!P37/la))/('Data Bonds'!P37/la)-theta2*EXP(-'Data Bonds'!P37/la))</f>
        <v>4.9334171753160738E-2</v>
      </c>
      <c r="N38" s="45">
        <f>IF('Data Bonds'!Q37=0,0,theta0+(theta1+theta2)*(1-EXP(-'Data Bonds'!Q37/la))/('Data Bonds'!Q37/la)-theta2*EXP(-'Data Bonds'!Q37/la))</f>
        <v>4.9512038088999483E-2</v>
      </c>
      <c r="O38" s="45">
        <f>IF('Data Bonds'!R37=0,0,theta0+(theta1+theta2)*(1-EXP(-'Data Bonds'!R37/la))/('Data Bonds'!R37/la)-theta2*EXP(-'Data Bonds'!R37/la))</f>
        <v>4.9729794635889335E-2</v>
      </c>
      <c r="P38" s="45">
        <f>IF('Data Bonds'!S37=0,0,theta0+(theta1+theta2)*(1-EXP(-'Data Bonds'!S37/la))/('Data Bonds'!S37/la)-theta2*EXP(-'Data Bonds'!S37/la))</f>
        <v>4.9962140977046696E-2</v>
      </c>
      <c r="Q38" s="45">
        <f>IF('Data Bonds'!T37=0,0,theta0+(theta1+theta2)*(1-EXP(-'Data Bonds'!T37/la))/('Data Bonds'!T37/la)-theta2*EXP(-'Data Bonds'!T37/la))</f>
        <v>5.0193884019659962E-2</v>
      </c>
      <c r="R38" s="45">
        <f>IF('Data Bonds'!U37=0,0,theta0+(theta1+theta2)*(1-EXP(-'Data Bonds'!U37/la))/('Data Bonds'!U37/la)-theta2*EXP(-'Data Bonds'!U37/la))</f>
        <v>5.0416342149512058E-2</v>
      </c>
      <c r="S38" s="45">
        <f>IF('Data Bonds'!V37=0,0,theta0+(theta1+theta2)*(1-EXP(-'Data Bonds'!V37/la))/('Data Bonds'!V37/la)-theta2*EXP(-'Data Bonds'!V37/la))</f>
        <v>5.0624969074311257E-2</v>
      </c>
      <c r="T38" s="45">
        <f>IF('Data Bonds'!W37=0,0,theta0+(theta1+theta2)*(1-EXP(-'Data Bonds'!W37/la))/('Data Bonds'!W37/la)-theta2*EXP(-'Data Bonds'!W37/la))</f>
        <v>5.0817793561872729E-2</v>
      </c>
      <c r="U38" s="45">
        <f>IF('Data Bonds'!X37=0,0,theta0+(theta1+theta2)*(1-EXP(-'Data Bonds'!X37/la))/('Data Bonds'!X37/la)-theta2*EXP(-'Data Bonds'!X37/la))</f>
        <v>5.0994403103277734E-2</v>
      </c>
      <c r="V38" s="45">
        <f>IF('Data Bonds'!Y37=0,0,theta0+(theta1+theta2)*(1-EXP(-'Data Bonds'!Y37/la))/('Data Bonds'!Y37/la)-theta2*EXP(-'Data Bonds'!Y37/la))</f>
        <v>5.1155288695615496E-2</v>
      </c>
      <c r="W38" s="45">
        <f>IF('Data Bonds'!Z37=0,0,theta0+(theta1+theta2)*(1-EXP(-'Data Bonds'!Z37/la))/('Data Bonds'!Z37/la)-theta2*EXP(-'Data Bonds'!Z37/la))</f>
        <v>5.1301428168232986E-2</v>
      </c>
      <c r="X38" s="45">
        <f>IF('Data Bonds'!AA37=0,0,theta0+(theta1+theta2)*(1-EXP(-'Data Bonds'!AA37/la))/('Data Bonds'!AA37/la)-theta2*EXP(-'Data Bonds'!AA37/la))</f>
        <v>5.1434026097624264E-2</v>
      </c>
      <c r="Y38" s="45">
        <f>IF('Data Bonds'!AB37=0,0,theta0+(theta1+theta2)*(1-EXP(-'Data Bonds'!AB37/la))/('Data Bonds'!AB37/la)-theta2*EXP(-'Data Bonds'!AB37/la))</f>
        <v>5.1554355703636381E-2</v>
      </c>
      <c r="Z38" s="45">
        <f>IF('Data Bonds'!AC37=0,0,theta0+(theta1+theta2)*(1-EXP(-'Data Bonds'!AC37/la))/('Data Bonds'!AC37/la)-theta2*EXP(-'Data Bonds'!AC37/la))</f>
        <v>5.1663666492393567E-2</v>
      </c>
      <c r="AA38" s="45">
        <f>IF('Data Bonds'!AD37=0,0,theta0+(theta1+theta2)*(1-EXP(-'Data Bonds'!AD37/la))/('Data Bonds'!AD37/la)-theta2*EXP(-'Data Bonds'!AD37/la))</f>
        <v>0</v>
      </c>
      <c r="AB38" s="45">
        <f>IF('Data Bonds'!AE37=0,0,theta0+(theta1+theta2)*(1-EXP(-'Data Bonds'!AE37/la))/('Data Bonds'!AE37/la)-theta2*EXP(-'Data Bonds'!AE37/la))</f>
        <v>0</v>
      </c>
      <c r="AC38" s="45">
        <f>IF('Data Bonds'!AF37=0,0,theta0+(theta1+theta2)*(1-EXP(-'Data Bonds'!AF37/la))/('Data Bonds'!AF37/la)-theta2*EXP(-'Data Bonds'!AF37/la))</f>
        <v>0</v>
      </c>
      <c r="AD38" s="45">
        <f>IF('Data Bonds'!AG37=0,0,theta0+(theta1+theta2)*(1-EXP(-'Data Bonds'!AG37/la))/('Data Bonds'!AG37/la)-theta2*EXP(-'Data Bonds'!AG37/la))</f>
        <v>0</v>
      </c>
      <c r="AE38" s="45">
        <f>IF('Data Bonds'!AH37=0,0,theta0+(theta1+theta2)*(1-EXP(-'Data Bonds'!AH37/la))/('Data Bonds'!AH37/la)-theta2*EXP(-'Data Bonds'!AH37/la))</f>
        <v>0</v>
      </c>
      <c r="AF38" s="45">
        <f>IF('Data Bonds'!AI37=0,0,theta0+(theta1+theta2)*(1-EXP(-'Data Bonds'!AI37/la))/('Data Bonds'!AI37/la)-theta2*EXP(-'Data Bonds'!AI37/la))</f>
        <v>0</v>
      </c>
      <c r="AG38" s="45">
        <f>IF('Data Bonds'!AJ37=0,0,theta0+(theta1+theta2)*(1-EXP(-'Data Bonds'!AJ37/la))/('Data Bonds'!AJ37/la)-theta2*EXP(-'Data Bonds'!AJ37/la))</f>
        <v>0</v>
      </c>
      <c r="AH38" s="45">
        <f>IF('Data Bonds'!AK37=0,0,theta0+(theta1+theta2)*(1-EXP(-'Data Bonds'!AK37/la))/('Data Bonds'!AK37/la)-theta2*EXP(-'Data Bonds'!AK37/la))</f>
        <v>0</v>
      </c>
      <c r="AI38" s="45">
        <f>IF('Data Bonds'!AL37=0,0,theta0+(theta1+theta2)*(1-EXP(-'Data Bonds'!AL37/la))/('Data Bonds'!AL37/la)-theta2*EXP(-'Data Bonds'!AL37/la))</f>
        <v>0</v>
      </c>
      <c r="AJ38" s="45">
        <f>IF('Data Bonds'!AM37=0,0,theta0+(theta1+theta2)*(1-EXP(-'Data Bonds'!AM37/la))/('Data Bonds'!AM37/la)-theta2*EXP(-'Data Bonds'!AM37/la))</f>
        <v>0</v>
      </c>
      <c r="AK38" s="45">
        <f>IF('Data Bonds'!AN37=0,0,theta0+(theta1+theta2)*(1-EXP(-'Data Bonds'!AN37/la))/('Data Bonds'!AN37/la)-theta2*EXP(-'Data Bonds'!AN37/la))</f>
        <v>0</v>
      </c>
      <c r="AL38" s="45">
        <f>IF('Data Bonds'!AO37=0,0,theta0+(theta1+theta2)*(1-EXP(-'Data Bonds'!AO37/la))/('Data Bonds'!AO37/la)-theta2*EXP(-'Data Bonds'!AO37/la))</f>
        <v>0</v>
      </c>
      <c r="AM38" s="45">
        <f>IF('Data Bonds'!AP37=0,0,theta0+(theta1+theta2)*(1-EXP(-'Data Bonds'!AP37/la))/('Data Bonds'!AP37/la)-theta2*EXP(-'Data Bonds'!AP37/la))</f>
        <v>0</v>
      </c>
      <c r="AN38" s="45">
        <f>IF('Data Bonds'!AQ37=0,0,theta0+(theta1+theta2)*(1-EXP(-'Data Bonds'!AQ37/la))/('Data Bonds'!AQ37/la)-theta2*EXP(-'Data Bonds'!AQ37/la))</f>
        <v>0</v>
      </c>
      <c r="AO38" s="45">
        <f>IF('Data Bonds'!AR37=0,0,theta0+(theta1+theta2)*(1-EXP(-'Data Bonds'!AR37/la))/('Data Bonds'!AR37/la)-theta2*EXP(-'Data Bonds'!AR37/la))</f>
        <v>0</v>
      </c>
      <c r="AP38" s="45">
        <f>IF('Data Bonds'!AS37=0,0,theta0+(theta1+theta2)*(1-EXP(-'Data Bonds'!AS37/la))/('Data Bonds'!AS37/la)-theta2*EXP(-'Data Bonds'!AS37/la))</f>
        <v>0</v>
      </c>
      <c r="AQ38" s="45">
        <f>IF('Data Bonds'!AT37=0,0,theta0+(theta1+theta2)*(1-EXP(-'Data Bonds'!AT37/la))/('Data Bonds'!AT37/la)-theta2*EXP(-'Data Bonds'!AT37/la))</f>
        <v>0</v>
      </c>
      <c r="AR38" s="45">
        <f>IF('Data Bonds'!AU37=0,0,theta0+(theta1+theta2)*(1-EXP(-'Data Bonds'!AU37/la))/('Data Bonds'!AU37/la)-theta2*EXP(-'Data Bonds'!AU37/la))</f>
        <v>0</v>
      </c>
      <c r="AS38" s="45">
        <f>IF('Data Bonds'!AV37=0,0,theta0+(theta1+theta2)*(1-EXP(-'Data Bonds'!AV37/la))/('Data Bonds'!AV37/la)-theta2*EXP(-'Data Bonds'!AV37/la))</f>
        <v>0</v>
      </c>
      <c r="AT38" s="45">
        <f>IF('Data Bonds'!AW37=0,0,theta0+(theta1+theta2)*(1-EXP(-'Data Bonds'!AW37/la))/('Data Bonds'!AW37/la)-theta2*EXP(-'Data Bonds'!AW37/la))</f>
        <v>0</v>
      </c>
      <c r="AU38" s="45">
        <f>IF('Data Bonds'!AX37=0,0,theta0+(theta1+theta2)*(1-EXP(-'Data Bonds'!AX37/la))/('Data Bonds'!AX37/la)-theta2*EXP(-'Data Bonds'!AX37/la))</f>
        <v>0</v>
      </c>
      <c r="AV38" s="45">
        <f>IF('Data Bonds'!AY37=0,0,theta0+(theta1+theta2)*(1-EXP(-'Data Bonds'!AY37/la))/('Data Bonds'!AY37/la)-theta2*EXP(-'Data Bonds'!AY37/la))</f>
        <v>0</v>
      </c>
      <c r="AW38" s="45">
        <f>IF('Data Bonds'!AZ37=0,0,theta0+(theta1+theta2)*(1-EXP(-'Data Bonds'!AZ37/la))/('Data Bonds'!AZ37/la)-theta2*EXP(-'Data Bonds'!AZ37/la))</f>
        <v>0</v>
      </c>
      <c r="AX38" s="45">
        <f>IF('Data Bonds'!BA37=0,0,theta0+(theta1+theta2)*(1-EXP(-'Data Bonds'!BA37/la))/('Data Bonds'!BA37/la)-theta2*EXP(-'Data Bonds'!BA37/la))</f>
        <v>0</v>
      </c>
      <c r="AY38" s="45">
        <f>IF('Data Bonds'!BB37=0,0,theta0+(theta1+theta2)*(1-EXP(-'Data Bonds'!BB37/la))/('Data Bonds'!BB37/la)-theta2*EXP(-'Data Bonds'!BB37/la))</f>
        <v>0</v>
      </c>
      <c r="AZ38" s="45">
        <f>IF('Data Bonds'!BC37=0,0,theta0+(theta1+theta2)*(1-EXP(-'Data Bonds'!BC37/la))/('Data Bonds'!BC37/la)-theta2*EXP(-'Data Bonds'!BC37/la))</f>
        <v>0</v>
      </c>
      <c r="BA38" s="45">
        <f>IF('Data Bonds'!BD37=0,0,theta0+(theta1+theta2)*(1-EXP(-'Data Bonds'!BD37/la))/('Data Bonds'!BD37/la)-theta2*EXP(-'Data Bonds'!BD37/la))</f>
        <v>0</v>
      </c>
      <c r="BB38" s="45">
        <f>IF('Data Bonds'!BE37=0,0,theta0+(theta1+theta2)*(1-EXP(-'Data Bonds'!BE37/la))/('Data Bonds'!BE37/la)-theta2*EXP(-'Data Bonds'!BE37/la))</f>
        <v>0</v>
      </c>
      <c r="BC38" s="45">
        <f>IF('Data Bonds'!BF37=0,0,theta0+(theta1+theta2)*(1-EXP(-'Data Bonds'!BF37/la))/('Data Bonds'!BF37/la)-theta2*EXP(-'Data Bonds'!BF37/la))</f>
        <v>0</v>
      </c>
      <c r="BD38" s="45">
        <f>IF('Data Bonds'!BG37=0,0,theta0+(theta1+theta2)*(1-EXP(-'Data Bonds'!BG37/la))/('Data Bonds'!BG37/la)-theta2*EXP(-'Data Bonds'!BG37/la))</f>
        <v>0</v>
      </c>
      <c r="BE38" s="45">
        <f>IF('Data Bonds'!BH37=0,0,theta0+(theta1+theta2)*(1-EXP(-'Data Bonds'!BH37/la))/('Data Bonds'!BH37/la)-theta2*EXP(-'Data Bonds'!BH37/la))</f>
        <v>0</v>
      </c>
      <c r="BF38" s="45">
        <f>IF('Data Bonds'!BI37=0,0,theta0+(theta1+theta2)*(1-EXP(-'Data Bonds'!BI37/la))/('Data Bonds'!BI37/la)-theta2*EXP(-'Data Bonds'!BI37/la))</f>
        <v>0</v>
      </c>
      <c r="BG38" s="45">
        <f>IF('Data Bonds'!BJ37=0,0,theta0+(theta1+theta2)*(1-EXP(-'Data Bonds'!BJ37/la))/('Data Bonds'!BJ37/la)-theta2*EXP(-'Data Bonds'!BJ37/la))</f>
        <v>0</v>
      </c>
      <c r="BH38" s="45">
        <f>IF('Data Bonds'!BK37=0,0,theta0+(theta1+theta2)*(1-EXP(-'Data Bonds'!BK37/la))/('Data Bonds'!BK37/la)-theta2*EXP(-'Data Bonds'!BK37/la))</f>
        <v>0</v>
      </c>
      <c r="BI38" s="45">
        <f>IF('Data Bonds'!BL37=0,0,theta0+(theta1+theta2)*(1-EXP(-'Data Bonds'!BL37/la))/('Data Bonds'!BL37/la)-theta2*EXP(-'Data Bonds'!BL37/la))</f>
        <v>0</v>
      </c>
      <c r="BJ38" s="45">
        <f>IF('Data Bonds'!BM37=0,0,theta0+(theta1+theta2)*(1-EXP(-'Data Bonds'!BM37/la))/('Data Bonds'!BM37/la)-theta2*EXP(-'Data Bonds'!BM37/la))</f>
        <v>0</v>
      </c>
      <c r="BK38" s="45">
        <f>IF('Data Bonds'!BN37=0,0,theta0+(theta1+theta2)*(1-EXP(-'Data Bonds'!BN37/la))/('Data Bonds'!BN37/la)-theta2*EXP(-'Data Bonds'!BN37/la))</f>
        <v>0</v>
      </c>
      <c r="BL38" s="45">
        <f>IF('Data Bonds'!BO37=0,0,theta0+(theta1+theta2)*(1-EXP(-'Data Bonds'!BO37/la))/('Data Bonds'!BO37/la)-theta2*EXP(-'Data Bonds'!BO37/la))</f>
        <v>0</v>
      </c>
      <c r="BM38" s="45">
        <f>IF('Data Bonds'!BP37=0,0,theta0+(theta1+theta2)*(1-EXP(-'Data Bonds'!BP37/la))/('Data Bonds'!BP37/la)-theta2*EXP(-'Data Bonds'!BP37/la))</f>
        <v>0</v>
      </c>
      <c r="BN38" s="45">
        <f>IF('Data Bonds'!BQ37=0,0,theta0+(theta1+theta2)*(1-EXP(-'Data Bonds'!BQ37/la))/('Data Bonds'!BQ37/la)-theta2*EXP(-'Data Bonds'!BQ37/la))</f>
        <v>0</v>
      </c>
      <c r="BO38" s="45">
        <f>IF('Data Bonds'!BR37=0,0,theta0+(theta1+theta2)*(1-EXP(-'Data Bonds'!BR37/la))/('Data Bonds'!BR37/la)-theta2*EXP(-'Data Bonds'!BR37/la))</f>
        <v>0</v>
      </c>
      <c r="BP38" s="38">
        <f>EXP(-'Data Bonds'!K37*H38)</f>
        <v>0.99030095386253514</v>
      </c>
      <c r="BQ38" s="38">
        <f>EXP(-'Data Bonds'!L37*I38)</f>
        <v>0.96596142383001249</v>
      </c>
      <c r="BR38" s="38">
        <f>EXP(-'Data Bonds'!M37*J38)</f>
        <v>0.94276024382077384</v>
      </c>
      <c r="BS38" s="38">
        <f>EXP(-'Data Bonds'!N37*K38)</f>
        <v>0.92013309652437447</v>
      </c>
      <c r="BT38" s="38">
        <f>EXP(-'Data Bonds'!O37*L38)</f>
        <v>0.8978301597681585</v>
      </c>
      <c r="BU38" s="38">
        <f>EXP(-'Data Bonds'!P37*M38)</f>
        <v>0.8757679623727499</v>
      </c>
      <c r="BV38" s="38">
        <f>EXP(-'Data Bonds'!Q37*N38)</f>
        <v>0.85394508705932803</v>
      </c>
      <c r="BW38" s="38">
        <f>EXP(-'Data Bonds'!R37*O38)</f>
        <v>0.83239541980118914</v>
      </c>
      <c r="BX38" s="38">
        <f>EXP(-'Data Bonds'!S37*P38)</f>
        <v>0.81116332561828708</v>
      </c>
      <c r="BY38" s="38">
        <f>EXP(-'Data Bonds'!T37*Q38)</f>
        <v>0.79029139660492453</v>
      </c>
      <c r="BZ38" s="38">
        <f>EXP(-'Data Bonds'!U37*R38)</f>
        <v>0.76981519641342533</v>
      </c>
      <c r="CA38" s="38">
        <f>EXP(-'Data Bonds'!V37*S38)</f>
        <v>0.74976172414671449</v>
      </c>
      <c r="CB38" s="38">
        <f>EXP(-'Data Bonds'!W37*T38)</f>
        <v>0.73014971419213559</v>
      </c>
      <c r="CC38" s="38">
        <f>EXP(-'Data Bonds'!X37*U38)</f>
        <v>0.71099072354814263</v>
      </c>
      <c r="CD38" s="38">
        <f>EXP(-'Data Bonds'!Y37*V38)</f>
        <v>0.69229044963946051</v>
      </c>
      <c r="CE38" s="38">
        <f>EXP(-'Data Bonds'!Z37*W38)</f>
        <v>0.67405000392176173</v>
      </c>
      <c r="CF38" s="38">
        <f>EXP(-'Data Bonds'!AA37*X38)</f>
        <v>0.65626702351290833</v>
      </c>
      <c r="CG38" s="38">
        <f>EXP(-'Data Bonds'!AB37*Y38)</f>
        <v>0.63893658633137096</v>
      </c>
      <c r="CH38" s="38">
        <f>EXP(-'Data Bonds'!AC37*Z38)</f>
        <v>0.62205193621476651</v>
      </c>
      <c r="CI38" s="38">
        <f>EXP(-'Data Bonds'!AD37*AA38)</f>
        <v>1</v>
      </c>
      <c r="CJ38" s="38">
        <f>EXP(-'Data Bonds'!AE37*AB38)</f>
        <v>1</v>
      </c>
      <c r="CK38" s="38">
        <f>EXP(-'Data Bonds'!AF37*AC38)</f>
        <v>1</v>
      </c>
      <c r="CL38" s="38">
        <f>EXP(-'Data Bonds'!AG37*AD38)</f>
        <v>1</v>
      </c>
      <c r="CM38" s="38">
        <f>EXP(-'Data Bonds'!AH37*AE38)</f>
        <v>1</v>
      </c>
      <c r="CN38" s="38">
        <f>EXP(-'Data Bonds'!AI37*AF38)</f>
        <v>1</v>
      </c>
      <c r="CO38" s="38">
        <f>EXP(-'Data Bonds'!AJ37*AG38)</f>
        <v>1</v>
      </c>
      <c r="CP38" s="38">
        <f>EXP(-'Data Bonds'!AK37*AH38)</f>
        <v>1</v>
      </c>
      <c r="CQ38" s="38">
        <f>EXP(-'Data Bonds'!AL37*AI38)</f>
        <v>1</v>
      </c>
      <c r="CR38" s="38">
        <f>EXP(-'Data Bonds'!AM37*AJ38)</f>
        <v>1</v>
      </c>
      <c r="CS38" s="38">
        <f>EXP(-'Data Bonds'!AN37*AK38)</f>
        <v>1</v>
      </c>
      <c r="CT38" s="38">
        <f>EXP(-'Data Bonds'!AO37*AL38)</f>
        <v>1</v>
      </c>
      <c r="CU38" s="38">
        <f>EXP(-'Data Bonds'!AP37*AM38)</f>
        <v>1</v>
      </c>
      <c r="CV38" s="38">
        <f>EXP(-'Data Bonds'!AQ37*AN38)</f>
        <v>1</v>
      </c>
      <c r="CW38" s="38">
        <f>EXP(-'Data Bonds'!AR37*AO38)</f>
        <v>1</v>
      </c>
      <c r="CX38" s="38">
        <f>EXP(-'Data Bonds'!AS37*AP38)</f>
        <v>1</v>
      </c>
      <c r="CY38" s="38">
        <f>EXP(-'Data Bonds'!AT37*AQ38)</f>
        <v>1</v>
      </c>
      <c r="CZ38" s="38">
        <f>EXP(-'Data Bonds'!AU37*AR38)</f>
        <v>1</v>
      </c>
      <c r="DA38" s="38">
        <f>EXP(-'Data Bonds'!AV37*AS38)</f>
        <v>1</v>
      </c>
      <c r="DB38" s="38">
        <f>EXP(-'Data Bonds'!AW37*AT38)</f>
        <v>1</v>
      </c>
      <c r="DC38" s="38">
        <f>EXP(-'Data Bonds'!AX37*AU38)</f>
        <v>1</v>
      </c>
      <c r="DD38" s="38">
        <f>EXP(-'Data Bonds'!AY37*AV38)</f>
        <v>1</v>
      </c>
      <c r="DE38" s="38">
        <f>EXP(-'Data Bonds'!AZ37*AW38)</f>
        <v>1</v>
      </c>
      <c r="DF38" s="38">
        <f>EXP(-'Data Bonds'!BA37*AX38)</f>
        <v>1</v>
      </c>
      <c r="DG38" s="38">
        <f>EXP(-'Data Bonds'!BB37*AY38)</f>
        <v>1</v>
      </c>
      <c r="DH38" s="38">
        <f>EXP(-'Data Bonds'!BC37*AZ38)</f>
        <v>1</v>
      </c>
      <c r="DI38" s="38">
        <f>EXP(-'Data Bonds'!BD37*BA38)</f>
        <v>1</v>
      </c>
      <c r="DJ38" s="38">
        <f>EXP(-'Data Bonds'!BE37*BB38)</f>
        <v>1</v>
      </c>
      <c r="DK38" s="38">
        <f>EXP(-'Data Bonds'!BF37*BC38)</f>
        <v>1</v>
      </c>
      <c r="DL38" s="38">
        <f>EXP(-'Data Bonds'!BG37*BD38)</f>
        <v>1</v>
      </c>
      <c r="DM38" s="38">
        <f>EXP(-'Data Bonds'!BH37*BE38)</f>
        <v>1</v>
      </c>
      <c r="DN38" s="38">
        <f>EXP(-'Data Bonds'!BI37*BF38)</f>
        <v>1</v>
      </c>
      <c r="DO38" s="38">
        <f>EXP(-'Data Bonds'!BJ37*BG38)</f>
        <v>1</v>
      </c>
      <c r="DP38" s="38">
        <f>EXP(-'Data Bonds'!BK37*BH38)</f>
        <v>1</v>
      </c>
      <c r="DQ38" s="38">
        <f>EXP(-'Data Bonds'!BL37*BI38)</f>
        <v>1</v>
      </c>
      <c r="DR38" s="38">
        <f>EXP(-'Data Bonds'!BM37*BJ38)</f>
        <v>1</v>
      </c>
      <c r="DS38" s="38">
        <f>EXP(-'Data Bonds'!BN37*BK38)</f>
        <v>1</v>
      </c>
      <c r="DT38" s="38">
        <f>EXP(-'Data Bonds'!BO37*BL38)</f>
        <v>1</v>
      </c>
      <c r="DU38" s="38">
        <f>EXP(-'Data Bonds'!BP37*BM38)</f>
        <v>1</v>
      </c>
      <c r="DV38" s="38">
        <f>EXP(-'Data Bonds'!BQ37*BN38)</f>
        <v>1</v>
      </c>
      <c r="DW38" s="38">
        <f>EXP(-'Data Bonds'!BR37*BO38)</f>
        <v>1</v>
      </c>
      <c r="DX38" s="28">
        <f>SUMPRODUCT(BP38:DW38,'Data Bonds'!BU37:EB37)</f>
        <v>99.072045787735249</v>
      </c>
      <c r="DY38" s="28">
        <f t="shared" si="5"/>
        <v>0.17087548354853221</v>
      </c>
      <c r="EA38" s="33">
        <f t="shared" si="6"/>
        <v>13.5</v>
      </c>
      <c r="EB38" s="29">
        <f t="shared" si="2"/>
        <v>5.2293374928323075E-2</v>
      </c>
      <c r="EC38" s="29">
        <f t="shared" si="3"/>
        <v>0.49363418044560009</v>
      </c>
      <c r="ED38" s="29">
        <f t="shared" si="7"/>
        <v>5.3658041038264742E-2</v>
      </c>
      <c r="EE38" s="32"/>
      <c r="EF38" s="32"/>
      <c r="EG38" s="32"/>
      <c r="EI38" s="34"/>
    </row>
    <row r="39" spans="2:139">
      <c r="B39" s="27">
        <f>'Data Bonds'!E38</f>
        <v>4.625</v>
      </c>
      <c r="C39" s="27">
        <f>'Data Bonds'!F38</f>
        <v>96.015625</v>
      </c>
      <c r="D39" s="27">
        <f>'Data Bonds'!G38</f>
        <v>96.046875</v>
      </c>
      <c r="E39" s="27">
        <f>'Data Bonds'!I38</f>
        <v>1.4388888888888889</v>
      </c>
      <c r="F39" s="40">
        <f>'Data Bonds'!H38</f>
        <v>9.6888888888888882</v>
      </c>
      <c r="G39" s="28">
        <f t="shared" si="4"/>
        <v>97.470138888888883</v>
      </c>
      <c r="H39" s="45">
        <f>IF('Data Bonds'!K38=0,0,theta0+(theta1+theta2)*(1-EXP(-'Data Bonds'!K38/la))/('Data Bonds'!K38/la)-theta2*EXP(-'Data Bonds'!K38/la))</f>
        <v>5.1598526027898411E-2</v>
      </c>
      <c r="I39" s="45">
        <f>IF('Data Bonds'!L38=0,0,theta0+(theta1+theta2)*(1-EXP(-'Data Bonds'!L38/la))/('Data Bonds'!L38/la)-theta2*EXP(-'Data Bonds'!L38/la))</f>
        <v>5.0271357324748023E-2</v>
      </c>
      <c r="J39" s="45">
        <f>IF('Data Bonds'!M38=0,0,theta0+(theta1+theta2)*(1-EXP(-'Data Bonds'!M38/la))/('Data Bonds'!M38/la)-theta2*EXP(-'Data Bonds'!M38/la))</f>
        <v>4.9578457297749672E-2</v>
      </c>
      <c r="K39" s="45">
        <f>IF('Data Bonds'!N38=0,0,theta0+(theta1+theta2)*(1-EXP(-'Data Bonds'!N38/la))/('Data Bonds'!N38/la)-theta2*EXP(-'Data Bonds'!N38/la))</f>
        <v>4.9285035750538553E-2</v>
      </c>
      <c r="L39" s="45">
        <f>IF('Data Bonds'!O38=0,0,theta0+(theta1+theta2)*(1-EXP(-'Data Bonds'!O38/la))/('Data Bonds'!O38/la)-theta2*EXP(-'Data Bonds'!O38/la))</f>
        <v>4.9237017363447266E-2</v>
      </c>
      <c r="M39" s="45">
        <f>IF('Data Bonds'!P38=0,0,theta0+(theta1+theta2)*(1-EXP(-'Data Bonds'!P38/la))/('Data Bonds'!P38/la)-theta2*EXP(-'Data Bonds'!P38/la))</f>
        <v>4.9334171753160738E-2</v>
      </c>
      <c r="N39" s="45">
        <f>IF('Data Bonds'!Q38=0,0,theta0+(theta1+theta2)*(1-EXP(-'Data Bonds'!Q38/la))/('Data Bonds'!Q38/la)-theta2*EXP(-'Data Bonds'!Q38/la))</f>
        <v>4.9512038088999483E-2</v>
      </c>
      <c r="O39" s="45">
        <f>IF('Data Bonds'!R38=0,0,theta0+(theta1+theta2)*(1-EXP(-'Data Bonds'!R38/la))/('Data Bonds'!R38/la)-theta2*EXP(-'Data Bonds'!R38/la))</f>
        <v>4.9729794635889335E-2</v>
      </c>
      <c r="P39" s="45">
        <f>IF('Data Bonds'!S38=0,0,theta0+(theta1+theta2)*(1-EXP(-'Data Bonds'!S38/la))/('Data Bonds'!S38/la)-theta2*EXP(-'Data Bonds'!S38/la))</f>
        <v>4.9962140977046696E-2</v>
      </c>
      <c r="Q39" s="45">
        <f>IF('Data Bonds'!T38=0,0,theta0+(theta1+theta2)*(1-EXP(-'Data Bonds'!T38/la))/('Data Bonds'!T38/la)-theta2*EXP(-'Data Bonds'!T38/la))</f>
        <v>5.0193884019659962E-2</v>
      </c>
      <c r="R39" s="45">
        <f>IF('Data Bonds'!U38=0,0,theta0+(theta1+theta2)*(1-EXP(-'Data Bonds'!U38/la))/('Data Bonds'!U38/la)-theta2*EXP(-'Data Bonds'!U38/la))</f>
        <v>5.0416342149512058E-2</v>
      </c>
      <c r="S39" s="45">
        <f>IF('Data Bonds'!V38=0,0,theta0+(theta1+theta2)*(1-EXP(-'Data Bonds'!V38/la))/('Data Bonds'!V38/la)-theta2*EXP(-'Data Bonds'!V38/la))</f>
        <v>5.0624969074311257E-2</v>
      </c>
      <c r="T39" s="45">
        <f>IF('Data Bonds'!W38=0,0,theta0+(theta1+theta2)*(1-EXP(-'Data Bonds'!W38/la))/('Data Bonds'!W38/la)-theta2*EXP(-'Data Bonds'!W38/la))</f>
        <v>5.0817793561872729E-2</v>
      </c>
      <c r="U39" s="45">
        <f>IF('Data Bonds'!X38=0,0,theta0+(theta1+theta2)*(1-EXP(-'Data Bonds'!X38/la))/('Data Bonds'!X38/la)-theta2*EXP(-'Data Bonds'!X38/la))</f>
        <v>5.0994403103277734E-2</v>
      </c>
      <c r="V39" s="45">
        <f>IF('Data Bonds'!Y38=0,0,theta0+(theta1+theta2)*(1-EXP(-'Data Bonds'!Y38/la))/('Data Bonds'!Y38/la)-theta2*EXP(-'Data Bonds'!Y38/la))</f>
        <v>5.1155288695615496E-2</v>
      </c>
      <c r="W39" s="45">
        <f>IF('Data Bonds'!Z38=0,0,theta0+(theta1+theta2)*(1-EXP(-'Data Bonds'!Z38/la))/('Data Bonds'!Z38/la)-theta2*EXP(-'Data Bonds'!Z38/la))</f>
        <v>5.1301428168232986E-2</v>
      </c>
      <c r="X39" s="45">
        <f>IF('Data Bonds'!AA38=0,0,theta0+(theta1+theta2)*(1-EXP(-'Data Bonds'!AA38/la))/('Data Bonds'!AA38/la)-theta2*EXP(-'Data Bonds'!AA38/la))</f>
        <v>5.1434026097624264E-2</v>
      </c>
      <c r="Y39" s="45">
        <f>IF('Data Bonds'!AB38=0,0,theta0+(theta1+theta2)*(1-EXP(-'Data Bonds'!AB38/la))/('Data Bonds'!AB38/la)-theta2*EXP(-'Data Bonds'!AB38/la))</f>
        <v>5.1554355703636381E-2</v>
      </c>
      <c r="Z39" s="45">
        <f>IF('Data Bonds'!AC38=0,0,theta0+(theta1+theta2)*(1-EXP(-'Data Bonds'!AC38/la))/('Data Bonds'!AC38/la)-theta2*EXP(-'Data Bonds'!AC38/la))</f>
        <v>5.1663666492393567E-2</v>
      </c>
      <c r="AA39" s="45">
        <f>IF('Data Bonds'!AD38=0,0,theta0+(theta1+theta2)*(1-EXP(-'Data Bonds'!AD38/la))/('Data Bonds'!AD38/la)-theta2*EXP(-'Data Bonds'!AD38/la))</f>
        <v>5.1763133724185395E-2</v>
      </c>
      <c r="AB39" s="45">
        <f>IF('Data Bonds'!AE38=0,0,theta0+(theta1+theta2)*(1-EXP(-'Data Bonds'!AE38/la))/('Data Bonds'!AE38/la)-theta2*EXP(-'Data Bonds'!AE38/la))</f>
        <v>0</v>
      </c>
      <c r="AC39" s="45">
        <f>IF('Data Bonds'!AF38=0,0,theta0+(theta1+theta2)*(1-EXP(-'Data Bonds'!AF38/la))/('Data Bonds'!AF38/la)-theta2*EXP(-'Data Bonds'!AF38/la))</f>
        <v>0</v>
      </c>
      <c r="AD39" s="45">
        <f>IF('Data Bonds'!AG38=0,0,theta0+(theta1+theta2)*(1-EXP(-'Data Bonds'!AG38/la))/('Data Bonds'!AG38/la)-theta2*EXP(-'Data Bonds'!AG38/la))</f>
        <v>0</v>
      </c>
      <c r="AE39" s="45">
        <f>IF('Data Bonds'!AH38=0,0,theta0+(theta1+theta2)*(1-EXP(-'Data Bonds'!AH38/la))/('Data Bonds'!AH38/la)-theta2*EXP(-'Data Bonds'!AH38/la))</f>
        <v>0</v>
      </c>
      <c r="AF39" s="45">
        <f>IF('Data Bonds'!AI38=0,0,theta0+(theta1+theta2)*(1-EXP(-'Data Bonds'!AI38/la))/('Data Bonds'!AI38/la)-theta2*EXP(-'Data Bonds'!AI38/la))</f>
        <v>0</v>
      </c>
      <c r="AG39" s="45">
        <f>IF('Data Bonds'!AJ38=0,0,theta0+(theta1+theta2)*(1-EXP(-'Data Bonds'!AJ38/la))/('Data Bonds'!AJ38/la)-theta2*EXP(-'Data Bonds'!AJ38/la))</f>
        <v>0</v>
      </c>
      <c r="AH39" s="45">
        <f>IF('Data Bonds'!AK38=0,0,theta0+(theta1+theta2)*(1-EXP(-'Data Bonds'!AK38/la))/('Data Bonds'!AK38/la)-theta2*EXP(-'Data Bonds'!AK38/la))</f>
        <v>0</v>
      </c>
      <c r="AI39" s="45">
        <f>IF('Data Bonds'!AL38=0,0,theta0+(theta1+theta2)*(1-EXP(-'Data Bonds'!AL38/la))/('Data Bonds'!AL38/la)-theta2*EXP(-'Data Bonds'!AL38/la))</f>
        <v>0</v>
      </c>
      <c r="AJ39" s="45">
        <f>IF('Data Bonds'!AM38=0,0,theta0+(theta1+theta2)*(1-EXP(-'Data Bonds'!AM38/la))/('Data Bonds'!AM38/la)-theta2*EXP(-'Data Bonds'!AM38/la))</f>
        <v>0</v>
      </c>
      <c r="AK39" s="45">
        <f>IF('Data Bonds'!AN38=0,0,theta0+(theta1+theta2)*(1-EXP(-'Data Bonds'!AN38/la))/('Data Bonds'!AN38/la)-theta2*EXP(-'Data Bonds'!AN38/la))</f>
        <v>0</v>
      </c>
      <c r="AL39" s="45">
        <f>IF('Data Bonds'!AO38=0,0,theta0+(theta1+theta2)*(1-EXP(-'Data Bonds'!AO38/la))/('Data Bonds'!AO38/la)-theta2*EXP(-'Data Bonds'!AO38/la))</f>
        <v>0</v>
      </c>
      <c r="AM39" s="45">
        <f>IF('Data Bonds'!AP38=0,0,theta0+(theta1+theta2)*(1-EXP(-'Data Bonds'!AP38/la))/('Data Bonds'!AP38/la)-theta2*EXP(-'Data Bonds'!AP38/la))</f>
        <v>0</v>
      </c>
      <c r="AN39" s="45">
        <f>IF('Data Bonds'!AQ38=0,0,theta0+(theta1+theta2)*(1-EXP(-'Data Bonds'!AQ38/la))/('Data Bonds'!AQ38/la)-theta2*EXP(-'Data Bonds'!AQ38/la))</f>
        <v>0</v>
      </c>
      <c r="AO39" s="45">
        <f>IF('Data Bonds'!AR38=0,0,theta0+(theta1+theta2)*(1-EXP(-'Data Bonds'!AR38/la))/('Data Bonds'!AR38/la)-theta2*EXP(-'Data Bonds'!AR38/la))</f>
        <v>0</v>
      </c>
      <c r="AP39" s="45">
        <f>IF('Data Bonds'!AS38=0,0,theta0+(theta1+theta2)*(1-EXP(-'Data Bonds'!AS38/la))/('Data Bonds'!AS38/la)-theta2*EXP(-'Data Bonds'!AS38/la))</f>
        <v>0</v>
      </c>
      <c r="AQ39" s="45">
        <f>IF('Data Bonds'!AT38=0,0,theta0+(theta1+theta2)*(1-EXP(-'Data Bonds'!AT38/la))/('Data Bonds'!AT38/la)-theta2*EXP(-'Data Bonds'!AT38/la))</f>
        <v>0</v>
      </c>
      <c r="AR39" s="45">
        <f>IF('Data Bonds'!AU38=0,0,theta0+(theta1+theta2)*(1-EXP(-'Data Bonds'!AU38/la))/('Data Bonds'!AU38/la)-theta2*EXP(-'Data Bonds'!AU38/la))</f>
        <v>0</v>
      </c>
      <c r="AS39" s="45">
        <f>IF('Data Bonds'!AV38=0,0,theta0+(theta1+theta2)*(1-EXP(-'Data Bonds'!AV38/la))/('Data Bonds'!AV38/la)-theta2*EXP(-'Data Bonds'!AV38/la))</f>
        <v>0</v>
      </c>
      <c r="AT39" s="45">
        <f>IF('Data Bonds'!AW38=0,0,theta0+(theta1+theta2)*(1-EXP(-'Data Bonds'!AW38/la))/('Data Bonds'!AW38/la)-theta2*EXP(-'Data Bonds'!AW38/la))</f>
        <v>0</v>
      </c>
      <c r="AU39" s="45">
        <f>IF('Data Bonds'!AX38=0,0,theta0+(theta1+theta2)*(1-EXP(-'Data Bonds'!AX38/la))/('Data Bonds'!AX38/la)-theta2*EXP(-'Data Bonds'!AX38/la))</f>
        <v>0</v>
      </c>
      <c r="AV39" s="45">
        <f>IF('Data Bonds'!AY38=0,0,theta0+(theta1+theta2)*(1-EXP(-'Data Bonds'!AY38/la))/('Data Bonds'!AY38/la)-theta2*EXP(-'Data Bonds'!AY38/la))</f>
        <v>0</v>
      </c>
      <c r="AW39" s="45">
        <f>IF('Data Bonds'!AZ38=0,0,theta0+(theta1+theta2)*(1-EXP(-'Data Bonds'!AZ38/la))/('Data Bonds'!AZ38/la)-theta2*EXP(-'Data Bonds'!AZ38/la))</f>
        <v>0</v>
      </c>
      <c r="AX39" s="45">
        <f>IF('Data Bonds'!BA38=0,0,theta0+(theta1+theta2)*(1-EXP(-'Data Bonds'!BA38/la))/('Data Bonds'!BA38/la)-theta2*EXP(-'Data Bonds'!BA38/la))</f>
        <v>0</v>
      </c>
      <c r="AY39" s="45">
        <f>IF('Data Bonds'!BB38=0,0,theta0+(theta1+theta2)*(1-EXP(-'Data Bonds'!BB38/la))/('Data Bonds'!BB38/la)-theta2*EXP(-'Data Bonds'!BB38/la))</f>
        <v>0</v>
      </c>
      <c r="AZ39" s="45">
        <f>IF('Data Bonds'!BC38=0,0,theta0+(theta1+theta2)*(1-EXP(-'Data Bonds'!BC38/la))/('Data Bonds'!BC38/la)-theta2*EXP(-'Data Bonds'!BC38/la))</f>
        <v>0</v>
      </c>
      <c r="BA39" s="45">
        <f>IF('Data Bonds'!BD38=0,0,theta0+(theta1+theta2)*(1-EXP(-'Data Bonds'!BD38/la))/('Data Bonds'!BD38/la)-theta2*EXP(-'Data Bonds'!BD38/la))</f>
        <v>0</v>
      </c>
      <c r="BB39" s="45">
        <f>IF('Data Bonds'!BE38=0,0,theta0+(theta1+theta2)*(1-EXP(-'Data Bonds'!BE38/la))/('Data Bonds'!BE38/la)-theta2*EXP(-'Data Bonds'!BE38/la))</f>
        <v>0</v>
      </c>
      <c r="BC39" s="45">
        <f>IF('Data Bonds'!BF38=0,0,theta0+(theta1+theta2)*(1-EXP(-'Data Bonds'!BF38/la))/('Data Bonds'!BF38/la)-theta2*EXP(-'Data Bonds'!BF38/la))</f>
        <v>0</v>
      </c>
      <c r="BD39" s="45">
        <f>IF('Data Bonds'!BG38=0,0,theta0+(theta1+theta2)*(1-EXP(-'Data Bonds'!BG38/la))/('Data Bonds'!BG38/la)-theta2*EXP(-'Data Bonds'!BG38/la))</f>
        <v>0</v>
      </c>
      <c r="BE39" s="45">
        <f>IF('Data Bonds'!BH38=0,0,theta0+(theta1+theta2)*(1-EXP(-'Data Bonds'!BH38/la))/('Data Bonds'!BH38/la)-theta2*EXP(-'Data Bonds'!BH38/la))</f>
        <v>0</v>
      </c>
      <c r="BF39" s="45">
        <f>IF('Data Bonds'!BI38=0,0,theta0+(theta1+theta2)*(1-EXP(-'Data Bonds'!BI38/la))/('Data Bonds'!BI38/la)-theta2*EXP(-'Data Bonds'!BI38/la))</f>
        <v>0</v>
      </c>
      <c r="BG39" s="45">
        <f>IF('Data Bonds'!BJ38=0,0,theta0+(theta1+theta2)*(1-EXP(-'Data Bonds'!BJ38/la))/('Data Bonds'!BJ38/la)-theta2*EXP(-'Data Bonds'!BJ38/la))</f>
        <v>0</v>
      </c>
      <c r="BH39" s="45">
        <f>IF('Data Bonds'!BK38=0,0,theta0+(theta1+theta2)*(1-EXP(-'Data Bonds'!BK38/la))/('Data Bonds'!BK38/la)-theta2*EXP(-'Data Bonds'!BK38/la))</f>
        <v>0</v>
      </c>
      <c r="BI39" s="45">
        <f>IF('Data Bonds'!BL38=0,0,theta0+(theta1+theta2)*(1-EXP(-'Data Bonds'!BL38/la))/('Data Bonds'!BL38/la)-theta2*EXP(-'Data Bonds'!BL38/la))</f>
        <v>0</v>
      </c>
      <c r="BJ39" s="45">
        <f>IF('Data Bonds'!BM38=0,0,theta0+(theta1+theta2)*(1-EXP(-'Data Bonds'!BM38/la))/('Data Bonds'!BM38/la)-theta2*EXP(-'Data Bonds'!BM38/la))</f>
        <v>0</v>
      </c>
      <c r="BK39" s="45">
        <f>IF('Data Bonds'!BN38=0,0,theta0+(theta1+theta2)*(1-EXP(-'Data Bonds'!BN38/la))/('Data Bonds'!BN38/la)-theta2*EXP(-'Data Bonds'!BN38/la))</f>
        <v>0</v>
      </c>
      <c r="BL39" s="45">
        <f>IF('Data Bonds'!BO38=0,0,theta0+(theta1+theta2)*(1-EXP(-'Data Bonds'!BO38/la))/('Data Bonds'!BO38/la)-theta2*EXP(-'Data Bonds'!BO38/la))</f>
        <v>0</v>
      </c>
      <c r="BM39" s="45">
        <f>IF('Data Bonds'!BP38=0,0,theta0+(theta1+theta2)*(1-EXP(-'Data Bonds'!BP38/la))/('Data Bonds'!BP38/la)-theta2*EXP(-'Data Bonds'!BP38/la))</f>
        <v>0</v>
      </c>
      <c r="BN39" s="45">
        <f>IF('Data Bonds'!BQ38=0,0,theta0+(theta1+theta2)*(1-EXP(-'Data Bonds'!BQ38/la))/('Data Bonds'!BQ38/la)-theta2*EXP(-'Data Bonds'!BQ38/la))</f>
        <v>0</v>
      </c>
      <c r="BO39" s="45">
        <f>IF('Data Bonds'!BR38=0,0,theta0+(theta1+theta2)*(1-EXP(-'Data Bonds'!BR38/la))/('Data Bonds'!BR38/la)-theta2*EXP(-'Data Bonds'!BR38/la))</f>
        <v>0</v>
      </c>
      <c r="BP39" s="38">
        <f>EXP(-'Data Bonds'!K38*H39)</f>
        <v>0.99030095386253514</v>
      </c>
      <c r="BQ39" s="38">
        <f>EXP(-'Data Bonds'!L38*I39)</f>
        <v>0.96596142383001249</v>
      </c>
      <c r="BR39" s="38">
        <f>EXP(-'Data Bonds'!M38*J39)</f>
        <v>0.94276024382077384</v>
      </c>
      <c r="BS39" s="38">
        <f>EXP(-'Data Bonds'!N38*K39)</f>
        <v>0.92013309652437447</v>
      </c>
      <c r="BT39" s="38">
        <f>EXP(-'Data Bonds'!O38*L39)</f>
        <v>0.8978301597681585</v>
      </c>
      <c r="BU39" s="38">
        <f>EXP(-'Data Bonds'!P38*M39)</f>
        <v>0.8757679623727499</v>
      </c>
      <c r="BV39" s="38">
        <f>EXP(-'Data Bonds'!Q38*N39)</f>
        <v>0.85394508705932803</v>
      </c>
      <c r="BW39" s="38">
        <f>EXP(-'Data Bonds'!R38*O39)</f>
        <v>0.83239541980118914</v>
      </c>
      <c r="BX39" s="38">
        <f>EXP(-'Data Bonds'!S38*P39)</f>
        <v>0.81116332561828708</v>
      </c>
      <c r="BY39" s="38">
        <f>EXP(-'Data Bonds'!T38*Q39)</f>
        <v>0.79029139660492453</v>
      </c>
      <c r="BZ39" s="38">
        <f>EXP(-'Data Bonds'!U38*R39)</f>
        <v>0.76981519641342533</v>
      </c>
      <c r="CA39" s="38">
        <f>EXP(-'Data Bonds'!V38*S39)</f>
        <v>0.74976172414671449</v>
      </c>
      <c r="CB39" s="38">
        <f>EXP(-'Data Bonds'!W38*T39)</f>
        <v>0.73014971419213559</v>
      </c>
      <c r="CC39" s="38">
        <f>EXP(-'Data Bonds'!X38*U39)</f>
        <v>0.71099072354814263</v>
      </c>
      <c r="CD39" s="38">
        <f>EXP(-'Data Bonds'!Y38*V39)</f>
        <v>0.69229044963946051</v>
      </c>
      <c r="CE39" s="38">
        <f>EXP(-'Data Bonds'!Z38*W39)</f>
        <v>0.67405000392176173</v>
      </c>
      <c r="CF39" s="38">
        <f>EXP(-'Data Bonds'!AA38*X39)</f>
        <v>0.65626702351290833</v>
      </c>
      <c r="CG39" s="38">
        <f>EXP(-'Data Bonds'!AB38*Y39)</f>
        <v>0.63893658633137096</v>
      </c>
      <c r="CH39" s="38">
        <f>EXP(-'Data Bonds'!AC38*Z39)</f>
        <v>0.62205193621476651</v>
      </c>
      <c r="CI39" s="38">
        <f>EXP(-'Data Bonds'!AD38*AA39)</f>
        <v>0.60560504204345178</v>
      </c>
      <c r="CJ39" s="38">
        <f>EXP(-'Data Bonds'!AE38*AB39)</f>
        <v>1</v>
      </c>
      <c r="CK39" s="38">
        <f>EXP(-'Data Bonds'!AF38*AC39)</f>
        <v>1</v>
      </c>
      <c r="CL39" s="38">
        <f>EXP(-'Data Bonds'!AG38*AD39)</f>
        <v>1</v>
      </c>
      <c r="CM39" s="38">
        <f>EXP(-'Data Bonds'!AH38*AE39)</f>
        <v>1</v>
      </c>
      <c r="CN39" s="38">
        <f>EXP(-'Data Bonds'!AI38*AF39)</f>
        <v>1</v>
      </c>
      <c r="CO39" s="38">
        <f>EXP(-'Data Bonds'!AJ38*AG39)</f>
        <v>1</v>
      </c>
      <c r="CP39" s="38">
        <f>EXP(-'Data Bonds'!AK38*AH39)</f>
        <v>1</v>
      </c>
      <c r="CQ39" s="38">
        <f>EXP(-'Data Bonds'!AL38*AI39)</f>
        <v>1</v>
      </c>
      <c r="CR39" s="38">
        <f>EXP(-'Data Bonds'!AM38*AJ39)</f>
        <v>1</v>
      </c>
      <c r="CS39" s="38">
        <f>EXP(-'Data Bonds'!AN38*AK39)</f>
        <v>1</v>
      </c>
      <c r="CT39" s="38">
        <f>EXP(-'Data Bonds'!AO38*AL39)</f>
        <v>1</v>
      </c>
      <c r="CU39" s="38">
        <f>EXP(-'Data Bonds'!AP38*AM39)</f>
        <v>1</v>
      </c>
      <c r="CV39" s="38">
        <f>EXP(-'Data Bonds'!AQ38*AN39)</f>
        <v>1</v>
      </c>
      <c r="CW39" s="38">
        <f>EXP(-'Data Bonds'!AR38*AO39)</f>
        <v>1</v>
      </c>
      <c r="CX39" s="38">
        <f>EXP(-'Data Bonds'!AS38*AP39)</f>
        <v>1</v>
      </c>
      <c r="CY39" s="38">
        <f>EXP(-'Data Bonds'!AT38*AQ39)</f>
        <v>1</v>
      </c>
      <c r="CZ39" s="38">
        <f>EXP(-'Data Bonds'!AU38*AR39)</f>
        <v>1</v>
      </c>
      <c r="DA39" s="38">
        <f>EXP(-'Data Bonds'!AV38*AS39)</f>
        <v>1</v>
      </c>
      <c r="DB39" s="38">
        <f>EXP(-'Data Bonds'!AW38*AT39)</f>
        <v>1</v>
      </c>
      <c r="DC39" s="38">
        <f>EXP(-'Data Bonds'!AX38*AU39)</f>
        <v>1</v>
      </c>
      <c r="DD39" s="38">
        <f>EXP(-'Data Bonds'!AY38*AV39)</f>
        <v>1</v>
      </c>
      <c r="DE39" s="38">
        <f>EXP(-'Data Bonds'!AZ38*AW39)</f>
        <v>1</v>
      </c>
      <c r="DF39" s="38">
        <f>EXP(-'Data Bonds'!BA38*AX39)</f>
        <v>1</v>
      </c>
      <c r="DG39" s="38">
        <f>EXP(-'Data Bonds'!BB38*AY39)</f>
        <v>1</v>
      </c>
      <c r="DH39" s="38">
        <f>EXP(-'Data Bonds'!BC38*AZ39)</f>
        <v>1</v>
      </c>
      <c r="DI39" s="38">
        <f>EXP(-'Data Bonds'!BD38*BA39)</f>
        <v>1</v>
      </c>
      <c r="DJ39" s="38">
        <f>EXP(-'Data Bonds'!BE38*BB39)</f>
        <v>1</v>
      </c>
      <c r="DK39" s="38">
        <f>EXP(-'Data Bonds'!BF38*BC39)</f>
        <v>1</v>
      </c>
      <c r="DL39" s="38">
        <f>EXP(-'Data Bonds'!BG38*BD39)</f>
        <v>1</v>
      </c>
      <c r="DM39" s="38">
        <f>EXP(-'Data Bonds'!BH38*BE39)</f>
        <v>1</v>
      </c>
      <c r="DN39" s="38">
        <f>EXP(-'Data Bonds'!BI38*BF39)</f>
        <v>1</v>
      </c>
      <c r="DO39" s="38">
        <f>EXP(-'Data Bonds'!BJ38*BG39)</f>
        <v>1</v>
      </c>
      <c r="DP39" s="38">
        <f>EXP(-'Data Bonds'!BK38*BH39)</f>
        <v>1</v>
      </c>
      <c r="DQ39" s="38">
        <f>EXP(-'Data Bonds'!BL38*BI39)</f>
        <v>1</v>
      </c>
      <c r="DR39" s="38">
        <f>EXP(-'Data Bonds'!BM38*BJ39)</f>
        <v>1</v>
      </c>
      <c r="DS39" s="38">
        <f>EXP(-'Data Bonds'!BN38*BK39)</f>
        <v>1</v>
      </c>
      <c r="DT39" s="38">
        <f>EXP(-'Data Bonds'!BO38*BL39)</f>
        <v>1</v>
      </c>
      <c r="DU39" s="38">
        <f>EXP(-'Data Bonds'!BP38*BM39)</f>
        <v>1</v>
      </c>
      <c r="DV39" s="38">
        <f>EXP(-'Data Bonds'!BQ38*BN39)</f>
        <v>1</v>
      </c>
      <c r="DW39" s="38">
        <f>EXP(-'Data Bonds'!BR38*BO39)</f>
        <v>1</v>
      </c>
      <c r="DX39" s="28">
        <f>SUMPRODUCT(BP39:DW39,'Data Bonds'!BU38:EB38)</f>
        <v>96.937210226931398</v>
      </c>
      <c r="DY39" s="28">
        <f t="shared" si="5"/>
        <v>0.28401295873579474</v>
      </c>
      <c r="EA39" s="33">
        <f t="shared" si="6"/>
        <v>14</v>
      </c>
      <c r="EB39" s="29">
        <f t="shared" si="2"/>
        <v>5.2342171555574669E-2</v>
      </c>
      <c r="EC39" s="29">
        <f t="shared" si="3"/>
        <v>0.48056614479766563</v>
      </c>
      <c r="ED39" s="29">
        <f t="shared" si="7"/>
        <v>5.3659680491367469E-2</v>
      </c>
      <c r="EE39" s="32"/>
      <c r="EF39" s="32"/>
      <c r="EG39" s="32"/>
      <c r="EI39" s="34"/>
    </row>
    <row r="40" spans="2:139">
      <c r="B40" s="27">
        <f>'Data Bonds'!E39</f>
        <v>8.875</v>
      </c>
      <c r="C40" s="27">
        <f>'Data Bonds'!F39</f>
        <v>128.8125</v>
      </c>
      <c r="D40" s="27">
        <f>'Data Bonds'!G39</f>
        <v>128.875</v>
      </c>
      <c r="E40" s="27">
        <f>'Data Bonds'!I39</f>
        <v>2.7611111111111111</v>
      </c>
      <c r="F40" s="40">
        <f>'Data Bonds'!H39</f>
        <v>10.188888888888888</v>
      </c>
      <c r="G40" s="28">
        <f t="shared" si="4"/>
        <v>131.60486111111112</v>
      </c>
      <c r="H40" s="45">
        <f>IF('Data Bonds'!K39=0,0,theta0+(theta1+theta2)*(1-EXP(-'Data Bonds'!K39/la))/('Data Bonds'!K39/la)-theta2*EXP(-'Data Bonds'!K39/la))</f>
        <v>5.1598526027898411E-2</v>
      </c>
      <c r="I40" s="45">
        <f>IF('Data Bonds'!L39=0,0,theta0+(theta1+theta2)*(1-EXP(-'Data Bonds'!L39/la))/('Data Bonds'!L39/la)-theta2*EXP(-'Data Bonds'!L39/la))</f>
        <v>5.0271357324748023E-2</v>
      </c>
      <c r="J40" s="45">
        <f>IF('Data Bonds'!M39=0,0,theta0+(theta1+theta2)*(1-EXP(-'Data Bonds'!M39/la))/('Data Bonds'!M39/la)-theta2*EXP(-'Data Bonds'!M39/la))</f>
        <v>4.9578457297749672E-2</v>
      </c>
      <c r="K40" s="45">
        <f>IF('Data Bonds'!N39=0,0,theta0+(theta1+theta2)*(1-EXP(-'Data Bonds'!N39/la))/('Data Bonds'!N39/la)-theta2*EXP(-'Data Bonds'!N39/la))</f>
        <v>4.9285035750538553E-2</v>
      </c>
      <c r="L40" s="45">
        <f>IF('Data Bonds'!O39=0,0,theta0+(theta1+theta2)*(1-EXP(-'Data Bonds'!O39/la))/('Data Bonds'!O39/la)-theta2*EXP(-'Data Bonds'!O39/la))</f>
        <v>4.9237017363447266E-2</v>
      </c>
      <c r="M40" s="45">
        <f>IF('Data Bonds'!P39=0,0,theta0+(theta1+theta2)*(1-EXP(-'Data Bonds'!P39/la))/('Data Bonds'!P39/la)-theta2*EXP(-'Data Bonds'!P39/la))</f>
        <v>4.9334171753160738E-2</v>
      </c>
      <c r="N40" s="45">
        <f>IF('Data Bonds'!Q39=0,0,theta0+(theta1+theta2)*(1-EXP(-'Data Bonds'!Q39/la))/('Data Bonds'!Q39/la)-theta2*EXP(-'Data Bonds'!Q39/la))</f>
        <v>4.9512038088999483E-2</v>
      </c>
      <c r="O40" s="45">
        <f>IF('Data Bonds'!R39=0,0,theta0+(theta1+theta2)*(1-EXP(-'Data Bonds'!R39/la))/('Data Bonds'!R39/la)-theta2*EXP(-'Data Bonds'!R39/la))</f>
        <v>4.9729794635889335E-2</v>
      </c>
      <c r="P40" s="45">
        <f>IF('Data Bonds'!S39=0,0,theta0+(theta1+theta2)*(1-EXP(-'Data Bonds'!S39/la))/('Data Bonds'!S39/la)-theta2*EXP(-'Data Bonds'!S39/la))</f>
        <v>4.9962140977046696E-2</v>
      </c>
      <c r="Q40" s="45">
        <f>IF('Data Bonds'!T39=0,0,theta0+(theta1+theta2)*(1-EXP(-'Data Bonds'!T39/la))/('Data Bonds'!T39/la)-theta2*EXP(-'Data Bonds'!T39/la))</f>
        <v>5.0193884019659962E-2</v>
      </c>
      <c r="R40" s="45">
        <f>IF('Data Bonds'!U39=0,0,theta0+(theta1+theta2)*(1-EXP(-'Data Bonds'!U39/la))/('Data Bonds'!U39/la)-theta2*EXP(-'Data Bonds'!U39/la))</f>
        <v>5.0416342149512058E-2</v>
      </c>
      <c r="S40" s="45">
        <f>IF('Data Bonds'!V39=0,0,theta0+(theta1+theta2)*(1-EXP(-'Data Bonds'!V39/la))/('Data Bonds'!V39/la)-theta2*EXP(-'Data Bonds'!V39/la))</f>
        <v>5.0624969074311257E-2</v>
      </c>
      <c r="T40" s="45">
        <f>IF('Data Bonds'!W39=0,0,theta0+(theta1+theta2)*(1-EXP(-'Data Bonds'!W39/la))/('Data Bonds'!W39/la)-theta2*EXP(-'Data Bonds'!W39/la))</f>
        <v>5.0817793561872729E-2</v>
      </c>
      <c r="U40" s="45">
        <f>IF('Data Bonds'!X39=0,0,theta0+(theta1+theta2)*(1-EXP(-'Data Bonds'!X39/la))/('Data Bonds'!X39/la)-theta2*EXP(-'Data Bonds'!X39/la))</f>
        <v>5.0994403103277734E-2</v>
      </c>
      <c r="V40" s="45">
        <f>IF('Data Bonds'!Y39=0,0,theta0+(theta1+theta2)*(1-EXP(-'Data Bonds'!Y39/la))/('Data Bonds'!Y39/la)-theta2*EXP(-'Data Bonds'!Y39/la))</f>
        <v>5.1155288695615496E-2</v>
      </c>
      <c r="W40" s="45">
        <f>IF('Data Bonds'!Z39=0,0,theta0+(theta1+theta2)*(1-EXP(-'Data Bonds'!Z39/la))/('Data Bonds'!Z39/la)-theta2*EXP(-'Data Bonds'!Z39/la))</f>
        <v>5.1301428168232986E-2</v>
      </c>
      <c r="X40" s="45">
        <f>IF('Data Bonds'!AA39=0,0,theta0+(theta1+theta2)*(1-EXP(-'Data Bonds'!AA39/la))/('Data Bonds'!AA39/la)-theta2*EXP(-'Data Bonds'!AA39/la))</f>
        <v>5.1434026097624264E-2</v>
      </c>
      <c r="Y40" s="45">
        <f>IF('Data Bonds'!AB39=0,0,theta0+(theta1+theta2)*(1-EXP(-'Data Bonds'!AB39/la))/('Data Bonds'!AB39/la)-theta2*EXP(-'Data Bonds'!AB39/la))</f>
        <v>5.1554355703636381E-2</v>
      </c>
      <c r="Z40" s="45">
        <f>IF('Data Bonds'!AC39=0,0,theta0+(theta1+theta2)*(1-EXP(-'Data Bonds'!AC39/la))/('Data Bonds'!AC39/la)-theta2*EXP(-'Data Bonds'!AC39/la))</f>
        <v>5.1663666492393567E-2</v>
      </c>
      <c r="AA40" s="45">
        <f>IF('Data Bonds'!AD39=0,0,theta0+(theta1+theta2)*(1-EXP(-'Data Bonds'!AD39/la))/('Data Bonds'!AD39/la)-theta2*EXP(-'Data Bonds'!AD39/la))</f>
        <v>5.1763133724185395E-2</v>
      </c>
      <c r="AB40" s="45">
        <f>IF('Data Bonds'!AE39=0,0,theta0+(theta1+theta2)*(1-EXP(-'Data Bonds'!AE39/la))/('Data Bonds'!AE39/la)-theta2*EXP(-'Data Bonds'!AE39/la))</f>
        <v>5.1853834012200901E-2</v>
      </c>
      <c r="AC40" s="45">
        <f>IF('Data Bonds'!AF39=0,0,theta0+(theta1+theta2)*(1-EXP(-'Data Bonds'!AF39/la))/('Data Bonds'!AF39/la)-theta2*EXP(-'Data Bonds'!AF39/la))</f>
        <v>0</v>
      </c>
      <c r="AD40" s="45">
        <f>IF('Data Bonds'!AG39=0,0,theta0+(theta1+theta2)*(1-EXP(-'Data Bonds'!AG39/la))/('Data Bonds'!AG39/la)-theta2*EXP(-'Data Bonds'!AG39/la))</f>
        <v>0</v>
      </c>
      <c r="AE40" s="45">
        <f>IF('Data Bonds'!AH39=0,0,theta0+(theta1+theta2)*(1-EXP(-'Data Bonds'!AH39/la))/('Data Bonds'!AH39/la)-theta2*EXP(-'Data Bonds'!AH39/la))</f>
        <v>0</v>
      </c>
      <c r="AF40" s="45">
        <f>IF('Data Bonds'!AI39=0,0,theta0+(theta1+theta2)*(1-EXP(-'Data Bonds'!AI39/la))/('Data Bonds'!AI39/la)-theta2*EXP(-'Data Bonds'!AI39/la))</f>
        <v>0</v>
      </c>
      <c r="AG40" s="45">
        <f>IF('Data Bonds'!AJ39=0,0,theta0+(theta1+theta2)*(1-EXP(-'Data Bonds'!AJ39/la))/('Data Bonds'!AJ39/la)-theta2*EXP(-'Data Bonds'!AJ39/la))</f>
        <v>0</v>
      </c>
      <c r="AH40" s="45">
        <f>IF('Data Bonds'!AK39=0,0,theta0+(theta1+theta2)*(1-EXP(-'Data Bonds'!AK39/la))/('Data Bonds'!AK39/la)-theta2*EXP(-'Data Bonds'!AK39/la))</f>
        <v>0</v>
      </c>
      <c r="AI40" s="45">
        <f>IF('Data Bonds'!AL39=0,0,theta0+(theta1+theta2)*(1-EXP(-'Data Bonds'!AL39/la))/('Data Bonds'!AL39/la)-theta2*EXP(-'Data Bonds'!AL39/la))</f>
        <v>0</v>
      </c>
      <c r="AJ40" s="45">
        <f>IF('Data Bonds'!AM39=0,0,theta0+(theta1+theta2)*(1-EXP(-'Data Bonds'!AM39/la))/('Data Bonds'!AM39/la)-theta2*EXP(-'Data Bonds'!AM39/la))</f>
        <v>0</v>
      </c>
      <c r="AK40" s="45">
        <f>IF('Data Bonds'!AN39=0,0,theta0+(theta1+theta2)*(1-EXP(-'Data Bonds'!AN39/la))/('Data Bonds'!AN39/la)-theta2*EXP(-'Data Bonds'!AN39/la))</f>
        <v>0</v>
      </c>
      <c r="AL40" s="45">
        <f>IF('Data Bonds'!AO39=0,0,theta0+(theta1+theta2)*(1-EXP(-'Data Bonds'!AO39/la))/('Data Bonds'!AO39/la)-theta2*EXP(-'Data Bonds'!AO39/la))</f>
        <v>0</v>
      </c>
      <c r="AM40" s="45">
        <f>IF('Data Bonds'!AP39=0,0,theta0+(theta1+theta2)*(1-EXP(-'Data Bonds'!AP39/la))/('Data Bonds'!AP39/la)-theta2*EXP(-'Data Bonds'!AP39/la))</f>
        <v>0</v>
      </c>
      <c r="AN40" s="45">
        <f>IF('Data Bonds'!AQ39=0,0,theta0+(theta1+theta2)*(1-EXP(-'Data Bonds'!AQ39/la))/('Data Bonds'!AQ39/la)-theta2*EXP(-'Data Bonds'!AQ39/la))</f>
        <v>0</v>
      </c>
      <c r="AO40" s="45">
        <f>IF('Data Bonds'!AR39=0,0,theta0+(theta1+theta2)*(1-EXP(-'Data Bonds'!AR39/la))/('Data Bonds'!AR39/la)-theta2*EXP(-'Data Bonds'!AR39/la))</f>
        <v>0</v>
      </c>
      <c r="AP40" s="45">
        <f>IF('Data Bonds'!AS39=0,0,theta0+(theta1+theta2)*(1-EXP(-'Data Bonds'!AS39/la))/('Data Bonds'!AS39/la)-theta2*EXP(-'Data Bonds'!AS39/la))</f>
        <v>0</v>
      </c>
      <c r="AQ40" s="45">
        <f>IF('Data Bonds'!AT39=0,0,theta0+(theta1+theta2)*(1-EXP(-'Data Bonds'!AT39/la))/('Data Bonds'!AT39/la)-theta2*EXP(-'Data Bonds'!AT39/la))</f>
        <v>0</v>
      </c>
      <c r="AR40" s="45">
        <f>IF('Data Bonds'!AU39=0,0,theta0+(theta1+theta2)*(1-EXP(-'Data Bonds'!AU39/la))/('Data Bonds'!AU39/la)-theta2*EXP(-'Data Bonds'!AU39/la))</f>
        <v>0</v>
      </c>
      <c r="AS40" s="45">
        <f>IF('Data Bonds'!AV39=0,0,theta0+(theta1+theta2)*(1-EXP(-'Data Bonds'!AV39/la))/('Data Bonds'!AV39/la)-theta2*EXP(-'Data Bonds'!AV39/la))</f>
        <v>0</v>
      </c>
      <c r="AT40" s="45">
        <f>IF('Data Bonds'!AW39=0,0,theta0+(theta1+theta2)*(1-EXP(-'Data Bonds'!AW39/la))/('Data Bonds'!AW39/la)-theta2*EXP(-'Data Bonds'!AW39/la))</f>
        <v>0</v>
      </c>
      <c r="AU40" s="45">
        <f>IF('Data Bonds'!AX39=0,0,theta0+(theta1+theta2)*(1-EXP(-'Data Bonds'!AX39/la))/('Data Bonds'!AX39/la)-theta2*EXP(-'Data Bonds'!AX39/la))</f>
        <v>0</v>
      </c>
      <c r="AV40" s="45">
        <f>IF('Data Bonds'!AY39=0,0,theta0+(theta1+theta2)*(1-EXP(-'Data Bonds'!AY39/la))/('Data Bonds'!AY39/la)-theta2*EXP(-'Data Bonds'!AY39/la))</f>
        <v>0</v>
      </c>
      <c r="AW40" s="45">
        <f>IF('Data Bonds'!AZ39=0,0,theta0+(theta1+theta2)*(1-EXP(-'Data Bonds'!AZ39/la))/('Data Bonds'!AZ39/la)-theta2*EXP(-'Data Bonds'!AZ39/la))</f>
        <v>0</v>
      </c>
      <c r="AX40" s="45">
        <f>IF('Data Bonds'!BA39=0,0,theta0+(theta1+theta2)*(1-EXP(-'Data Bonds'!BA39/la))/('Data Bonds'!BA39/la)-theta2*EXP(-'Data Bonds'!BA39/la))</f>
        <v>0</v>
      </c>
      <c r="AY40" s="45">
        <f>IF('Data Bonds'!BB39=0,0,theta0+(theta1+theta2)*(1-EXP(-'Data Bonds'!BB39/la))/('Data Bonds'!BB39/la)-theta2*EXP(-'Data Bonds'!BB39/la))</f>
        <v>0</v>
      </c>
      <c r="AZ40" s="45">
        <f>IF('Data Bonds'!BC39=0,0,theta0+(theta1+theta2)*(1-EXP(-'Data Bonds'!BC39/la))/('Data Bonds'!BC39/la)-theta2*EXP(-'Data Bonds'!BC39/la))</f>
        <v>0</v>
      </c>
      <c r="BA40" s="45">
        <f>IF('Data Bonds'!BD39=0,0,theta0+(theta1+theta2)*(1-EXP(-'Data Bonds'!BD39/la))/('Data Bonds'!BD39/la)-theta2*EXP(-'Data Bonds'!BD39/la))</f>
        <v>0</v>
      </c>
      <c r="BB40" s="45">
        <f>IF('Data Bonds'!BE39=0,0,theta0+(theta1+theta2)*(1-EXP(-'Data Bonds'!BE39/la))/('Data Bonds'!BE39/la)-theta2*EXP(-'Data Bonds'!BE39/la))</f>
        <v>0</v>
      </c>
      <c r="BC40" s="45">
        <f>IF('Data Bonds'!BF39=0,0,theta0+(theta1+theta2)*(1-EXP(-'Data Bonds'!BF39/la))/('Data Bonds'!BF39/la)-theta2*EXP(-'Data Bonds'!BF39/la))</f>
        <v>0</v>
      </c>
      <c r="BD40" s="45">
        <f>IF('Data Bonds'!BG39=0,0,theta0+(theta1+theta2)*(1-EXP(-'Data Bonds'!BG39/la))/('Data Bonds'!BG39/la)-theta2*EXP(-'Data Bonds'!BG39/la))</f>
        <v>0</v>
      </c>
      <c r="BE40" s="45">
        <f>IF('Data Bonds'!BH39=0,0,theta0+(theta1+theta2)*(1-EXP(-'Data Bonds'!BH39/la))/('Data Bonds'!BH39/la)-theta2*EXP(-'Data Bonds'!BH39/la))</f>
        <v>0</v>
      </c>
      <c r="BF40" s="45">
        <f>IF('Data Bonds'!BI39=0,0,theta0+(theta1+theta2)*(1-EXP(-'Data Bonds'!BI39/la))/('Data Bonds'!BI39/la)-theta2*EXP(-'Data Bonds'!BI39/la))</f>
        <v>0</v>
      </c>
      <c r="BG40" s="45">
        <f>IF('Data Bonds'!BJ39=0,0,theta0+(theta1+theta2)*(1-EXP(-'Data Bonds'!BJ39/la))/('Data Bonds'!BJ39/la)-theta2*EXP(-'Data Bonds'!BJ39/la))</f>
        <v>0</v>
      </c>
      <c r="BH40" s="45">
        <f>IF('Data Bonds'!BK39=0,0,theta0+(theta1+theta2)*(1-EXP(-'Data Bonds'!BK39/la))/('Data Bonds'!BK39/la)-theta2*EXP(-'Data Bonds'!BK39/la))</f>
        <v>0</v>
      </c>
      <c r="BI40" s="45">
        <f>IF('Data Bonds'!BL39=0,0,theta0+(theta1+theta2)*(1-EXP(-'Data Bonds'!BL39/la))/('Data Bonds'!BL39/la)-theta2*EXP(-'Data Bonds'!BL39/la))</f>
        <v>0</v>
      </c>
      <c r="BJ40" s="45">
        <f>IF('Data Bonds'!BM39=0,0,theta0+(theta1+theta2)*(1-EXP(-'Data Bonds'!BM39/la))/('Data Bonds'!BM39/la)-theta2*EXP(-'Data Bonds'!BM39/la))</f>
        <v>0</v>
      </c>
      <c r="BK40" s="45">
        <f>IF('Data Bonds'!BN39=0,0,theta0+(theta1+theta2)*(1-EXP(-'Data Bonds'!BN39/la))/('Data Bonds'!BN39/la)-theta2*EXP(-'Data Bonds'!BN39/la))</f>
        <v>0</v>
      </c>
      <c r="BL40" s="45">
        <f>IF('Data Bonds'!BO39=0,0,theta0+(theta1+theta2)*(1-EXP(-'Data Bonds'!BO39/la))/('Data Bonds'!BO39/la)-theta2*EXP(-'Data Bonds'!BO39/la))</f>
        <v>0</v>
      </c>
      <c r="BM40" s="45">
        <f>IF('Data Bonds'!BP39=0,0,theta0+(theta1+theta2)*(1-EXP(-'Data Bonds'!BP39/la))/('Data Bonds'!BP39/la)-theta2*EXP(-'Data Bonds'!BP39/la))</f>
        <v>0</v>
      </c>
      <c r="BN40" s="45">
        <f>IF('Data Bonds'!BQ39=0,0,theta0+(theta1+theta2)*(1-EXP(-'Data Bonds'!BQ39/la))/('Data Bonds'!BQ39/la)-theta2*EXP(-'Data Bonds'!BQ39/la))</f>
        <v>0</v>
      </c>
      <c r="BO40" s="45">
        <f>IF('Data Bonds'!BR39=0,0,theta0+(theta1+theta2)*(1-EXP(-'Data Bonds'!BR39/la))/('Data Bonds'!BR39/la)-theta2*EXP(-'Data Bonds'!BR39/la))</f>
        <v>0</v>
      </c>
      <c r="BP40" s="38">
        <f>EXP(-'Data Bonds'!K39*H40)</f>
        <v>0.99030095386253514</v>
      </c>
      <c r="BQ40" s="38">
        <f>EXP(-'Data Bonds'!L39*I40)</f>
        <v>0.96596142383001249</v>
      </c>
      <c r="BR40" s="38">
        <f>EXP(-'Data Bonds'!M39*J40)</f>
        <v>0.94276024382077384</v>
      </c>
      <c r="BS40" s="38">
        <f>EXP(-'Data Bonds'!N39*K40)</f>
        <v>0.92013309652437447</v>
      </c>
      <c r="BT40" s="38">
        <f>EXP(-'Data Bonds'!O39*L40)</f>
        <v>0.8978301597681585</v>
      </c>
      <c r="BU40" s="38">
        <f>EXP(-'Data Bonds'!P39*M40)</f>
        <v>0.8757679623727499</v>
      </c>
      <c r="BV40" s="38">
        <f>EXP(-'Data Bonds'!Q39*N40)</f>
        <v>0.85394508705932803</v>
      </c>
      <c r="BW40" s="38">
        <f>EXP(-'Data Bonds'!R39*O40)</f>
        <v>0.83239541980118914</v>
      </c>
      <c r="BX40" s="38">
        <f>EXP(-'Data Bonds'!S39*P40)</f>
        <v>0.81116332561828708</v>
      </c>
      <c r="BY40" s="38">
        <f>EXP(-'Data Bonds'!T39*Q40)</f>
        <v>0.79029139660492453</v>
      </c>
      <c r="BZ40" s="38">
        <f>EXP(-'Data Bonds'!U39*R40)</f>
        <v>0.76981519641342533</v>
      </c>
      <c r="CA40" s="38">
        <f>EXP(-'Data Bonds'!V39*S40)</f>
        <v>0.74976172414671449</v>
      </c>
      <c r="CB40" s="38">
        <f>EXP(-'Data Bonds'!W39*T40)</f>
        <v>0.73014971419213559</v>
      </c>
      <c r="CC40" s="38">
        <f>EXP(-'Data Bonds'!X39*U40)</f>
        <v>0.71099072354814263</v>
      </c>
      <c r="CD40" s="38">
        <f>EXP(-'Data Bonds'!Y39*V40)</f>
        <v>0.69229044963946051</v>
      </c>
      <c r="CE40" s="38">
        <f>EXP(-'Data Bonds'!Z39*W40)</f>
        <v>0.67405000392176173</v>
      </c>
      <c r="CF40" s="38">
        <f>EXP(-'Data Bonds'!AA39*X40)</f>
        <v>0.65626702351290833</v>
      </c>
      <c r="CG40" s="38">
        <f>EXP(-'Data Bonds'!AB39*Y40)</f>
        <v>0.63893658633137096</v>
      </c>
      <c r="CH40" s="38">
        <f>EXP(-'Data Bonds'!AC39*Z40)</f>
        <v>0.62205193621476651</v>
      </c>
      <c r="CI40" s="38">
        <f>EXP(-'Data Bonds'!AD39*AA40)</f>
        <v>0.60560504204345178</v>
      </c>
      <c r="CJ40" s="38">
        <f>EXP(-'Data Bonds'!AE39*AB40)</f>
        <v>0.58958702003626717</v>
      </c>
      <c r="CK40" s="38">
        <f>EXP(-'Data Bonds'!AF39*AC40)</f>
        <v>1</v>
      </c>
      <c r="CL40" s="38">
        <f>EXP(-'Data Bonds'!AG39*AD40)</f>
        <v>1</v>
      </c>
      <c r="CM40" s="38">
        <f>EXP(-'Data Bonds'!AH39*AE40)</f>
        <v>1</v>
      </c>
      <c r="CN40" s="38">
        <f>EXP(-'Data Bonds'!AI39*AF40)</f>
        <v>1</v>
      </c>
      <c r="CO40" s="38">
        <f>EXP(-'Data Bonds'!AJ39*AG40)</f>
        <v>1</v>
      </c>
      <c r="CP40" s="38">
        <f>EXP(-'Data Bonds'!AK39*AH40)</f>
        <v>1</v>
      </c>
      <c r="CQ40" s="38">
        <f>EXP(-'Data Bonds'!AL39*AI40)</f>
        <v>1</v>
      </c>
      <c r="CR40" s="38">
        <f>EXP(-'Data Bonds'!AM39*AJ40)</f>
        <v>1</v>
      </c>
      <c r="CS40" s="38">
        <f>EXP(-'Data Bonds'!AN39*AK40)</f>
        <v>1</v>
      </c>
      <c r="CT40" s="38">
        <f>EXP(-'Data Bonds'!AO39*AL40)</f>
        <v>1</v>
      </c>
      <c r="CU40" s="38">
        <f>EXP(-'Data Bonds'!AP39*AM40)</f>
        <v>1</v>
      </c>
      <c r="CV40" s="38">
        <f>EXP(-'Data Bonds'!AQ39*AN40)</f>
        <v>1</v>
      </c>
      <c r="CW40" s="38">
        <f>EXP(-'Data Bonds'!AR39*AO40)</f>
        <v>1</v>
      </c>
      <c r="CX40" s="38">
        <f>EXP(-'Data Bonds'!AS39*AP40)</f>
        <v>1</v>
      </c>
      <c r="CY40" s="38">
        <f>EXP(-'Data Bonds'!AT39*AQ40)</f>
        <v>1</v>
      </c>
      <c r="CZ40" s="38">
        <f>EXP(-'Data Bonds'!AU39*AR40)</f>
        <v>1</v>
      </c>
      <c r="DA40" s="38">
        <f>EXP(-'Data Bonds'!AV39*AS40)</f>
        <v>1</v>
      </c>
      <c r="DB40" s="38">
        <f>EXP(-'Data Bonds'!AW39*AT40)</f>
        <v>1</v>
      </c>
      <c r="DC40" s="38">
        <f>EXP(-'Data Bonds'!AX39*AU40)</f>
        <v>1</v>
      </c>
      <c r="DD40" s="38">
        <f>EXP(-'Data Bonds'!AY39*AV40)</f>
        <v>1</v>
      </c>
      <c r="DE40" s="38">
        <f>EXP(-'Data Bonds'!AZ39*AW40)</f>
        <v>1</v>
      </c>
      <c r="DF40" s="38">
        <f>EXP(-'Data Bonds'!BA39*AX40)</f>
        <v>1</v>
      </c>
      <c r="DG40" s="38">
        <f>EXP(-'Data Bonds'!BB39*AY40)</f>
        <v>1</v>
      </c>
      <c r="DH40" s="38">
        <f>EXP(-'Data Bonds'!BC39*AZ40)</f>
        <v>1</v>
      </c>
      <c r="DI40" s="38">
        <f>EXP(-'Data Bonds'!BD39*BA40)</f>
        <v>1</v>
      </c>
      <c r="DJ40" s="38">
        <f>EXP(-'Data Bonds'!BE39*BB40)</f>
        <v>1</v>
      </c>
      <c r="DK40" s="38">
        <f>EXP(-'Data Bonds'!BF39*BC40)</f>
        <v>1</v>
      </c>
      <c r="DL40" s="38">
        <f>EXP(-'Data Bonds'!BG39*BD40)</f>
        <v>1</v>
      </c>
      <c r="DM40" s="38">
        <f>EXP(-'Data Bonds'!BH39*BE40)</f>
        <v>1</v>
      </c>
      <c r="DN40" s="38">
        <f>EXP(-'Data Bonds'!BI39*BF40)</f>
        <v>1</v>
      </c>
      <c r="DO40" s="38">
        <f>EXP(-'Data Bonds'!BJ39*BG40)</f>
        <v>1</v>
      </c>
      <c r="DP40" s="38">
        <f>EXP(-'Data Bonds'!BK39*BH40)</f>
        <v>1</v>
      </c>
      <c r="DQ40" s="38">
        <f>EXP(-'Data Bonds'!BL39*BI40)</f>
        <v>1</v>
      </c>
      <c r="DR40" s="38">
        <f>EXP(-'Data Bonds'!BM39*BJ40)</f>
        <v>1</v>
      </c>
      <c r="DS40" s="38">
        <f>EXP(-'Data Bonds'!BN39*BK40)</f>
        <v>1</v>
      </c>
      <c r="DT40" s="38">
        <f>EXP(-'Data Bonds'!BO39*BL40)</f>
        <v>1</v>
      </c>
      <c r="DU40" s="38">
        <f>EXP(-'Data Bonds'!BP39*BM40)</f>
        <v>1</v>
      </c>
      <c r="DV40" s="38">
        <f>EXP(-'Data Bonds'!BQ39*BN40)</f>
        <v>1</v>
      </c>
      <c r="DW40" s="38">
        <f>EXP(-'Data Bonds'!BR39*BO40)</f>
        <v>1</v>
      </c>
      <c r="DX40" s="28">
        <f>SUMPRODUCT(BP40:DW40,'Data Bonds'!BU39:EB39)</f>
        <v>131.37894379973011</v>
      </c>
      <c r="DY40" s="28">
        <f t="shared" si="5"/>
        <v>5.1038631581624534E-2</v>
      </c>
      <c r="EA40" s="33">
        <f t="shared" si="6"/>
        <v>14.5</v>
      </c>
      <c r="EB40" s="29">
        <f t="shared" si="2"/>
        <v>5.2387643183161969E-2</v>
      </c>
      <c r="EC40" s="29">
        <f t="shared" si="3"/>
        <v>0.46784378750992545</v>
      </c>
      <c r="ED40" s="29">
        <f t="shared" si="7"/>
        <v>5.3660848755606554E-2</v>
      </c>
      <c r="EE40" s="32"/>
      <c r="EF40" s="32"/>
      <c r="EG40" s="32"/>
      <c r="EI40" s="34"/>
    </row>
    <row r="41" spans="2:139">
      <c r="B41" s="27">
        <f>'Data Bonds'!E40</f>
        <v>8.875</v>
      </c>
      <c r="C41" s="27">
        <f>'Data Bonds'!F40</f>
        <v>131.375</v>
      </c>
      <c r="D41" s="27">
        <f>'Data Bonds'!G40</f>
        <v>131.4375</v>
      </c>
      <c r="E41" s="27">
        <f>'Data Bonds'!I40</f>
        <v>2.7611111111111111</v>
      </c>
      <c r="F41" s="40">
        <f>'Data Bonds'!H40</f>
        <v>11.688888888888888</v>
      </c>
      <c r="G41" s="28">
        <f t="shared" si="4"/>
        <v>134.16736111111112</v>
      </c>
      <c r="H41" s="45">
        <f>IF('Data Bonds'!K40=0,0,theta0+(theta1+theta2)*(1-EXP(-'Data Bonds'!K40/la))/('Data Bonds'!K40/la)-theta2*EXP(-'Data Bonds'!K40/la))</f>
        <v>5.1598526027898411E-2</v>
      </c>
      <c r="I41" s="45">
        <f>IF('Data Bonds'!L40=0,0,theta0+(theta1+theta2)*(1-EXP(-'Data Bonds'!L40/la))/('Data Bonds'!L40/la)-theta2*EXP(-'Data Bonds'!L40/la))</f>
        <v>5.0271357324748023E-2</v>
      </c>
      <c r="J41" s="45">
        <f>IF('Data Bonds'!M40=0,0,theta0+(theta1+theta2)*(1-EXP(-'Data Bonds'!M40/la))/('Data Bonds'!M40/la)-theta2*EXP(-'Data Bonds'!M40/la))</f>
        <v>4.9578457297749672E-2</v>
      </c>
      <c r="K41" s="45">
        <f>IF('Data Bonds'!N40=0,0,theta0+(theta1+theta2)*(1-EXP(-'Data Bonds'!N40/la))/('Data Bonds'!N40/la)-theta2*EXP(-'Data Bonds'!N40/la))</f>
        <v>4.9285035750538553E-2</v>
      </c>
      <c r="L41" s="45">
        <f>IF('Data Bonds'!O40=0,0,theta0+(theta1+theta2)*(1-EXP(-'Data Bonds'!O40/la))/('Data Bonds'!O40/la)-theta2*EXP(-'Data Bonds'!O40/la))</f>
        <v>4.9237017363447266E-2</v>
      </c>
      <c r="M41" s="45">
        <f>IF('Data Bonds'!P40=0,0,theta0+(theta1+theta2)*(1-EXP(-'Data Bonds'!P40/la))/('Data Bonds'!P40/la)-theta2*EXP(-'Data Bonds'!P40/la))</f>
        <v>4.9334171753160738E-2</v>
      </c>
      <c r="N41" s="45">
        <f>IF('Data Bonds'!Q40=0,0,theta0+(theta1+theta2)*(1-EXP(-'Data Bonds'!Q40/la))/('Data Bonds'!Q40/la)-theta2*EXP(-'Data Bonds'!Q40/la))</f>
        <v>4.9512038088999483E-2</v>
      </c>
      <c r="O41" s="45">
        <f>IF('Data Bonds'!R40=0,0,theta0+(theta1+theta2)*(1-EXP(-'Data Bonds'!R40/la))/('Data Bonds'!R40/la)-theta2*EXP(-'Data Bonds'!R40/la))</f>
        <v>4.9729794635889335E-2</v>
      </c>
      <c r="P41" s="45">
        <f>IF('Data Bonds'!S40=0,0,theta0+(theta1+theta2)*(1-EXP(-'Data Bonds'!S40/la))/('Data Bonds'!S40/la)-theta2*EXP(-'Data Bonds'!S40/la))</f>
        <v>4.9962140977046696E-2</v>
      </c>
      <c r="Q41" s="45">
        <f>IF('Data Bonds'!T40=0,0,theta0+(theta1+theta2)*(1-EXP(-'Data Bonds'!T40/la))/('Data Bonds'!T40/la)-theta2*EXP(-'Data Bonds'!T40/la))</f>
        <v>5.0193884019659962E-2</v>
      </c>
      <c r="R41" s="45">
        <f>IF('Data Bonds'!U40=0,0,theta0+(theta1+theta2)*(1-EXP(-'Data Bonds'!U40/la))/('Data Bonds'!U40/la)-theta2*EXP(-'Data Bonds'!U40/la))</f>
        <v>5.0416342149512058E-2</v>
      </c>
      <c r="S41" s="45">
        <f>IF('Data Bonds'!V40=0,0,theta0+(theta1+theta2)*(1-EXP(-'Data Bonds'!V40/la))/('Data Bonds'!V40/la)-theta2*EXP(-'Data Bonds'!V40/la))</f>
        <v>5.0624969074311257E-2</v>
      </c>
      <c r="T41" s="45">
        <f>IF('Data Bonds'!W40=0,0,theta0+(theta1+theta2)*(1-EXP(-'Data Bonds'!W40/la))/('Data Bonds'!W40/la)-theta2*EXP(-'Data Bonds'!W40/la))</f>
        <v>5.0817793561872729E-2</v>
      </c>
      <c r="U41" s="45">
        <f>IF('Data Bonds'!X40=0,0,theta0+(theta1+theta2)*(1-EXP(-'Data Bonds'!X40/la))/('Data Bonds'!X40/la)-theta2*EXP(-'Data Bonds'!X40/la))</f>
        <v>5.0994403103277734E-2</v>
      </c>
      <c r="V41" s="45">
        <f>IF('Data Bonds'!Y40=0,0,theta0+(theta1+theta2)*(1-EXP(-'Data Bonds'!Y40/la))/('Data Bonds'!Y40/la)-theta2*EXP(-'Data Bonds'!Y40/la))</f>
        <v>5.1155288695615496E-2</v>
      </c>
      <c r="W41" s="45">
        <f>IF('Data Bonds'!Z40=0,0,theta0+(theta1+theta2)*(1-EXP(-'Data Bonds'!Z40/la))/('Data Bonds'!Z40/la)-theta2*EXP(-'Data Bonds'!Z40/la))</f>
        <v>5.1301428168232986E-2</v>
      </c>
      <c r="X41" s="45">
        <f>IF('Data Bonds'!AA40=0,0,theta0+(theta1+theta2)*(1-EXP(-'Data Bonds'!AA40/la))/('Data Bonds'!AA40/la)-theta2*EXP(-'Data Bonds'!AA40/la))</f>
        <v>5.1434026097624264E-2</v>
      </c>
      <c r="Y41" s="45">
        <f>IF('Data Bonds'!AB40=0,0,theta0+(theta1+theta2)*(1-EXP(-'Data Bonds'!AB40/la))/('Data Bonds'!AB40/la)-theta2*EXP(-'Data Bonds'!AB40/la))</f>
        <v>5.1554355703636381E-2</v>
      </c>
      <c r="Z41" s="45">
        <f>IF('Data Bonds'!AC40=0,0,theta0+(theta1+theta2)*(1-EXP(-'Data Bonds'!AC40/la))/('Data Bonds'!AC40/la)-theta2*EXP(-'Data Bonds'!AC40/la))</f>
        <v>5.1663666492393567E-2</v>
      </c>
      <c r="AA41" s="45">
        <f>IF('Data Bonds'!AD40=0,0,theta0+(theta1+theta2)*(1-EXP(-'Data Bonds'!AD40/la))/('Data Bonds'!AD40/la)-theta2*EXP(-'Data Bonds'!AD40/la))</f>
        <v>5.1763133724185395E-2</v>
      </c>
      <c r="AB41" s="45">
        <f>IF('Data Bonds'!AE40=0,0,theta0+(theta1+theta2)*(1-EXP(-'Data Bonds'!AE40/la))/('Data Bonds'!AE40/la)-theta2*EXP(-'Data Bonds'!AE40/la))</f>
        <v>5.1853834012200901E-2</v>
      </c>
      <c r="AC41" s="45">
        <f>IF('Data Bonds'!AF40=0,0,theta0+(theta1+theta2)*(1-EXP(-'Data Bonds'!AF40/la))/('Data Bonds'!AF40/la)-theta2*EXP(-'Data Bonds'!AF40/la))</f>
        <v>5.1936736836682804E-2</v>
      </c>
      <c r="AD41" s="45">
        <f>IF('Data Bonds'!AG40=0,0,theta0+(theta1+theta2)*(1-EXP(-'Data Bonds'!AG40/la))/('Data Bonds'!AG40/la)-theta2*EXP(-'Data Bonds'!AG40/la))</f>
        <v>5.2012705391962649E-2</v>
      </c>
      <c r="AE41" s="45">
        <f>IF('Data Bonds'!AH40=0,0,theta0+(theta1+theta2)*(1-EXP(-'Data Bonds'!AH40/la))/('Data Bonds'!AH40/la)-theta2*EXP(-'Data Bonds'!AH40/la))</f>
        <v>5.2082502580458233E-2</v>
      </c>
      <c r="AF41" s="45">
        <f>IF('Data Bonds'!AI40=0,0,theta0+(theta1+theta2)*(1-EXP(-'Data Bonds'!AI40/la))/('Data Bonds'!AI40/la)-theta2*EXP(-'Data Bonds'!AI40/la))</f>
        <v>0</v>
      </c>
      <c r="AG41" s="45">
        <f>IF('Data Bonds'!AJ40=0,0,theta0+(theta1+theta2)*(1-EXP(-'Data Bonds'!AJ40/la))/('Data Bonds'!AJ40/la)-theta2*EXP(-'Data Bonds'!AJ40/la))</f>
        <v>0</v>
      </c>
      <c r="AH41" s="45">
        <f>IF('Data Bonds'!AK40=0,0,theta0+(theta1+theta2)*(1-EXP(-'Data Bonds'!AK40/la))/('Data Bonds'!AK40/la)-theta2*EXP(-'Data Bonds'!AK40/la))</f>
        <v>0</v>
      </c>
      <c r="AI41" s="45">
        <f>IF('Data Bonds'!AL40=0,0,theta0+(theta1+theta2)*(1-EXP(-'Data Bonds'!AL40/la))/('Data Bonds'!AL40/la)-theta2*EXP(-'Data Bonds'!AL40/la))</f>
        <v>0</v>
      </c>
      <c r="AJ41" s="45">
        <f>IF('Data Bonds'!AM40=0,0,theta0+(theta1+theta2)*(1-EXP(-'Data Bonds'!AM40/la))/('Data Bonds'!AM40/la)-theta2*EXP(-'Data Bonds'!AM40/la))</f>
        <v>0</v>
      </c>
      <c r="AK41" s="45">
        <f>IF('Data Bonds'!AN40=0,0,theta0+(theta1+theta2)*(1-EXP(-'Data Bonds'!AN40/la))/('Data Bonds'!AN40/la)-theta2*EXP(-'Data Bonds'!AN40/la))</f>
        <v>0</v>
      </c>
      <c r="AL41" s="45">
        <f>IF('Data Bonds'!AO40=0,0,theta0+(theta1+theta2)*(1-EXP(-'Data Bonds'!AO40/la))/('Data Bonds'!AO40/la)-theta2*EXP(-'Data Bonds'!AO40/la))</f>
        <v>0</v>
      </c>
      <c r="AM41" s="45">
        <f>IF('Data Bonds'!AP40=0,0,theta0+(theta1+theta2)*(1-EXP(-'Data Bonds'!AP40/la))/('Data Bonds'!AP40/la)-theta2*EXP(-'Data Bonds'!AP40/la))</f>
        <v>0</v>
      </c>
      <c r="AN41" s="45">
        <f>IF('Data Bonds'!AQ40=0,0,theta0+(theta1+theta2)*(1-EXP(-'Data Bonds'!AQ40/la))/('Data Bonds'!AQ40/la)-theta2*EXP(-'Data Bonds'!AQ40/la))</f>
        <v>0</v>
      </c>
      <c r="AO41" s="45">
        <f>IF('Data Bonds'!AR40=0,0,theta0+(theta1+theta2)*(1-EXP(-'Data Bonds'!AR40/la))/('Data Bonds'!AR40/la)-theta2*EXP(-'Data Bonds'!AR40/la))</f>
        <v>0</v>
      </c>
      <c r="AP41" s="45">
        <f>IF('Data Bonds'!AS40=0,0,theta0+(theta1+theta2)*(1-EXP(-'Data Bonds'!AS40/la))/('Data Bonds'!AS40/la)-theta2*EXP(-'Data Bonds'!AS40/la))</f>
        <v>0</v>
      </c>
      <c r="AQ41" s="45">
        <f>IF('Data Bonds'!AT40=0,0,theta0+(theta1+theta2)*(1-EXP(-'Data Bonds'!AT40/la))/('Data Bonds'!AT40/la)-theta2*EXP(-'Data Bonds'!AT40/la))</f>
        <v>0</v>
      </c>
      <c r="AR41" s="45">
        <f>IF('Data Bonds'!AU40=0,0,theta0+(theta1+theta2)*(1-EXP(-'Data Bonds'!AU40/la))/('Data Bonds'!AU40/la)-theta2*EXP(-'Data Bonds'!AU40/la))</f>
        <v>0</v>
      </c>
      <c r="AS41" s="45">
        <f>IF('Data Bonds'!AV40=0,0,theta0+(theta1+theta2)*(1-EXP(-'Data Bonds'!AV40/la))/('Data Bonds'!AV40/la)-theta2*EXP(-'Data Bonds'!AV40/la))</f>
        <v>0</v>
      </c>
      <c r="AT41" s="45">
        <f>IF('Data Bonds'!AW40=0,0,theta0+(theta1+theta2)*(1-EXP(-'Data Bonds'!AW40/la))/('Data Bonds'!AW40/la)-theta2*EXP(-'Data Bonds'!AW40/la))</f>
        <v>0</v>
      </c>
      <c r="AU41" s="45">
        <f>IF('Data Bonds'!AX40=0,0,theta0+(theta1+theta2)*(1-EXP(-'Data Bonds'!AX40/la))/('Data Bonds'!AX40/la)-theta2*EXP(-'Data Bonds'!AX40/la))</f>
        <v>0</v>
      </c>
      <c r="AV41" s="45">
        <f>IF('Data Bonds'!AY40=0,0,theta0+(theta1+theta2)*(1-EXP(-'Data Bonds'!AY40/la))/('Data Bonds'!AY40/la)-theta2*EXP(-'Data Bonds'!AY40/la))</f>
        <v>0</v>
      </c>
      <c r="AW41" s="45">
        <f>IF('Data Bonds'!AZ40=0,0,theta0+(theta1+theta2)*(1-EXP(-'Data Bonds'!AZ40/la))/('Data Bonds'!AZ40/la)-theta2*EXP(-'Data Bonds'!AZ40/la))</f>
        <v>0</v>
      </c>
      <c r="AX41" s="45">
        <f>IF('Data Bonds'!BA40=0,0,theta0+(theta1+theta2)*(1-EXP(-'Data Bonds'!BA40/la))/('Data Bonds'!BA40/la)-theta2*EXP(-'Data Bonds'!BA40/la))</f>
        <v>0</v>
      </c>
      <c r="AY41" s="45">
        <f>IF('Data Bonds'!BB40=0,0,theta0+(theta1+theta2)*(1-EXP(-'Data Bonds'!BB40/la))/('Data Bonds'!BB40/la)-theta2*EXP(-'Data Bonds'!BB40/la))</f>
        <v>0</v>
      </c>
      <c r="AZ41" s="45">
        <f>IF('Data Bonds'!BC40=0,0,theta0+(theta1+theta2)*(1-EXP(-'Data Bonds'!BC40/la))/('Data Bonds'!BC40/la)-theta2*EXP(-'Data Bonds'!BC40/la))</f>
        <v>0</v>
      </c>
      <c r="BA41" s="45">
        <f>IF('Data Bonds'!BD40=0,0,theta0+(theta1+theta2)*(1-EXP(-'Data Bonds'!BD40/la))/('Data Bonds'!BD40/la)-theta2*EXP(-'Data Bonds'!BD40/la))</f>
        <v>0</v>
      </c>
      <c r="BB41" s="45">
        <f>IF('Data Bonds'!BE40=0,0,theta0+(theta1+theta2)*(1-EXP(-'Data Bonds'!BE40/la))/('Data Bonds'!BE40/la)-theta2*EXP(-'Data Bonds'!BE40/la))</f>
        <v>0</v>
      </c>
      <c r="BC41" s="45">
        <f>IF('Data Bonds'!BF40=0,0,theta0+(theta1+theta2)*(1-EXP(-'Data Bonds'!BF40/la))/('Data Bonds'!BF40/la)-theta2*EXP(-'Data Bonds'!BF40/la))</f>
        <v>0</v>
      </c>
      <c r="BD41" s="45">
        <f>IF('Data Bonds'!BG40=0,0,theta0+(theta1+theta2)*(1-EXP(-'Data Bonds'!BG40/la))/('Data Bonds'!BG40/la)-theta2*EXP(-'Data Bonds'!BG40/la))</f>
        <v>0</v>
      </c>
      <c r="BE41" s="45">
        <f>IF('Data Bonds'!BH40=0,0,theta0+(theta1+theta2)*(1-EXP(-'Data Bonds'!BH40/la))/('Data Bonds'!BH40/la)-theta2*EXP(-'Data Bonds'!BH40/la))</f>
        <v>0</v>
      </c>
      <c r="BF41" s="45">
        <f>IF('Data Bonds'!BI40=0,0,theta0+(theta1+theta2)*(1-EXP(-'Data Bonds'!BI40/la))/('Data Bonds'!BI40/la)-theta2*EXP(-'Data Bonds'!BI40/la))</f>
        <v>0</v>
      </c>
      <c r="BG41" s="45">
        <f>IF('Data Bonds'!BJ40=0,0,theta0+(theta1+theta2)*(1-EXP(-'Data Bonds'!BJ40/la))/('Data Bonds'!BJ40/la)-theta2*EXP(-'Data Bonds'!BJ40/la))</f>
        <v>0</v>
      </c>
      <c r="BH41" s="45">
        <f>IF('Data Bonds'!BK40=0,0,theta0+(theta1+theta2)*(1-EXP(-'Data Bonds'!BK40/la))/('Data Bonds'!BK40/la)-theta2*EXP(-'Data Bonds'!BK40/la))</f>
        <v>0</v>
      </c>
      <c r="BI41" s="45">
        <f>IF('Data Bonds'!BL40=0,0,theta0+(theta1+theta2)*(1-EXP(-'Data Bonds'!BL40/la))/('Data Bonds'!BL40/la)-theta2*EXP(-'Data Bonds'!BL40/la))</f>
        <v>0</v>
      </c>
      <c r="BJ41" s="45">
        <f>IF('Data Bonds'!BM40=0,0,theta0+(theta1+theta2)*(1-EXP(-'Data Bonds'!BM40/la))/('Data Bonds'!BM40/la)-theta2*EXP(-'Data Bonds'!BM40/la))</f>
        <v>0</v>
      </c>
      <c r="BK41" s="45">
        <f>IF('Data Bonds'!BN40=0,0,theta0+(theta1+theta2)*(1-EXP(-'Data Bonds'!BN40/la))/('Data Bonds'!BN40/la)-theta2*EXP(-'Data Bonds'!BN40/la))</f>
        <v>0</v>
      </c>
      <c r="BL41" s="45">
        <f>IF('Data Bonds'!BO40=0,0,theta0+(theta1+theta2)*(1-EXP(-'Data Bonds'!BO40/la))/('Data Bonds'!BO40/la)-theta2*EXP(-'Data Bonds'!BO40/la))</f>
        <v>0</v>
      </c>
      <c r="BM41" s="45">
        <f>IF('Data Bonds'!BP40=0,0,theta0+(theta1+theta2)*(1-EXP(-'Data Bonds'!BP40/la))/('Data Bonds'!BP40/la)-theta2*EXP(-'Data Bonds'!BP40/la))</f>
        <v>0</v>
      </c>
      <c r="BN41" s="45">
        <f>IF('Data Bonds'!BQ40=0,0,theta0+(theta1+theta2)*(1-EXP(-'Data Bonds'!BQ40/la))/('Data Bonds'!BQ40/la)-theta2*EXP(-'Data Bonds'!BQ40/la))</f>
        <v>0</v>
      </c>
      <c r="BO41" s="45">
        <f>IF('Data Bonds'!BR40=0,0,theta0+(theta1+theta2)*(1-EXP(-'Data Bonds'!BR40/la))/('Data Bonds'!BR40/la)-theta2*EXP(-'Data Bonds'!BR40/la))</f>
        <v>0</v>
      </c>
      <c r="BP41" s="38">
        <f>EXP(-'Data Bonds'!K40*H41)</f>
        <v>0.99030095386253514</v>
      </c>
      <c r="BQ41" s="38">
        <f>EXP(-'Data Bonds'!L40*I41)</f>
        <v>0.96596142383001249</v>
      </c>
      <c r="BR41" s="38">
        <f>EXP(-'Data Bonds'!M40*J41)</f>
        <v>0.94276024382077384</v>
      </c>
      <c r="BS41" s="38">
        <f>EXP(-'Data Bonds'!N40*K41)</f>
        <v>0.92013309652437447</v>
      </c>
      <c r="BT41" s="38">
        <f>EXP(-'Data Bonds'!O40*L41)</f>
        <v>0.8978301597681585</v>
      </c>
      <c r="BU41" s="38">
        <f>EXP(-'Data Bonds'!P40*M41)</f>
        <v>0.8757679623727499</v>
      </c>
      <c r="BV41" s="38">
        <f>EXP(-'Data Bonds'!Q40*N41)</f>
        <v>0.85394508705932803</v>
      </c>
      <c r="BW41" s="38">
        <f>EXP(-'Data Bonds'!R40*O41)</f>
        <v>0.83239541980118914</v>
      </c>
      <c r="BX41" s="38">
        <f>EXP(-'Data Bonds'!S40*P41)</f>
        <v>0.81116332561828708</v>
      </c>
      <c r="BY41" s="38">
        <f>EXP(-'Data Bonds'!T40*Q41)</f>
        <v>0.79029139660492453</v>
      </c>
      <c r="BZ41" s="38">
        <f>EXP(-'Data Bonds'!U40*R41)</f>
        <v>0.76981519641342533</v>
      </c>
      <c r="CA41" s="38">
        <f>EXP(-'Data Bonds'!V40*S41)</f>
        <v>0.74976172414671449</v>
      </c>
      <c r="CB41" s="38">
        <f>EXP(-'Data Bonds'!W40*T41)</f>
        <v>0.73014971419213559</v>
      </c>
      <c r="CC41" s="38">
        <f>EXP(-'Data Bonds'!X40*U41)</f>
        <v>0.71099072354814263</v>
      </c>
      <c r="CD41" s="38">
        <f>EXP(-'Data Bonds'!Y40*V41)</f>
        <v>0.69229044963946051</v>
      </c>
      <c r="CE41" s="38">
        <f>EXP(-'Data Bonds'!Z40*W41)</f>
        <v>0.67405000392176173</v>
      </c>
      <c r="CF41" s="38">
        <f>EXP(-'Data Bonds'!AA40*X41)</f>
        <v>0.65626702351290833</v>
      </c>
      <c r="CG41" s="38">
        <f>EXP(-'Data Bonds'!AB40*Y41)</f>
        <v>0.63893658633137096</v>
      </c>
      <c r="CH41" s="38">
        <f>EXP(-'Data Bonds'!AC40*Z41)</f>
        <v>0.62205193621476651</v>
      </c>
      <c r="CI41" s="38">
        <f>EXP(-'Data Bonds'!AD40*AA41)</f>
        <v>0.60560504204345178</v>
      </c>
      <c r="CJ41" s="38">
        <f>EXP(-'Data Bonds'!AE40*AB41)</f>
        <v>0.58958702003626717</v>
      </c>
      <c r="CK41" s="38">
        <f>EXP(-'Data Bonds'!AF40*AC41)</f>
        <v>0.57398844742708199</v>
      </c>
      <c r="CL41" s="38">
        <f>EXP(-'Data Bonds'!AG40*AD41)</f>
        <v>0.55879959216452202</v>
      </c>
      <c r="CM41" s="38">
        <f>EXP(-'Data Bonds'!AH40*AE41)</f>
        <v>0.54401057894878535</v>
      </c>
      <c r="CN41" s="38">
        <f>EXP(-'Data Bonds'!AI40*AF41)</f>
        <v>1</v>
      </c>
      <c r="CO41" s="38">
        <f>EXP(-'Data Bonds'!AJ40*AG41)</f>
        <v>1</v>
      </c>
      <c r="CP41" s="38">
        <f>EXP(-'Data Bonds'!AK40*AH41)</f>
        <v>1</v>
      </c>
      <c r="CQ41" s="38">
        <f>EXP(-'Data Bonds'!AL40*AI41)</f>
        <v>1</v>
      </c>
      <c r="CR41" s="38">
        <f>EXP(-'Data Bonds'!AM40*AJ41)</f>
        <v>1</v>
      </c>
      <c r="CS41" s="38">
        <f>EXP(-'Data Bonds'!AN40*AK41)</f>
        <v>1</v>
      </c>
      <c r="CT41" s="38">
        <f>EXP(-'Data Bonds'!AO40*AL41)</f>
        <v>1</v>
      </c>
      <c r="CU41" s="38">
        <f>EXP(-'Data Bonds'!AP40*AM41)</f>
        <v>1</v>
      </c>
      <c r="CV41" s="38">
        <f>EXP(-'Data Bonds'!AQ40*AN41)</f>
        <v>1</v>
      </c>
      <c r="CW41" s="38">
        <f>EXP(-'Data Bonds'!AR40*AO41)</f>
        <v>1</v>
      </c>
      <c r="CX41" s="38">
        <f>EXP(-'Data Bonds'!AS40*AP41)</f>
        <v>1</v>
      </c>
      <c r="CY41" s="38">
        <f>EXP(-'Data Bonds'!AT40*AQ41)</f>
        <v>1</v>
      </c>
      <c r="CZ41" s="38">
        <f>EXP(-'Data Bonds'!AU40*AR41)</f>
        <v>1</v>
      </c>
      <c r="DA41" s="38">
        <f>EXP(-'Data Bonds'!AV40*AS41)</f>
        <v>1</v>
      </c>
      <c r="DB41" s="38">
        <f>EXP(-'Data Bonds'!AW40*AT41)</f>
        <v>1</v>
      </c>
      <c r="DC41" s="38">
        <f>EXP(-'Data Bonds'!AX40*AU41)</f>
        <v>1</v>
      </c>
      <c r="DD41" s="38">
        <f>EXP(-'Data Bonds'!AY40*AV41)</f>
        <v>1</v>
      </c>
      <c r="DE41" s="38">
        <f>EXP(-'Data Bonds'!AZ40*AW41)</f>
        <v>1</v>
      </c>
      <c r="DF41" s="38">
        <f>EXP(-'Data Bonds'!BA40*AX41)</f>
        <v>1</v>
      </c>
      <c r="DG41" s="38">
        <f>EXP(-'Data Bonds'!BB40*AY41)</f>
        <v>1</v>
      </c>
      <c r="DH41" s="38">
        <f>EXP(-'Data Bonds'!BC40*AZ41)</f>
        <v>1</v>
      </c>
      <c r="DI41" s="38">
        <f>EXP(-'Data Bonds'!BD40*BA41)</f>
        <v>1</v>
      </c>
      <c r="DJ41" s="38">
        <f>EXP(-'Data Bonds'!BE40*BB41)</f>
        <v>1</v>
      </c>
      <c r="DK41" s="38">
        <f>EXP(-'Data Bonds'!BF40*BC41)</f>
        <v>1</v>
      </c>
      <c r="DL41" s="38">
        <f>EXP(-'Data Bonds'!BG40*BD41)</f>
        <v>1</v>
      </c>
      <c r="DM41" s="38">
        <f>EXP(-'Data Bonds'!BH40*BE41)</f>
        <v>1</v>
      </c>
      <c r="DN41" s="38">
        <f>EXP(-'Data Bonds'!BI40*BF41)</f>
        <v>1</v>
      </c>
      <c r="DO41" s="38">
        <f>EXP(-'Data Bonds'!BJ40*BG41)</f>
        <v>1</v>
      </c>
      <c r="DP41" s="38">
        <f>EXP(-'Data Bonds'!BK40*BH41)</f>
        <v>1</v>
      </c>
      <c r="DQ41" s="38">
        <f>EXP(-'Data Bonds'!BL40*BI41)</f>
        <v>1</v>
      </c>
      <c r="DR41" s="38">
        <f>EXP(-'Data Bonds'!BM40*BJ41)</f>
        <v>1</v>
      </c>
      <c r="DS41" s="38">
        <f>EXP(-'Data Bonds'!BN40*BK41)</f>
        <v>1</v>
      </c>
      <c r="DT41" s="38">
        <f>EXP(-'Data Bonds'!BO40*BL41)</f>
        <v>1</v>
      </c>
      <c r="DU41" s="38">
        <f>EXP(-'Data Bonds'!BP40*BM41)</f>
        <v>1</v>
      </c>
      <c r="DV41" s="38">
        <f>EXP(-'Data Bonds'!BQ40*BN41)</f>
        <v>1</v>
      </c>
      <c r="DW41" s="38">
        <f>EXP(-'Data Bonds'!BR40*BO41)</f>
        <v>1</v>
      </c>
      <c r="DX41" s="28">
        <f>SUMPRODUCT(BP41:DW41,'Data Bonds'!BU40:EB40)</f>
        <v>134.26209356075492</v>
      </c>
      <c r="DY41" s="28">
        <f t="shared" si="5"/>
        <v>8.9742370155151043E-3</v>
      </c>
      <c r="EA41" s="33">
        <f t="shared" si="6"/>
        <v>15</v>
      </c>
      <c r="EB41" s="29">
        <f t="shared" si="2"/>
        <v>5.2430111076410685E-2</v>
      </c>
      <c r="EC41" s="29">
        <f t="shared" si="3"/>
        <v>0.4554580486219032</v>
      </c>
      <c r="ED41" s="29">
        <f t="shared" si="7"/>
        <v>5.3661679980623184E-2</v>
      </c>
      <c r="EE41" s="32"/>
      <c r="EF41" s="32"/>
      <c r="EG41" s="32"/>
      <c r="EI41" s="34"/>
    </row>
    <row r="42" spans="2:139">
      <c r="B42" s="27">
        <f>'Data Bonds'!E41</f>
        <v>8.125</v>
      </c>
      <c r="C42" s="27">
        <f>'Data Bonds'!F41</f>
        <v>125.5</v>
      </c>
      <c r="D42" s="27">
        <f>'Data Bonds'!G41</f>
        <v>125.5625</v>
      </c>
      <c r="E42" s="27">
        <f>'Data Bonds'!I41</f>
        <v>2.5277777777777777</v>
      </c>
      <c r="F42" s="40">
        <f>'Data Bonds'!H41</f>
        <v>12.188888888888888</v>
      </c>
      <c r="G42" s="28">
        <f t="shared" si="4"/>
        <v>128.05902777777777</v>
      </c>
      <c r="H42" s="45">
        <f>IF('Data Bonds'!K41=0,0,theta0+(theta1+theta2)*(1-EXP(-'Data Bonds'!K41/la))/('Data Bonds'!K41/la)-theta2*EXP(-'Data Bonds'!K41/la))</f>
        <v>5.1598526027898411E-2</v>
      </c>
      <c r="I42" s="45">
        <f>IF('Data Bonds'!L41=0,0,theta0+(theta1+theta2)*(1-EXP(-'Data Bonds'!L41/la))/('Data Bonds'!L41/la)-theta2*EXP(-'Data Bonds'!L41/la))</f>
        <v>5.0271357324748023E-2</v>
      </c>
      <c r="J42" s="45">
        <f>IF('Data Bonds'!M41=0,0,theta0+(theta1+theta2)*(1-EXP(-'Data Bonds'!M41/la))/('Data Bonds'!M41/la)-theta2*EXP(-'Data Bonds'!M41/la))</f>
        <v>4.9578457297749672E-2</v>
      </c>
      <c r="K42" s="45">
        <f>IF('Data Bonds'!N41=0,0,theta0+(theta1+theta2)*(1-EXP(-'Data Bonds'!N41/la))/('Data Bonds'!N41/la)-theta2*EXP(-'Data Bonds'!N41/la))</f>
        <v>4.9285035750538553E-2</v>
      </c>
      <c r="L42" s="45">
        <f>IF('Data Bonds'!O41=0,0,theta0+(theta1+theta2)*(1-EXP(-'Data Bonds'!O41/la))/('Data Bonds'!O41/la)-theta2*EXP(-'Data Bonds'!O41/la))</f>
        <v>4.9237017363447266E-2</v>
      </c>
      <c r="M42" s="45">
        <f>IF('Data Bonds'!P41=0,0,theta0+(theta1+theta2)*(1-EXP(-'Data Bonds'!P41/la))/('Data Bonds'!P41/la)-theta2*EXP(-'Data Bonds'!P41/la))</f>
        <v>4.9334171753160738E-2</v>
      </c>
      <c r="N42" s="45">
        <f>IF('Data Bonds'!Q41=0,0,theta0+(theta1+theta2)*(1-EXP(-'Data Bonds'!Q41/la))/('Data Bonds'!Q41/la)-theta2*EXP(-'Data Bonds'!Q41/la))</f>
        <v>4.9512038088999483E-2</v>
      </c>
      <c r="O42" s="45">
        <f>IF('Data Bonds'!R41=0,0,theta0+(theta1+theta2)*(1-EXP(-'Data Bonds'!R41/la))/('Data Bonds'!R41/la)-theta2*EXP(-'Data Bonds'!R41/la))</f>
        <v>4.9729794635889335E-2</v>
      </c>
      <c r="P42" s="45">
        <f>IF('Data Bonds'!S41=0,0,theta0+(theta1+theta2)*(1-EXP(-'Data Bonds'!S41/la))/('Data Bonds'!S41/la)-theta2*EXP(-'Data Bonds'!S41/la))</f>
        <v>4.9962140977046696E-2</v>
      </c>
      <c r="Q42" s="45">
        <f>IF('Data Bonds'!T41=0,0,theta0+(theta1+theta2)*(1-EXP(-'Data Bonds'!T41/la))/('Data Bonds'!T41/la)-theta2*EXP(-'Data Bonds'!T41/la))</f>
        <v>5.0193884019659962E-2</v>
      </c>
      <c r="R42" s="45">
        <f>IF('Data Bonds'!U41=0,0,theta0+(theta1+theta2)*(1-EXP(-'Data Bonds'!U41/la))/('Data Bonds'!U41/la)-theta2*EXP(-'Data Bonds'!U41/la))</f>
        <v>5.0416342149512058E-2</v>
      </c>
      <c r="S42" s="45">
        <f>IF('Data Bonds'!V41=0,0,theta0+(theta1+theta2)*(1-EXP(-'Data Bonds'!V41/la))/('Data Bonds'!V41/la)-theta2*EXP(-'Data Bonds'!V41/la))</f>
        <v>5.0624969074311257E-2</v>
      </c>
      <c r="T42" s="45">
        <f>IF('Data Bonds'!W41=0,0,theta0+(theta1+theta2)*(1-EXP(-'Data Bonds'!W41/la))/('Data Bonds'!W41/la)-theta2*EXP(-'Data Bonds'!W41/la))</f>
        <v>5.0817793561872729E-2</v>
      </c>
      <c r="U42" s="45">
        <f>IF('Data Bonds'!X41=0,0,theta0+(theta1+theta2)*(1-EXP(-'Data Bonds'!X41/la))/('Data Bonds'!X41/la)-theta2*EXP(-'Data Bonds'!X41/la))</f>
        <v>5.0994403103277734E-2</v>
      </c>
      <c r="V42" s="45">
        <f>IF('Data Bonds'!Y41=0,0,theta0+(theta1+theta2)*(1-EXP(-'Data Bonds'!Y41/la))/('Data Bonds'!Y41/la)-theta2*EXP(-'Data Bonds'!Y41/la))</f>
        <v>5.1155288695615496E-2</v>
      </c>
      <c r="W42" s="45">
        <f>IF('Data Bonds'!Z41=0,0,theta0+(theta1+theta2)*(1-EXP(-'Data Bonds'!Z41/la))/('Data Bonds'!Z41/la)-theta2*EXP(-'Data Bonds'!Z41/la))</f>
        <v>5.1301428168232986E-2</v>
      </c>
      <c r="X42" s="45">
        <f>IF('Data Bonds'!AA41=0,0,theta0+(theta1+theta2)*(1-EXP(-'Data Bonds'!AA41/la))/('Data Bonds'!AA41/la)-theta2*EXP(-'Data Bonds'!AA41/la))</f>
        <v>5.1434026097624264E-2</v>
      </c>
      <c r="Y42" s="45">
        <f>IF('Data Bonds'!AB41=0,0,theta0+(theta1+theta2)*(1-EXP(-'Data Bonds'!AB41/la))/('Data Bonds'!AB41/la)-theta2*EXP(-'Data Bonds'!AB41/la))</f>
        <v>5.1554355703636381E-2</v>
      </c>
      <c r="Z42" s="45">
        <f>IF('Data Bonds'!AC41=0,0,theta0+(theta1+theta2)*(1-EXP(-'Data Bonds'!AC41/la))/('Data Bonds'!AC41/la)-theta2*EXP(-'Data Bonds'!AC41/la))</f>
        <v>5.1663666492393567E-2</v>
      </c>
      <c r="AA42" s="45">
        <f>IF('Data Bonds'!AD41=0,0,theta0+(theta1+theta2)*(1-EXP(-'Data Bonds'!AD41/la))/('Data Bonds'!AD41/la)-theta2*EXP(-'Data Bonds'!AD41/la))</f>
        <v>5.1763133724185395E-2</v>
      </c>
      <c r="AB42" s="45">
        <f>IF('Data Bonds'!AE41=0,0,theta0+(theta1+theta2)*(1-EXP(-'Data Bonds'!AE41/la))/('Data Bonds'!AE41/la)-theta2*EXP(-'Data Bonds'!AE41/la))</f>
        <v>5.1853834012200901E-2</v>
      </c>
      <c r="AC42" s="45">
        <f>IF('Data Bonds'!AF41=0,0,theta0+(theta1+theta2)*(1-EXP(-'Data Bonds'!AF41/la))/('Data Bonds'!AF41/la)-theta2*EXP(-'Data Bonds'!AF41/la))</f>
        <v>5.1936736836682804E-2</v>
      </c>
      <c r="AD42" s="45">
        <f>IF('Data Bonds'!AG41=0,0,theta0+(theta1+theta2)*(1-EXP(-'Data Bonds'!AG41/la))/('Data Bonds'!AG41/la)-theta2*EXP(-'Data Bonds'!AG41/la))</f>
        <v>5.2012705391962649E-2</v>
      </c>
      <c r="AE42" s="45">
        <f>IF('Data Bonds'!AH41=0,0,theta0+(theta1+theta2)*(1-EXP(-'Data Bonds'!AH41/la))/('Data Bonds'!AH41/la)-theta2*EXP(-'Data Bonds'!AH41/la))</f>
        <v>5.2082502580458233E-2</v>
      </c>
      <c r="AF42" s="45">
        <f>IF('Data Bonds'!AI41=0,0,theta0+(theta1+theta2)*(1-EXP(-'Data Bonds'!AI41/la))/('Data Bonds'!AI41/la)-theta2*EXP(-'Data Bonds'!AI41/la))</f>
        <v>5.2146799538785205E-2</v>
      </c>
      <c r="AG42" s="45">
        <f>IF('Data Bonds'!AJ41=0,0,theta0+(theta1+theta2)*(1-EXP(-'Data Bonds'!AJ41/la))/('Data Bonds'!AJ41/la)-theta2*EXP(-'Data Bonds'!AJ41/la))</f>
        <v>0</v>
      </c>
      <c r="AH42" s="45">
        <f>IF('Data Bonds'!AK41=0,0,theta0+(theta1+theta2)*(1-EXP(-'Data Bonds'!AK41/la))/('Data Bonds'!AK41/la)-theta2*EXP(-'Data Bonds'!AK41/la))</f>
        <v>0</v>
      </c>
      <c r="AI42" s="45">
        <f>IF('Data Bonds'!AL41=0,0,theta0+(theta1+theta2)*(1-EXP(-'Data Bonds'!AL41/la))/('Data Bonds'!AL41/la)-theta2*EXP(-'Data Bonds'!AL41/la))</f>
        <v>0</v>
      </c>
      <c r="AJ42" s="45">
        <f>IF('Data Bonds'!AM41=0,0,theta0+(theta1+theta2)*(1-EXP(-'Data Bonds'!AM41/la))/('Data Bonds'!AM41/la)-theta2*EXP(-'Data Bonds'!AM41/la))</f>
        <v>0</v>
      </c>
      <c r="AK42" s="45">
        <f>IF('Data Bonds'!AN41=0,0,theta0+(theta1+theta2)*(1-EXP(-'Data Bonds'!AN41/la))/('Data Bonds'!AN41/la)-theta2*EXP(-'Data Bonds'!AN41/la))</f>
        <v>0</v>
      </c>
      <c r="AL42" s="45">
        <f>IF('Data Bonds'!AO41=0,0,theta0+(theta1+theta2)*(1-EXP(-'Data Bonds'!AO41/la))/('Data Bonds'!AO41/la)-theta2*EXP(-'Data Bonds'!AO41/la))</f>
        <v>0</v>
      </c>
      <c r="AM42" s="45">
        <f>IF('Data Bonds'!AP41=0,0,theta0+(theta1+theta2)*(1-EXP(-'Data Bonds'!AP41/la))/('Data Bonds'!AP41/la)-theta2*EXP(-'Data Bonds'!AP41/la))</f>
        <v>0</v>
      </c>
      <c r="AN42" s="45">
        <f>IF('Data Bonds'!AQ41=0,0,theta0+(theta1+theta2)*(1-EXP(-'Data Bonds'!AQ41/la))/('Data Bonds'!AQ41/la)-theta2*EXP(-'Data Bonds'!AQ41/la))</f>
        <v>0</v>
      </c>
      <c r="AO42" s="45">
        <f>IF('Data Bonds'!AR41=0,0,theta0+(theta1+theta2)*(1-EXP(-'Data Bonds'!AR41/la))/('Data Bonds'!AR41/la)-theta2*EXP(-'Data Bonds'!AR41/la))</f>
        <v>0</v>
      </c>
      <c r="AP42" s="45">
        <f>IF('Data Bonds'!AS41=0,0,theta0+(theta1+theta2)*(1-EXP(-'Data Bonds'!AS41/la))/('Data Bonds'!AS41/la)-theta2*EXP(-'Data Bonds'!AS41/la))</f>
        <v>0</v>
      </c>
      <c r="AQ42" s="45">
        <f>IF('Data Bonds'!AT41=0,0,theta0+(theta1+theta2)*(1-EXP(-'Data Bonds'!AT41/la))/('Data Bonds'!AT41/la)-theta2*EXP(-'Data Bonds'!AT41/la))</f>
        <v>0</v>
      </c>
      <c r="AR42" s="45">
        <f>IF('Data Bonds'!AU41=0,0,theta0+(theta1+theta2)*(1-EXP(-'Data Bonds'!AU41/la))/('Data Bonds'!AU41/la)-theta2*EXP(-'Data Bonds'!AU41/la))</f>
        <v>0</v>
      </c>
      <c r="AS42" s="45">
        <f>IF('Data Bonds'!AV41=0,0,theta0+(theta1+theta2)*(1-EXP(-'Data Bonds'!AV41/la))/('Data Bonds'!AV41/la)-theta2*EXP(-'Data Bonds'!AV41/la))</f>
        <v>0</v>
      </c>
      <c r="AT42" s="45">
        <f>IF('Data Bonds'!AW41=0,0,theta0+(theta1+theta2)*(1-EXP(-'Data Bonds'!AW41/la))/('Data Bonds'!AW41/la)-theta2*EXP(-'Data Bonds'!AW41/la))</f>
        <v>0</v>
      </c>
      <c r="AU42" s="45">
        <f>IF('Data Bonds'!AX41=0,0,theta0+(theta1+theta2)*(1-EXP(-'Data Bonds'!AX41/la))/('Data Bonds'!AX41/la)-theta2*EXP(-'Data Bonds'!AX41/la))</f>
        <v>0</v>
      </c>
      <c r="AV42" s="45">
        <f>IF('Data Bonds'!AY41=0,0,theta0+(theta1+theta2)*(1-EXP(-'Data Bonds'!AY41/la))/('Data Bonds'!AY41/la)-theta2*EXP(-'Data Bonds'!AY41/la))</f>
        <v>0</v>
      </c>
      <c r="AW42" s="45">
        <f>IF('Data Bonds'!AZ41=0,0,theta0+(theta1+theta2)*(1-EXP(-'Data Bonds'!AZ41/la))/('Data Bonds'!AZ41/la)-theta2*EXP(-'Data Bonds'!AZ41/la))</f>
        <v>0</v>
      </c>
      <c r="AX42" s="45">
        <f>IF('Data Bonds'!BA41=0,0,theta0+(theta1+theta2)*(1-EXP(-'Data Bonds'!BA41/la))/('Data Bonds'!BA41/la)-theta2*EXP(-'Data Bonds'!BA41/la))</f>
        <v>0</v>
      </c>
      <c r="AY42" s="45">
        <f>IF('Data Bonds'!BB41=0,0,theta0+(theta1+theta2)*(1-EXP(-'Data Bonds'!BB41/la))/('Data Bonds'!BB41/la)-theta2*EXP(-'Data Bonds'!BB41/la))</f>
        <v>0</v>
      </c>
      <c r="AZ42" s="45">
        <f>IF('Data Bonds'!BC41=0,0,theta0+(theta1+theta2)*(1-EXP(-'Data Bonds'!BC41/la))/('Data Bonds'!BC41/la)-theta2*EXP(-'Data Bonds'!BC41/la))</f>
        <v>0</v>
      </c>
      <c r="BA42" s="45">
        <f>IF('Data Bonds'!BD41=0,0,theta0+(theta1+theta2)*(1-EXP(-'Data Bonds'!BD41/la))/('Data Bonds'!BD41/la)-theta2*EXP(-'Data Bonds'!BD41/la))</f>
        <v>0</v>
      </c>
      <c r="BB42" s="45">
        <f>IF('Data Bonds'!BE41=0,0,theta0+(theta1+theta2)*(1-EXP(-'Data Bonds'!BE41/la))/('Data Bonds'!BE41/la)-theta2*EXP(-'Data Bonds'!BE41/la))</f>
        <v>0</v>
      </c>
      <c r="BC42" s="45">
        <f>IF('Data Bonds'!BF41=0,0,theta0+(theta1+theta2)*(1-EXP(-'Data Bonds'!BF41/la))/('Data Bonds'!BF41/la)-theta2*EXP(-'Data Bonds'!BF41/la))</f>
        <v>0</v>
      </c>
      <c r="BD42" s="45">
        <f>IF('Data Bonds'!BG41=0,0,theta0+(theta1+theta2)*(1-EXP(-'Data Bonds'!BG41/la))/('Data Bonds'!BG41/la)-theta2*EXP(-'Data Bonds'!BG41/la))</f>
        <v>0</v>
      </c>
      <c r="BE42" s="45">
        <f>IF('Data Bonds'!BH41=0,0,theta0+(theta1+theta2)*(1-EXP(-'Data Bonds'!BH41/la))/('Data Bonds'!BH41/la)-theta2*EXP(-'Data Bonds'!BH41/la))</f>
        <v>0</v>
      </c>
      <c r="BF42" s="45">
        <f>IF('Data Bonds'!BI41=0,0,theta0+(theta1+theta2)*(1-EXP(-'Data Bonds'!BI41/la))/('Data Bonds'!BI41/la)-theta2*EXP(-'Data Bonds'!BI41/la))</f>
        <v>0</v>
      </c>
      <c r="BG42" s="45">
        <f>IF('Data Bonds'!BJ41=0,0,theta0+(theta1+theta2)*(1-EXP(-'Data Bonds'!BJ41/la))/('Data Bonds'!BJ41/la)-theta2*EXP(-'Data Bonds'!BJ41/la))</f>
        <v>0</v>
      </c>
      <c r="BH42" s="45">
        <f>IF('Data Bonds'!BK41=0,0,theta0+(theta1+theta2)*(1-EXP(-'Data Bonds'!BK41/la))/('Data Bonds'!BK41/la)-theta2*EXP(-'Data Bonds'!BK41/la))</f>
        <v>0</v>
      </c>
      <c r="BI42" s="45">
        <f>IF('Data Bonds'!BL41=0,0,theta0+(theta1+theta2)*(1-EXP(-'Data Bonds'!BL41/la))/('Data Bonds'!BL41/la)-theta2*EXP(-'Data Bonds'!BL41/la))</f>
        <v>0</v>
      </c>
      <c r="BJ42" s="45">
        <f>IF('Data Bonds'!BM41=0,0,theta0+(theta1+theta2)*(1-EXP(-'Data Bonds'!BM41/la))/('Data Bonds'!BM41/la)-theta2*EXP(-'Data Bonds'!BM41/la))</f>
        <v>0</v>
      </c>
      <c r="BK42" s="45">
        <f>IF('Data Bonds'!BN41=0,0,theta0+(theta1+theta2)*(1-EXP(-'Data Bonds'!BN41/la))/('Data Bonds'!BN41/la)-theta2*EXP(-'Data Bonds'!BN41/la))</f>
        <v>0</v>
      </c>
      <c r="BL42" s="45">
        <f>IF('Data Bonds'!BO41=0,0,theta0+(theta1+theta2)*(1-EXP(-'Data Bonds'!BO41/la))/('Data Bonds'!BO41/la)-theta2*EXP(-'Data Bonds'!BO41/la))</f>
        <v>0</v>
      </c>
      <c r="BM42" s="45">
        <f>IF('Data Bonds'!BP41=0,0,theta0+(theta1+theta2)*(1-EXP(-'Data Bonds'!BP41/la))/('Data Bonds'!BP41/la)-theta2*EXP(-'Data Bonds'!BP41/la))</f>
        <v>0</v>
      </c>
      <c r="BN42" s="45">
        <f>IF('Data Bonds'!BQ41=0,0,theta0+(theta1+theta2)*(1-EXP(-'Data Bonds'!BQ41/la))/('Data Bonds'!BQ41/la)-theta2*EXP(-'Data Bonds'!BQ41/la))</f>
        <v>0</v>
      </c>
      <c r="BO42" s="45">
        <f>IF('Data Bonds'!BR41=0,0,theta0+(theta1+theta2)*(1-EXP(-'Data Bonds'!BR41/la))/('Data Bonds'!BR41/la)-theta2*EXP(-'Data Bonds'!BR41/la))</f>
        <v>0</v>
      </c>
      <c r="BP42" s="38">
        <f>EXP(-'Data Bonds'!K41*H42)</f>
        <v>0.99030095386253514</v>
      </c>
      <c r="BQ42" s="38">
        <f>EXP(-'Data Bonds'!L41*I42)</f>
        <v>0.96596142383001249</v>
      </c>
      <c r="BR42" s="38">
        <f>EXP(-'Data Bonds'!M41*J42)</f>
        <v>0.94276024382077384</v>
      </c>
      <c r="BS42" s="38">
        <f>EXP(-'Data Bonds'!N41*K42)</f>
        <v>0.92013309652437447</v>
      </c>
      <c r="BT42" s="38">
        <f>EXP(-'Data Bonds'!O41*L42)</f>
        <v>0.8978301597681585</v>
      </c>
      <c r="BU42" s="38">
        <f>EXP(-'Data Bonds'!P41*M42)</f>
        <v>0.8757679623727499</v>
      </c>
      <c r="BV42" s="38">
        <f>EXP(-'Data Bonds'!Q41*N42)</f>
        <v>0.85394508705932803</v>
      </c>
      <c r="BW42" s="38">
        <f>EXP(-'Data Bonds'!R41*O42)</f>
        <v>0.83239541980118914</v>
      </c>
      <c r="BX42" s="38">
        <f>EXP(-'Data Bonds'!S41*P42)</f>
        <v>0.81116332561828708</v>
      </c>
      <c r="BY42" s="38">
        <f>EXP(-'Data Bonds'!T41*Q42)</f>
        <v>0.79029139660492453</v>
      </c>
      <c r="BZ42" s="38">
        <f>EXP(-'Data Bonds'!U41*R42)</f>
        <v>0.76981519641342533</v>
      </c>
      <c r="CA42" s="38">
        <f>EXP(-'Data Bonds'!V41*S42)</f>
        <v>0.74976172414671449</v>
      </c>
      <c r="CB42" s="38">
        <f>EXP(-'Data Bonds'!W41*T42)</f>
        <v>0.73014971419213559</v>
      </c>
      <c r="CC42" s="38">
        <f>EXP(-'Data Bonds'!X41*U42)</f>
        <v>0.71099072354814263</v>
      </c>
      <c r="CD42" s="38">
        <f>EXP(-'Data Bonds'!Y41*V42)</f>
        <v>0.69229044963946051</v>
      </c>
      <c r="CE42" s="38">
        <f>EXP(-'Data Bonds'!Z41*W42)</f>
        <v>0.67405000392176173</v>
      </c>
      <c r="CF42" s="38">
        <f>EXP(-'Data Bonds'!AA41*X42)</f>
        <v>0.65626702351290833</v>
      </c>
      <c r="CG42" s="38">
        <f>EXP(-'Data Bonds'!AB41*Y42)</f>
        <v>0.63893658633137096</v>
      </c>
      <c r="CH42" s="38">
        <f>EXP(-'Data Bonds'!AC41*Z42)</f>
        <v>0.62205193621476651</v>
      </c>
      <c r="CI42" s="38">
        <f>EXP(-'Data Bonds'!AD41*AA42)</f>
        <v>0.60560504204345178</v>
      </c>
      <c r="CJ42" s="38">
        <f>EXP(-'Data Bonds'!AE41*AB42)</f>
        <v>0.58958702003626717</v>
      </c>
      <c r="CK42" s="38">
        <f>EXP(-'Data Bonds'!AF41*AC42)</f>
        <v>0.57398844742708199</v>
      </c>
      <c r="CL42" s="38">
        <f>EXP(-'Data Bonds'!AG41*AD42)</f>
        <v>0.55879959216452202</v>
      </c>
      <c r="CM42" s="38">
        <f>EXP(-'Data Bonds'!AH41*AE42)</f>
        <v>0.54401057894878535</v>
      </c>
      <c r="CN42" s="38">
        <f>EXP(-'Data Bonds'!AI41*AF42)</f>
        <v>0.52961150773453602</v>
      </c>
      <c r="CO42" s="38">
        <f>EXP(-'Data Bonds'!AJ41*AG42)</f>
        <v>1</v>
      </c>
      <c r="CP42" s="38">
        <f>EXP(-'Data Bonds'!AK41*AH42)</f>
        <v>1</v>
      </c>
      <c r="CQ42" s="38">
        <f>EXP(-'Data Bonds'!AL41*AI42)</f>
        <v>1</v>
      </c>
      <c r="CR42" s="38">
        <f>EXP(-'Data Bonds'!AM41*AJ42)</f>
        <v>1</v>
      </c>
      <c r="CS42" s="38">
        <f>EXP(-'Data Bonds'!AN41*AK42)</f>
        <v>1</v>
      </c>
      <c r="CT42" s="38">
        <f>EXP(-'Data Bonds'!AO41*AL42)</f>
        <v>1</v>
      </c>
      <c r="CU42" s="38">
        <f>EXP(-'Data Bonds'!AP41*AM42)</f>
        <v>1</v>
      </c>
      <c r="CV42" s="38">
        <f>EXP(-'Data Bonds'!AQ41*AN42)</f>
        <v>1</v>
      </c>
      <c r="CW42" s="38">
        <f>EXP(-'Data Bonds'!AR41*AO42)</f>
        <v>1</v>
      </c>
      <c r="CX42" s="38">
        <f>EXP(-'Data Bonds'!AS41*AP42)</f>
        <v>1</v>
      </c>
      <c r="CY42" s="38">
        <f>EXP(-'Data Bonds'!AT41*AQ42)</f>
        <v>1</v>
      </c>
      <c r="CZ42" s="38">
        <f>EXP(-'Data Bonds'!AU41*AR42)</f>
        <v>1</v>
      </c>
      <c r="DA42" s="38">
        <f>EXP(-'Data Bonds'!AV41*AS42)</f>
        <v>1</v>
      </c>
      <c r="DB42" s="38">
        <f>EXP(-'Data Bonds'!AW41*AT42)</f>
        <v>1</v>
      </c>
      <c r="DC42" s="38">
        <f>EXP(-'Data Bonds'!AX41*AU42)</f>
        <v>1</v>
      </c>
      <c r="DD42" s="38">
        <f>EXP(-'Data Bonds'!AY41*AV42)</f>
        <v>1</v>
      </c>
      <c r="DE42" s="38">
        <f>EXP(-'Data Bonds'!AZ41*AW42)</f>
        <v>1</v>
      </c>
      <c r="DF42" s="38">
        <f>EXP(-'Data Bonds'!BA41*AX42)</f>
        <v>1</v>
      </c>
      <c r="DG42" s="38">
        <f>EXP(-'Data Bonds'!BB41*AY42)</f>
        <v>1</v>
      </c>
      <c r="DH42" s="38">
        <f>EXP(-'Data Bonds'!BC41*AZ42)</f>
        <v>1</v>
      </c>
      <c r="DI42" s="38">
        <f>EXP(-'Data Bonds'!BD41*BA42)</f>
        <v>1</v>
      </c>
      <c r="DJ42" s="38">
        <f>EXP(-'Data Bonds'!BE41*BB42)</f>
        <v>1</v>
      </c>
      <c r="DK42" s="38">
        <f>EXP(-'Data Bonds'!BF41*BC42)</f>
        <v>1</v>
      </c>
      <c r="DL42" s="38">
        <f>EXP(-'Data Bonds'!BG41*BD42)</f>
        <v>1</v>
      </c>
      <c r="DM42" s="38">
        <f>EXP(-'Data Bonds'!BH41*BE42)</f>
        <v>1</v>
      </c>
      <c r="DN42" s="38">
        <f>EXP(-'Data Bonds'!BI41*BF42)</f>
        <v>1</v>
      </c>
      <c r="DO42" s="38">
        <f>EXP(-'Data Bonds'!BJ41*BG42)</f>
        <v>1</v>
      </c>
      <c r="DP42" s="38">
        <f>EXP(-'Data Bonds'!BK41*BH42)</f>
        <v>1</v>
      </c>
      <c r="DQ42" s="38">
        <f>EXP(-'Data Bonds'!BL41*BI42)</f>
        <v>1</v>
      </c>
      <c r="DR42" s="38">
        <f>EXP(-'Data Bonds'!BM41*BJ42)</f>
        <v>1</v>
      </c>
      <c r="DS42" s="38">
        <f>EXP(-'Data Bonds'!BN41*BK42)</f>
        <v>1</v>
      </c>
      <c r="DT42" s="38">
        <f>EXP(-'Data Bonds'!BO41*BL42)</f>
        <v>1</v>
      </c>
      <c r="DU42" s="38">
        <f>EXP(-'Data Bonds'!BP41*BM42)</f>
        <v>1</v>
      </c>
      <c r="DV42" s="38">
        <f>EXP(-'Data Bonds'!BQ41*BN42)</f>
        <v>1</v>
      </c>
      <c r="DW42" s="38">
        <f>EXP(-'Data Bonds'!BR41*BO42)</f>
        <v>1</v>
      </c>
      <c r="DX42" s="28">
        <f>SUMPRODUCT(BP42:DW42,'Data Bonds'!BU41:EB41)</f>
        <v>128.22491327407533</v>
      </c>
      <c r="DY42" s="28">
        <f t="shared" si="5"/>
        <v>2.7517997881888603E-2</v>
      </c>
      <c r="EA42" s="33">
        <f t="shared" si="6"/>
        <v>15.5</v>
      </c>
      <c r="EB42" s="29">
        <f t="shared" si="2"/>
        <v>5.246985815663173E-2</v>
      </c>
      <c r="EC42" s="29">
        <f t="shared" si="3"/>
        <v>0.44340007997701147</v>
      </c>
      <c r="ED42" s="29">
        <f t="shared" si="7"/>
        <v>5.3662270563263267E-2</v>
      </c>
      <c r="EE42" s="32"/>
      <c r="EF42" s="32"/>
      <c r="EG42" s="32"/>
      <c r="EI42" s="34"/>
    </row>
    <row r="43" spans="2:139">
      <c r="B43" s="27">
        <f>'Data Bonds'!E42</f>
        <v>8.5</v>
      </c>
      <c r="C43" s="27">
        <f>'Data Bonds'!F42</f>
        <v>129.5625</v>
      </c>
      <c r="D43" s="27">
        <f>'Data Bonds'!G42</f>
        <v>129.625</v>
      </c>
      <c r="E43" s="27">
        <f>'Data Bonds'!I42</f>
        <v>2.6444444444444444</v>
      </c>
      <c r="F43" s="40">
        <f>'Data Bonds'!H42</f>
        <v>12.688888888888888</v>
      </c>
      <c r="G43" s="28">
        <f t="shared" si="4"/>
        <v>132.23819444444445</v>
      </c>
      <c r="H43" s="45">
        <f>IF('Data Bonds'!K42=0,0,theta0+(theta1+theta2)*(1-EXP(-'Data Bonds'!K42/la))/('Data Bonds'!K42/la)-theta2*EXP(-'Data Bonds'!K42/la))</f>
        <v>5.1598526027898411E-2</v>
      </c>
      <c r="I43" s="45">
        <f>IF('Data Bonds'!L42=0,0,theta0+(theta1+theta2)*(1-EXP(-'Data Bonds'!L42/la))/('Data Bonds'!L42/la)-theta2*EXP(-'Data Bonds'!L42/la))</f>
        <v>5.0271357324748023E-2</v>
      </c>
      <c r="J43" s="45">
        <f>IF('Data Bonds'!M42=0,0,theta0+(theta1+theta2)*(1-EXP(-'Data Bonds'!M42/la))/('Data Bonds'!M42/la)-theta2*EXP(-'Data Bonds'!M42/la))</f>
        <v>4.9578457297749672E-2</v>
      </c>
      <c r="K43" s="45">
        <f>IF('Data Bonds'!N42=0,0,theta0+(theta1+theta2)*(1-EXP(-'Data Bonds'!N42/la))/('Data Bonds'!N42/la)-theta2*EXP(-'Data Bonds'!N42/la))</f>
        <v>4.9285035750538553E-2</v>
      </c>
      <c r="L43" s="45">
        <f>IF('Data Bonds'!O42=0,0,theta0+(theta1+theta2)*(1-EXP(-'Data Bonds'!O42/la))/('Data Bonds'!O42/la)-theta2*EXP(-'Data Bonds'!O42/la))</f>
        <v>4.9237017363447266E-2</v>
      </c>
      <c r="M43" s="45">
        <f>IF('Data Bonds'!P42=0,0,theta0+(theta1+theta2)*(1-EXP(-'Data Bonds'!P42/la))/('Data Bonds'!P42/la)-theta2*EXP(-'Data Bonds'!P42/la))</f>
        <v>4.9334171753160738E-2</v>
      </c>
      <c r="N43" s="45">
        <f>IF('Data Bonds'!Q42=0,0,theta0+(theta1+theta2)*(1-EXP(-'Data Bonds'!Q42/la))/('Data Bonds'!Q42/la)-theta2*EXP(-'Data Bonds'!Q42/la))</f>
        <v>4.9512038088999483E-2</v>
      </c>
      <c r="O43" s="45">
        <f>IF('Data Bonds'!R42=0,0,theta0+(theta1+theta2)*(1-EXP(-'Data Bonds'!R42/la))/('Data Bonds'!R42/la)-theta2*EXP(-'Data Bonds'!R42/la))</f>
        <v>4.9729794635889335E-2</v>
      </c>
      <c r="P43" s="45">
        <f>IF('Data Bonds'!S42=0,0,theta0+(theta1+theta2)*(1-EXP(-'Data Bonds'!S42/la))/('Data Bonds'!S42/la)-theta2*EXP(-'Data Bonds'!S42/la))</f>
        <v>4.9962140977046696E-2</v>
      </c>
      <c r="Q43" s="45">
        <f>IF('Data Bonds'!T42=0,0,theta0+(theta1+theta2)*(1-EXP(-'Data Bonds'!T42/la))/('Data Bonds'!T42/la)-theta2*EXP(-'Data Bonds'!T42/la))</f>
        <v>5.0193884019659962E-2</v>
      </c>
      <c r="R43" s="45">
        <f>IF('Data Bonds'!U42=0,0,theta0+(theta1+theta2)*(1-EXP(-'Data Bonds'!U42/la))/('Data Bonds'!U42/la)-theta2*EXP(-'Data Bonds'!U42/la))</f>
        <v>5.0416342149512058E-2</v>
      </c>
      <c r="S43" s="45">
        <f>IF('Data Bonds'!V42=0,0,theta0+(theta1+theta2)*(1-EXP(-'Data Bonds'!V42/la))/('Data Bonds'!V42/la)-theta2*EXP(-'Data Bonds'!V42/la))</f>
        <v>5.0624969074311257E-2</v>
      </c>
      <c r="T43" s="45">
        <f>IF('Data Bonds'!W42=0,0,theta0+(theta1+theta2)*(1-EXP(-'Data Bonds'!W42/la))/('Data Bonds'!W42/la)-theta2*EXP(-'Data Bonds'!W42/la))</f>
        <v>5.0817793561872729E-2</v>
      </c>
      <c r="U43" s="45">
        <f>IF('Data Bonds'!X42=0,0,theta0+(theta1+theta2)*(1-EXP(-'Data Bonds'!X42/la))/('Data Bonds'!X42/la)-theta2*EXP(-'Data Bonds'!X42/la))</f>
        <v>5.0994403103277734E-2</v>
      </c>
      <c r="V43" s="45">
        <f>IF('Data Bonds'!Y42=0,0,theta0+(theta1+theta2)*(1-EXP(-'Data Bonds'!Y42/la))/('Data Bonds'!Y42/la)-theta2*EXP(-'Data Bonds'!Y42/la))</f>
        <v>5.1155288695615496E-2</v>
      </c>
      <c r="W43" s="45">
        <f>IF('Data Bonds'!Z42=0,0,theta0+(theta1+theta2)*(1-EXP(-'Data Bonds'!Z42/la))/('Data Bonds'!Z42/la)-theta2*EXP(-'Data Bonds'!Z42/la))</f>
        <v>5.1301428168232986E-2</v>
      </c>
      <c r="X43" s="45">
        <f>IF('Data Bonds'!AA42=0,0,theta0+(theta1+theta2)*(1-EXP(-'Data Bonds'!AA42/la))/('Data Bonds'!AA42/la)-theta2*EXP(-'Data Bonds'!AA42/la))</f>
        <v>5.1434026097624264E-2</v>
      </c>
      <c r="Y43" s="45">
        <f>IF('Data Bonds'!AB42=0,0,theta0+(theta1+theta2)*(1-EXP(-'Data Bonds'!AB42/la))/('Data Bonds'!AB42/la)-theta2*EXP(-'Data Bonds'!AB42/la))</f>
        <v>5.1554355703636381E-2</v>
      </c>
      <c r="Z43" s="45">
        <f>IF('Data Bonds'!AC42=0,0,theta0+(theta1+theta2)*(1-EXP(-'Data Bonds'!AC42/la))/('Data Bonds'!AC42/la)-theta2*EXP(-'Data Bonds'!AC42/la))</f>
        <v>5.1663666492393567E-2</v>
      </c>
      <c r="AA43" s="45">
        <f>IF('Data Bonds'!AD42=0,0,theta0+(theta1+theta2)*(1-EXP(-'Data Bonds'!AD42/la))/('Data Bonds'!AD42/la)-theta2*EXP(-'Data Bonds'!AD42/la))</f>
        <v>5.1763133724185395E-2</v>
      </c>
      <c r="AB43" s="45">
        <f>IF('Data Bonds'!AE42=0,0,theta0+(theta1+theta2)*(1-EXP(-'Data Bonds'!AE42/la))/('Data Bonds'!AE42/la)-theta2*EXP(-'Data Bonds'!AE42/la))</f>
        <v>5.1853834012200901E-2</v>
      </c>
      <c r="AC43" s="45">
        <f>IF('Data Bonds'!AF42=0,0,theta0+(theta1+theta2)*(1-EXP(-'Data Bonds'!AF42/la))/('Data Bonds'!AF42/la)-theta2*EXP(-'Data Bonds'!AF42/la))</f>
        <v>5.1936736836682804E-2</v>
      </c>
      <c r="AD43" s="45">
        <f>IF('Data Bonds'!AG42=0,0,theta0+(theta1+theta2)*(1-EXP(-'Data Bonds'!AG42/la))/('Data Bonds'!AG42/la)-theta2*EXP(-'Data Bonds'!AG42/la))</f>
        <v>5.2012705391962649E-2</v>
      </c>
      <c r="AE43" s="45">
        <f>IF('Data Bonds'!AH42=0,0,theta0+(theta1+theta2)*(1-EXP(-'Data Bonds'!AH42/la))/('Data Bonds'!AH42/la)-theta2*EXP(-'Data Bonds'!AH42/la))</f>
        <v>5.2082502580458233E-2</v>
      </c>
      <c r="AF43" s="45">
        <f>IF('Data Bonds'!AI42=0,0,theta0+(theta1+theta2)*(1-EXP(-'Data Bonds'!AI42/la))/('Data Bonds'!AI42/la)-theta2*EXP(-'Data Bonds'!AI42/la))</f>
        <v>5.2146799538785205E-2</v>
      </c>
      <c r="AG43" s="45">
        <f>IF('Data Bonds'!AJ42=0,0,theta0+(theta1+theta2)*(1-EXP(-'Data Bonds'!AJ42/la))/('Data Bonds'!AJ42/la)-theta2*EXP(-'Data Bonds'!AJ42/la))</f>
        <v>5.2206185102880893E-2</v>
      </c>
      <c r="AH43" s="45">
        <f>IF('Data Bonds'!AK42=0,0,theta0+(theta1+theta2)*(1-EXP(-'Data Bonds'!AK42/la))/('Data Bonds'!AK42/la)-theta2*EXP(-'Data Bonds'!AK42/la))</f>
        <v>0</v>
      </c>
      <c r="AI43" s="45">
        <f>IF('Data Bonds'!AL42=0,0,theta0+(theta1+theta2)*(1-EXP(-'Data Bonds'!AL42/la))/('Data Bonds'!AL42/la)-theta2*EXP(-'Data Bonds'!AL42/la))</f>
        <v>0</v>
      </c>
      <c r="AJ43" s="45">
        <f>IF('Data Bonds'!AM42=0,0,theta0+(theta1+theta2)*(1-EXP(-'Data Bonds'!AM42/la))/('Data Bonds'!AM42/la)-theta2*EXP(-'Data Bonds'!AM42/la))</f>
        <v>0</v>
      </c>
      <c r="AK43" s="45">
        <f>IF('Data Bonds'!AN42=0,0,theta0+(theta1+theta2)*(1-EXP(-'Data Bonds'!AN42/la))/('Data Bonds'!AN42/la)-theta2*EXP(-'Data Bonds'!AN42/la))</f>
        <v>0</v>
      </c>
      <c r="AL43" s="45">
        <f>IF('Data Bonds'!AO42=0,0,theta0+(theta1+theta2)*(1-EXP(-'Data Bonds'!AO42/la))/('Data Bonds'!AO42/la)-theta2*EXP(-'Data Bonds'!AO42/la))</f>
        <v>0</v>
      </c>
      <c r="AM43" s="45">
        <f>IF('Data Bonds'!AP42=0,0,theta0+(theta1+theta2)*(1-EXP(-'Data Bonds'!AP42/la))/('Data Bonds'!AP42/la)-theta2*EXP(-'Data Bonds'!AP42/la))</f>
        <v>0</v>
      </c>
      <c r="AN43" s="45">
        <f>IF('Data Bonds'!AQ42=0,0,theta0+(theta1+theta2)*(1-EXP(-'Data Bonds'!AQ42/la))/('Data Bonds'!AQ42/la)-theta2*EXP(-'Data Bonds'!AQ42/la))</f>
        <v>0</v>
      </c>
      <c r="AO43" s="45">
        <f>IF('Data Bonds'!AR42=0,0,theta0+(theta1+theta2)*(1-EXP(-'Data Bonds'!AR42/la))/('Data Bonds'!AR42/la)-theta2*EXP(-'Data Bonds'!AR42/la))</f>
        <v>0</v>
      </c>
      <c r="AP43" s="45">
        <f>IF('Data Bonds'!AS42=0,0,theta0+(theta1+theta2)*(1-EXP(-'Data Bonds'!AS42/la))/('Data Bonds'!AS42/la)-theta2*EXP(-'Data Bonds'!AS42/la))</f>
        <v>0</v>
      </c>
      <c r="AQ43" s="45">
        <f>IF('Data Bonds'!AT42=0,0,theta0+(theta1+theta2)*(1-EXP(-'Data Bonds'!AT42/la))/('Data Bonds'!AT42/la)-theta2*EXP(-'Data Bonds'!AT42/la))</f>
        <v>0</v>
      </c>
      <c r="AR43" s="45">
        <f>IF('Data Bonds'!AU42=0,0,theta0+(theta1+theta2)*(1-EXP(-'Data Bonds'!AU42/la))/('Data Bonds'!AU42/la)-theta2*EXP(-'Data Bonds'!AU42/la))</f>
        <v>0</v>
      </c>
      <c r="AS43" s="45">
        <f>IF('Data Bonds'!AV42=0,0,theta0+(theta1+theta2)*(1-EXP(-'Data Bonds'!AV42/la))/('Data Bonds'!AV42/la)-theta2*EXP(-'Data Bonds'!AV42/la))</f>
        <v>0</v>
      </c>
      <c r="AT43" s="45">
        <f>IF('Data Bonds'!AW42=0,0,theta0+(theta1+theta2)*(1-EXP(-'Data Bonds'!AW42/la))/('Data Bonds'!AW42/la)-theta2*EXP(-'Data Bonds'!AW42/la))</f>
        <v>0</v>
      </c>
      <c r="AU43" s="45">
        <f>IF('Data Bonds'!AX42=0,0,theta0+(theta1+theta2)*(1-EXP(-'Data Bonds'!AX42/la))/('Data Bonds'!AX42/la)-theta2*EXP(-'Data Bonds'!AX42/la))</f>
        <v>0</v>
      </c>
      <c r="AV43" s="45">
        <f>IF('Data Bonds'!AY42=0,0,theta0+(theta1+theta2)*(1-EXP(-'Data Bonds'!AY42/la))/('Data Bonds'!AY42/la)-theta2*EXP(-'Data Bonds'!AY42/la))</f>
        <v>0</v>
      </c>
      <c r="AW43" s="45">
        <f>IF('Data Bonds'!AZ42=0,0,theta0+(theta1+theta2)*(1-EXP(-'Data Bonds'!AZ42/la))/('Data Bonds'!AZ42/la)-theta2*EXP(-'Data Bonds'!AZ42/la))</f>
        <v>0</v>
      </c>
      <c r="AX43" s="45">
        <f>IF('Data Bonds'!BA42=0,0,theta0+(theta1+theta2)*(1-EXP(-'Data Bonds'!BA42/la))/('Data Bonds'!BA42/la)-theta2*EXP(-'Data Bonds'!BA42/la))</f>
        <v>0</v>
      </c>
      <c r="AY43" s="45">
        <f>IF('Data Bonds'!BB42=0,0,theta0+(theta1+theta2)*(1-EXP(-'Data Bonds'!BB42/la))/('Data Bonds'!BB42/la)-theta2*EXP(-'Data Bonds'!BB42/la))</f>
        <v>0</v>
      </c>
      <c r="AZ43" s="45">
        <f>IF('Data Bonds'!BC42=0,0,theta0+(theta1+theta2)*(1-EXP(-'Data Bonds'!BC42/la))/('Data Bonds'!BC42/la)-theta2*EXP(-'Data Bonds'!BC42/la))</f>
        <v>0</v>
      </c>
      <c r="BA43" s="45">
        <f>IF('Data Bonds'!BD42=0,0,theta0+(theta1+theta2)*(1-EXP(-'Data Bonds'!BD42/la))/('Data Bonds'!BD42/la)-theta2*EXP(-'Data Bonds'!BD42/la))</f>
        <v>0</v>
      </c>
      <c r="BB43" s="45">
        <f>IF('Data Bonds'!BE42=0,0,theta0+(theta1+theta2)*(1-EXP(-'Data Bonds'!BE42/la))/('Data Bonds'!BE42/la)-theta2*EXP(-'Data Bonds'!BE42/la))</f>
        <v>0</v>
      </c>
      <c r="BC43" s="45">
        <f>IF('Data Bonds'!BF42=0,0,theta0+(theta1+theta2)*(1-EXP(-'Data Bonds'!BF42/la))/('Data Bonds'!BF42/la)-theta2*EXP(-'Data Bonds'!BF42/la))</f>
        <v>0</v>
      </c>
      <c r="BD43" s="45">
        <f>IF('Data Bonds'!BG42=0,0,theta0+(theta1+theta2)*(1-EXP(-'Data Bonds'!BG42/la))/('Data Bonds'!BG42/la)-theta2*EXP(-'Data Bonds'!BG42/la))</f>
        <v>0</v>
      </c>
      <c r="BE43" s="45">
        <f>IF('Data Bonds'!BH42=0,0,theta0+(theta1+theta2)*(1-EXP(-'Data Bonds'!BH42/la))/('Data Bonds'!BH42/la)-theta2*EXP(-'Data Bonds'!BH42/la))</f>
        <v>0</v>
      </c>
      <c r="BF43" s="45">
        <f>IF('Data Bonds'!BI42=0,0,theta0+(theta1+theta2)*(1-EXP(-'Data Bonds'!BI42/la))/('Data Bonds'!BI42/la)-theta2*EXP(-'Data Bonds'!BI42/la))</f>
        <v>0</v>
      </c>
      <c r="BG43" s="45">
        <f>IF('Data Bonds'!BJ42=0,0,theta0+(theta1+theta2)*(1-EXP(-'Data Bonds'!BJ42/la))/('Data Bonds'!BJ42/la)-theta2*EXP(-'Data Bonds'!BJ42/la))</f>
        <v>0</v>
      </c>
      <c r="BH43" s="45">
        <f>IF('Data Bonds'!BK42=0,0,theta0+(theta1+theta2)*(1-EXP(-'Data Bonds'!BK42/la))/('Data Bonds'!BK42/la)-theta2*EXP(-'Data Bonds'!BK42/la))</f>
        <v>0</v>
      </c>
      <c r="BI43" s="45">
        <f>IF('Data Bonds'!BL42=0,0,theta0+(theta1+theta2)*(1-EXP(-'Data Bonds'!BL42/la))/('Data Bonds'!BL42/la)-theta2*EXP(-'Data Bonds'!BL42/la))</f>
        <v>0</v>
      </c>
      <c r="BJ43" s="45">
        <f>IF('Data Bonds'!BM42=0,0,theta0+(theta1+theta2)*(1-EXP(-'Data Bonds'!BM42/la))/('Data Bonds'!BM42/la)-theta2*EXP(-'Data Bonds'!BM42/la))</f>
        <v>0</v>
      </c>
      <c r="BK43" s="45">
        <f>IF('Data Bonds'!BN42=0,0,theta0+(theta1+theta2)*(1-EXP(-'Data Bonds'!BN42/la))/('Data Bonds'!BN42/la)-theta2*EXP(-'Data Bonds'!BN42/la))</f>
        <v>0</v>
      </c>
      <c r="BL43" s="45">
        <f>IF('Data Bonds'!BO42=0,0,theta0+(theta1+theta2)*(1-EXP(-'Data Bonds'!BO42/la))/('Data Bonds'!BO42/la)-theta2*EXP(-'Data Bonds'!BO42/la))</f>
        <v>0</v>
      </c>
      <c r="BM43" s="45">
        <f>IF('Data Bonds'!BP42=0,0,theta0+(theta1+theta2)*(1-EXP(-'Data Bonds'!BP42/la))/('Data Bonds'!BP42/la)-theta2*EXP(-'Data Bonds'!BP42/la))</f>
        <v>0</v>
      </c>
      <c r="BN43" s="45">
        <f>IF('Data Bonds'!BQ42=0,0,theta0+(theta1+theta2)*(1-EXP(-'Data Bonds'!BQ42/la))/('Data Bonds'!BQ42/la)-theta2*EXP(-'Data Bonds'!BQ42/la))</f>
        <v>0</v>
      </c>
      <c r="BO43" s="45">
        <f>IF('Data Bonds'!BR42=0,0,theta0+(theta1+theta2)*(1-EXP(-'Data Bonds'!BR42/la))/('Data Bonds'!BR42/la)-theta2*EXP(-'Data Bonds'!BR42/la))</f>
        <v>0</v>
      </c>
      <c r="BP43" s="38">
        <f>EXP(-'Data Bonds'!K42*H43)</f>
        <v>0.99030095386253514</v>
      </c>
      <c r="BQ43" s="38">
        <f>EXP(-'Data Bonds'!L42*I43)</f>
        <v>0.96596142383001249</v>
      </c>
      <c r="BR43" s="38">
        <f>EXP(-'Data Bonds'!M42*J43)</f>
        <v>0.94276024382077384</v>
      </c>
      <c r="BS43" s="38">
        <f>EXP(-'Data Bonds'!N42*K43)</f>
        <v>0.92013309652437447</v>
      </c>
      <c r="BT43" s="38">
        <f>EXP(-'Data Bonds'!O42*L43)</f>
        <v>0.8978301597681585</v>
      </c>
      <c r="BU43" s="38">
        <f>EXP(-'Data Bonds'!P42*M43)</f>
        <v>0.8757679623727499</v>
      </c>
      <c r="BV43" s="38">
        <f>EXP(-'Data Bonds'!Q42*N43)</f>
        <v>0.85394508705932803</v>
      </c>
      <c r="BW43" s="38">
        <f>EXP(-'Data Bonds'!R42*O43)</f>
        <v>0.83239541980118914</v>
      </c>
      <c r="BX43" s="38">
        <f>EXP(-'Data Bonds'!S42*P43)</f>
        <v>0.81116332561828708</v>
      </c>
      <c r="BY43" s="38">
        <f>EXP(-'Data Bonds'!T42*Q43)</f>
        <v>0.79029139660492453</v>
      </c>
      <c r="BZ43" s="38">
        <f>EXP(-'Data Bonds'!U42*R43)</f>
        <v>0.76981519641342533</v>
      </c>
      <c r="CA43" s="38">
        <f>EXP(-'Data Bonds'!V42*S43)</f>
        <v>0.74976172414671449</v>
      </c>
      <c r="CB43" s="38">
        <f>EXP(-'Data Bonds'!W42*T43)</f>
        <v>0.73014971419213559</v>
      </c>
      <c r="CC43" s="38">
        <f>EXP(-'Data Bonds'!X42*U43)</f>
        <v>0.71099072354814263</v>
      </c>
      <c r="CD43" s="38">
        <f>EXP(-'Data Bonds'!Y42*V43)</f>
        <v>0.69229044963946051</v>
      </c>
      <c r="CE43" s="38">
        <f>EXP(-'Data Bonds'!Z42*W43)</f>
        <v>0.67405000392176173</v>
      </c>
      <c r="CF43" s="38">
        <f>EXP(-'Data Bonds'!AA42*X43)</f>
        <v>0.65626702351290833</v>
      </c>
      <c r="CG43" s="38">
        <f>EXP(-'Data Bonds'!AB42*Y43)</f>
        <v>0.63893658633137096</v>
      </c>
      <c r="CH43" s="38">
        <f>EXP(-'Data Bonds'!AC42*Z43)</f>
        <v>0.62205193621476651</v>
      </c>
      <c r="CI43" s="38">
        <f>EXP(-'Data Bonds'!AD42*AA43)</f>
        <v>0.60560504204345178</v>
      </c>
      <c r="CJ43" s="38">
        <f>EXP(-'Data Bonds'!AE42*AB43)</f>
        <v>0.58958702003626717</v>
      </c>
      <c r="CK43" s="38">
        <f>EXP(-'Data Bonds'!AF42*AC43)</f>
        <v>0.57398844742708199</v>
      </c>
      <c r="CL43" s="38">
        <f>EXP(-'Data Bonds'!AG42*AD43)</f>
        <v>0.55879959216452202</v>
      </c>
      <c r="CM43" s="38">
        <f>EXP(-'Data Bonds'!AH42*AE43)</f>
        <v>0.54401057894878535</v>
      </c>
      <c r="CN43" s="38">
        <f>EXP(-'Data Bonds'!AI42*AF43)</f>
        <v>0.52961150773453602</v>
      </c>
      <c r="CO43" s="38">
        <f>EXP(-'Data Bonds'!AJ42*AG43)</f>
        <v>0.51559253717395914</v>
      </c>
      <c r="CP43" s="38">
        <f>EXP(-'Data Bonds'!AK42*AH43)</f>
        <v>1</v>
      </c>
      <c r="CQ43" s="38">
        <f>EXP(-'Data Bonds'!AL42*AI43)</f>
        <v>1</v>
      </c>
      <c r="CR43" s="38">
        <f>EXP(-'Data Bonds'!AM42*AJ43)</f>
        <v>1</v>
      </c>
      <c r="CS43" s="38">
        <f>EXP(-'Data Bonds'!AN42*AK43)</f>
        <v>1</v>
      </c>
      <c r="CT43" s="38">
        <f>EXP(-'Data Bonds'!AO42*AL43)</f>
        <v>1</v>
      </c>
      <c r="CU43" s="38">
        <f>EXP(-'Data Bonds'!AP42*AM43)</f>
        <v>1</v>
      </c>
      <c r="CV43" s="38">
        <f>EXP(-'Data Bonds'!AQ42*AN43)</f>
        <v>1</v>
      </c>
      <c r="CW43" s="38">
        <f>EXP(-'Data Bonds'!AR42*AO43)</f>
        <v>1</v>
      </c>
      <c r="CX43" s="38">
        <f>EXP(-'Data Bonds'!AS42*AP43)</f>
        <v>1</v>
      </c>
      <c r="CY43" s="38">
        <f>EXP(-'Data Bonds'!AT42*AQ43)</f>
        <v>1</v>
      </c>
      <c r="CZ43" s="38">
        <f>EXP(-'Data Bonds'!AU42*AR43)</f>
        <v>1</v>
      </c>
      <c r="DA43" s="38">
        <f>EXP(-'Data Bonds'!AV42*AS43)</f>
        <v>1</v>
      </c>
      <c r="DB43" s="38">
        <f>EXP(-'Data Bonds'!AW42*AT43)</f>
        <v>1</v>
      </c>
      <c r="DC43" s="38">
        <f>EXP(-'Data Bonds'!AX42*AU43)</f>
        <v>1</v>
      </c>
      <c r="DD43" s="38">
        <f>EXP(-'Data Bonds'!AY42*AV43)</f>
        <v>1</v>
      </c>
      <c r="DE43" s="38">
        <f>EXP(-'Data Bonds'!AZ42*AW43)</f>
        <v>1</v>
      </c>
      <c r="DF43" s="38">
        <f>EXP(-'Data Bonds'!BA42*AX43)</f>
        <v>1</v>
      </c>
      <c r="DG43" s="38">
        <f>EXP(-'Data Bonds'!BB42*AY43)</f>
        <v>1</v>
      </c>
      <c r="DH43" s="38">
        <f>EXP(-'Data Bonds'!BC42*AZ43)</f>
        <v>1</v>
      </c>
      <c r="DI43" s="38">
        <f>EXP(-'Data Bonds'!BD42*BA43)</f>
        <v>1</v>
      </c>
      <c r="DJ43" s="38">
        <f>EXP(-'Data Bonds'!BE42*BB43)</f>
        <v>1</v>
      </c>
      <c r="DK43" s="38">
        <f>EXP(-'Data Bonds'!BF42*BC43)</f>
        <v>1</v>
      </c>
      <c r="DL43" s="38">
        <f>EXP(-'Data Bonds'!BG42*BD43)</f>
        <v>1</v>
      </c>
      <c r="DM43" s="38">
        <f>EXP(-'Data Bonds'!BH42*BE43)</f>
        <v>1</v>
      </c>
      <c r="DN43" s="38">
        <f>EXP(-'Data Bonds'!BI42*BF43)</f>
        <v>1</v>
      </c>
      <c r="DO43" s="38">
        <f>EXP(-'Data Bonds'!BJ42*BG43)</f>
        <v>1</v>
      </c>
      <c r="DP43" s="38">
        <f>EXP(-'Data Bonds'!BK42*BH43)</f>
        <v>1</v>
      </c>
      <c r="DQ43" s="38">
        <f>EXP(-'Data Bonds'!BL42*BI43)</f>
        <v>1</v>
      </c>
      <c r="DR43" s="38">
        <f>EXP(-'Data Bonds'!BM42*BJ43)</f>
        <v>1</v>
      </c>
      <c r="DS43" s="38">
        <f>EXP(-'Data Bonds'!BN42*BK43)</f>
        <v>1</v>
      </c>
      <c r="DT43" s="38">
        <f>EXP(-'Data Bonds'!BO42*BL43)</f>
        <v>1</v>
      </c>
      <c r="DU43" s="38">
        <f>EXP(-'Data Bonds'!BP42*BM43)</f>
        <v>1</v>
      </c>
      <c r="DV43" s="38">
        <f>EXP(-'Data Bonds'!BQ42*BN43)</f>
        <v>1</v>
      </c>
      <c r="DW43" s="38">
        <f>EXP(-'Data Bonds'!BR42*BO43)</f>
        <v>1</v>
      </c>
      <c r="DX43" s="28">
        <f>SUMPRODUCT(BP43:DW43,'Data Bonds'!BU42:EB42)</f>
        <v>132.4879966164203</v>
      </c>
      <c r="DY43" s="28">
        <f t="shared" si="5"/>
        <v>6.2401125123856288E-2</v>
      </c>
      <c r="EA43" s="33">
        <f t="shared" si="6"/>
        <v>16</v>
      </c>
      <c r="EB43" s="29">
        <f t="shared" si="2"/>
        <v>5.2507134139811604E-2</v>
      </c>
      <c r="EC43" s="29">
        <f t="shared" si="3"/>
        <v>0.43166124810971279</v>
      </c>
      <c r="ED43" s="29">
        <f t="shared" si="7"/>
        <v>5.3662689618387632E-2</v>
      </c>
      <c r="EE43" s="32"/>
      <c r="EF43" s="32"/>
      <c r="EG43" s="32"/>
      <c r="EI43" s="34"/>
    </row>
    <row r="44" spans="2:139">
      <c r="B44" s="27">
        <f>'Data Bonds'!E43</f>
        <v>8.75</v>
      </c>
      <c r="C44" s="27">
        <f>'Data Bonds'!F43</f>
        <v>132.546875</v>
      </c>
      <c r="D44" s="27">
        <f>'Data Bonds'!G43</f>
        <v>132.609375</v>
      </c>
      <c r="E44" s="27">
        <f>'Data Bonds'!I43</f>
        <v>2.7222222222222223</v>
      </c>
      <c r="F44" s="40">
        <f>'Data Bonds'!H43</f>
        <v>13.188888888888888</v>
      </c>
      <c r="G44" s="28">
        <f t="shared" si="4"/>
        <v>135.30034722222223</v>
      </c>
      <c r="H44" s="45">
        <f>IF('Data Bonds'!K43=0,0,theta0+(theta1+theta2)*(1-EXP(-'Data Bonds'!K43/la))/('Data Bonds'!K43/la)-theta2*EXP(-'Data Bonds'!K43/la))</f>
        <v>5.1598526027898411E-2</v>
      </c>
      <c r="I44" s="45">
        <f>IF('Data Bonds'!L43=0,0,theta0+(theta1+theta2)*(1-EXP(-'Data Bonds'!L43/la))/('Data Bonds'!L43/la)-theta2*EXP(-'Data Bonds'!L43/la))</f>
        <v>5.0271357324748023E-2</v>
      </c>
      <c r="J44" s="45">
        <f>IF('Data Bonds'!M43=0,0,theta0+(theta1+theta2)*(1-EXP(-'Data Bonds'!M43/la))/('Data Bonds'!M43/la)-theta2*EXP(-'Data Bonds'!M43/la))</f>
        <v>4.9578457297749672E-2</v>
      </c>
      <c r="K44" s="45">
        <f>IF('Data Bonds'!N43=0,0,theta0+(theta1+theta2)*(1-EXP(-'Data Bonds'!N43/la))/('Data Bonds'!N43/la)-theta2*EXP(-'Data Bonds'!N43/la))</f>
        <v>4.9285035750538553E-2</v>
      </c>
      <c r="L44" s="45">
        <f>IF('Data Bonds'!O43=0,0,theta0+(theta1+theta2)*(1-EXP(-'Data Bonds'!O43/la))/('Data Bonds'!O43/la)-theta2*EXP(-'Data Bonds'!O43/la))</f>
        <v>4.9237017363447266E-2</v>
      </c>
      <c r="M44" s="45">
        <f>IF('Data Bonds'!P43=0,0,theta0+(theta1+theta2)*(1-EXP(-'Data Bonds'!P43/la))/('Data Bonds'!P43/la)-theta2*EXP(-'Data Bonds'!P43/la))</f>
        <v>4.9334171753160738E-2</v>
      </c>
      <c r="N44" s="45">
        <f>IF('Data Bonds'!Q43=0,0,theta0+(theta1+theta2)*(1-EXP(-'Data Bonds'!Q43/la))/('Data Bonds'!Q43/la)-theta2*EXP(-'Data Bonds'!Q43/la))</f>
        <v>4.9512038088999483E-2</v>
      </c>
      <c r="O44" s="45">
        <f>IF('Data Bonds'!R43=0,0,theta0+(theta1+theta2)*(1-EXP(-'Data Bonds'!R43/la))/('Data Bonds'!R43/la)-theta2*EXP(-'Data Bonds'!R43/la))</f>
        <v>4.9729794635889335E-2</v>
      </c>
      <c r="P44" s="45">
        <f>IF('Data Bonds'!S43=0,0,theta0+(theta1+theta2)*(1-EXP(-'Data Bonds'!S43/la))/('Data Bonds'!S43/la)-theta2*EXP(-'Data Bonds'!S43/la))</f>
        <v>4.9962140977046696E-2</v>
      </c>
      <c r="Q44" s="45">
        <f>IF('Data Bonds'!T43=0,0,theta0+(theta1+theta2)*(1-EXP(-'Data Bonds'!T43/la))/('Data Bonds'!T43/la)-theta2*EXP(-'Data Bonds'!T43/la))</f>
        <v>5.0193884019659962E-2</v>
      </c>
      <c r="R44" s="45">
        <f>IF('Data Bonds'!U43=0,0,theta0+(theta1+theta2)*(1-EXP(-'Data Bonds'!U43/la))/('Data Bonds'!U43/la)-theta2*EXP(-'Data Bonds'!U43/la))</f>
        <v>5.0416342149512058E-2</v>
      </c>
      <c r="S44" s="45">
        <f>IF('Data Bonds'!V43=0,0,theta0+(theta1+theta2)*(1-EXP(-'Data Bonds'!V43/la))/('Data Bonds'!V43/la)-theta2*EXP(-'Data Bonds'!V43/la))</f>
        <v>5.0624969074311257E-2</v>
      </c>
      <c r="T44" s="45">
        <f>IF('Data Bonds'!W43=0,0,theta0+(theta1+theta2)*(1-EXP(-'Data Bonds'!W43/la))/('Data Bonds'!W43/la)-theta2*EXP(-'Data Bonds'!W43/la))</f>
        <v>5.0817793561872729E-2</v>
      </c>
      <c r="U44" s="45">
        <f>IF('Data Bonds'!X43=0,0,theta0+(theta1+theta2)*(1-EXP(-'Data Bonds'!X43/la))/('Data Bonds'!X43/la)-theta2*EXP(-'Data Bonds'!X43/la))</f>
        <v>5.0994403103277734E-2</v>
      </c>
      <c r="V44" s="45">
        <f>IF('Data Bonds'!Y43=0,0,theta0+(theta1+theta2)*(1-EXP(-'Data Bonds'!Y43/la))/('Data Bonds'!Y43/la)-theta2*EXP(-'Data Bonds'!Y43/la))</f>
        <v>5.1155288695615496E-2</v>
      </c>
      <c r="W44" s="45">
        <f>IF('Data Bonds'!Z43=0,0,theta0+(theta1+theta2)*(1-EXP(-'Data Bonds'!Z43/la))/('Data Bonds'!Z43/la)-theta2*EXP(-'Data Bonds'!Z43/la))</f>
        <v>5.1301428168232986E-2</v>
      </c>
      <c r="X44" s="45">
        <f>IF('Data Bonds'!AA43=0,0,theta0+(theta1+theta2)*(1-EXP(-'Data Bonds'!AA43/la))/('Data Bonds'!AA43/la)-theta2*EXP(-'Data Bonds'!AA43/la))</f>
        <v>5.1434026097624264E-2</v>
      </c>
      <c r="Y44" s="45">
        <f>IF('Data Bonds'!AB43=0,0,theta0+(theta1+theta2)*(1-EXP(-'Data Bonds'!AB43/la))/('Data Bonds'!AB43/la)-theta2*EXP(-'Data Bonds'!AB43/la))</f>
        <v>5.1554355703636381E-2</v>
      </c>
      <c r="Z44" s="45">
        <f>IF('Data Bonds'!AC43=0,0,theta0+(theta1+theta2)*(1-EXP(-'Data Bonds'!AC43/la))/('Data Bonds'!AC43/la)-theta2*EXP(-'Data Bonds'!AC43/la))</f>
        <v>5.1663666492393567E-2</v>
      </c>
      <c r="AA44" s="45">
        <f>IF('Data Bonds'!AD43=0,0,theta0+(theta1+theta2)*(1-EXP(-'Data Bonds'!AD43/la))/('Data Bonds'!AD43/la)-theta2*EXP(-'Data Bonds'!AD43/la))</f>
        <v>5.1763133724185395E-2</v>
      </c>
      <c r="AB44" s="45">
        <f>IF('Data Bonds'!AE43=0,0,theta0+(theta1+theta2)*(1-EXP(-'Data Bonds'!AE43/la))/('Data Bonds'!AE43/la)-theta2*EXP(-'Data Bonds'!AE43/la))</f>
        <v>5.1853834012200901E-2</v>
      </c>
      <c r="AC44" s="45">
        <f>IF('Data Bonds'!AF43=0,0,theta0+(theta1+theta2)*(1-EXP(-'Data Bonds'!AF43/la))/('Data Bonds'!AF43/la)-theta2*EXP(-'Data Bonds'!AF43/la))</f>
        <v>5.1936736836682804E-2</v>
      </c>
      <c r="AD44" s="45">
        <f>IF('Data Bonds'!AG43=0,0,theta0+(theta1+theta2)*(1-EXP(-'Data Bonds'!AG43/la))/('Data Bonds'!AG43/la)-theta2*EXP(-'Data Bonds'!AG43/la))</f>
        <v>5.2012705391962649E-2</v>
      </c>
      <c r="AE44" s="45">
        <f>IF('Data Bonds'!AH43=0,0,theta0+(theta1+theta2)*(1-EXP(-'Data Bonds'!AH43/la))/('Data Bonds'!AH43/la)-theta2*EXP(-'Data Bonds'!AH43/la))</f>
        <v>5.2082502580458233E-2</v>
      </c>
      <c r="AF44" s="45">
        <f>IF('Data Bonds'!AI43=0,0,theta0+(theta1+theta2)*(1-EXP(-'Data Bonds'!AI43/la))/('Data Bonds'!AI43/la)-theta2*EXP(-'Data Bonds'!AI43/la))</f>
        <v>5.2146799538785205E-2</v>
      </c>
      <c r="AG44" s="45">
        <f>IF('Data Bonds'!AJ43=0,0,theta0+(theta1+theta2)*(1-EXP(-'Data Bonds'!AJ43/la))/('Data Bonds'!AJ43/la)-theta2*EXP(-'Data Bonds'!AJ43/la))</f>
        <v>5.2206185102880893E-2</v>
      </c>
      <c r="AH44" s="45">
        <f>IF('Data Bonds'!AK43=0,0,theta0+(theta1+theta2)*(1-EXP(-'Data Bonds'!AK43/la))/('Data Bonds'!AK43/la)-theta2*EXP(-'Data Bonds'!AK43/la))</f>
        <v>5.2261175276823613E-2</v>
      </c>
      <c r="AI44" s="45">
        <f>IF('Data Bonds'!AL43=0,0,theta0+(theta1+theta2)*(1-EXP(-'Data Bonds'!AL43/la))/('Data Bonds'!AL43/la)-theta2*EXP(-'Data Bonds'!AL43/la))</f>
        <v>0</v>
      </c>
      <c r="AJ44" s="45">
        <f>IF('Data Bonds'!AM43=0,0,theta0+(theta1+theta2)*(1-EXP(-'Data Bonds'!AM43/la))/('Data Bonds'!AM43/la)-theta2*EXP(-'Data Bonds'!AM43/la))</f>
        <v>0</v>
      </c>
      <c r="AK44" s="45">
        <f>IF('Data Bonds'!AN43=0,0,theta0+(theta1+theta2)*(1-EXP(-'Data Bonds'!AN43/la))/('Data Bonds'!AN43/la)-theta2*EXP(-'Data Bonds'!AN43/la))</f>
        <v>0</v>
      </c>
      <c r="AL44" s="45">
        <f>IF('Data Bonds'!AO43=0,0,theta0+(theta1+theta2)*(1-EXP(-'Data Bonds'!AO43/la))/('Data Bonds'!AO43/la)-theta2*EXP(-'Data Bonds'!AO43/la))</f>
        <v>0</v>
      </c>
      <c r="AM44" s="45">
        <f>IF('Data Bonds'!AP43=0,0,theta0+(theta1+theta2)*(1-EXP(-'Data Bonds'!AP43/la))/('Data Bonds'!AP43/la)-theta2*EXP(-'Data Bonds'!AP43/la))</f>
        <v>0</v>
      </c>
      <c r="AN44" s="45">
        <f>IF('Data Bonds'!AQ43=0,0,theta0+(theta1+theta2)*(1-EXP(-'Data Bonds'!AQ43/la))/('Data Bonds'!AQ43/la)-theta2*EXP(-'Data Bonds'!AQ43/la))</f>
        <v>0</v>
      </c>
      <c r="AO44" s="45">
        <f>IF('Data Bonds'!AR43=0,0,theta0+(theta1+theta2)*(1-EXP(-'Data Bonds'!AR43/la))/('Data Bonds'!AR43/la)-theta2*EXP(-'Data Bonds'!AR43/la))</f>
        <v>0</v>
      </c>
      <c r="AP44" s="45">
        <f>IF('Data Bonds'!AS43=0,0,theta0+(theta1+theta2)*(1-EXP(-'Data Bonds'!AS43/la))/('Data Bonds'!AS43/la)-theta2*EXP(-'Data Bonds'!AS43/la))</f>
        <v>0</v>
      </c>
      <c r="AQ44" s="45">
        <f>IF('Data Bonds'!AT43=0,0,theta0+(theta1+theta2)*(1-EXP(-'Data Bonds'!AT43/la))/('Data Bonds'!AT43/la)-theta2*EXP(-'Data Bonds'!AT43/la))</f>
        <v>0</v>
      </c>
      <c r="AR44" s="45">
        <f>IF('Data Bonds'!AU43=0,0,theta0+(theta1+theta2)*(1-EXP(-'Data Bonds'!AU43/la))/('Data Bonds'!AU43/la)-theta2*EXP(-'Data Bonds'!AU43/la))</f>
        <v>0</v>
      </c>
      <c r="AS44" s="45">
        <f>IF('Data Bonds'!AV43=0,0,theta0+(theta1+theta2)*(1-EXP(-'Data Bonds'!AV43/la))/('Data Bonds'!AV43/la)-theta2*EXP(-'Data Bonds'!AV43/la))</f>
        <v>0</v>
      </c>
      <c r="AT44" s="45">
        <f>IF('Data Bonds'!AW43=0,0,theta0+(theta1+theta2)*(1-EXP(-'Data Bonds'!AW43/la))/('Data Bonds'!AW43/la)-theta2*EXP(-'Data Bonds'!AW43/la))</f>
        <v>0</v>
      </c>
      <c r="AU44" s="45">
        <f>IF('Data Bonds'!AX43=0,0,theta0+(theta1+theta2)*(1-EXP(-'Data Bonds'!AX43/la))/('Data Bonds'!AX43/la)-theta2*EXP(-'Data Bonds'!AX43/la))</f>
        <v>0</v>
      </c>
      <c r="AV44" s="45">
        <f>IF('Data Bonds'!AY43=0,0,theta0+(theta1+theta2)*(1-EXP(-'Data Bonds'!AY43/la))/('Data Bonds'!AY43/la)-theta2*EXP(-'Data Bonds'!AY43/la))</f>
        <v>0</v>
      </c>
      <c r="AW44" s="45">
        <f>IF('Data Bonds'!AZ43=0,0,theta0+(theta1+theta2)*(1-EXP(-'Data Bonds'!AZ43/la))/('Data Bonds'!AZ43/la)-theta2*EXP(-'Data Bonds'!AZ43/la))</f>
        <v>0</v>
      </c>
      <c r="AX44" s="45">
        <f>IF('Data Bonds'!BA43=0,0,theta0+(theta1+theta2)*(1-EXP(-'Data Bonds'!BA43/la))/('Data Bonds'!BA43/la)-theta2*EXP(-'Data Bonds'!BA43/la))</f>
        <v>0</v>
      </c>
      <c r="AY44" s="45">
        <f>IF('Data Bonds'!BB43=0,0,theta0+(theta1+theta2)*(1-EXP(-'Data Bonds'!BB43/la))/('Data Bonds'!BB43/la)-theta2*EXP(-'Data Bonds'!BB43/la))</f>
        <v>0</v>
      </c>
      <c r="AZ44" s="45">
        <f>IF('Data Bonds'!BC43=0,0,theta0+(theta1+theta2)*(1-EXP(-'Data Bonds'!BC43/la))/('Data Bonds'!BC43/la)-theta2*EXP(-'Data Bonds'!BC43/la))</f>
        <v>0</v>
      </c>
      <c r="BA44" s="45">
        <f>IF('Data Bonds'!BD43=0,0,theta0+(theta1+theta2)*(1-EXP(-'Data Bonds'!BD43/la))/('Data Bonds'!BD43/la)-theta2*EXP(-'Data Bonds'!BD43/la))</f>
        <v>0</v>
      </c>
      <c r="BB44" s="45">
        <f>IF('Data Bonds'!BE43=0,0,theta0+(theta1+theta2)*(1-EXP(-'Data Bonds'!BE43/la))/('Data Bonds'!BE43/la)-theta2*EXP(-'Data Bonds'!BE43/la))</f>
        <v>0</v>
      </c>
      <c r="BC44" s="45">
        <f>IF('Data Bonds'!BF43=0,0,theta0+(theta1+theta2)*(1-EXP(-'Data Bonds'!BF43/la))/('Data Bonds'!BF43/la)-theta2*EXP(-'Data Bonds'!BF43/la))</f>
        <v>0</v>
      </c>
      <c r="BD44" s="45">
        <f>IF('Data Bonds'!BG43=0,0,theta0+(theta1+theta2)*(1-EXP(-'Data Bonds'!BG43/la))/('Data Bonds'!BG43/la)-theta2*EXP(-'Data Bonds'!BG43/la))</f>
        <v>0</v>
      </c>
      <c r="BE44" s="45">
        <f>IF('Data Bonds'!BH43=0,0,theta0+(theta1+theta2)*(1-EXP(-'Data Bonds'!BH43/la))/('Data Bonds'!BH43/la)-theta2*EXP(-'Data Bonds'!BH43/la))</f>
        <v>0</v>
      </c>
      <c r="BF44" s="45">
        <f>IF('Data Bonds'!BI43=0,0,theta0+(theta1+theta2)*(1-EXP(-'Data Bonds'!BI43/la))/('Data Bonds'!BI43/la)-theta2*EXP(-'Data Bonds'!BI43/la))</f>
        <v>0</v>
      </c>
      <c r="BG44" s="45">
        <f>IF('Data Bonds'!BJ43=0,0,theta0+(theta1+theta2)*(1-EXP(-'Data Bonds'!BJ43/la))/('Data Bonds'!BJ43/la)-theta2*EXP(-'Data Bonds'!BJ43/la))</f>
        <v>0</v>
      </c>
      <c r="BH44" s="45">
        <f>IF('Data Bonds'!BK43=0,0,theta0+(theta1+theta2)*(1-EXP(-'Data Bonds'!BK43/la))/('Data Bonds'!BK43/la)-theta2*EXP(-'Data Bonds'!BK43/la))</f>
        <v>0</v>
      </c>
      <c r="BI44" s="45">
        <f>IF('Data Bonds'!BL43=0,0,theta0+(theta1+theta2)*(1-EXP(-'Data Bonds'!BL43/la))/('Data Bonds'!BL43/la)-theta2*EXP(-'Data Bonds'!BL43/la))</f>
        <v>0</v>
      </c>
      <c r="BJ44" s="45">
        <f>IF('Data Bonds'!BM43=0,0,theta0+(theta1+theta2)*(1-EXP(-'Data Bonds'!BM43/la))/('Data Bonds'!BM43/la)-theta2*EXP(-'Data Bonds'!BM43/la))</f>
        <v>0</v>
      </c>
      <c r="BK44" s="45">
        <f>IF('Data Bonds'!BN43=0,0,theta0+(theta1+theta2)*(1-EXP(-'Data Bonds'!BN43/la))/('Data Bonds'!BN43/la)-theta2*EXP(-'Data Bonds'!BN43/la))</f>
        <v>0</v>
      </c>
      <c r="BL44" s="45">
        <f>IF('Data Bonds'!BO43=0,0,theta0+(theta1+theta2)*(1-EXP(-'Data Bonds'!BO43/la))/('Data Bonds'!BO43/la)-theta2*EXP(-'Data Bonds'!BO43/la))</f>
        <v>0</v>
      </c>
      <c r="BM44" s="45">
        <f>IF('Data Bonds'!BP43=0,0,theta0+(theta1+theta2)*(1-EXP(-'Data Bonds'!BP43/la))/('Data Bonds'!BP43/la)-theta2*EXP(-'Data Bonds'!BP43/la))</f>
        <v>0</v>
      </c>
      <c r="BN44" s="45">
        <f>IF('Data Bonds'!BQ43=0,0,theta0+(theta1+theta2)*(1-EXP(-'Data Bonds'!BQ43/la))/('Data Bonds'!BQ43/la)-theta2*EXP(-'Data Bonds'!BQ43/la))</f>
        <v>0</v>
      </c>
      <c r="BO44" s="45">
        <f>IF('Data Bonds'!BR43=0,0,theta0+(theta1+theta2)*(1-EXP(-'Data Bonds'!BR43/la))/('Data Bonds'!BR43/la)-theta2*EXP(-'Data Bonds'!BR43/la))</f>
        <v>0</v>
      </c>
      <c r="BP44" s="38">
        <f>EXP(-'Data Bonds'!K43*H44)</f>
        <v>0.99030095386253514</v>
      </c>
      <c r="BQ44" s="38">
        <f>EXP(-'Data Bonds'!L43*I44)</f>
        <v>0.96596142383001249</v>
      </c>
      <c r="BR44" s="38">
        <f>EXP(-'Data Bonds'!M43*J44)</f>
        <v>0.94276024382077384</v>
      </c>
      <c r="BS44" s="38">
        <f>EXP(-'Data Bonds'!N43*K44)</f>
        <v>0.92013309652437447</v>
      </c>
      <c r="BT44" s="38">
        <f>EXP(-'Data Bonds'!O43*L44)</f>
        <v>0.8978301597681585</v>
      </c>
      <c r="BU44" s="38">
        <f>EXP(-'Data Bonds'!P43*M44)</f>
        <v>0.8757679623727499</v>
      </c>
      <c r="BV44" s="38">
        <f>EXP(-'Data Bonds'!Q43*N44)</f>
        <v>0.85394508705932803</v>
      </c>
      <c r="BW44" s="38">
        <f>EXP(-'Data Bonds'!R43*O44)</f>
        <v>0.83239541980118914</v>
      </c>
      <c r="BX44" s="38">
        <f>EXP(-'Data Bonds'!S43*P44)</f>
        <v>0.81116332561828708</v>
      </c>
      <c r="BY44" s="38">
        <f>EXP(-'Data Bonds'!T43*Q44)</f>
        <v>0.79029139660492453</v>
      </c>
      <c r="BZ44" s="38">
        <f>EXP(-'Data Bonds'!U43*R44)</f>
        <v>0.76981519641342533</v>
      </c>
      <c r="CA44" s="38">
        <f>EXP(-'Data Bonds'!V43*S44)</f>
        <v>0.74976172414671449</v>
      </c>
      <c r="CB44" s="38">
        <f>EXP(-'Data Bonds'!W43*T44)</f>
        <v>0.73014971419213559</v>
      </c>
      <c r="CC44" s="38">
        <f>EXP(-'Data Bonds'!X43*U44)</f>
        <v>0.71099072354814263</v>
      </c>
      <c r="CD44" s="38">
        <f>EXP(-'Data Bonds'!Y43*V44)</f>
        <v>0.69229044963946051</v>
      </c>
      <c r="CE44" s="38">
        <f>EXP(-'Data Bonds'!Z43*W44)</f>
        <v>0.67405000392176173</v>
      </c>
      <c r="CF44" s="38">
        <f>EXP(-'Data Bonds'!AA43*X44)</f>
        <v>0.65626702351290833</v>
      </c>
      <c r="CG44" s="38">
        <f>EXP(-'Data Bonds'!AB43*Y44)</f>
        <v>0.63893658633137096</v>
      </c>
      <c r="CH44" s="38">
        <f>EXP(-'Data Bonds'!AC43*Z44)</f>
        <v>0.62205193621476651</v>
      </c>
      <c r="CI44" s="38">
        <f>EXP(-'Data Bonds'!AD43*AA44)</f>
        <v>0.60560504204345178</v>
      </c>
      <c r="CJ44" s="38">
        <f>EXP(-'Data Bonds'!AE43*AB44)</f>
        <v>0.58958702003626717</v>
      </c>
      <c r="CK44" s="38">
        <f>EXP(-'Data Bonds'!AF43*AC44)</f>
        <v>0.57398844742708199</v>
      </c>
      <c r="CL44" s="38">
        <f>EXP(-'Data Bonds'!AG43*AD44)</f>
        <v>0.55879959216452202</v>
      </c>
      <c r="CM44" s="38">
        <f>EXP(-'Data Bonds'!AH43*AE44)</f>
        <v>0.54401057894878535</v>
      </c>
      <c r="CN44" s="38">
        <f>EXP(-'Data Bonds'!AI43*AF44)</f>
        <v>0.52961150773453602</v>
      </c>
      <c r="CO44" s="38">
        <f>EXP(-'Data Bonds'!AJ43*AG44)</f>
        <v>0.51559253717395914</v>
      </c>
      <c r="CP44" s="38">
        <f>EXP(-'Data Bonds'!AK43*AH44)</f>
        <v>0.50194394246170126</v>
      </c>
      <c r="CQ44" s="38">
        <f>EXP(-'Data Bonds'!AL43*AI44)</f>
        <v>1</v>
      </c>
      <c r="CR44" s="38">
        <f>EXP(-'Data Bonds'!AM43*AJ44)</f>
        <v>1</v>
      </c>
      <c r="CS44" s="38">
        <f>EXP(-'Data Bonds'!AN43*AK44)</f>
        <v>1</v>
      </c>
      <c r="CT44" s="38">
        <f>EXP(-'Data Bonds'!AO43*AL44)</f>
        <v>1</v>
      </c>
      <c r="CU44" s="38">
        <f>EXP(-'Data Bonds'!AP43*AM44)</f>
        <v>1</v>
      </c>
      <c r="CV44" s="38">
        <f>EXP(-'Data Bonds'!AQ43*AN44)</f>
        <v>1</v>
      </c>
      <c r="CW44" s="38">
        <f>EXP(-'Data Bonds'!AR43*AO44)</f>
        <v>1</v>
      </c>
      <c r="CX44" s="38">
        <f>EXP(-'Data Bonds'!AS43*AP44)</f>
        <v>1</v>
      </c>
      <c r="CY44" s="38">
        <f>EXP(-'Data Bonds'!AT43*AQ44)</f>
        <v>1</v>
      </c>
      <c r="CZ44" s="38">
        <f>EXP(-'Data Bonds'!AU43*AR44)</f>
        <v>1</v>
      </c>
      <c r="DA44" s="38">
        <f>EXP(-'Data Bonds'!AV43*AS44)</f>
        <v>1</v>
      </c>
      <c r="DB44" s="38">
        <f>EXP(-'Data Bonds'!AW43*AT44)</f>
        <v>1</v>
      </c>
      <c r="DC44" s="38">
        <f>EXP(-'Data Bonds'!AX43*AU44)</f>
        <v>1</v>
      </c>
      <c r="DD44" s="38">
        <f>EXP(-'Data Bonds'!AY43*AV44)</f>
        <v>1</v>
      </c>
      <c r="DE44" s="38">
        <f>EXP(-'Data Bonds'!AZ43*AW44)</f>
        <v>1</v>
      </c>
      <c r="DF44" s="38">
        <f>EXP(-'Data Bonds'!BA43*AX44)</f>
        <v>1</v>
      </c>
      <c r="DG44" s="38">
        <f>EXP(-'Data Bonds'!BB43*AY44)</f>
        <v>1</v>
      </c>
      <c r="DH44" s="38">
        <f>EXP(-'Data Bonds'!BC43*AZ44)</f>
        <v>1</v>
      </c>
      <c r="DI44" s="38">
        <f>EXP(-'Data Bonds'!BD43*BA44)</f>
        <v>1</v>
      </c>
      <c r="DJ44" s="38">
        <f>EXP(-'Data Bonds'!BE43*BB44)</f>
        <v>1</v>
      </c>
      <c r="DK44" s="38">
        <f>EXP(-'Data Bonds'!BF43*BC44)</f>
        <v>1</v>
      </c>
      <c r="DL44" s="38">
        <f>EXP(-'Data Bonds'!BG43*BD44)</f>
        <v>1</v>
      </c>
      <c r="DM44" s="38">
        <f>EXP(-'Data Bonds'!BH43*BE44)</f>
        <v>1</v>
      </c>
      <c r="DN44" s="38">
        <f>EXP(-'Data Bonds'!BI43*BF44)</f>
        <v>1</v>
      </c>
      <c r="DO44" s="38">
        <f>EXP(-'Data Bonds'!BJ43*BG44)</f>
        <v>1</v>
      </c>
      <c r="DP44" s="38">
        <f>EXP(-'Data Bonds'!BK43*BH44)</f>
        <v>1</v>
      </c>
      <c r="DQ44" s="38">
        <f>EXP(-'Data Bonds'!BL43*BI44)</f>
        <v>1</v>
      </c>
      <c r="DR44" s="38">
        <f>EXP(-'Data Bonds'!BM43*BJ44)</f>
        <v>1</v>
      </c>
      <c r="DS44" s="38">
        <f>EXP(-'Data Bonds'!BN43*BK44)</f>
        <v>1</v>
      </c>
      <c r="DT44" s="38">
        <f>EXP(-'Data Bonds'!BO43*BL44)</f>
        <v>1</v>
      </c>
      <c r="DU44" s="38">
        <f>EXP(-'Data Bonds'!BP43*BM44)</f>
        <v>1</v>
      </c>
      <c r="DV44" s="38">
        <f>EXP(-'Data Bonds'!BQ43*BN44)</f>
        <v>1</v>
      </c>
      <c r="DW44" s="38">
        <f>EXP(-'Data Bonds'!BR43*BO44)</f>
        <v>1</v>
      </c>
      <c r="DX44" s="28">
        <f>SUMPRODUCT(BP44:DW44,'Data Bonds'!BU43:EB43)</f>
        <v>135.69939903755343</v>
      </c>
      <c r="DY44" s="28">
        <f t="shared" si="5"/>
        <v>0.15924235131913034</v>
      </c>
      <c r="EA44" s="33">
        <f t="shared" si="6"/>
        <v>16.5</v>
      </c>
      <c r="EB44" s="29">
        <f t="shared" ref="EB44:EB71" si="8">theta0+(theta1+theta2)*(1-EXP(-TTT/la))/(TTT/la)-theta2*EXP(-TTT/la)</f>
        <v>5.2542159971934711E-2</v>
      </c>
      <c r="EC44" s="29">
        <f t="shared" ref="EC44:EC71" si="9">EXP(-TTT*YY)</f>
        <v>0.4202331345109469</v>
      </c>
      <c r="ED44" s="29">
        <f t="shared" si="7"/>
        <v>5.3662986599874167E-2</v>
      </c>
      <c r="EF44" s="32"/>
      <c r="EG44" s="32"/>
      <c r="EI44" s="34"/>
    </row>
    <row r="45" spans="2:139">
      <c r="B45" s="27">
        <f>'Data Bonds'!E44</f>
        <v>7.875</v>
      </c>
      <c r="C45" s="27">
        <f>'Data Bonds'!F44</f>
        <v>124.78125</v>
      </c>
      <c r="D45" s="27">
        <f>'Data Bonds'!G44</f>
        <v>124.84375</v>
      </c>
      <c r="E45" s="27">
        <f>'Data Bonds'!I44</f>
        <v>2.4500000000000002</v>
      </c>
      <c r="F45" s="40">
        <f>'Data Bonds'!H44</f>
        <v>13.688888888888888</v>
      </c>
      <c r="G45" s="28">
        <f t="shared" si="4"/>
        <v>127.2625</v>
      </c>
      <c r="H45" s="45">
        <f>IF('Data Bonds'!K44=0,0,theta0+(theta1+theta2)*(1-EXP(-'Data Bonds'!K44/la))/('Data Bonds'!K44/la)-theta2*EXP(-'Data Bonds'!K44/la))</f>
        <v>5.1598526027898411E-2</v>
      </c>
      <c r="I45" s="45">
        <f>IF('Data Bonds'!L44=0,0,theta0+(theta1+theta2)*(1-EXP(-'Data Bonds'!L44/la))/('Data Bonds'!L44/la)-theta2*EXP(-'Data Bonds'!L44/la))</f>
        <v>5.0271357324748023E-2</v>
      </c>
      <c r="J45" s="45">
        <f>IF('Data Bonds'!M44=0,0,theta0+(theta1+theta2)*(1-EXP(-'Data Bonds'!M44/la))/('Data Bonds'!M44/la)-theta2*EXP(-'Data Bonds'!M44/la))</f>
        <v>4.9578457297749672E-2</v>
      </c>
      <c r="K45" s="45">
        <f>IF('Data Bonds'!N44=0,0,theta0+(theta1+theta2)*(1-EXP(-'Data Bonds'!N44/la))/('Data Bonds'!N44/la)-theta2*EXP(-'Data Bonds'!N44/la))</f>
        <v>4.9285035750538553E-2</v>
      </c>
      <c r="L45" s="45">
        <f>IF('Data Bonds'!O44=0,0,theta0+(theta1+theta2)*(1-EXP(-'Data Bonds'!O44/la))/('Data Bonds'!O44/la)-theta2*EXP(-'Data Bonds'!O44/la))</f>
        <v>4.9237017363447266E-2</v>
      </c>
      <c r="M45" s="45">
        <f>IF('Data Bonds'!P44=0,0,theta0+(theta1+theta2)*(1-EXP(-'Data Bonds'!P44/la))/('Data Bonds'!P44/la)-theta2*EXP(-'Data Bonds'!P44/la))</f>
        <v>4.9334171753160738E-2</v>
      </c>
      <c r="N45" s="45">
        <f>IF('Data Bonds'!Q44=0,0,theta0+(theta1+theta2)*(1-EXP(-'Data Bonds'!Q44/la))/('Data Bonds'!Q44/la)-theta2*EXP(-'Data Bonds'!Q44/la))</f>
        <v>4.9512038088999483E-2</v>
      </c>
      <c r="O45" s="45">
        <f>IF('Data Bonds'!R44=0,0,theta0+(theta1+theta2)*(1-EXP(-'Data Bonds'!R44/la))/('Data Bonds'!R44/la)-theta2*EXP(-'Data Bonds'!R44/la))</f>
        <v>4.9729794635889335E-2</v>
      </c>
      <c r="P45" s="45">
        <f>IF('Data Bonds'!S44=0,0,theta0+(theta1+theta2)*(1-EXP(-'Data Bonds'!S44/la))/('Data Bonds'!S44/la)-theta2*EXP(-'Data Bonds'!S44/la))</f>
        <v>4.9962140977046696E-2</v>
      </c>
      <c r="Q45" s="45">
        <f>IF('Data Bonds'!T44=0,0,theta0+(theta1+theta2)*(1-EXP(-'Data Bonds'!T44/la))/('Data Bonds'!T44/la)-theta2*EXP(-'Data Bonds'!T44/la))</f>
        <v>5.0193884019659962E-2</v>
      </c>
      <c r="R45" s="45">
        <f>IF('Data Bonds'!U44=0,0,theta0+(theta1+theta2)*(1-EXP(-'Data Bonds'!U44/la))/('Data Bonds'!U44/la)-theta2*EXP(-'Data Bonds'!U44/la))</f>
        <v>5.0416342149512058E-2</v>
      </c>
      <c r="S45" s="45">
        <f>IF('Data Bonds'!V44=0,0,theta0+(theta1+theta2)*(1-EXP(-'Data Bonds'!V44/la))/('Data Bonds'!V44/la)-theta2*EXP(-'Data Bonds'!V44/la))</f>
        <v>5.0624969074311257E-2</v>
      </c>
      <c r="T45" s="45">
        <f>IF('Data Bonds'!W44=0,0,theta0+(theta1+theta2)*(1-EXP(-'Data Bonds'!W44/la))/('Data Bonds'!W44/la)-theta2*EXP(-'Data Bonds'!W44/la))</f>
        <v>5.0817793561872729E-2</v>
      </c>
      <c r="U45" s="45">
        <f>IF('Data Bonds'!X44=0,0,theta0+(theta1+theta2)*(1-EXP(-'Data Bonds'!X44/la))/('Data Bonds'!X44/la)-theta2*EXP(-'Data Bonds'!X44/la))</f>
        <v>5.0994403103277734E-2</v>
      </c>
      <c r="V45" s="45">
        <f>IF('Data Bonds'!Y44=0,0,theta0+(theta1+theta2)*(1-EXP(-'Data Bonds'!Y44/la))/('Data Bonds'!Y44/la)-theta2*EXP(-'Data Bonds'!Y44/la))</f>
        <v>5.1155288695615496E-2</v>
      </c>
      <c r="W45" s="45">
        <f>IF('Data Bonds'!Z44=0,0,theta0+(theta1+theta2)*(1-EXP(-'Data Bonds'!Z44/la))/('Data Bonds'!Z44/la)-theta2*EXP(-'Data Bonds'!Z44/la))</f>
        <v>5.1301428168232986E-2</v>
      </c>
      <c r="X45" s="45">
        <f>IF('Data Bonds'!AA44=0,0,theta0+(theta1+theta2)*(1-EXP(-'Data Bonds'!AA44/la))/('Data Bonds'!AA44/la)-theta2*EXP(-'Data Bonds'!AA44/la))</f>
        <v>5.1434026097624264E-2</v>
      </c>
      <c r="Y45" s="45">
        <f>IF('Data Bonds'!AB44=0,0,theta0+(theta1+theta2)*(1-EXP(-'Data Bonds'!AB44/la))/('Data Bonds'!AB44/la)-theta2*EXP(-'Data Bonds'!AB44/la))</f>
        <v>5.1554355703636381E-2</v>
      </c>
      <c r="Z45" s="45">
        <f>IF('Data Bonds'!AC44=0,0,theta0+(theta1+theta2)*(1-EXP(-'Data Bonds'!AC44/la))/('Data Bonds'!AC44/la)-theta2*EXP(-'Data Bonds'!AC44/la))</f>
        <v>5.1663666492393567E-2</v>
      </c>
      <c r="AA45" s="45">
        <f>IF('Data Bonds'!AD44=0,0,theta0+(theta1+theta2)*(1-EXP(-'Data Bonds'!AD44/la))/('Data Bonds'!AD44/la)-theta2*EXP(-'Data Bonds'!AD44/la))</f>
        <v>5.1763133724185395E-2</v>
      </c>
      <c r="AB45" s="45">
        <f>IF('Data Bonds'!AE44=0,0,theta0+(theta1+theta2)*(1-EXP(-'Data Bonds'!AE44/la))/('Data Bonds'!AE44/la)-theta2*EXP(-'Data Bonds'!AE44/la))</f>
        <v>5.1853834012200901E-2</v>
      </c>
      <c r="AC45" s="45">
        <f>IF('Data Bonds'!AF44=0,0,theta0+(theta1+theta2)*(1-EXP(-'Data Bonds'!AF44/la))/('Data Bonds'!AF44/la)-theta2*EXP(-'Data Bonds'!AF44/la))</f>
        <v>5.1936736836682804E-2</v>
      </c>
      <c r="AD45" s="45">
        <f>IF('Data Bonds'!AG44=0,0,theta0+(theta1+theta2)*(1-EXP(-'Data Bonds'!AG44/la))/('Data Bonds'!AG44/la)-theta2*EXP(-'Data Bonds'!AG44/la))</f>
        <v>5.2012705391962649E-2</v>
      </c>
      <c r="AE45" s="45">
        <f>IF('Data Bonds'!AH44=0,0,theta0+(theta1+theta2)*(1-EXP(-'Data Bonds'!AH44/la))/('Data Bonds'!AH44/la)-theta2*EXP(-'Data Bonds'!AH44/la))</f>
        <v>5.2082502580458233E-2</v>
      </c>
      <c r="AF45" s="45">
        <f>IF('Data Bonds'!AI44=0,0,theta0+(theta1+theta2)*(1-EXP(-'Data Bonds'!AI44/la))/('Data Bonds'!AI44/la)-theta2*EXP(-'Data Bonds'!AI44/la))</f>
        <v>5.2146799538785205E-2</v>
      </c>
      <c r="AG45" s="45">
        <f>IF('Data Bonds'!AJ44=0,0,theta0+(theta1+theta2)*(1-EXP(-'Data Bonds'!AJ44/la))/('Data Bonds'!AJ44/la)-theta2*EXP(-'Data Bonds'!AJ44/la))</f>
        <v>5.2206185102880893E-2</v>
      </c>
      <c r="AH45" s="45">
        <f>IF('Data Bonds'!AK44=0,0,theta0+(theta1+theta2)*(1-EXP(-'Data Bonds'!AK44/la))/('Data Bonds'!AK44/la)-theta2*EXP(-'Data Bonds'!AK44/la))</f>
        <v>5.2261175276823613E-2</v>
      </c>
      <c r="AI45" s="45">
        <f>IF('Data Bonds'!AL44=0,0,theta0+(theta1+theta2)*(1-EXP(-'Data Bonds'!AL44/la))/('Data Bonds'!AL44/la)-theta2*EXP(-'Data Bonds'!AL44/la))</f>
        <v>5.2312222187925556E-2</v>
      </c>
      <c r="AJ45" s="45">
        <f>IF('Data Bonds'!AM44=0,0,theta0+(theta1+theta2)*(1-EXP(-'Data Bonds'!AM44/la))/('Data Bonds'!AM44/la)-theta2*EXP(-'Data Bonds'!AM44/la))</f>
        <v>0</v>
      </c>
      <c r="AK45" s="45">
        <f>IF('Data Bonds'!AN44=0,0,theta0+(theta1+theta2)*(1-EXP(-'Data Bonds'!AN44/la))/('Data Bonds'!AN44/la)-theta2*EXP(-'Data Bonds'!AN44/la))</f>
        <v>0</v>
      </c>
      <c r="AL45" s="45">
        <f>IF('Data Bonds'!AO44=0,0,theta0+(theta1+theta2)*(1-EXP(-'Data Bonds'!AO44/la))/('Data Bonds'!AO44/la)-theta2*EXP(-'Data Bonds'!AO44/la))</f>
        <v>0</v>
      </c>
      <c r="AM45" s="45">
        <f>IF('Data Bonds'!AP44=0,0,theta0+(theta1+theta2)*(1-EXP(-'Data Bonds'!AP44/la))/('Data Bonds'!AP44/la)-theta2*EXP(-'Data Bonds'!AP44/la))</f>
        <v>0</v>
      </c>
      <c r="AN45" s="45">
        <f>IF('Data Bonds'!AQ44=0,0,theta0+(theta1+theta2)*(1-EXP(-'Data Bonds'!AQ44/la))/('Data Bonds'!AQ44/la)-theta2*EXP(-'Data Bonds'!AQ44/la))</f>
        <v>0</v>
      </c>
      <c r="AO45" s="45">
        <f>IF('Data Bonds'!AR44=0,0,theta0+(theta1+theta2)*(1-EXP(-'Data Bonds'!AR44/la))/('Data Bonds'!AR44/la)-theta2*EXP(-'Data Bonds'!AR44/la))</f>
        <v>0</v>
      </c>
      <c r="AP45" s="45">
        <f>IF('Data Bonds'!AS44=0,0,theta0+(theta1+theta2)*(1-EXP(-'Data Bonds'!AS44/la))/('Data Bonds'!AS44/la)-theta2*EXP(-'Data Bonds'!AS44/la))</f>
        <v>0</v>
      </c>
      <c r="AQ45" s="45">
        <f>IF('Data Bonds'!AT44=0,0,theta0+(theta1+theta2)*(1-EXP(-'Data Bonds'!AT44/la))/('Data Bonds'!AT44/la)-theta2*EXP(-'Data Bonds'!AT44/la))</f>
        <v>0</v>
      </c>
      <c r="AR45" s="45">
        <f>IF('Data Bonds'!AU44=0,0,theta0+(theta1+theta2)*(1-EXP(-'Data Bonds'!AU44/la))/('Data Bonds'!AU44/la)-theta2*EXP(-'Data Bonds'!AU44/la))</f>
        <v>0</v>
      </c>
      <c r="AS45" s="45">
        <f>IF('Data Bonds'!AV44=0,0,theta0+(theta1+theta2)*(1-EXP(-'Data Bonds'!AV44/la))/('Data Bonds'!AV44/la)-theta2*EXP(-'Data Bonds'!AV44/la))</f>
        <v>0</v>
      </c>
      <c r="AT45" s="45">
        <f>IF('Data Bonds'!AW44=0,0,theta0+(theta1+theta2)*(1-EXP(-'Data Bonds'!AW44/la))/('Data Bonds'!AW44/la)-theta2*EXP(-'Data Bonds'!AW44/la))</f>
        <v>0</v>
      </c>
      <c r="AU45" s="45">
        <f>IF('Data Bonds'!AX44=0,0,theta0+(theta1+theta2)*(1-EXP(-'Data Bonds'!AX44/la))/('Data Bonds'!AX44/la)-theta2*EXP(-'Data Bonds'!AX44/la))</f>
        <v>0</v>
      </c>
      <c r="AV45" s="45">
        <f>IF('Data Bonds'!AY44=0,0,theta0+(theta1+theta2)*(1-EXP(-'Data Bonds'!AY44/la))/('Data Bonds'!AY44/la)-theta2*EXP(-'Data Bonds'!AY44/la))</f>
        <v>0</v>
      </c>
      <c r="AW45" s="45">
        <f>IF('Data Bonds'!AZ44=0,0,theta0+(theta1+theta2)*(1-EXP(-'Data Bonds'!AZ44/la))/('Data Bonds'!AZ44/la)-theta2*EXP(-'Data Bonds'!AZ44/la))</f>
        <v>0</v>
      </c>
      <c r="AX45" s="45">
        <f>IF('Data Bonds'!BA44=0,0,theta0+(theta1+theta2)*(1-EXP(-'Data Bonds'!BA44/la))/('Data Bonds'!BA44/la)-theta2*EXP(-'Data Bonds'!BA44/la))</f>
        <v>0</v>
      </c>
      <c r="AY45" s="45">
        <f>IF('Data Bonds'!BB44=0,0,theta0+(theta1+theta2)*(1-EXP(-'Data Bonds'!BB44/la))/('Data Bonds'!BB44/la)-theta2*EXP(-'Data Bonds'!BB44/la))</f>
        <v>0</v>
      </c>
      <c r="AZ45" s="45">
        <f>IF('Data Bonds'!BC44=0,0,theta0+(theta1+theta2)*(1-EXP(-'Data Bonds'!BC44/la))/('Data Bonds'!BC44/la)-theta2*EXP(-'Data Bonds'!BC44/la))</f>
        <v>0</v>
      </c>
      <c r="BA45" s="45">
        <f>IF('Data Bonds'!BD44=0,0,theta0+(theta1+theta2)*(1-EXP(-'Data Bonds'!BD44/la))/('Data Bonds'!BD44/la)-theta2*EXP(-'Data Bonds'!BD44/la))</f>
        <v>0</v>
      </c>
      <c r="BB45" s="45">
        <f>IF('Data Bonds'!BE44=0,0,theta0+(theta1+theta2)*(1-EXP(-'Data Bonds'!BE44/la))/('Data Bonds'!BE44/la)-theta2*EXP(-'Data Bonds'!BE44/la))</f>
        <v>0</v>
      </c>
      <c r="BC45" s="45">
        <f>IF('Data Bonds'!BF44=0,0,theta0+(theta1+theta2)*(1-EXP(-'Data Bonds'!BF44/la))/('Data Bonds'!BF44/la)-theta2*EXP(-'Data Bonds'!BF44/la))</f>
        <v>0</v>
      </c>
      <c r="BD45" s="45">
        <f>IF('Data Bonds'!BG44=0,0,theta0+(theta1+theta2)*(1-EXP(-'Data Bonds'!BG44/la))/('Data Bonds'!BG44/la)-theta2*EXP(-'Data Bonds'!BG44/la))</f>
        <v>0</v>
      </c>
      <c r="BE45" s="45">
        <f>IF('Data Bonds'!BH44=0,0,theta0+(theta1+theta2)*(1-EXP(-'Data Bonds'!BH44/la))/('Data Bonds'!BH44/la)-theta2*EXP(-'Data Bonds'!BH44/la))</f>
        <v>0</v>
      </c>
      <c r="BF45" s="45">
        <f>IF('Data Bonds'!BI44=0,0,theta0+(theta1+theta2)*(1-EXP(-'Data Bonds'!BI44/la))/('Data Bonds'!BI44/la)-theta2*EXP(-'Data Bonds'!BI44/la))</f>
        <v>0</v>
      </c>
      <c r="BG45" s="45">
        <f>IF('Data Bonds'!BJ44=0,0,theta0+(theta1+theta2)*(1-EXP(-'Data Bonds'!BJ44/la))/('Data Bonds'!BJ44/la)-theta2*EXP(-'Data Bonds'!BJ44/la))</f>
        <v>0</v>
      </c>
      <c r="BH45" s="45">
        <f>IF('Data Bonds'!BK44=0,0,theta0+(theta1+theta2)*(1-EXP(-'Data Bonds'!BK44/la))/('Data Bonds'!BK44/la)-theta2*EXP(-'Data Bonds'!BK44/la))</f>
        <v>0</v>
      </c>
      <c r="BI45" s="45">
        <f>IF('Data Bonds'!BL44=0,0,theta0+(theta1+theta2)*(1-EXP(-'Data Bonds'!BL44/la))/('Data Bonds'!BL44/la)-theta2*EXP(-'Data Bonds'!BL44/la))</f>
        <v>0</v>
      </c>
      <c r="BJ45" s="45">
        <f>IF('Data Bonds'!BM44=0,0,theta0+(theta1+theta2)*(1-EXP(-'Data Bonds'!BM44/la))/('Data Bonds'!BM44/la)-theta2*EXP(-'Data Bonds'!BM44/la))</f>
        <v>0</v>
      </c>
      <c r="BK45" s="45">
        <f>IF('Data Bonds'!BN44=0,0,theta0+(theta1+theta2)*(1-EXP(-'Data Bonds'!BN44/la))/('Data Bonds'!BN44/la)-theta2*EXP(-'Data Bonds'!BN44/la))</f>
        <v>0</v>
      </c>
      <c r="BL45" s="45">
        <f>IF('Data Bonds'!BO44=0,0,theta0+(theta1+theta2)*(1-EXP(-'Data Bonds'!BO44/la))/('Data Bonds'!BO44/la)-theta2*EXP(-'Data Bonds'!BO44/la))</f>
        <v>0</v>
      </c>
      <c r="BM45" s="45">
        <f>IF('Data Bonds'!BP44=0,0,theta0+(theta1+theta2)*(1-EXP(-'Data Bonds'!BP44/la))/('Data Bonds'!BP44/la)-theta2*EXP(-'Data Bonds'!BP44/la))</f>
        <v>0</v>
      </c>
      <c r="BN45" s="45">
        <f>IF('Data Bonds'!BQ44=0,0,theta0+(theta1+theta2)*(1-EXP(-'Data Bonds'!BQ44/la))/('Data Bonds'!BQ44/la)-theta2*EXP(-'Data Bonds'!BQ44/la))</f>
        <v>0</v>
      </c>
      <c r="BO45" s="45">
        <f>IF('Data Bonds'!BR44=0,0,theta0+(theta1+theta2)*(1-EXP(-'Data Bonds'!BR44/la))/('Data Bonds'!BR44/la)-theta2*EXP(-'Data Bonds'!BR44/la))</f>
        <v>0</v>
      </c>
      <c r="BP45" s="38">
        <f>EXP(-'Data Bonds'!K44*H45)</f>
        <v>0.99030095386253514</v>
      </c>
      <c r="BQ45" s="38">
        <f>EXP(-'Data Bonds'!L44*I45)</f>
        <v>0.96596142383001249</v>
      </c>
      <c r="BR45" s="38">
        <f>EXP(-'Data Bonds'!M44*J45)</f>
        <v>0.94276024382077384</v>
      </c>
      <c r="BS45" s="38">
        <f>EXP(-'Data Bonds'!N44*K45)</f>
        <v>0.92013309652437447</v>
      </c>
      <c r="BT45" s="38">
        <f>EXP(-'Data Bonds'!O44*L45)</f>
        <v>0.8978301597681585</v>
      </c>
      <c r="BU45" s="38">
        <f>EXP(-'Data Bonds'!P44*M45)</f>
        <v>0.8757679623727499</v>
      </c>
      <c r="BV45" s="38">
        <f>EXP(-'Data Bonds'!Q44*N45)</f>
        <v>0.85394508705932803</v>
      </c>
      <c r="BW45" s="38">
        <f>EXP(-'Data Bonds'!R44*O45)</f>
        <v>0.83239541980118914</v>
      </c>
      <c r="BX45" s="38">
        <f>EXP(-'Data Bonds'!S44*P45)</f>
        <v>0.81116332561828708</v>
      </c>
      <c r="BY45" s="38">
        <f>EXP(-'Data Bonds'!T44*Q45)</f>
        <v>0.79029139660492453</v>
      </c>
      <c r="BZ45" s="38">
        <f>EXP(-'Data Bonds'!U44*R45)</f>
        <v>0.76981519641342533</v>
      </c>
      <c r="CA45" s="38">
        <f>EXP(-'Data Bonds'!V44*S45)</f>
        <v>0.74976172414671449</v>
      </c>
      <c r="CB45" s="38">
        <f>EXP(-'Data Bonds'!W44*T45)</f>
        <v>0.73014971419213559</v>
      </c>
      <c r="CC45" s="38">
        <f>EXP(-'Data Bonds'!X44*U45)</f>
        <v>0.71099072354814263</v>
      </c>
      <c r="CD45" s="38">
        <f>EXP(-'Data Bonds'!Y44*V45)</f>
        <v>0.69229044963946051</v>
      </c>
      <c r="CE45" s="38">
        <f>EXP(-'Data Bonds'!Z44*W45)</f>
        <v>0.67405000392176173</v>
      </c>
      <c r="CF45" s="38">
        <f>EXP(-'Data Bonds'!AA44*X45)</f>
        <v>0.65626702351290833</v>
      </c>
      <c r="CG45" s="38">
        <f>EXP(-'Data Bonds'!AB44*Y45)</f>
        <v>0.63893658633137096</v>
      </c>
      <c r="CH45" s="38">
        <f>EXP(-'Data Bonds'!AC44*Z45)</f>
        <v>0.62205193621476651</v>
      </c>
      <c r="CI45" s="38">
        <f>EXP(-'Data Bonds'!AD44*AA45)</f>
        <v>0.60560504204345178</v>
      </c>
      <c r="CJ45" s="38">
        <f>EXP(-'Data Bonds'!AE44*AB45)</f>
        <v>0.58958702003626717</v>
      </c>
      <c r="CK45" s="38">
        <f>EXP(-'Data Bonds'!AF44*AC45)</f>
        <v>0.57398844742708199</v>
      </c>
      <c r="CL45" s="38">
        <f>EXP(-'Data Bonds'!AG44*AD45)</f>
        <v>0.55879959216452202</v>
      </c>
      <c r="CM45" s="38">
        <f>EXP(-'Data Bonds'!AH44*AE45)</f>
        <v>0.54401057894878535</v>
      </c>
      <c r="CN45" s="38">
        <f>EXP(-'Data Bonds'!AI44*AF45)</f>
        <v>0.52961150773453602</v>
      </c>
      <c r="CO45" s="38">
        <f>EXP(-'Data Bonds'!AJ44*AG45)</f>
        <v>0.51559253717395914</v>
      </c>
      <c r="CP45" s="38">
        <f>EXP(-'Data Bonds'!AK44*AH45)</f>
        <v>0.50194394246170126</v>
      </c>
      <c r="CQ45" s="38">
        <f>EXP(-'Data Bonds'!AL44*AI45)</f>
        <v>0.48865615465192236</v>
      </c>
      <c r="CR45" s="38">
        <f>EXP(-'Data Bonds'!AM44*AJ45)</f>
        <v>1</v>
      </c>
      <c r="CS45" s="38">
        <f>EXP(-'Data Bonds'!AN44*AK45)</f>
        <v>1</v>
      </c>
      <c r="CT45" s="38">
        <f>EXP(-'Data Bonds'!AO44*AL45)</f>
        <v>1</v>
      </c>
      <c r="CU45" s="38">
        <f>EXP(-'Data Bonds'!AP44*AM45)</f>
        <v>1</v>
      </c>
      <c r="CV45" s="38">
        <f>EXP(-'Data Bonds'!AQ44*AN45)</f>
        <v>1</v>
      </c>
      <c r="CW45" s="38">
        <f>EXP(-'Data Bonds'!AR44*AO45)</f>
        <v>1</v>
      </c>
      <c r="CX45" s="38">
        <f>EXP(-'Data Bonds'!AS44*AP45)</f>
        <v>1</v>
      </c>
      <c r="CY45" s="38">
        <f>EXP(-'Data Bonds'!AT44*AQ45)</f>
        <v>1</v>
      </c>
      <c r="CZ45" s="38">
        <f>EXP(-'Data Bonds'!AU44*AR45)</f>
        <v>1</v>
      </c>
      <c r="DA45" s="38">
        <f>EXP(-'Data Bonds'!AV44*AS45)</f>
        <v>1</v>
      </c>
      <c r="DB45" s="38">
        <f>EXP(-'Data Bonds'!AW44*AT45)</f>
        <v>1</v>
      </c>
      <c r="DC45" s="38">
        <f>EXP(-'Data Bonds'!AX44*AU45)</f>
        <v>1</v>
      </c>
      <c r="DD45" s="38">
        <f>EXP(-'Data Bonds'!AY44*AV45)</f>
        <v>1</v>
      </c>
      <c r="DE45" s="38">
        <f>EXP(-'Data Bonds'!AZ44*AW45)</f>
        <v>1</v>
      </c>
      <c r="DF45" s="38">
        <f>EXP(-'Data Bonds'!BA44*AX45)</f>
        <v>1</v>
      </c>
      <c r="DG45" s="38">
        <f>EXP(-'Data Bonds'!BB44*AY45)</f>
        <v>1</v>
      </c>
      <c r="DH45" s="38">
        <f>EXP(-'Data Bonds'!BC44*AZ45)</f>
        <v>1</v>
      </c>
      <c r="DI45" s="38">
        <f>EXP(-'Data Bonds'!BD44*BA45)</f>
        <v>1</v>
      </c>
      <c r="DJ45" s="38">
        <f>EXP(-'Data Bonds'!BE44*BB45)</f>
        <v>1</v>
      </c>
      <c r="DK45" s="38">
        <f>EXP(-'Data Bonds'!BF44*BC45)</f>
        <v>1</v>
      </c>
      <c r="DL45" s="38">
        <f>EXP(-'Data Bonds'!BG44*BD45)</f>
        <v>1</v>
      </c>
      <c r="DM45" s="38">
        <f>EXP(-'Data Bonds'!BH44*BE45)</f>
        <v>1</v>
      </c>
      <c r="DN45" s="38">
        <f>EXP(-'Data Bonds'!BI44*BF45)</f>
        <v>1</v>
      </c>
      <c r="DO45" s="38">
        <f>EXP(-'Data Bonds'!BJ44*BG45)</f>
        <v>1</v>
      </c>
      <c r="DP45" s="38">
        <f>EXP(-'Data Bonds'!BK44*BH45)</f>
        <v>1</v>
      </c>
      <c r="DQ45" s="38">
        <f>EXP(-'Data Bonds'!BL44*BI45)</f>
        <v>1</v>
      </c>
      <c r="DR45" s="38">
        <f>EXP(-'Data Bonds'!BM44*BJ45)</f>
        <v>1</v>
      </c>
      <c r="DS45" s="38">
        <f>EXP(-'Data Bonds'!BN44*BK45)</f>
        <v>1</v>
      </c>
      <c r="DT45" s="38">
        <f>EXP(-'Data Bonds'!BO44*BL45)</f>
        <v>1</v>
      </c>
      <c r="DU45" s="38">
        <f>EXP(-'Data Bonds'!BP44*BM45)</f>
        <v>1</v>
      </c>
      <c r="DV45" s="38">
        <f>EXP(-'Data Bonds'!BQ44*BN45)</f>
        <v>1</v>
      </c>
      <c r="DW45" s="38">
        <f>EXP(-'Data Bonds'!BR44*BO45)</f>
        <v>1</v>
      </c>
      <c r="DX45" s="28">
        <f>SUMPRODUCT(BP45:DW45,'Data Bonds'!BU44:EB44)</f>
        <v>127.74420338637914</v>
      </c>
      <c r="DY45" s="28">
        <f t="shared" si="5"/>
        <v>0.23203815244912912</v>
      </c>
      <c r="EA45" s="33">
        <f t="shared" si="6"/>
        <v>17</v>
      </c>
      <c r="EB45" s="29">
        <f t="shared" si="8"/>
        <v>5.2575131644170887E-2</v>
      </c>
      <c r="EC45" s="29">
        <f t="shared" si="9"/>
        <v>0.4091075340941982</v>
      </c>
      <c r="ED45" s="29">
        <f t="shared" si="7"/>
        <v>5.3663196827964804E-2</v>
      </c>
      <c r="EF45" s="32"/>
      <c r="EG45" s="32"/>
      <c r="EI45" s="34"/>
    </row>
    <row r="46" spans="2:139">
      <c r="B46" s="27">
        <f>'Data Bonds'!E45</f>
        <v>7.25</v>
      </c>
      <c r="C46" s="27">
        <f>'Data Bonds'!F45</f>
        <v>119.828125</v>
      </c>
      <c r="D46" s="27">
        <f>'Data Bonds'!G45</f>
        <v>119.890625</v>
      </c>
      <c r="E46" s="27">
        <f>'Data Bonds'!I45</f>
        <v>2.2555555555555555</v>
      </c>
      <c r="F46" s="40">
        <f>'Data Bonds'!H45</f>
        <v>15.188888888888888</v>
      </c>
      <c r="G46" s="28">
        <f t="shared" si="4"/>
        <v>122.11493055555556</v>
      </c>
      <c r="H46" s="45">
        <f>IF('Data Bonds'!K45=0,0,theta0+(theta1+theta2)*(1-EXP(-'Data Bonds'!K45/la))/('Data Bonds'!K45/la)-theta2*EXP(-'Data Bonds'!K45/la))</f>
        <v>5.1598526027898411E-2</v>
      </c>
      <c r="I46" s="45">
        <f>IF('Data Bonds'!L45=0,0,theta0+(theta1+theta2)*(1-EXP(-'Data Bonds'!L45/la))/('Data Bonds'!L45/la)-theta2*EXP(-'Data Bonds'!L45/la))</f>
        <v>5.0271357324748023E-2</v>
      </c>
      <c r="J46" s="45">
        <f>IF('Data Bonds'!M45=0,0,theta0+(theta1+theta2)*(1-EXP(-'Data Bonds'!M45/la))/('Data Bonds'!M45/la)-theta2*EXP(-'Data Bonds'!M45/la))</f>
        <v>4.9578457297749672E-2</v>
      </c>
      <c r="K46" s="45">
        <f>IF('Data Bonds'!N45=0,0,theta0+(theta1+theta2)*(1-EXP(-'Data Bonds'!N45/la))/('Data Bonds'!N45/la)-theta2*EXP(-'Data Bonds'!N45/la))</f>
        <v>4.9285035750538553E-2</v>
      </c>
      <c r="L46" s="45">
        <f>IF('Data Bonds'!O45=0,0,theta0+(theta1+theta2)*(1-EXP(-'Data Bonds'!O45/la))/('Data Bonds'!O45/la)-theta2*EXP(-'Data Bonds'!O45/la))</f>
        <v>4.9237017363447266E-2</v>
      </c>
      <c r="M46" s="45">
        <f>IF('Data Bonds'!P45=0,0,theta0+(theta1+theta2)*(1-EXP(-'Data Bonds'!P45/la))/('Data Bonds'!P45/la)-theta2*EXP(-'Data Bonds'!P45/la))</f>
        <v>4.9334171753160738E-2</v>
      </c>
      <c r="N46" s="45">
        <f>IF('Data Bonds'!Q45=0,0,theta0+(theta1+theta2)*(1-EXP(-'Data Bonds'!Q45/la))/('Data Bonds'!Q45/la)-theta2*EXP(-'Data Bonds'!Q45/la))</f>
        <v>4.9512038088999483E-2</v>
      </c>
      <c r="O46" s="45">
        <f>IF('Data Bonds'!R45=0,0,theta0+(theta1+theta2)*(1-EXP(-'Data Bonds'!R45/la))/('Data Bonds'!R45/la)-theta2*EXP(-'Data Bonds'!R45/la))</f>
        <v>4.9729794635889335E-2</v>
      </c>
      <c r="P46" s="45">
        <f>IF('Data Bonds'!S45=0,0,theta0+(theta1+theta2)*(1-EXP(-'Data Bonds'!S45/la))/('Data Bonds'!S45/la)-theta2*EXP(-'Data Bonds'!S45/la))</f>
        <v>4.9962140977046696E-2</v>
      </c>
      <c r="Q46" s="45">
        <f>IF('Data Bonds'!T45=0,0,theta0+(theta1+theta2)*(1-EXP(-'Data Bonds'!T45/la))/('Data Bonds'!T45/la)-theta2*EXP(-'Data Bonds'!T45/la))</f>
        <v>5.0193884019659962E-2</v>
      </c>
      <c r="R46" s="45">
        <f>IF('Data Bonds'!U45=0,0,theta0+(theta1+theta2)*(1-EXP(-'Data Bonds'!U45/la))/('Data Bonds'!U45/la)-theta2*EXP(-'Data Bonds'!U45/la))</f>
        <v>5.0416342149512058E-2</v>
      </c>
      <c r="S46" s="45">
        <f>IF('Data Bonds'!V45=0,0,theta0+(theta1+theta2)*(1-EXP(-'Data Bonds'!V45/la))/('Data Bonds'!V45/la)-theta2*EXP(-'Data Bonds'!V45/la))</f>
        <v>5.0624969074311257E-2</v>
      </c>
      <c r="T46" s="45">
        <f>IF('Data Bonds'!W45=0,0,theta0+(theta1+theta2)*(1-EXP(-'Data Bonds'!W45/la))/('Data Bonds'!W45/la)-theta2*EXP(-'Data Bonds'!W45/la))</f>
        <v>5.0817793561872729E-2</v>
      </c>
      <c r="U46" s="45">
        <f>IF('Data Bonds'!X45=0,0,theta0+(theta1+theta2)*(1-EXP(-'Data Bonds'!X45/la))/('Data Bonds'!X45/la)-theta2*EXP(-'Data Bonds'!X45/la))</f>
        <v>5.0994403103277734E-2</v>
      </c>
      <c r="V46" s="45">
        <f>IF('Data Bonds'!Y45=0,0,theta0+(theta1+theta2)*(1-EXP(-'Data Bonds'!Y45/la))/('Data Bonds'!Y45/la)-theta2*EXP(-'Data Bonds'!Y45/la))</f>
        <v>5.1155288695615496E-2</v>
      </c>
      <c r="W46" s="45">
        <f>IF('Data Bonds'!Z45=0,0,theta0+(theta1+theta2)*(1-EXP(-'Data Bonds'!Z45/la))/('Data Bonds'!Z45/la)-theta2*EXP(-'Data Bonds'!Z45/la))</f>
        <v>5.1301428168232986E-2</v>
      </c>
      <c r="X46" s="45">
        <f>IF('Data Bonds'!AA45=0,0,theta0+(theta1+theta2)*(1-EXP(-'Data Bonds'!AA45/la))/('Data Bonds'!AA45/la)-theta2*EXP(-'Data Bonds'!AA45/la))</f>
        <v>5.1434026097624264E-2</v>
      </c>
      <c r="Y46" s="45">
        <f>IF('Data Bonds'!AB45=0,0,theta0+(theta1+theta2)*(1-EXP(-'Data Bonds'!AB45/la))/('Data Bonds'!AB45/la)-theta2*EXP(-'Data Bonds'!AB45/la))</f>
        <v>5.1554355703636381E-2</v>
      </c>
      <c r="Z46" s="45">
        <f>IF('Data Bonds'!AC45=0,0,theta0+(theta1+theta2)*(1-EXP(-'Data Bonds'!AC45/la))/('Data Bonds'!AC45/la)-theta2*EXP(-'Data Bonds'!AC45/la))</f>
        <v>5.1663666492393567E-2</v>
      </c>
      <c r="AA46" s="45">
        <f>IF('Data Bonds'!AD45=0,0,theta0+(theta1+theta2)*(1-EXP(-'Data Bonds'!AD45/la))/('Data Bonds'!AD45/la)-theta2*EXP(-'Data Bonds'!AD45/la))</f>
        <v>5.1763133724185395E-2</v>
      </c>
      <c r="AB46" s="45">
        <f>IF('Data Bonds'!AE45=0,0,theta0+(theta1+theta2)*(1-EXP(-'Data Bonds'!AE45/la))/('Data Bonds'!AE45/la)-theta2*EXP(-'Data Bonds'!AE45/la))</f>
        <v>5.1853834012200901E-2</v>
      </c>
      <c r="AC46" s="45">
        <f>IF('Data Bonds'!AF45=0,0,theta0+(theta1+theta2)*(1-EXP(-'Data Bonds'!AF45/la))/('Data Bonds'!AF45/la)-theta2*EXP(-'Data Bonds'!AF45/la))</f>
        <v>5.1936736836682804E-2</v>
      </c>
      <c r="AD46" s="45">
        <f>IF('Data Bonds'!AG45=0,0,theta0+(theta1+theta2)*(1-EXP(-'Data Bonds'!AG45/la))/('Data Bonds'!AG45/la)-theta2*EXP(-'Data Bonds'!AG45/la))</f>
        <v>5.2012705391962649E-2</v>
      </c>
      <c r="AE46" s="45">
        <f>IF('Data Bonds'!AH45=0,0,theta0+(theta1+theta2)*(1-EXP(-'Data Bonds'!AH45/la))/('Data Bonds'!AH45/la)-theta2*EXP(-'Data Bonds'!AH45/la))</f>
        <v>5.2082502580458233E-2</v>
      </c>
      <c r="AF46" s="45">
        <f>IF('Data Bonds'!AI45=0,0,theta0+(theta1+theta2)*(1-EXP(-'Data Bonds'!AI45/la))/('Data Bonds'!AI45/la)-theta2*EXP(-'Data Bonds'!AI45/la))</f>
        <v>5.2146799538785205E-2</v>
      </c>
      <c r="AG46" s="45">
        <f>IF('Data Bonds'!AJ45=0,0,theta0+(theta1+theta2)*(1-EXP(-'Data Bonds'!AJ45/la))/('Data Bonds'!AJ45/la)-theta2*EXP(-'Data Bonds'!AJ45/la))</f>
        <v>5.2206185102880893E-2</v>
      </c>
      <c r="AH46" s="45">
        <f>IF('Data Bonds'!AK45=0,0,theta0+(theta1+theta2)*(1-EXP(-'Data Bonds'!AK45/la))/('Data Bonds'!AK45/la)-theta2*EXP(-'Data Bonds'!AK45/la))</f>
        <v>5.2261175276823613E-2</v>
      </c>
      <c r="AI46" s="45">
        <f>IF('Data Bonds'!AL45=0,0,theta0+(theta1+theta2)*(1-EXP(-'Data Bonds'!AL45/la))/('Data Bonds'!AL45/la)-theta2*EXP(-'Data Bonds'!AL45/la))</f>
        <v>5.2312222187925556E-2</v>
      </c>
      <c r="AJ46" s="45">
        <f>IF('Data Bonds'!AM45=0,0,theta0+(theta1+theta2)*(1-EXP(-'Data Bonds'!AM45/la))/('Data Bonds'!AM45/la)-theta2*EXP(-'Data Bonds'!AM45/la))</f>
        <v>5.2359722271472377E-2</v>
      </c>
      <c r="AK46" s="45">
        <f>IF('Data Bonds'!AN45=0,0,theta0+(theta1+theta2)*(1-EXP(-'Data Bonds'!AN45/la))/('Data Bonds'!AN45/la)-theta2*EXP(-'Data Bonds'!AN45/la))</f>
        <v>5.240402358722291E-2</v>
      </c>
      <c r="AL46" s="45">
        <f>IF('Data Bonds'!AO45=0,0,theta0+(theta1+theta2)*(1-EXP(-'Data Bonds'!AO45/la))/('Data Bonds'!AO45/la)-theta2*EXP(-'Data Bonds'!AO45/la))</f>
        <v>5.2445432262903005E-2</v>
      </c>
      <c r="AM46" s="45">
        <f>IF('Data Bonds'!AP45=0,0,theta0+(theta1+theta2)*(1-EXP(-'Data Bonds'!AP45/la))/('Data Bonds'!AP45/la)-theta2*EXP(-'Data Bonds'!AP45/la))</f>
        <v>0</v>
      </c>
      <c r="AN46" s="45">
        <f>IF('Data Bonds'!AQ45=0,0,theta0+(theta1+theta2)*(1-EXP(-'Data Bonds'!AQ45/la))/('Data Bonds'!AQ45/la)-theta2*EXP(-'Data Bonds'!AQ45/la))</f>
        <v>0</v>
      </c>
      <c r="AO46" s="45">
        <f>IF('Data Bonds'!AR45=0,0,theta0+(theta1+theta2)*(1-EXP(-'Data Bonds'!AR45/la))/('Data Bonds'!AR45/la)-theta2*EXP(-'Data Bonds'!AR45/la))</f>
        <v>0</v>
      </c>
      <c r="AP46" s="45">
        <f>IF('Data Bonds'!AS45=0,0,theta0+(theta1+theta2)*(1-EXP(-'Data Bonds'!AS45/la))/('Data Bonds'!AS45/la)-theta2*EXP(-'Data Bonds'!AS45/la))</f>
        <v>0</v>
      </c>
      <c r="AQ46" s="45">
        <f>IF('Data Bonds'!AT45=0,0,theta0+(theta1+theta2)*(1-EXP(-'Data Bonds'!AT45/la))/('Data Bonds'!AT45/la)-theta2*EXP(-'Data Bonds'!AT45/la))</f>
        <v>0</v>
      </c>
      <c r="AR46" s="45">
        <f>IF('Data Bonds'!AU45=0,0,theta0+(theta1+theta2)*(1-EXP(-'Data Bonds'!AU45/la))/('Data Bonds'!AU45/la)-theta2*EXP(-'Data Bonds'!AU45/la))</f>
        <v>0</v>
      </c>
      <c r="AS46" s="45">
        <f>IF('Data Bonds'!AV45=0,0,theta0+(theta1+theta2)*(1-EXP(-'Data Bonds'!AV45/la))/('Data Bonds'!AV45/la)-theta2*EXP(-'Data Bonds'!AV45/la))</f>
        <v>0</v>
      </c>
      <c r="AT46" s="45">
        <f>IF('Data Bonds'!AW45=0,0,theta0+(theta1+theta2)*(1-EXP(-'Data Bonds'!AW45/la))/('Data Bonds'!AW45/la)-theta2*EXP(-'Data Bonds'!AW45/la))</f>
        <v>0</v>
      </c>
      <c r="AU46" s="45">
        <f>IF('Data Bonds'!AX45=0,0,theta0+(theta1+theta2)*(1-EXP(-'Data Bonds'!AX45/la))/('Data Bonds'!AX45/la)-theta2*EXP(-'Data Bonds'!AX45/la))</f>
        <v>0</v>
      </c>
      <c r="AV46" s="45">
        <f>IF('Data Bonds'!AY45=0,0,theta0+(theta1+theta2)*(1-EXP(-'Data Bonds'!AY45/la))/('Data Bonds'!AY45/la)-theta2*EXP(-'Data Bonds'!AY45/la))</f>
        <v>0</v>
      </c>
      <c r="AW46" s="45">
        <f>IF('Data Bonds'!AZ45=0,0,theta0+(theta1+theta2)*(1-EXP(-'Data Bonds'!AZ45/la))/('Data Bonds'!AZ45/la)-theta2*EXP(-'Data Bonds'!AZ45/la))</f>
        <v>0</v>
      </c>
      <c r="AX46" s="45">
        <f>IF('Data Bonds'!BA45=0,0,theta0+(theta1+theta2)*(1-EXP(-'Data Bonds'!BA45/la))/('Data Bonds'!BA45/la)-theta2*EXP(-'Data Bonds'!BA45/la))</f>
        <v>0</v>
      </c>
      <c r="AY46" s="45">
        <f>IF('Data Bonds'!BB45=0,0,theta0+(theta1+theta2)*(1-EXP(-'Data Bonds'!BB45/la))/('Data Bonds'!BB45/la)-theta2*EXP(-'Data Bonds'!BB45/la))</f>
        <v>0</v>
      </c>
      <c r="AZ46" s="45">
        <f>IF('Data Bonds'!BC45=0,0,theta0+(theta1+theta2)*(1-EXP(-'Data Bonds'!BC45/la))/('Data Bonds'!BC45/la)-theta2*EXP(-'Data Bonds'!BC45/la))</f>
        <v>0</v>
      </c>
      <c r="BA46" s="45">
        <f>IF('Data Bonds'!BD45=0,0,theta0+(theta1+theta2)*(1-EXP(-'Data Bonds'!BD45/la))/('Data Bonds'!BD45/la)-theta2*EXP(-'Data Bonds'!BD45/la))</f>
        <v>0</v>
      </c>
      <c r="BB46" s="45">
        <f>IF('Data Bonds'!BE45=0,0,theta0+(theta1+theta2)*(1-EXP(-'Data Bonds'!BE45/la))/('Data Bonds'!BE45/la)-theta2*EXP(-'Data Bonds'!BE45/la))</f>
        <v>0</v>
      </c>
      <c r="BC46" s="45">
        <f>IF('Data Bonds'!BF45=0,0,theta0+(theta1+theta2)*(1-EXP(-'Data Bonds'!BF45/la))/('Data Bonds'!BF45/la)-theta2*EXP(-'Data Bonds'!BF45/la))</f>
        <v>0</v>
      </c>
      <c r="BD46" s="45">
        <f>IF('Data Bonds'!BG45=0,0,theta0+(theta1+theta2)*(1-EXP(-'Data Bonds'!BG45/la))/('Data Bonds'!BG45/la)-theta2*EXP(-'Data Bonds'!BG45/la))</f>
        <v>0</v>
      </c>
      <c r="BE46" s="45">
        <f>IF('Data Bonds'!BH45=0,0,theta0+(theta1+theta2)*(1-EXP(-'Data Bonds'!BH45/la))/('Data Bonds'!BH45/la)-theta2*EXP(-'Data Bonds'!BH45/la))</f>
        <v>0</v>
      </c>
      <c r="BF46" s="45">
        <f>IF('Data Bonds'!BI45=0,0,theta0+(theta1+theta2)*(1-EXP(-'Data Bonds'!BI45/la))/('Data Bonds'!BI45/la)-theta2*EXP(-'Data Bonds'!BI45/la))</f>
        <v>0</v>
      </c>
      <c r="BG46" s="45">
        <f>IF('Data Bonds'!BJ45=0,0,theta0+(theta1+theta2)*(1-EXP(-'Data Bonds'!BJ45/la))/('Data Bonds'!BJ45/la)-theta2*EXP(-'Data Bonds'!BJ45/la))</f>
        <v>0</v>
      </c>
      <c r="BH46" s="45">
        <f>IF('Data Bonds'!BK45=0,0,theta0+(theta1+theta2)*(1-EXP(-'Data Bonds'!BK45/la))/('Data Bonds'!BK45/la)-theta2*EXP(-'Data Bonds'!BK45/la))</f>
        <v>0</v>
      </c>
      <c r="BI46" s="45">
        <f>IF('Data Bonds'!BL45=0,0,theta0+(theta1+theta2)*(1-EXP(-'Data Bonds'!BL45/la))/('Data Bonds'!BL45/la)-theta2*EXP(-'Data Bonds'!BL45/la))</f>
        <v>0</v>
      </c>
      <c r="BJ46" s="45">
        <f>IF('Data Bonds'!BM45=0,0,theta0+(theta1+theta2)*(1-EXP(-'Data Bonds'!BM45/la))/('Data Bonds'!BM45/la)-theta2*EXP(-'Data Bonds'!BM45/la))</f>
        <v>0</v>
      </c>
      <c r="BK46" s="45">
        <f>IF('Data Bonds'!BN45=0,0,theta0+(theta1+theta2)*(1-EXP(-'Data Bonds'!BN45/la))/('Data Bonds'!BN45/la)-theta2*EXP(-'Data Bonds'!BN45/la))</f>
        <v>0</v>
      </c>
      <c r="BL46" s="45">
        <f>IF('Data Bonds'!BO45=0,0,theta0+(theta1+theta2)*(1-EXP(-'Data Bonds'!BO45/la))/('Data Bonds'!BO45/la)-theta2*EXP(-'Data Bonds'!BO45/la))</f>
        <v>0</v>
      </c>
      <c r="BM46" s="45">
        <f>IF('Data Bonds'!BP45=0,0,theta0+(theta1+theta2)*(1-EXP(-'Data Bonds'!BP45/la))/('Data Bonds'!BP45/la)-theta2*EXP(-'Data Bonds'!BP45/la))</f>
        <v>0</v>
      </c>
      <c r="BN46" s="45">
        <f>IF('Data Bonds'!BQ45=0,0,theta0+(theta1+theta2)*(1-EXP(-'Data Bonds'!BQ45/la))/('Data Bonds'!BQ45/la)-theta2*EXP(-'Data Bonds'!BQ45/la))</f>
        <v>0</v>
      </c>
      <c r="BO46" s="45">
        <f>IF('Data Bonds'!BR45=0,0,theta0+(theta1+theta2)*(1-EXP(-'Data Bonds'!BR45/la))/('Data Bonds'!BR45/la)-theta2*EXP(-'Data Bonds'!BR45/la))</f>
        <v>0</v>
      </c>
      <c r="BP46" s="38">
        <f>EXP(-'Data Bonds'!K45*H46)</f>
        <v>0.99030095386253514</v>
      </c>
      <c r="BQ46" s="38">
        <f>EXP(-'Data Bonds'!L45*I46)</f>
        <v>0.96596142383001249</v>
      </c>
      <c r="BR46" s="38">
        <f>EXP(-'Data Bonds'!M45*J46)</f>
        <v>0.94276024382077384</v>
      </c>
      <c r="BS46" s="38">
        <f>EXP(-'Data Bonds'!N45*K46)</f>
        <v>0.92013309652437447</v>
      </c>
      <c r="BT46" s="38">
        <f>EXP(-'Data Bonds'!O45*L46)</f>
        <v>0.8978301597681585</v>
      </c>
      <c r="BU46" s="38">
        <f>EXP(-'Data Bonds'!P45*M46)</f>
        <v>0.8757679623727499</v>
      </c>
      <c r="BV46" s="38">
        <f>EXP(-'Data Bonds'!Q45*N46)</f>
        <v>0.85394508705932803</v>
      </c>
      <c r="BW46" s="38">
        <f>EXP(-'Data Bonds'!R45*O46)</f>
        <v>0.83239541980118914</v>
      </c>
      <c r="BX46" s="38">
        <f>EXP(-'Data Bonds'!S45*P46)</f>
        <v>0.81116332561828708</v>
      </c>
      <c r="BY46" s="38">
        <f>EXP(-'Data Bonds'!T45*Q46)</f>
        <v>0.79029139660492453</v>
      </c>
      <c r="BZ46" s="38">
        <f>EXP(-'Data Bonds'!U45*R46)</f>
        <v>0.76981519641342533</v>
      </c>
      <c r="CA46" s="38">
        <f>EXP(-'Data Bonds'!V45*S46)</f>
        <v>0.74976172414671449</v>
      </c>
      <c r="CB46" s="38">
        <f>EXP(-'Data Bonds'!W45*T46)</f>
        <v>0.73014971419213559</v>
      </c>
      <c r="CC46" s="38">
        <f>EXP(-'Data Bonds'!X45*U46)</f>
        <v>0.71099072354814263</v>
      </c>
      <c r="CD46" s="38">
        <f>EXP(-'Data Bonds'!Y45*V46)</f>
        <v>0.69229044963946051</v>
      </c>
      <c r="CE46" s="38">
        <f>EXP(-'Data Bonds'!Z45*W46)</f>
        <v>0.67405000392176173</v>
      </c>
      <c r="CF46" s="38">
        <f>EXP(-'Data Bonds'!AA45*X46)</f>
        <v>0.65626702351290833</v>
      </c>
      <c r="CG46" s="38">
        <f>EXP(-'Data Bonds'!AB45*Y46)</f>
        <v>0.63893658633137096</v>
      </c>
      <c r="CH46" s="38">
        <f>EXP(-'Data Bonds'!AC45*Z46)</f>
        <v>0.62205193621476651</v>
      </c>
      <c r="CI46" s="38">
        <f>EXP(-'Data Bonds'!AD45*AA46)</f>
        <v>0.60560504204345178</v>
      </c>
      <c r="CJ46" s="38">
        <f>EXP(-'Data Bonds'!AE45*AB46)</f>
        <v>0.58958702003626717</v>
      </c>
      <c r="CK46" s="38">
        <f>EXP(-'Data Bonds'!AF45*AC46)</f>
        <v>0.57398844742708199</v>
      </c>
      <c r="CL46" s="38">
        <f>EXP(-'Data Bonds'!AG45*AD46)</f>
        <v>0.55879959216452202</v>
      </c>
      <c r="CM46" s="38">
        <f>EXP(-'Data Bonds'!AH45*AE46)</f>
        <v>0.54401057894878535</v>
      </c>
      <c r="CN46" s="38">
        <f>EXP(-'Data Bonds'!AI45*AF46)</f>
        <v>0.52961150773453602</v>
      </c>
      <c r="CO46" s="38">
        <f>EXP(-'Data Bonds'!AJ45*AG46)</f>
        <v>0.51559253717395914</v>
      </c>
      <c r="CP46" s="38">
        <f>EXP(-'Data Bonds'!AK45*AH46)</f>
        <v>0.50194394246170126</v>
      </c>
      <c r="CQ46" s="38">
        <f>EXP(-'Data Bonds'!AL45*AI46)</f>
        <v>0.48865615465192236</v>
      </c>
      <c r="CR46" s="38">
        <f>EXP(-'Data Bonds'!AM45*AJ46)</f>
        <v>0.4757197866682138</v>
      </c>
      <c r="CS46" s="38">
        <f>EXP(-'Data Bonds'!AN45*AK46)</f>
        <v>0.46312564982427568</v>
      </c>
      <c r="CT46" s="38">
        <f>EXP(-'Data Bonds'!AO45*AL46)</f>
        <v>0.45086476362489408</v>
      </c>
      <c r="CU46" s="38">
        <f>EXP(-'Data Bonds'!AP45*AM46)</f>
        <v>1</v>
      </c>
      <c r="CV46" s="38">
        <f>EXP(-'Data Bonds'!AQ45*AN46)</f>
        <v>1</v>
      </c>
      <c r="CW46" s="38">
        <f>EXP(-'Data Bonds'!AR45*AO46)</f>
        <v>1</v>
      </c>
      <c r="CX46" s="38">
        <f>EXP(-'Data Bonds'!AS45*AP46)</f>
        <v>1</v>
      </c>
      <c r="CY46" s="38">
        <f>EXP(-'Data Bonds'!AT45*AQ46)</f>
        <v>1</v>
      </c>
      <c r="CZ46" s="38">
        <f>EXP(-'Data Bonds'!AU45*AR46)</f>
        <v>1</v>
      </c>
      <c r="DA46" s="38">
        <f>EXP(-'Data Bonds'!AV45*AS46)</f>
        <v>1</v>
      </c>
      <c r="DB46" s="38">
        <f>EXP(-'Data Bonds'!AW45*AT46)</f>
        <v>1</v>
      </c>
      <c r="DC46" s="38">
        <f>EXP(-'Data Bonds'!AX45*AU46)</f>
        <v>1</v>
      </c>
      <c r="DD46" s="38">
        <f>EXP(-'Data Bonds'!AY45*AV46)</f>
        <v>1</v>
      </c>
      <c r="DE46" s="38">
        <f>EXP(-'Data Bonds'!AZ45*AW46)</f>
        <v>1</v>
      </c>
      <c r="DF46" s="38">
        <f>EXP(-'Data Bonds'!BA45*AX46)</f>
        <v>1</v>
      </c>
      <c r="DG46" s="38">
        <f>EXP(-'Data Bonds'!BB45*AY46)</f>
        <v>1</v>
      </c>
      <c r="DH46" s="38">
        <f>EXP(-'Data Bonds'!BC45*AZ46)</f>
        <v>1</v>
      </c>
      <c r="DI46" s="38">
        <f>EXP(-'Data Bonds'!BD45*BA46)</f>
        <v>1</v>
      </c>
      <c r="DJ46" s="38">
        <f>EXP(-'Data Bonds'!BE45*BB46)</f>
        <v>1</v>
      </c>
      <c r="DK46" s="38">
        <f>EXP(-'Data Bonds'!BF45*BC46)</f>
        <v>1</v>
      </c>
      <c r="DL46" s="38">
        <f>EXP(-'Data Bonds'!BG45*BD46)</f>
        <v>1</v>
      </c>
      <c r="DM46" s="38">
        <f>EXP(-'Data Bonds'!BH45*BE46)</f>
        <v>1</v>
      </c>
      <c r="DN46" s="38">
        <f>EXP(-'Data Bonds'!BI45*BF46)</f>
        <v>1</v>
      </c>
      <c r="DO46" s="38">
        <f>EXP(-'Data Bonds'!BJ45*BG46)</f>
        <v>1</v>
      </c>
      <c r="DP46" s="38">
        <f>EXP(-'Data Bonds'!BK45*BH46)</f>
        <v>1</v>
      </c>
      <c r="DQ46" s="38">
        <f>EXP(-'Data Bonds'!BL45*BI46)</f>
        <v>1</v>
      </c>
      <c r="DR46" s="38">
        <f>EXP(-'Data Bonds'!BM45*BJ46)</f>
        <v>1</v>
      </c>
      <c r="DS46" s="38">
        <f>EXP(-'Data Bonds'!BN45*BK46)</f>
        <v>1</v>
      </c>
      <c r="DT46" s="38">
        <f>EXP(-'Data Bonds'!BO45*BL46)</f>
        <v>1</v>
      </c>
      <c r="DU46" s="38">
        <f>EXP(-'Data Bonds'!BP45*BM46)</f>
        <v>1</v>
      </c>
      <c r="DV46" s="38">
        <f>EXP(-'Data Bonds'!BQ45*BN46)</f>
        <v>1</v>
      </c>
      <c r="DW46" s="38">
        <f>EXP(-'Data Bonds'!BR45*BO46)</f>
        <v>1</v>
      </c>
      <c r="DX46" s="28">
        <f>SUMPRODUCT(BP46:DW46,'Data Bonds'!BU45:EB45)</f>
        <v>122.74255836853143</v>
      </c>
      <c r="DY46" s="28">
        <f t="shared" si="5"/>
        <v>0.39391667162087823</v>
      </c>
      <c r="EA46" s="33">
        <f t="shared" si="6"/>
        <v>17.5</v>
      </c>
      <c r="EB46" s="29">
        <f t="shared" si="8"/>
        <v>5.2606223468212011E-2</v>
      </c>
      <c r="EC46" s="29">
        <f t="shared" si="9"/>
        <v>0.39827645244365489</v>
      </c>
      <c r="ED46" s="29">
        <f t="shared" si="7"/>
        <v>5.3663345485610137E-2</v>
      </c>
      <c r="EF46" s="32"/>
      <c r="EG46" s="32"/>
      <c r="EI46" s="34"/>
    </row>
    <row r="47" spans="2:139">
      <c r="B47" s="27">
        <f>'Data Bonds'!E46</f>
        <v>7.125</v>
      </c>
      <c r="C47" s="27">
        <f>'Data Bonds'!F46</f>
        <v>118.859375</v>
      </c>
      <c r="D47" s="27">
        <f>'Data Bonds'!G46</f>
        <v>118.921875</v>
      </c>
      <c r="E47" s="27">
        <f>'Data Bonds'!I46</f>
        <v>2.2166666666666668</v>
      </c>
      <c r="F47" s="40">
        <f>'Data Bonds'!H46</f>
        <v>15.688888888888888</v>
      </c>
      <c r="G47" s="28">
        <f t="shared" si="4"/>
        <v>121.10729166666667</v>
      </c>
      <c r="H47" s="45">
        <f>IF('Data Bonds'!K46=0,0,theta0+(theta1+theta2)*(1-EXP(-'Data Bonds'!K46/la))/('Data Bonds'!K46/la)-theta2*EXP(-'Data Bonds'!K46/la))</f>
        <v>5.1598526027898411E-2</v>
      </c>
      <c r="I47" s="45">
        <f>IF('Data Bonds'!L46=0,0,theta0+(theta1+theta2)*(1-EXP(-'Data Bonds'!L46/la))/('Data Bonds'!L46/la)-theta2*EXP(-'Data Bonds'!L46/la))</f>
        <v>5.0271357324748023E-2</v>
      </c>
      <c r="J47" s="45">
        <f>IF('Data Bonds'!M46=0,0,theta0+(theta1+theta2)*(1-EXP(-'Data Bonds'!M46/la))/('Data Bonds'!M46/la)-theta2*EXP(-'Data Bonds'!M46/la))</f>
        <v>4.9578457297749672E-2</v>
      </c>
      <c r="K47" s="45">
        <f>IF('Data Bonds'!N46=0,0,theta0+(theta1+theta2)*(1-EXP(-'Data Bonds'!N46/la))/('Data Bonds'!N46/la)-theta2*EXP(-'Data Bonds'!N46/la))</f>
        <v>4.9285035750538553E-2</v>
      </c>
      <c r="L47" s="45">
        <f>IF('Data Bonds'!O46=0,0,theta0+(theta1+theta2)*(1-EXP(-'Data Bonds'!O46/la))/('Data Bonds'!O46/la)-theta2*EXP(-'Data Bonds'!O46/la))</f>
        <v>4.9237017363447266E-2</v>
      </c>
      <c r="M47" s="45">
        <f>IF('Data Bonds'!P46=0,0,theta0+(theta1+theta2)*(1-EXP(-'Data Bonds'!P46/la))/('Data Bonds'!P46/la)-theta2*EXP(-'Data Bonds'!P46/la))</f>
        <v>4.9334171753160738E-2</v>
      </c>
      <c r="N47" s="45">
        <f>IF('Data Bonds'!Q46=0,0,theta0+(theta1+theta2)*(1-EXP(-'Data Bonds'!Q46/la))/('Data Bonds'!Q46/la)-theta2*EXP(-'Data Bonds'!Q46/la))</f>
        <v>4.9512038088999483E-2</v>
      </c>
      <c r="O47" s="45">
        <f>IF('Data Bonds'!R46=0,0,theta0+(theta1+theta2)*(1-EXP(-'Data Bonds'!R46/la))/('Data Bonds'!R46/la)-theta2*EXP(-'Data Bonds'!R46/la))</f>
        <v>4.9729794635889335E-2</v>
      </c>
      <c r="P47" s="45">
        <f>IF('Data Bonds'!S46=0,0,theta0+(theta1+theta2)*(1-EXP(-'Data Bonds'!S46/la))/('Data Bonds'!S46/la)-theta2*EXP(-'Data Bonds'!S46/la))</f>
        <v>4.9962140977046696E-2</v>
      </c>
      <c r="Q47" s="45">
        <f>IF('Data Bonds'!T46=0,0,theta0+(theta1+theta2)*(1-EXP(-'Data Bonds'!T46/la))/('Data Bonds'!T46/la)-theta2*EXP(-'Data Bonds'!T46/la))</f>
        <v>5.0193884019659962E-2</v>
      </c>
      <c r="R47" s="45">
        <f>IF('Data Bonds'!U46=0,0,theta0+(theta1+theta2)*(1-EXP(-'Data Bonds'!U46/la))/('Data Bonds'!U46/la)-theta2*EXP(-'Data Bonds'!U46/la))</f>
        <v>5.0416342149512058E-2</v>
      </c>
      <c r="S47" s="45">
        <f>IF('Data Bonds'!V46=0,0,theta0+(theta1+theta2)*(1-EXP(-'Data Bonds'!V46/la))/('Data Bonds'!V46/la)-theta2*EXP(-'Data Bonds'!V46/la))</f>
        <v>5.0624969074311257E-2</v>
      </c>
      <c r="T47" s="45">
        <f>IF('Data Bonds'!W46=0,0,theta0+(theta1+theta2)*(1-EXP(-'Data Bonds'!W46/la))/('Data Bonds'!W46/la)-theta2*EXP(-'Data Bonds'!W46/la))</f>
        <v>5.0817793561872729E-2</v>
      </c>
      <c r="U47" s="45">
        <f>IF('Data Bonds'!X46=0,0,theta0+(theta1+theta2)*(1-EXP(-'Data Bonds'!X46/la))/('Data Bonds'!X46/la)-theta2*EXP(-'Data Bonds'!X46/la))</f>
        <v>5.0994403103277734E-2</v>
      </c>
      <c r="V47" s="45">
        <f>IF('Data Bonds'!Y46=0,0,theta0+(theta1+theta2)*(1-EXP(-'Data Bonds'!Y46/la))/('Data Bonds'!Y46/la)-theta2*EXP(-'Data Bonds'!Y46/la))</f>
        <v>5.1155288695615496E-2</v>
      </c>
      <c r="W47" s="45">
        <f>IF('Data Bonds'!Z46=0,0,theta0+(theta1+theta2)*(1-EXP(-'Data Bonds'!Z46/la))/('Data Bonds'!Z46/la)-theta2*EXP(-'Data Bonds'!Z46/la))</f>
        <v>5.1301428168232986E-2</v>
      </c>
      <c r="X47" s="45">
        <f>IF('Data Bonds'!AA46=0,0,theta0+(theta1+theta2)*(1-EXP(-'Data Bonds'!AA46/la))/('Data Bonds'!AA46/la)-theta2*EXP(-'Data Bonds'!AA46/la))</f>
        <v>5.1434026097624264E-2</v>
      </c>
      <c r="Y47" s="45">
        <f>IF('Data Bonds'!AB46=0,0,theta0+(theta1+theta2)*(1-EXP(-'Data Bonds'!AB46/la))/('Data Bonds'!AB46/la)-theta2*EXP(-'Data Bonds'!AB46/la))</f>
        <v>5.1554355703636381E-2</v>
      </c>
      <c r="Z47" s="45">
        <f>IF('Data Bonds'!AC46=0,0,theta0+(theta1+theta2)*(1-EXP(-'Data Bonds'!AC46/la))/('Data Bonds'!AC46/la)-theta2*EXP(-'Data Bonds'!AC46/la))</f>
        <v>5.1663666492393567E-2</v>
      </c>
      <c r="AA47" s="45">
        <f>IF('Data Bonds'!AD46=0,0,theta0+(theta1+theta2)*(1-EXP(-'Data Bonds'!AD46/la))/('Data Bonds'!AD46/la)-theta2*EXP(-'Data Bonds'!AD46/la))</f>
        <v>5.1763133724185395E-2</v>
      </c>
      <c r="AB47" s="45">
        <f>IF('Data Bonds'!AE46=0,0,theta0+(theta1+theta2)*(1-EXP(-'Data Bonds'!AE46/la))/('Data Bonds'!AE46/la)-theta2*EXP(-'Data Bonds'!AE46/la))</f>
        <v>5.1853834012200901E-2</v>
      </c>
      <c r="AC47" s="45">
        <f>IF('Data Bonds'!AF46=0,0,theta0+(theta1+theta2)*(1-EXP(-'Data Bonds'!AF46/la))/('Data Bonds'!AF46/la)-theta2*EXP(-'Data Bonds'!AF46/la))</f>
        <v>5.1936736836682804E-2</v>
      </c>
      <c r="AD47" s="45">
        <f>IF('Data Bonds'!AG46=0,0,theta0+(theta1+theta2)*(1-EXP(-'Data Bonds'!AG46/la))/('Data Bonds'!AG46/la)-theta2*EXP(-'Data Bonds'!AG46/la))</f>
        <v>5.2012705391962649E-2</v>
      </c>
      <c r="AE47" s="45">
        <f>IF('Data Bonds'!AH46=0,0,theta0+(theta1+theta2)*(1-EXP(-'Data Bonds'!AH46/la))/('Data Bonds'!AH46/la)-theta2*EXP(-'Data Bonds'!AH46/la))</f>
        <v>5.2082502580458233E-2</v>
      </c>
      <c r="AF47" s="45">
        <f>IF('Data Bonds'!AI46=0,0,theta0+(theta1+theta2)*(1-EXP(-'Data Bonds'!AI46/la))/('Data Bonds'!AI46/la)-theta2*EXP(-'Data Bonds'!AI46/la))</f>
        <v>5.2146799538785205E-2</v>
      </c>
      <c r="AG47" s="45">
        <f>IF('Data Bonds'!AJ46=0,0,theta0+(theta1+theta2)*(1-EXP(-'Data Bonds'!AJ46/la))/('Data Bonds'!AJ46/la)-theta2*EXP(-'Data Bonds'!AJ46/la))</f>
        <v>5.2206185102880893E-2</v>
      </c>
      <c r="AH47" s="45">
        <f>IF('Data Bonds'!AK46=0,0,theta0+(theta1+theta2)*(1-EXP(-'Data Bonds'!AK46/la))/('Data Bonds'!AK46/la)-theta2*EXP(-'Data Bonds'!AK46/la))</f>
        <v>5.2261175276823613E-2</v>
      </c>
      <c r="AI47" s="45">
        <f>IF('Data Bonds'!AL46=0,0,theta0+(theta1+theta2)*(1-EXP(-'Data Bonds'!AL46/la))/('Data Bonds'!AL46/la)-theta2*EXP(-'Data Bonds'!AL46/la))</f>
        <v>5.2312222187925556E-2</v>
      </c>
      <c r="AJ47" s="45">
        <f>IF('Data Bonds'!AM46=0,0,theta0+(theta1+theta2)*(1-EXP(-'Data Bonds'!AM46/la))/('Data Bonds'!AM46/la)-theta2*EXP(-'Data Bonds'!AM46/la))</f>
        <v>5.2359722271472377E-2</v>
      </c>
      <c r="AK47" s="45">
        <f>IF('Data Bonds'!AN46=0,0,theta0+(theta1+theta2)*(1-EXP(-'Data Bonds'!AN46/la))/('Data Bonds'!AN46/la)-theta2*EXP(-'Data Bonds'!AN46/la))</f>
        <v>5.240402358722291E-2</v>
      </c>
      <c r="AL47" s="45">
        <f>IF('Data Bonds'!AO46=0,0,theta0+(theta1+theta2)*(1-EXP(-'Data Bonds'!AO46/la))/('Data Bonds'!AO46/la)-theta2*EXP(-'Data Bonds'!AO46/la))</f>
        <v>5.2445432262903005E-2</v>
      </c>
      <c r="AM47" s="45">
        <f>IF('Data Bonds'!AP46=0,0,theta0+(theta1+theta2)*(1-EXP(-'Data Bonds'!AP46/la))/('Data Bonds'!AP46/la)-theta2*EXP(-'Data Bonds'!AP46/la))</f>
        <v>5.2484218111421725E-2</v>
      </c>
      <c r="AN47" s="45">
        <f>IF('Data Bonds'!AQ46=0,0,theta0+(theta1+theta2)*(1-EXP(-'Data Bonds'!AQ46/la))/('Data Bonds'!AQ46/la)-theta2*EXP(-'Data Bonds'!AQ46/la))</f>
        <v>0</v>
      </c>
      <c r="AO47" s="45">
        <f>IF('Data Bonds'!AR46=0,0,theta0+(theta1+theta2)*(1-EXP(-'Data Bonds'!AR46/la))/('Data Bonds'!AR46/la)-theta2*EXP(-'Data Bonds'!AR46/la))</f>
        <v>0</v>
      </c>
      <c r="AP47" s="45">
        <f>IF('Data Bonds'!AS46=0,0,theta0+(theta1+theta2)*(1-EXP(-'Data Bonds'!AS46/la))/('Data Bonds'!AS46/la)-theta2*EXP(-'Data Bonds'!AS46/la))</f>
        <v>0</v>
      </c>
      <c r="AQ47" s="45">
        <f>IF('Data Bonds'!AT46=0,0,theta0+(theta1+theta2)*(1-EXP(-'Data Bonds'!AT46/la))/('Data Bonds'!AT46/la)-theta2*EXP(-'Data Bonds'!AT46/la))</f>
        <v>0</v>
      </c>
      <c r="AR47" s="45">
        <f>IF('Data Bonds'!AU46=0,0,theta0+(theta1+theta2)*(1-EXP(-'Data Bonds'!AU46/la))/('Data Bonds'!AU46/la)-theta2*EXP(-'Data Bonds'!AU46/la))</f>
        <v>0</v>
      </c>
      <c r="AS47" s="45">
        <f>IF('Data Bonds'!AV46=0,0,theta0+(theta1+theta2)*(1-EXP(-'Data Bonds'!AV46/la))/('Data Bonds'!AV46/la)-theta2*EXP(-'Data Bonds'!AV46/la))</f>
        <v>0</v>
      </c>
      <c r="AT47" s="45">
        <f>IF('Data Bonds'!AW46=0,0,theta0+(theta1+theta2)*(1-EXP(-'Data Bonds'!AW46/la))/('Data Bonds'!AW46/la)-theta2*EXP(-'Data Bonds'!AW46/la))</f>
        <v>0</v>
      </c>
      <c r="AU47" s="45">
        <f>IF('Data Bonds'!AX46=0,0,theta0+(theta1+theta2)*(1-EXP(-'Data Bonds'!AX46/la))/('Data Bonds'!AX46/la)-theta2*EXP(-'Data Bonds'!AX46/la))</f>
        <v>0</v>
      </c>
      <c r="AV47" s="45">
        <f>IF('Data Bonds'!AY46=0,0,theta0+(theta1+theta2)*(1-EXP(-'Data Bonds'!AY46/la))/('Data Bonds'!AY46/la)-theta2*EXP(-'Data Bonds'!AY46/la))</f>
        <v>0</v>
      </c>
      <c r="AW47" s="45">
        <f>IF('Data Bonds'!AZ46=0,0,theta0+(theta1+theta2)*(1-EXP(-'Data Bonds'!AZ46/la))/('Data Bonds'!AZ46/la)-theta2*EXP(-'Data Bonds'!AZ46/la))</f>
        <v>0</v>
      </c>
      <c r="AX47" s="45">
        <f>IF('Data Bonds'!BA46=0,0,theta0+(theta1+theta2)*(1-EXP(-'Data Bonds'!BA46/la))/('Data Bonds'!BA46/la)-theta2*EXP(-'Data Bonds'!BA46/la))</f>
        <v>0</v>
      </c>
      <c r="AY47" s="45">
        <f>IF('Data Bonds'!BB46=0,0,theta0+(theta1+theta2)*(1-EXP(-'Data Bonds'!BB46/la))/('Data Bonds'!BB46/la)-theta2*EXP(-'Data Bonds'!BB46/la))</f>
        <v>0</v>
      </c>
      <c r="AZ47" s="45">
        <f>IF('Data Bonds'!BC46=0,0,theta0+(theta1+theta2)*(1-EXP(-'Data Bonds'!BC46/la))/('Data Bonds'!BC46/la)-theta2*EXP(-'Data Bonds'!BC46/la))</f>
        <v>0</v>
      </c>
      <c r="BA47" s="45">
        <f>IF('Data Bonds'!BD46=0,0,theta0+(theta1+theta2)*(1-EXP(-'Data Bonds'!BD46/la))/('Data Bonds'!BD46/la)-theta2*EXP(-'Data Bonds'!BD46/la))</f>
        <v>0</v>
      </c>
      <c r="BB47" s="45">
        <f>IF('Data Bonds'!BE46=0,0,theta0+(theta1+theta2)*(1-EXP(-'Data Bonds'!BE46/la))/('Data Bonds'!BE46/la)-theta2*EXP(-'Data Bonds'!BE46/la))</f>
        <v>0</v>
      </c>
      <c r="BC47" s="45">
        <f>IF('Data Bonds'!BF46=0,0,theta0+(theta1+theta2)*(1-EXP(-'Data Bonds'!BF46/la))/('Data Bonds'!BF46/la)-theta2*EXP(-'Data Bonds'!BF46/la))</f>
        <v>0</v>
      </c>
      <c r="BD47" s="45">
        <f>IF('Data Bonds'!BG46=0,0,theta0+(theta1+theta2)*(1-EXP(-'Data Bonds'!BG46/la))/('Data Bonds'!BG46/la)-theta2*EXP(-'Data Bonds'!BG46/la))</f>
        <v>0</v>
      </c>
      <c r="BE47" s="45">
        <f>IF('Data Bonds'!BH46=0,0,theta0+(theta1+theta2)*(1-EXP(-'Data Bonds'!BH46/la))/('Data Bonds'!BH46/la)-theta2*EXP(-'Data Bonds'!BH46/la))</f>
        <v>0</v>
      </c>
      <c r="BF47" s="45">
        <f>IF('Data Bonds'!BI46=0,0,theta0+(theta1+theta2)*(1-EXP(-'Data Bonds'!BI46/la))/('Data Bonds'!BI46/la)-theta2*EXP(-'Data Bonds'!BI46/la))</f>
        <v>0</v>
      </c>
      <c r="BG47" s="45">
        <f>IF('Data Bonds'!BJ46=0,0,theta0+(theta1+theta2)*(1-EXP(-'Data Bonds'!BJ46/la))/('Data Bonds'!BJ46/la)-theta2*EXP(-'Data Bonds'!BJ46/la))</f>
        <v>0</v>
      </c>
      <c r="BH47" s="45">
        <f>IF('Data Bonds'!BK46=0,0,theta0+(theta1+theta2)*(1-EXP(-'Data Bonds'!BK46/la))/('Data Bonds'!BK46/la)-theta2*EXP(-'Data Bonds'!BK46/la))</f>
        <v>0</v>
      </c>
      <c r="BI47" s="45">
        <f>IF('Data Bonds'!BL46=0,0,theta0+(theta1+theta2)*(1-EXP(-'Data Bonds'!BL46/la))/('Data Bonds'!BL46/la)-theta2*EXP(-'Data Bonds'!BL46/la))</f>
        <v>0</v>
      </c>
      <c r="BJ47" s="45">
        <f>IF('Data Bonds'!BM46=0,0,theta0+(theta1+theta2)*(1-EXP(-'Data Bonds'!BM46/la))/('Data Bonds'!BM46/la)-theta2*EXP(-'Data Bonds'!BM46/la))</f>
        <v>0</v>
      </c>
      <c r="BK47" s="45">
        <f>IF('Data Bonds'!BN46=0,0,theta0+(theta1+theta2)*(1-EXP(-'Data Bonds'!BN46/la))/('Data Bonds'!BN46/la)-theta2*EXP(-'Data Bonds'!BN46/la))</f>
        <v>0</v>
      </c>
      <c r="BL47" s="45">
        <f>IF('Data Bonds'!BO46=0,0,theta0+(theta1+theta2)*(1-EXP(-'Data Bonds'!BO46/la))/('Data Bonds'!BO46/la)-theta2*EXP(-'Data Bonds'!BO46/la))</f>
        <v>0</v>
      </c>
      <c r="BM47" s="45">
        <f>IF('Data Bonds'!BP46=0,0,theta0+(theta1+theta2)*(1-EXP(-'Data Bonds'!BP46/la))/('Data Bonds'!BP46/la)-theta2*EXP(-'Data Bonds'!BP46/la))</f>
        <v>0</v>
      </c>
      <c r="BN47" s="45">
        <f>IF('Data Bonds'!BQ46=0,0,theta0+(theta1+theta2)*(1-EXP(-'Data Bonds'!BQ46/la))/('Data Bonds'!BQ46/la)-theta2*EXP(-'Data Bonds'!BQ46/la))</f>
        <v>0</v>
      </c>
      <c r="BO47" s="45">
        <f>IF('Data Bonds'!BR46=0,0,theta0+(theta1+theta2)*(1-EXP(-'Data Bonds'!BR46/la))/('Data Bonds'!BR46/la)-theta2*EXP(-'Data Bonds'!BR46/la))</f>
        <v>0</v>
      </c>
      <c r="BP47" s="38">
        <f>EXP(-'Data Bonds'!K46*H47)</f>
        <v>0.99030095386253514</v>
      </c>
      <c r="BQ47" s="38">
        <f>EXP(-'Data Bonds'!L46*I47)</f>
        <v>0.96596142383001249</v>
      </c>
      <c r="BR47" s="38">
        <f>EXP(-'Data Bonds'!M46*J47)</f>
        <v>0.94276024382077384</v>
      </c>
      <c r="BS47" s="38">
        <f>EXP(-'Data Bonds'!N46*K47)</f>
        <v>0.92013309652437447</v>
      </c>
      <c r="BT47" s="38">
        <f>EXP(-'Data Bonds'!O46*L47)</f>
        <v>0.8978301597681585</v>
      </c>
      <c r="BU47" s="38">
        <f>EXP(-'Data Bonds'!P46*M47)</f>
        <v>0.8757679623727499</v>
      </c>
      <c r="BV47" s="38">
        <f>EXP(-'Data Bonds'!Q46*N47)</f>
        <v>0.85394508705932803</v>
      </c>
      <c r="BW47" s="38">
        <f>EXP(-'Data Bonds'!R46*O47)</f>
        <v>0.83239541980118914</v>
      </c>
      <c r="BX47" s="38">
        <f>EXP(-'Data Bonds'!S46*P47)</f>
        <v>0.81116332561828708</v>
      </c>
      <c r="BY47" s="38">
        <f>EXP(-'Data Bonds'!T46*Q47)</f>
        <v>0.79029139660492453</v>
      </c>
      <c r="BZ47" s="38">
        <f>EXP(-'Data Bonds'!U46*R47)</f>
        <v>0.76981519641342533</v>
      </c>
      <c r="CA47" s="38">
        <f>EXP(-'Data Bonds'!V46*S47)</f>
        <v>0.74976172414671449</v>
      </c>
      <c r="CB47" s="38">
        <f>EXP(-'Data Bonds'!W46*T47)</f>
        <v>0.73014971419213559</v>
      </c>
      <c r="CC47" s="38">
        <f>EXP(-'Data Bonds'!X46*U47)</f>
        <v>0.71099072354814263</v>
      </c>
      <c r="CD47" s="38">
        <f>EXP(-'Data Bonds'!Y46*V47)</f>
        <v>0.69229044963946051</v>
      </c>
      <c r="CE47" s="38">
        <f>EXP(-'Data Bonds'!Z46*W47)</f>
        <v>0.67405000392176173</v>
      </c>
      <c r="CF47" s="38">
        <f>EXP(-'Data Bonds'!AA46*X47)</f>
        <v>0.65626702351290833</v>
      </c>
      <c r="CG47" s="38">
        <f>EXP(-'Data Bonds'!AB46*Y47)</f>
        <v>0.63893658633137096</v>
      </c>
      <c r="CH47" s="38">
        <f>EXP(-'Data Bonds'!AC46*Z47)</f>
        <v>0.62205193621476651</v>
      </c>
      <c r="CI47" s="38">
        <f>EXP(-'Data Bonds'!AD46*AA47)</f>
        <v>0.60560504204345178</v>
      </c>
      <c r="CJ47" s="38">
        <f>EXP(-'Data Bonds'!AE46*AB47)</f>
        <v>0.58958702003626717</v>
      </c>
      <c r="CK47" s="38">
        <f>EXP(-'Data Bonds'!AF46*AC47)</f>
        <v>0.57398844742708199</v>
      </c>
      <c r="CL47" s="38">
        <f>EXP(-'Data Bonds'!AG46*AD47)</f>
        <v>0.55879959216452202</v>
      </c>
      <c r="CM47" s="38">
        <f>EXP(-'Data Bonds'!AH46*AE47)</f>
        <v>0.54401057894878535</v>
      </c>
      <c r="CN47" s="38">
        <f>EXP(-'Data Bonds'!AI46*AF47)</f>
        <v>0.52961150773453602</v>
      </c>
      <c r="CO47" s="38">
        <f>EXP(-'Data Bonds'!AJ46*AG47)</f>
        <v>0.51559253717395914</v>
      </c>
      <c r="CP47" s="38">
        <f>EXP(-'Data Bonds'!AK46*AH47)</f>
        <v>0.50194394246170126</v>
      </c>
      <c r="CQ47" s="38">
        <f>EXP(-'Data Bonds'!AL46*AI47)</f>
        <v>0.48865615465192236</v>
      </c>
      <c r="CR47" s="38">
        <f>EXP(-'Data Bonds'!AM46*AJ47)</f>
        <v>0.4757197866682138</v>
      </c>
      <c r="CS47" s="38">
        <f>EXP(-'Data Bonds'!AN46*AK47)</f>
        <v>0.46312564982427568</v>
      </c>
      <c r="CT47" s="38">
        <f>EXP(-'Data Bonds'!AO46*AL47)</f>
        <v>0.45086476362489408</v>
      </c>
      <c r="CU47" s="38">
        <f>EXP(-'Data Bonds'!AP46*AM47)</f>
        <v>0.43892836084252473</v>
      </c>
      <c r="CV47" s="38">
        <f>EXP(-'Data Bonds'!AQ46*AN47)</f>
        <v>1</v>
      </c>
      <c r="CW47" s="38">
        <f>EXP(-'Data Bonds'!AR46*AO47)</f>
        <v>1</v>
      </c>
      <c r="CX47" s="38">
        <f>EXP(-'Data Bonds'!AS46*AP47)</f>
        <v>1</v>
      </c>
      <c r="CY47" s="38">
        <f>EXP(-'Data Bonds'!AT46*AQ47)</f>
        <v>1</v>
      </c>
      <c r="CZ47" s="38">
        <f>EXP(-'Data Bonds'!AU46*AR47)</f>
        <v>1</v>
      </c>
      <c r="DA47" s="38">
        <f>EXP(-'Data Bonds'!AV46*AS47)</f>
        <v>1</v>
      </c>
      <c r="DB47" s="38">
        <f>EXP(-'Data Bonds'!AW46*AT47)</f>
        <v>1</v>
      </c>
      <c r="DC47" s="38">
        <f>EXP(-'Data Bonds'!AX46*AU47)</f>
        <v>1</v>
      </c>
      <c r="DD47" s="38">
        <f>EXP(-'Data Bonds'!AY46*AV47)</f>
        <v>1</v>
      </c>
      <c r="DE47" s="38">
        <f>EXP(-'Data Bonds'!AZ46*AW47)</f>
        <v>1</v>
      </c>
      <c r="DF47" s="38">
        <f>EXP(-'Data Bonds'!BA46*AX47)</f>
        <v>1</v>
      </c>
      <c r="DG47" s="38">
        <f>EXP(-'Data Bonds'!BB46*AY47)</f>
        <v>1</v>
      </c>
      <c r="DH47" s="38">
        <f>EXP(-'Data Bonds'!BC46*AZ47)</f>
        <v>1</v>
      </c>
      <c r="DI47" s="38">
        <f>EXP(-'Data Bonds'!BD46*BA47)</f>
        <v>1</v>
      </c>
      <c r="DJ47" s="38">
        <f>EXP(-'Data Bonds'!BE46*BB47)</f>
        <v>1</v>
      </c>
      <c r="DK47" s="38">
        <f>EXP(-'Data Bonds'!BF46*BC47)</f>
        <v>1</v>
      </c>
      <c r="DL47" s="38">
        <f>EXP(-'Data Bonds'!BG46*BD47)</f>
        <v>1</v>
      </c>
      <c r="DM47" s="38">
        <f>EXP(-'Data Bonds'!BH46*BE47)</f>
        <v>1</v>
      </c>
      <c r="DN47" s="38">
        <f>EXP(-'Data Bonds'!BI46*BF47)</f>
        <v>1</v>
      </c>
      <c r="DO47" s="38">
        <f>EXP(-'Data Bonds'!BJ46*BG47)</f>
        <v>1</v>
      </c>
      <c r="DP47" s="38">
        <f>EXP(-'Data Bonds'!BK46*BH47)</f>
        <v>1</v>
      </c>
      <c r="DQ47" s="38">
        <f>EXP(-'Data Bonds'!BL46*BI47)</f>
        <v>1</v>
      </c>
      <c r="DR47" s="38">
        <f>EXP(-'Data Bonds'!BM46*BJ47)</f>
        <v>1</v>
      </c>
      <c r="DS47" s="38">
        <f>EXP(-'Data Bonds'!BN46*BK47)</f>
        <v>1</v>
      </c>
      <c r="DT47" s="38">
        <f>EXP(-'Data Bonds'!BO46*BL47)</f>
        <v>1</v>
      </c>
      <c r="DU47" s="38">
        <f>EXP(-'Data Bonds'!BP46*BM47)</f>
        <v>1</v>
      </c>
      <c r="DV47" s="38">
        <f>EXP(-'Data Bonds'!BQ46*BN47)</f>
        <v>1</v>
      </c>
      <c r="DW47" s="38">
        <f>EXP(-'Data Bonds'!BR46*BO47)</f>
        <v>1</v>
      </c>
      <c r="DX47" s="28">
        <f>SUMPRODUCT(BP47:DW47,'Data Bonds'!BU46:EB46)</f>
        <v>121.77370241017461</v>
      </c>
      <c r="DY47" s="28">
        <f t="shared" si="5"/>
        <v>0.44410327906280367</v>
      </c>
      <c r="EA47" s="33">
        <f t="shared" si="6"/>
        <v>18</v>
      </c>
      <c r="EB47" s="29">
        <f t="shared" si="8"/>
        <v>5.2635590885755444E-2</v>
      </c>
      <c r="EC47" s="29">
        <f t="shared" si="9"/>
        <v>0.38773210225380256</v>
      </c>
      <c r="ED47" s="29">
        <f t="shared" si="7"/>
        <v>5.3663450499775611E-2</v>
      </c>
      <c r="EF47" s="32"/>
      <c r="EG47" s="32"/>
      <c r="EI47" s="34"/>
    </row>
    <row r="48" spans="2:139">
      <c r="B48" s="27">
        <f>'Data Bonds'!E47</f>
        <v>6.25</v>
      </c>
      <c r="C48" s="27">
        <f>'Data Bonds'!F47</f>
        <v>109.84375</v>
      </c>
      <c r="D48" s="27">
        <f>'Data Bonds'!G47</f>
        <v>109.90625</v>
      </c>
      <c r="E48" s="27">
        <f>'Data Bonds'!I47</f>
        <v>1.9444444444444444</v>
      </c>
      <c r="F48" s="40">
        <f>'Data Bonds'!H47</f>
        <v>16.18888888888889</v>
      </c>
      <c r="G48" s="28">
        <f t="shared" si="4"/>
        <v>111.81944444444444</v>
      </c>
      <c r="H48" s="45">
        <f>IF('Data Bonds'!K47=0,0,theta0+(theta1+theta2)*(1-EXP(-'Data Bonds'!K47/la))/('Data Bonds'!K47/la)-theta2*EXP(-'Data Bonds'!K47/la))</f>
        <v>5.1598526027898411E-2</v>
      </c>
      <c r="I48" s="45">
        <f>IF('Data Bonds'!L47=0,0,theta0+(theta1+theta2)*(1-EXP(-'Data Bonds'!L47/la))/('Data Bonds'!L47/la)-theta2*EXP(-'Data Bonds'!L47/la))</f>
        <v>5.0271357324748023E-2</v>
      </c>
      <c r="J48" s="45">
        <f>IF('Data Bonds'!M47=0,0,theta0+(theta1+theta2)*(1-EXP(-'Data Bonds'!M47/la))/('Data Bonds'!M47/la)-theta2*EXP(-'Data Bonds'!M47/la))</f>
        <v>4.9578457297749672E-2</v>
      </c>
      <c r="K48" s="45">
        <f>IF('Data Bonds'!N47=0,0,theta0+(theta1+theta2)*(1-EXP(-'Data Bonds'!N47/la))/('Data Bonds'!N47/la)-theta2*EXP(-'Data Bonds'!N47/la))</f>
        <v>4.9285035750538553E-2</v>
      </c>
      <c r="L48" s="45">
        <f>IF('Data Bonds'!O47=0,0,theta0+(theta1+theta2)*(1-EXP(-'Data Bonds'!O47/la))/('Data Bonds'!O47/la)-theta2*EXP(-'Data Bonds'!O47/la))</f>
        <v>4.9237017363447266E-2</v>
      </c>
      <c r="M48" s="45">
        <f>IF('Data Bonds'!P47=0,0,theta0+(theta1+theta2)*(1-EXP(-'Data Bonds'!P47/la))/('Data Bonds'!P47/la)-theta2*EXP(-'Data Bonds'!P47/la))</f>
        <v>4.9334171753160738E-2</v>
      </c>
      <c r="N48" s="45">
        <f>IF('Data Bonds'!Q47=0,0,theta0+(theta1+theta2)*(1-EXP(-'Data Bonds'!Q47/la))/('Data Bonds'!Q47/la)-theta2*EXP(-'Data Bonds'!Q47/la))</f>
        <v>4.9512038088999483E-2</v>
      </c>
      <c r="O48" s="45">
        <f>IF('Data Bonds'!R47=0,0,theta0+(theta1+theta2)*(1-EXP(-'Data Bonds'!R47/la))/('Data Bonds'!R47/la)-theta2*EXP(-'Data Bonds'!R47/la))</f>
        <v>4.9729794635889335E-2</v>
      </c>
      <c r="P48" s="45">
        <f>IF('Data Bonds'!S47=0,0,theta0+(theta1+theta2)*(1-EXP(-'Data Bonds'!S47/la))/('Data Bonds'!S47/la)-theta2*EXP(-'Data Bonds'!S47/la))</f>
        <v>4.9962140977046696E-2</v>
      </c>
      <c r="Q48" s="45">
        <f>IF('Data Bonds'!T47=0,0,theta0+(theta1+theta2)*(1-EXP(-'Data Bonds'!T47/la))/('Data Bonds'!T47/la)-theta2*EXP(-'Data Bonds'!T47/la))</f>
        <v>5.0193884019659962E-2</v>
      </c>
      <c r="R48" s="45">
        <f>IF('Data Bonds'!U47=0,0,theta0+(theta1+theta2)*(1-EXP(-'Data Bonds'!U47/la))/('Data Bonds'!U47/la)-theta2*EXP(-'Data Bonds'!U47/la))</f>
        <v>5.0416342149512058E-2</v>
      </c>
      <c r="S48" s="45">
        <f>IF('Data Bonds'!V47=0,0,theta0+(theta1+theta2)*(1-EXP(-'Data Bonds'!V47/la))/('Data Bonds'!V47/la)-theta2*EXP(-'Data Bonds'!V47/la))</f>
        <v>5.0624969074311257E-2</v>
      </c>
      <c r="T48" s="45">
        <f>IF('Data Bonds'!W47=0,0,theta0+(theta1+theta2)*(1-EXP(-'Data Bonds'!W47/la))/('Data Bonds'!W47/la)-theta2*EXP(-'Data Bonds'!W47/la))</f>
        <v>5.0817793561872729E-2</v>
      </c>
      <c r="U48" s="45">
        <f>IF('Data Bonds'!X47=0,0,theta0+(theta1+theta2)*(1-EXP(-'Data Bonds'!X47/la))/('Data Bonds'!X47/la)-theta2*EXP(-'Data Bonds'!X47/la))</f>
        <v>5.0994403103277734E-2</v>
      </c>
      <c r="V48" s="45">
        <f>IF('Data Bonds'!Y47=0,0,theta0+(theta1+theta2)*(1-EXP(-'Data Bonds'!Y47/la))/('Data Bonds'!Y47/la)-theta2*EXP(-'Data Bonds'!Y47/la))</f>
        <v>5.1155288695615496E-2</v>
      </c>
      <c r="W48" s="45">
        <f>IF('Data Bonds'!Z47=0,0,theta0+(theta1+theta2)*(1-EXP(-'Data Bonds'!Z47/la))/('Data Bonds'!Z47/la)-theta2*EXP(-'Data Bonds'!Z47/la))</f>
        <v>5.1301428168232986E-2</v>
      </c>
      <c r="X48" s="45">
        <f>IF('Data Bonds'!AA47=0,0,theta0+(theta1+theta2)*(1-EXP(-'Data Bonds'!AA47/la))/('Data Bonds'!AA47/la)-theta2*EXP(-'Data Bonds'!AA47/la))</f>
        <v>5.1434026097624264E-2</v>
      </c>
      <c r="Y48" s="45">
        <f>IF('Data Bonds'!AB47=0,0,theta0+(theta1+theta2)*(1-EXP(-'Data Bonds'!AB47/la))/('Data Bonds'!AB47/la)-theta2*EXP(-'Data Bonds'!AB47/la))</f>
        <v>5.1554355703636381E-2</v>
      </c>
      <c r="Z48" s="45">
        <f>IF('Data Bonds'!AC47=0,0,theta0+(theta1+theta2)*(1-EXP(-'Data Bonds'!AC47/la))/('Data Bonds'!AC47/la)-theta2*EXP(-'Data Bonds'!AC47/la))</f>
        <v>5.1663666492393567E-2</v>
      </c>
      <c r="AA48" s="45">
        <f>IF('Data Bonds'!AD47=0,0,theta0+(theta1+theta2)*(1-EXP(-'Data Bonds'!AD47/la))/('Data Bonds'!AD47/la)-theta2*EXP(-'Data Bonds'!AD47/la))</f>
        <v>5.1763133724185395E-2</v>
      </c>
      <c r="AB48" s="45">
        <f>IF('Data Bonds'!AE47=0,0,theta0+(theta1+theta2)*(1-EXP(-'Data Bonds'!AE47/la))/('Data Bonds'!AE47/la)-theta2*EXP(-'Data Bonds'!AE47/la))</f>
        <v>5.1853834012200901E-2</v>
      </c>
      <c r="AC48" s="45">
        <f>IF('Data Bonds'!AF47=0,0,theta0+(theta1+theta2)*(1-EXP(-'Data Bonds'!AF47/la))/('Data Bonds'!AF47/la)-theta2*EXP(-'Data Bonds'!AF47/la))</f>
        <v>5.1936736836682804E-2</v>
      </c>
      <c r="AD48" s="45">
        <f>IF('Data Bonds'!AG47=0,0,theta0+(theta1+theta2)*(1-EXP(-'Data Bonds'!AG47/la))/('Data Bonds'!AG47/la)-theta2*EXP(-'Data Bonds'!AG47/la))</f>
        <v>5.2012705391962649E-2</v>
      </c>
      <c r="AE48" s="45">
        <f>IF('Data Bonds'!AH47=0,0,theta0+(theta1+theta2)*(1-EXP(-'Data Bonds'!AH47/la))/('Data Bonds'!AH47/la)-theta2*EXP(-'Data Bonds'!AH47/la))</f>
        <v>5.2082502580458233E-2</v>
      </c>
      <c r="AF48" s="45">
        <f>IF('Data Bonds'!AI47=0,0,theta0+(theta1+theta2)*(1-EXP(-'Data Bonds'!AI47/la))/('Data Bonds'!AI47/la)-theta2*EXP(-'Data Bonds'!AI47/la))</f>
        <v>5.2146799538785205E-2</v>
      </c>
      <c r="AG48" s="45">
        <f>IF('Data Bonds'!AJ47=0,0,theta0+(theta1+theta2)*(1-EXP(-'Data Bonds'!AJ47/la))/('Data Bonds'!AJ47/la)-theta2*EXP(-'Data Bonds'!AJ47/la))</f>
        <v>5.2206185102880893E-2</v>
      </c>
      <c r="AH48" s="45">
        <f>IF('Data Bonds'!AK47=0,0,theta0+(theta1+theta2)*(1-EXP(-'Data Bonds'!AK47/la))/('Data Bonds'!AK47/la)-theta2*EXP(-'Data Bonds'!AK47/la))</f>
        <v>5.2261175276823613E-2</v>
      </c>
      <c r="AI48" s="45">
        <f>IF('Data Bonds'!AL47=0,0,theta0+(theta1+theta2)*(1-EXP(-'Data Bonds'!AL47/la))/('Data Bonds'!AL47/la)-theta2*EXP(-'Data Bonds'!AL47/la))</f>
        <v>5.2312222187925556E-2</v>
      </c>
      <c r="AJ48" s="45">
        <f>IF('Data Bonds'!AM47=0,0,theta0+(theta1+theta2)*(1-EXP(-'Data Bonds'!AM47/la))/('Data Bonds'!AM47/la)-theta2*EXP(-'Data Bonds'!AM47/la))</f>
        <v>5.2359722271472377E-2</v>
      </c>
      <c r="AK48" s="45">
        <f>IF('Data Bonds'!AN47=0,0,theta0+(theta1+theta2)*(1-EXP(-'Data Bonds'!AN47/la))/('Data Bonds'!AN47/la)-theta2*EXP(-'Data Bonds'!AN47/la))</f>
        <v>5.240402358722291E-2</v>
      </c>
      <c r="AL48" s="45">
        <f>IF('Data Bonds'!AO47=0,0,theta0+(theta1+theta2)*(1-EXP(-'Data Bonds'!AO47/la))/('Data Bonds'!AO47/la)-theta2*EXP(-'Data Bonds'!AO47/la))</f>
        <v>5.2445432262903005E-2</v>
      </c>
      <c r="AM48" s="45">
        <f>IF('Data Bonds'!AP47=0,0,theta0+(theta1+theta2)*(1-EXP(-'Data Bonds'!AP47/la))/('Data Bonds'!AP47/la)-theta2*EXP(-'Data Bonds'!AP47/la))</f>
        <v>5.2484218111421725E-2</v>
      </c>
      <c r="AN48" s="45">
        <f>IF('Data Bonds'!AQ47=0,0,theta0+(theta1+theta2)*(1-EXP(-'Data Bonds'!AQ47/la))/('Data Bonds'!AQ47/la)-theta2*EXP(-'Data Bonds'!AQ47/la))</f>
        <v>5.2520619494096282E-2</v>
      </c>
      <c r="AO48" s="45">
        <f>IF('Data Bonds'!AR47=0,0,theta0+(theta1+theta2)*(1-EXP(-'Data Bonds'!AR47/la))/('Data Bonds'!AR47/la)-theta2*EXP(-'Data Bonds'!AR47/la))</f>
        <v>0</v>
      </c>
      <c r="AP48" s="45">
        <f>IF('Data Bonds'!AS47=0,0,theta0+(theta1+theta2)*(1-EXP(-'Data Bonds'!AS47/la))/('Data Bonds'!AS47/la)-theta2*EXP(-'Data Bonds'!AS47/la))</f>
        <v>0</v>
      </c>
      <c r="AQ48" s="45">
        <f>IF('Data Bonds'!AT47=0,0,theta0+(theta1+theta2)*(1-EXP(-'Data Bonds'!AT47/la))/('Data Bonds'!AT47/la)-theta2*EXP(-'Data Bonds'!AT47/la))</f>
        <v>0</v>
      </c>
      <c r="AR48" s="45">
        <f>IF('Data Bonds'!AU47=0,0,theta0+(theta1+theta2)*(1-EXP(-'Data Bonds'!AU47/la))/('Data Bonds'!AU47/la)-theta2*EXP(-'Data Bonds'!AU47/la))</f>
        <v>0</v>
      </c>
      <c r="AS48" s="45">
        <f>IF('Data Bonds'!AV47=0,0,theta0+(theta1+theta2)*(1-EXP(-'Data Bonds'!AV47/la))/('Data Bonds'!AV47/la)-theta2*EXP(-'Data Bonds'!AV47/la))</f>
        <v>0</v>
      </c>
      <c r="AT48" s="45">
        <f>IF('Data Bonds'!AW47=0,0,theta0+(theta1+theta2)*(1-EXP(-'Data Bonds'!AW47/la))/('Data Bonds'!AW47/la)-theta2*EXP(-'Data Bonds'!AW47/la))</f>
        <v>0</v>
      </c>
      <c r="AU48" s="45">
        <f>IF('Data Bonds'!AX47=0,0,theta0+(theta1+theta2)*(1-EXP(-'Data Bonds'!AX47/la))/('Data Bonds'!AX47/la)-theta2*EXP(-'Data Bonds'!AX47/la))</f>
        <v>0</v>
      </c>
      <c r="AV48" s="45">
        <f>IF('Data Bonds'!AY47=0,0,theta0+(theta1+theta2)*(1-EXP(-'Data Bonds'!AY47/la))/('Data Bonds'!AY47/la)-theta2*EXP(-'Data Bonds'!AY47/la))</f>
        <v>0</v>
      </c>
      <c r="AW48" s="45">
        <f>IF('Data Bonds'!AZ47=0,0,theta0+(theta1+theta2)*(1-EXP(-'Data Bonds'!AZ47/la))/('Data Bonds'!AZ47/la)-theta2*EXP(-'Data Bonds'!AZ47/la))</f>
        <v>0</v>
      </c>
      <c r="AX48" s="45">
        <f>IF('Data Bonds'!BA47=0,0,theta0+(theta1+theta2)*(1-EXP(-'Data Bonds'!BA47/la))/('Data Bonds'!BA47/la)-theta2*EXP(-'Data Bonds'!BA47/la))</f>
        <v>0</v>
      </c>
      <c r="AY48" s="45">
        <f>IF('Data Bonds'!BB47=0,0,theta0+(theta1+theta2)*(1-EXP(-'Data Bonds'!BB47/la))/('Data Bonds'!BB47/la)-theta2*EXP(-'Data Bonds'!BB47/la))</f>
        <v>0</v>
      </c>
      <c r="AZ48" s="45">
        <f>IF('Data Bonds'!BC47=0,0,theta0+(theta1+theta2)*(1-EXP(-'Data Bonds'!BC47/la))/('Data Bonds'!BC47/la)-theta2*EXP(-'Data Bonds'!BC47/la))</f>
        <v>0</v>
      </c>
      <c r="BA48" s="45">
        <f>IF('Data Bonds'!BD47=0,0,theta0+(theta1+theta2)*(1-EXP(-'Data Bonds'!BD47/la))/('Data Bonds'!BD47/la)-theta2*EXP(-'Data Bonds'!BD47/la))</f>
        <v>0</v>
      </c>
      <c r="BB48" s="45">
        <f>IF('Data Bonds'!BE47=0,0,theta0+(theta1+theta2)*(1-EXP(-'Data Bonds'!BE47/la))/('Data Bonds'!BE47/la)-theta2*EXP(-'Data Bonds'!BE47/la))</f>
        <v>0</v>
      </c>
      <c r="BC48" s="45">
        <f>IF('Data Bonds'!BF47=0,0,theta0+(theta1+theta2)*(1-EXP(-'Data Bonds'!BF47/la))/('Data Bonds'!BF47/la)-theta2*EXP(-'Data Bonds'!BF47/la))</f>
        <v>0</v>
      </c>
      <c r="BD48" s="45">
        <f>IF('Data Bonds'!BG47=0,0,theta0+(theta1+theta2)*(1-EXP(-'Data Bonds'!BG47/la))/('Data Bonds'!BG47/la)-theta2*EXP(-'Data Bonds'!BG47/la))</f>
        <v>0</v>
      </c>
      <c r="BE48" s="45">
        <f>IF('Data Bonds'!BH47=0,0,theta0+(theta1+theta2)*(1-EXP(-'Data Bonds'!BH47/la))/('Data Bonds'!BH47/la)-theta2*EXP(-'Data Bonds'!BH47/la))</f>
        <v>0</v>
      </c>
      <c r="BF48" s="45">
        <f>IF('Data Bonds'!BI47=0,0,theta0+(theta1+theta2)*(1-EXP(-'Data Bonds'!BI47/la))/('Data Bonds'!BI47/la)-theta2*EXP(-'Data Bonds'!BI47/la))</f>
        <v>0</v>
      </c>
      <c r="BG48" s="45">
        <f>IF('Data Bonds'!BJ47=0,0,theta0+(theta1+theta2)*(1-EXP(-'Data Bonds'!BJ47/la))/('Data Bonds'!BJ47/la)-theta2*EXP(-'Data Bonds'!BJ47/la))</f>
        <v>0</v>
      </c>
      <c r="BH48" s="45">
        <f>IF('Data Bonds'!BK47=0,0,theta0+(theta1+theta2)*(1-EXP(-'Data Bonds'!BK47/la))/('Data Bonds'!BK47/la)-theta2*EXP(-'Data Bonds'!BK47/la))</f>
        <v>0</v>
      </c>
      <c r="BI48" s="45">
        <f>IF('Data Bonds'!BL47=0,0,theta0+(theta1+theta2)*(1-EXP(-'Data Bonds'!BL47/la))/('Data Bonds'!BL47/la)-theta2*EXP(-'Data Bonds'!BL47/la))</f>
        <v>0</v>
      </c>
      <c r="BJ48" s="45">
        <f>IF('Data Bonds'!BM47=0,0,theta0+(theta1+theta2)*(1-EXP(-'Data Bonds'!BM47/la))/('Data Bonds'!BM47/la)-theta2*EXP(-'Data Bonds'!BM47/la))</f>
        <v>0</v>
      </c>
      <c r="BK48" s="45">
        <f>IF('Data Bonds'!BN47=0,0,theta0+(theta1+theta2)*(1-EXP(-'Data Bonds'!BN47/la))/('Data Bonds'!BN47/la)-theta2*EXP(-'Data Bonds'!BN47/la))</f>
        <v>0</v>
      </c>
      <c r="BL48" s="45">
        <f>IF('Data Bonds'!BO47=0,0,theta0+(theta1+theta2)*(1-EXP(-'Data Bonds'!BO47/la))/('Data Bonds'!BO47/la)-theta2*EXP(-'Data Bonds'!BO47/la))</f>
        <v>0</v>
      </c>
      <c r="BM48" s="45">
        <f>IF('Data Bonds'!BP47=0,0,theta0+(theta1+theta2)*(1-EXP(-'Data Bonds'!BP47/la))/('Data Bonds'!BP47/la)-theta2*EXP(-'Data Bonds'!BP47/la))</f>
        <v>0</v>
      </c>
      <c r="BN48" s="45">
        <f>IF('Data Bonds'!BQ47=0,0,theta0+(theta1+theta2)*(1-EXP(-'Data Bonds'!BQ47/la))/('Data Bonds'!BQ47/la)-theta2*EXP(-'Data Bonds'!BQ47/la))</f>
        <v>0</v>
      </c>
      <c r="BO48" s="45">
        <f>IF('Data Bonds'!BR47=0,0,theta0+(theta1+theta2)*(1-EXP(-'Data Bonds'!BR47/la))/('Data Bonds'!BR47/la)-theta2*EXP(-'Data Bonds'!BR47/la))</f>
        <v>0</v>
      </c>
      <c r="BP48" s="38">
        <f>EXP(-'Data Bonds'!K47*H48)</f>
        <v>0.99030095386253514</v>
      </c>
      <c r="BQ48" s="38">
        <f>EXP(-'Data Bonds'!L47*I48)</f>
        <v>0.96596142383001249</v>
      </c>
      <c r="BR48" s="38">
        <f>EXP(-'Data Bonds'!M47*J48)</f>
        <v>0.94276024382077384</v>
      </c>
      <c r="BS48" s="38">
        <f>EXP(-'Data Bonds'!N47*K48)</f>
        <v>0.92013309652437447</v>
      </c>
      <c r="BT48" s="38">
        <f>EXP(-'Data Bonds'!O47*L48)</f>
        <v>0.8978301597681585</v>
      </c>
      <c r="BU48" s="38">
        <f>EXP(-'Data Bonds'!P47*M48)</f>
        <v>0.8757679623727499</v>
      </c>
      <c r="BV48" s="38">
        <f>EXP(-'Data Bonds'!Q47*N48)</f>
        <v>0.85394508705932803</v>
      </c>
      <c r="BW48" s="38">
        <f>EXP(-'Data Bonds'!R47*O48)</f>
        <v>0.83239541980118914</v>
      </c>
      <c r="BX48" s="38">
        <f>EXP(-'Data Bonds'!S47*P48)</f>
        <v>0.81116332561828708</v>
      </c>
      <c r="BY48" s="38">
        <f>EXP(-'Data Bonds'!T47*Q48)</f>
        <v>0.79029139660492453</v>
      </c>
      <c r="BZ48" s="38">
        <f>EXP(-'Data Bonds'!U47*R48)</f>
        <v>0.76981519641342533</v>
      </c>
      <c r="CA48" s="38">
        <f>EXP(-'Data Bonds'!V47*S48)</f>
        <v>0.74976172414671449</v>
      </c>
      <c r="CB48" s="38">
        <f>EXP(-'Data Bonds'!W47*T48)</f>
        <v>0.73014971419213559</v>
      </c>
      <c r="CC48" s="38">
        <f>EXP(-'Data Bonds'!X47*U48)</f>
        <v>0.71099072354814263</v>
      </c>
      <c r="CD48" s="38">
        <f>EXP(-'Data Bonds'!Y47*V48)</f>
        <v>0.69229044963946051</v>
      </c>
      <c r="CE48" s="38">
        <f>EXP(-'Data Bonds'!Z47*W48)</f>
        <v>0.67405000392176173</v>
      </c>
      <c r="CF48" s="38">
        <f>EXP(-'Data Bonds'!AA47*X48)</f>
        <v>0.65626702351290833</v>
      </c>
      <c r="CG48" s="38">
        <f>EXP(-'Data Bonds'!AB47*Y48)</f>
        <v>0.63893658633137096</v>
      </c>
      <c r="CH48" s="38">
        <f>EXP(-'Data Bonds'!AC47*Z48)</f>
        <v>0.62205193621476651</v>
      </c>
      <c r="CI48" s="38">
        <f>EXP(-'Data Bonds'!AD47*AA48)</f>
        <v>0.60560504204345178</v>
      </c>
      <c r="CJ48" s="38">
        <f>EXP(-'Data Bonds'!AE47*AB48)</f>
        <v>0.58958702003626717</v>
      </c>
      <c r="CK48" s="38">
        <f>EXP(-'Data Bonds'!AF47*AC48)</f>
        <v>0.57398844742708199</v>
      </c>
      <c r="CL48" s="38">
        <f>EXP(-'Data Bonds'!AG47*AD48)</f>
        <v>0.55879959216452202</v>
      </c>
      <c r="CM48" s="38">
        <f>EXP(-'Data Bonds'!AH47*AE48)</f>
        <v>0.54401057894878535</v>
      </c>
      <c r="CN48" s="38">
        <f>EXP(-'Data Bonds'!AI47*AF48)</f>
        <v>0.52961150773453602</v>
      </c>
      <c r="CO48" s="38">
        <f>EXP(-'Data Bonds'!AJ47*AG48)</f>
        <v>0.51559253717395914</v>
      </c>
      <c r="CP48" s="38">
        <f>EXP(-'Data Bonds'!AK47*AH48)</f>
        <v>0.50194394246170126</v>
      </c>
      <c r="CQ48" s="38">
        <f>EXP(-'Data Bonds'!AL47*AI48)</f>
        <v>0.48865615465192236</v>
      </c>
      <c r="CR48" s="38">
        <f>EXP(-'Data Bonds'!AM47*AJ48)</f>
        <v>0.4757197866682138</v>
      </c>
      <c r="CS48" s="38">
        <f>EXP(-'Data Bonds'!AN47*AK48)</f>
        <v>0.46312564982427568</v>
      </c>
      <c r="CT48" s="38">
        <f>EXP(-'Data Bonds'!AO47*AL48)</f>
        <v>0.45086476362489408</v>
      </c>
      <c r="CU48" s="38">
        <f>EXP(-'Data Bonds'!AP47*AM48)</f>
        <v>0.43892836084252473</v>
      </c>
      <c r="CV48" s="38">
        <f>EXP(-'Data Bonds'!AQ47*AN48)</f>
        <v>0.42730788929846697</v>
      </c>
      <c r="CW48" s="38">
        <f>EXP(-'Data Bonds'!AR47*AO48)</f>
        <v>1</v>
      </c>
      <c r="CX48" s="38">
        <f>EXP(-'Data Bonds'!AS47*AP48)</f>
        <v>1</v>
      </c>
      <c r="CY48" s="38">
        <f>EXP(-'Data Bonds'!AT47*AQ48)</f>
        <v>1</v>
      </c>
      <c r="CZ48" s="38">
        <f>EXP(-'Data Bonds'!AU47*AR48)</f>
        <v>1</v>
      </c>
      <c r="DA48" s="38">
        <f>EXP(-'Data Bonds'!AV47*AS48)</f>
        <v>1</v>
      </c>
      <c r="DB48" s="38">
        <f>EXP(-'Data Bonds'!AW47*AT48)</f>
        <v>1</v>
      </c>
      <c r="DC48" s="38">
        <f>EXP(-'Data Bonds'!AX47*AU48)</f>
        <v>1</v>
      </c>
      <c r="DD48" s="38">
        <f>EXP(-'Data Bonds'!AY47*AV48)</f>
        <v>1</v>
      </c>
      <c r="DE48" s="38">
        <f>EXP(-'Data Bonds'!AZ47*AW48)</f>
        <v>1</v>
      </c>
      <c r="DF48" s="38">
        <f>EXP(-'Data Bonds'!BA47*AX48)</f>
        <v>1</v>
      </c>
      <c r="DG48" s="38">
        <f>EXP(-'Data Bonds'!BB47*AY48)</f>
        <v>1</v>
      </c>
      <c r="DH48" s="38">
        <f>EXP(-'Data Bonds'!BC47*AZ48)</f>
        <v>1</v>
      </c>
      <c r="DI48" s="38">
        <f>EXP(-'Data Bonds'!BD47*BA48)</f>
        <v>1</v>
      </c>
      <c r="DJ48" s="38">
        <f>EXP(-'Data Bonds'!BE47*BB48)</f>
        <v>1</v>
      </c>
      <c r="DK48" s="38">
        <f>EXP(-'Data Bonds'!BF47*BC48)</f>
        <v>1</v>
      </c>
      <c r="DL48" s="38">
        <f>EXP(-'Data Bonds'!BG47*BD48)</f>
        <v>1</v>
      </c>
      <c r="DM48" s="38">
        <f>EXP(-'Data Bonds'!BH47*BE48)</f>
        <v>1</v>
      </c>
      <c r="DN48" s="38">
        <f>EXP(-'Data Bonds'!BI47*BF48)</f>
        <v>1</v>
      </c>
      <c r="DO48" s="38">
        <f>EXP(-'Data Bonds'!BJ47*BG48)</f>
        <v>1</v>
      </c>
      <c r="DP48" s="38">
        <f>EXP(-'Data Bonds'!BK47*BH48)</f>
        <v>1</v>
      </c>
      <c r="DQ48" s="38">
        <f>EXP(-'Data Bonds'!BL47*BI48)</f>
        <v>1</v>
      </c>
      <c r="DR48" s="38">
        <f>EXP(-'Data Bonds'!BM47*BJ48)</f>
        <v>1</v>
      </c>
      <c r="DS48" s="38">
        <f>EXP(-'Data Bonds'!BN47*BK48)</f>
        <v>1</v>
      </c>
      <c r="DT48" s="38">
        <f>EXP(-'Data Bonds'!BO47*BL48)</f>
        <v>1</v>
      </c>
      <c r="DU48" s="38">
        <f>EXP(-'Data Bonds'!BP47*BM48)</f>
        <v>1</v>
      </c>
      <c r="DV48" s="38">
        <f>EXP(-'Data Bonds'!BQ47*BN48)</f>
        <v>1</v>
      </c>
      <c r="DW48" s="38">
        <f>EXP(-'Data Bonds'!BR47*BO48)</f>
        <v>1</v>
      </c>
      <c r="DX48" s="28">
        <f>SUMPRODUCT(BP48:DW48,'Data Bonds'!BU47:EB47)</f>
        <v>112.382675492608</v>
      </c>
      <c r="DY48" s="28">
        <f t="shared" si="5"/>
        <v>0.31722921361542078</v>
      </c>
      <c r="EA48" s="33">
        <f t="shared" si="6"/>
        <v>18.5</v>
      </c>
      <c r="EB48" s="29">
        <f t="shared" si="8"/>
        <v>5.2663372878398923E-2</v>
      </c>
      <c r="EC48" s="29">
        <f t="shared" si="9"/>
        <v>0.37746689924740068</v>
      </c>
      <c r="ED48" s="29">
        <f t="shared" si="7"/>
        <v>5.366352461356421E-2</v>
      </c>
      <c r="EF48" s="32"/>
      <c r="EG48" s="32"/>
      <c r="EI48" s="34"/>
    </row>
    <row r="49" spans="1:139">
      <c r="B49" s="27">
        <f>'Data Bonds'!E48</f>
        <v>7.625</v>
      </c>
      <c r="C49" s="27">
        <f>'Data Bonds'!F48</f>
        <v>126.0625</v>
      </c>
      <c r="D49" s="27">
        <f>'Data Bonds'!G48</f>
        <v>126.125</v>
      </c>
      <c r="E49" s="27">
        <f>'Data Bonds'!I48</f>
        <v>2.3722222222222222</v>
      </c>
      <c r="F49" s="40">
        <f>'Data Bonds'!H48</f>
        <v>17.68888888888889</v>
      </c>
      <c r="G49" s="28">
        <f t="shared" si="4"/>
        <v>128.46597222222223</v>
      </c>
      <c r="H49" s="45">
        <f>IF('Data Bonds'!K48=0,0,theta0+(theta1+theta2)*(1-EXP(-'Data Bonds'!K48/la))/('Data Bonds'!K48/la)-theta2*EXP(-'Data Bonds'!K48/la))</f>
        <v>5.1598526027898411E-2</v>
      </c>
      <c r="I49" s="45">
        <f>IF('Data Bonds'!L48=0,0,theta0+(theta1+theta2)*(1-EXP(-'Data Bonds'!L48/la))/('Data Bonds'!L48/la)-theta2*EXP(-'Data Bonds'!L48/la))</f>
        <v>5.0271357324748023E-2</v>
      </c>
      <c r="J49" s="45">
        <f>IF('Data Bonds'!M48=0,0,theta0+(theta1+theta2)*(1-EXP(-'Data Bonds'!M48/la))/('Data Bonds'!M48/la)-theta2*EXP(-'Data Bonds'!M48/la))</f>
        <v>4.9578457297749672E-2</v>
      </c>
      <c r="K49" s="45">
        <f>IF('Data Bonds'!N48=0,0,theta0+(theta1+theta2)*(1-EXP(-'Data Bonds'!N48/la))/('Data Bonds'!N48/la)-theta2*EXP(-'Data Bonds'!N48/la))</f>
        <v>4.9285035750538553E-2</v>
      </c>
      <c r="L49" s="45">
        <f>IF('Data Bonds'!O48=0,0,theta0+(theta1+theta2)*(1-EXP(-'Data Bonds'!O48/la))/('Data Bonds'!O48/la)-theta2*EXP(-'Data Bonds'!O48/la))</f>
        <v>4.9237017363447266E-2</v>
      </c>
      <c r="M49" s="45">
        <f>IF('Data Bonds'!P48=0,0,theta0+(theta1+theta2)*(1-EXP(-'Data Bonds'!P48/la))/('Data Bonds'!P48/la)-theta2*EXP(-'Data Bonds'!P48/la))</f>
        <v>4.9334171753160738E-2</v>
      </c>
      <c r="N49" s="45">
        <f>IF('Data Bonds'!Q48=0,0,theta0+(theta1+theta2)*(1-EXP(-'Data Bonds'!Q48/la))/('Data Bonds'!Q48/la)-theta2*EXP(-'Data Bonds'!Q48/la))</f>
        <v>4.9512038088999483E-2</v>
      </c>
      <c r="O49" s="45">
        <f>IF('Data Bonds'!R48=0,0,theta0+(theta1+theta2)*(1-EXP(-'Data Bonds'!R48/la))/('Data Bonds'!R48/la)-theta2*EXP(-'Data Bonds'!R48/la))</f>
        <v>4.9729794635889335E-2</v>
      </c>
      <c r="P49" s="45">
        <f>IF('Data Bonds'!S48=0,0,theta0+(theta1+theta2)*(1-EXP(-'Data Bonds'!S48/la))/('Data Bonds'!S48/la)-theta2*EXP(-'Data Bonds'!S48/la))</f>
        <v>4.9962140977046696E-2</v>
      </c>
      <c r="Q49" s="45">
        <f>IF('Data Bonds'!T48=0,0,theta0+(theta1+theta2)*(1-EXP(-'Data Bonds'!T48/la))/('Data Bonds'!T48/la)-theta2*EXP(-'Data Bonds'!T48/la))</f>
        <v>5.0193884019659962E-2</v>
      </c>
      <c r="R49" s="45">
        <f>IF('Data Bonds'!U48=0,0,theta0+(theta1+theta2)*(1-EXP(-'Data Bonds'!U48/la))/('Data Bonds'!U48/la)-theta2*EXP(-'Data Bonds'!U48/la))</f>
        <v>5.0416342149512058E-2</v>
      </c>
      <c r="S49" s="45">
        <f>IF('Data Bonds'!V48=0,0,theta0+(theta1+theta2)*(1-EXP(-'Data Bonds'!V48/la))/('Data Bonds'!V48/la)-theta2*EXP(-'Data Bonds'!V48/la))</f>
        <v>5.0624969074311257E-2</v>
      </c>
      <c r="T49" s="45">
        <f>IF('Data Bonds'!W48=0,0,theta0+(theta1+theta2)*(1-EXP(-'Data Bonds'!W48/la))/('Data Bonds'!W48/la)-theta2*EXP(-'Data Bonds'!W48/la))</f>
        <v>5.0817793561872729E-2</v>
      </c>
      <c r="U49" s="45">
        <f>IF('Data Bonds'!X48=0,0,theta0+(theta1+theta2)*(1-EXP(-'Data Bonds'!X48/la))/('Data Bonds'!X48/la)-theta2*EXP(-'Data Bonds'!X48/la))</f>
        <v>5.0994403103277734E-2</v>
      </c>
      <c r="V49" s="45">
        <f>IF('Data Bonds'!Y48=0,0,theta0+(theta1+theta2)*(1-EXP(-'Data Bonds'!Y48/la))/('Data Bonds'!Y48/la)-theta2*EXP(-'Data Bonds'!Y48/la))</f>
        <v>5.1155288695615496E-2</v>
      </c>
      <c r="W49" s="45">
        <f>IF('Data Bonds'!Z48=0,0,theta0+(theta1+theta2)*(1-EXP(-'Data Bonds'!Z48/la))/('Data Bonds'!Z48/la)-theta2*EXP(-'Data Bonds'!Z48/la))</f>
        <v>5.1301428168232986E-2</v>
      </c>
      <c r="X49" s="45">
        <f>IF('Data Bonds'!AA48=0,0,theta0+(theta1+theta2)*(1-EXP(-'Data Bonds'!AA48/la))/('Data Bonds'!AA48/la)-theta2*EXP(-'Data Bonds'!AA48/la))</f>
        <v>5.1434026097624264E-2</v>
      </c>
      <c r="Y49" s="45">
        <f>IF('Data Bonds'!AB48=0,0,theta0+(theta1+theta2)*(1-EXP(-'Data Bonds'!AB48/la))/('Data Bonds'!AB48/la)-theta2*EXP(-'Data Bonds'!AB48/la))</f>
        <v>5.1554355703636381E-2</v>
      </c>
      <c r="Z49" s="45">
        <f>IF('Data Bonds'!AC48=0,0,theta0+(theta1+theta2)*(1-EXP(-'Data Bonds'!AC48/la))/('Data Bonds'!AC48/la)-theta2*EXP(-'Data Bonds'!AC48/la))</f>
        <v>5.1663666492393567E-2</v>
      </c>
      <c r="AA49" s="45">
        <f>IF('Data Bonds'!AD48=0,0,theta0+(theta1+theta2)*(1-EXP(-'Data Bonds'!AD48/la))/('Data Bonds'!AD48/la)-theta2*EXP(-'Data Bonds'!AD48/la))</f>
        <v>5.1763133724185395E-2</v>
      </c>
      <c r="AB49" s="45">
        <f>IF('Data Bonds'!AE48=0,0,theta0+(theta1+theta2)*(1-EXP(-'Data Bonds'!AE48/la))/('Data Bonds'!AE48/la)-theta2*EXP(-'Data Bonds'!AE48/la))</f>
        <v>5.1853834012200901E-2</v>
      </c>
      <c r="AC49" s="45">
        <f>IF('Data Bonds'!AF48=0,0,theta0+(theta1+theta2)*(1-EXP(-'Data Bonds'!AF48/la))/('Data Bonds'!AF48/la)-theta2*EXP(-'Data Bonds'!AF48/la))</f>
        <v>5.1936736836682804E-2</v>
      </c>
      <c r="AD49" s="45">
        <f>IF('Data Bonds'!AG48=0,0,theta0+(theta1+theta2)*(1-EXP(-'Data Bonds'!AG48/la))/('Data Bonds'!AG48/la)-theta2*EXP(-'Data Bonds'!AG48/la))</f>
        <v>5.2012705391962649E-2</v>
      </c>
      <c r="AE49" s="45">
        <f>IF('Data Bonds'!AH48=0,0,theta0+(theta1+theta2)*(1-EXP(-'Data Bonds'!AH48/la))/('Data Bonds'!AH48/la)-theta2*EXP(-'Data Bonds'!AH48/la))</f>
        <v>5.2082502580458233E-2</v>
      </c>
      <c r="AF49" s="45">
        <f>IF('Data Bonds'!AI48=0,0,theta0+(theta1+theta2)*(1-EXP(-'Data Bonds'!AI48/la))/('Data Bonds'!AI48/la)-theta2*EXP(-'Data Bonds'!AI48/la))</f>
        <v>5.2146799538785205E-2</v>
      </c>
      <c r="AG49" s="45">
        <f>IF('Data Bonds'!AJ48=0,0,theta0+(theta1+theta2)*(1-EXP(-'Data Bonds'!AJ48/la))/('Data Bonds'!AJ48/la)-theta2*EXP(-'Data Bonds'!AJ48/la))</f>
        <v>5.2206185102880893E-2</v>
      </c>
      <c r="AH49" s="45">
        <f>IF('Data Bonds'!AK48=0,0,theta0+(theta1+theta2)*(1-EXP(-'Data Bonds'!AK48/la))/('Data Bonds'!AK48/la)-theta2*EXP(-'Data Bonds'!AK48/la))</f>
        <v>5.2261175276823613E-2</v>
      </c>
      <c r="AI49" s="45">
        <f>IF('Data Bonds'!AL48=0,0,theta0+(theta1+theta2)*(1-EXP(-'Data Bonds'!AL48/la))/('Data Bonds'!AL48/la)-theta2*EXP(-'Data Bonds'!AL48/la))</f>
        <v>5.2312222187925556E-2</v>
      </c>
      <c r="AJ49" s="45">
        <f>IF('Data Bonds'!AM48=0,0,theta0+(theta1+theta2)*(1-EXP(-'Data Bonds'!AM48/la))/('Data Bonds'!AM48/la)-theta2*EXP(-'Data Bonds'!AM48/la))</f>
        <v>5.2359722271472377E-2</v>
      </c>
      <c r="AK49" s="45">
        <f>IF('Data Bonds'!AN48=0,0,theta0+(theta1+theta2)*(1-EXP(-'Data Bonds'!AN48/la))/('Data Bonds'!AN48/la)-theta2*EXP(-'Data Bonds'!AN48/la))</f>
        <v>5.240402358722291E-2</v>
      </c>
      <c r="AL49" s="45">
        <f>IF('Data Bonds'!AO48=0,0,theta0+(theta1+theta2)*(1-EXP(-'Data Bonds'!AO48/la))/('Data Bonds'!AO48/la)-theta2*EXP(-'Data Bonds'!AO48/la))</f>
        <v>5.2445432262903005E-2</v>
      </c>
      <c r="AM49" s="45">
        <f>IF('Data Bonds'!AP48=0,0,theta0+(theta1+theta2)*(1-EXP(-'Data Bonds'!AP48/la))/('Data Bonds'!AP48/la)-theta2*EXP(-'Data Bonds'!AP48/la))</f>
        <v>5.2484218111421725E-2</v>
      </c>
      <c r="AN49" s="45">
        <f>IF('Data Bonds'!AQ48=0,0,theta0+(theta1+theta2)*(1-EXP(-'Data Bonds'!AQ48/la))/('Data Bonds'!AQ48/la)-theta2*EXP(-'Data Bonds'!AQ48/la))</f>
        <v>5.2520619494096282E-2</v>
      </c>
      <c r="AO49" s="45">
        <f>IF('Data Bonds'!AR48=0,0,theta0+(theta1+theta2)*(1-EXP(-'Data Bonds'!AR48/la))/('Data Bonds'!AR48/la)-theta2*EXP(-'Data Bonds'!AR48/la))</f>
        <v>5.2554847511976095E-2</v>
      </c>
      <c r="AP49" s="45">
        <f>IF('Data Bonds'!AS48=0,0,theta0+(theta1+theta2)*(1-EXP(-'Data Bonds'!AS48/la))/('Data Bonds'!AS48/la)-theta2*EXP(-'Data Bonds'!AS48/la))</f>
        <v>5.2587089607941187E-2</v>
      </c>
      <c r="AQ49" s="45">
        <f>IF('Data Bonds'!AT48=0,0,theta0+(theta1+theta2)*(1-EXP(-'Data Bonds'!AT48/la))/('Data Bonds'!AT48/la)-theta2*EXP(-'Data Bonds'!AT48/la))</f>
        <v>5.2617512657752857E-2</v>
      </c>
      <c r="AR49" s="45">
        <f>IF('Data Bonds'!AU48=0,0,theta0+(theta1+theta2)*(1-EXP(-'Data Bonds'!AU48/la))/('Data Bonds'!AU48/la)-theta2*EXP(-'Data Bonds'!AU48/la))</f>
        <v>0</v>
      </c>
      <c r="AS49" s="45">
        <f>IF('Data Bonds'!AV48=0,0,theta0+(theta1+theta2)*(1-EXP(-'Data Bonds'!AV48/la))/('Data Bonds'!AV48/la)-theta2*EXP(-'Data Bonds'!AV48/la))</f>
        <v>0</v>
      </c>
      <c r="AT49" s="45">
        <f>IF('Data Bonds'!AW48=0,0,theta0+(theta1+theta2)*(1-EXP(-'Data Bonds'!AW48/la))/('Data Bonds'!AW48/la)-theta2*EXP(-'Data Bonds'!AW48/la))</f>
        <v>0</v>
      </c>
      <c r="AU49" s="45">
        <f>IF('Data Bonds'!AX48=0,0,theta0+(theta1+theta2)*(1-EXP(-'Data Bonds'!AX48/la))/('Data Bonds'!AX48/la)-theta2*EXP(-'Data Bonds'!AX48/la))</f>
        <v>0</v>
      </c>
      <c r="AV49" s="45">
        <f>IF('Data Bonds'!AY48=0,0,theta0+(theta1+theta2)*(1-EXP(-'Data Bonds'!AY48/la))/('Data Bonds'!AY48/la)-theta2*EXP(-'Data Bonds'!AY48/la))</f>
        <v>0</v>
      </c>
      <c r="AW49" s="45">
        <f>IF('Data Bonds'!AZ48=0,0,theta0+(theta1+theta2)*(1-EXP(-'Data Bonds'!AZ48/la))/('Data Bonds'!AZ48/la)-theta2*EXP(-'Data Bonds'!AZ48/la))</f>
        <v>0</v>
      </c>
      <c r="AX49" s="45">
        <f>IF('Data Bonds'!BA48=0,0,theta0+(theta1+theta2)*(1-EXP(-'Data Bonds'!BA48/la))/('Data Bonds'!BA48/la)-theta2*EXP(-'Data Bonds'!BA48/la))</f>
        <v>0</v>
      </c>
      <c r="AY49" s="45">
        <f>IF('Data Bonds'!BB48=0,0,theta0+(theta1+theta2)*(1-EXP(-'Data Bonds'!BB48/la))/('Data Bonds'!BB48/la)-theta2*EXP(-'Data Bonds'!BB48/la))</f>
        <v>0</v>
      </c>
      <c r="AZ49" s="45">
        <f>IF('Data Bonds'!BC48=0,0,theta0+(theta1+theta2)*(1-EXP(-'Data Bonds'!BC48/la))/('Data Bonds'!BC48/la)-theta2*EXP(-'Data Bonds'!BC48/la))</f>
        <v>0</v>
      </c>
      <c r="BA49" s="45">
        <f>IF('Data Bonds'!BD48=0,0,theta0+(theta1+theta2)*(1-EXP(-'Data Bonds'!BD48/la))/('Data Bonds'!BD48/la)-theta2*EXP(-'Data Bonds'!BD48/la))</f>
        <v>0</v>
      </c>
      <c r="BB49" s="45">
        <f>IF('Data Bonds'!BE48=0,0,theta0+(theta1+theta2)*(1-EXP(-'Data Bonds'!BE48/la))/('Data Bonds'!BE48/la)-theta2*EXP(-'Data Bonds'!BE48/la))</f>
        <v>0</v>
      </c>
      <c r="BC49" s="45">
        <f>IF('Data Bonds'!BF48=0,0,theta0+(theta1+theta2)*(1-EXP(-'Data Bonds'!BF48/la))/('Data Bonds'!BF48/la)-theta2*EXP(-'Data Bonds'!BF48/la))</f>
        <v>0</v>
      </c>
      <c r="BD49" s="45">
        <f>IF('Data Bonds'!BG48=0,0,theta0+(theta1+theta2)*(1-EXP(-'Data Bonds'!BG48/la))/('Data Bonds'!BG48/la)-theta2*EXP(-'Data Bonds'!BG48/la))</f>
        <v>0</v>
      </c>
      <c r="BE49" s="45">
        <f>IF('Data Bonds'!BH48=0,0,theta0+(theta1+theta2)*(1-EXP(-'Data Bonds'!BH48/la))/('Data Bonds'!BH48/la)-theta2*EXP(-'Data Bonds'!BH48/la))</f>
        <v>0</v>
      </c>
      <c r="BF49" s="45">
        <f>IF('Data Bonds'!BI48=0,0,theta0+(theta1+theta2)*(1-EXP(-'Data Bonds'!BI48/la))/('Data Bonds'!BI48/la)-theta2*EXP(-'Data Bonds'!BI48/la))</f>
        <v>0</v>
      </c>
      <c r="BG49" s="45">
        <f>IF('Data Bonds'!BJ48=0,0,theta0+(theta1+theta2)*(1-EXP(-'Data Bonds'!BJ48/la))/('Data Bonds'!BJ48/la)-theta2*EXP(-'Data Bonds'!BJ48/la))</f>
        <v>0</v>
      </c>
      <c r="BH49" s="45">
        <f>IF('Data Bonds'!BK48=0,0,theta0+(theta1+theta2)*(1-EXP(-'Data Bonds'!BK48/la))/('Data Bonds'!BK48/la)-theta2*EXP(-'Data Bonds'!BK48/la))</f>
        <v>0</v>
      </c>
      <c r="BI49" s="45">
        <f>IF('Data Bonds'!BL48=0,0,theta0+(theta1+theta2)*(1-EXP(-'Data Bonds'!BL48/la))/('Data Bonds'!BL48/la)-theta2*EXP(-'Data Bonds'!BL48/la))</f>
        <v>0</v>
      </c>
      <c r="BJ49" s="45">
        <f>IF('Data Bonds'!BM48=0,0,theta0+(theta1+theta2)*(1-EXP(-'Data Bonds'!BM48/la))/('Data Bonds'!BM48/la)-theta2*EXP(-'Data Bonds'!BM48/la))</f>
        <v>0</v>
      </c>
      <c r="BK49" s="45">
        <f>IF('Data Bonds'!BN48=0,0,theta0+(theta1+theta2)*(1-EXP(-'Data Bonds'!BN48/la))/('Data Bonds'!BN48/la)-theta2*EXP(-'Data Bonds'!BN48/la))</f>
        <v>0</v>
      </c>
      <c r="BL49" s="45">
        <f>IF('Data Bonds'!BO48=0,0,theta0+(theta1+theta2)*(1-EXP(-'Data Bonds'!BO48/la))/('Data Bonds'!BO48/la)-theta2*EXP(-'Data Bonds'!BO48/la))</f>
        <v>0</v>
      </c>
      <c r="BM49" s="45">
        <f>IF('Data Bonds'!BP48=0,0,theta0+(theta1+theta2)*(1-EXP(-'Data Bonds'!BP48/la))/('Data Bonds'!BP48/la)-theta2*EXP(-'Data Bonds'!BP48/la))</f>
        <v>0</v>
      </c>
      <c r="BN49" s="45">
        <f>IF('Data Bonds'!BQ48=0,0,theta0+(theta1+theta2)*(1-EXP(-'Data Bonds'!BQ48/la))/('Data Bonds'!BQ48/la)-theta2*EXP(-'Data Bonds'!BQ48/la))</f>
        <v>0</v>
      </c>
      <c r="BO49" s="45">
        <f>IF('Data Bonds'!BR48=0,0,theta0+(theta1+theta2)*(1-EXP(-'Data Bonds'!BR48/la))/('Data Bonds'!BR48/la)-theta2*EXP(-'Data Bonds'!BR48/la))</f>
        <v>0</v>
      </c>
      <c r="BP49" s="38">
        <f>EXP(-'Data Bonds'!K48*H49)</f>
        <v>0.99030095386253514</v>
      </c>
      <c r="BQ49" s="38">
        <f>EXP(-'Data Bonds'!L48*I49)</f>
        <v>0.96596142383001249</v>
      </c>
      <c r="BR49" s="38">
        <f>EXP(-'Data Bonds'!M48*J49)</f>
        <v>0.94276024382077384</v>
      </c>
      <c r="BS49" s="38">
        <f>EXP(-'Data Bonds'!N48*K49)</f>
        <v>0.92013309652437447</v>
      </c>
      <c r="BT49" s="38">
        <f>EXP(-'Data Bonds'!O48*L49)</f>
        <v>0.8978301597681585</v>
      </c>
      <c r="BU49" s="38">
        <f>EXP(-'Data Bonds'!P48*M49)</f>
        <v>0.8757679623727499</v>
      </c>
      <c r="BV49" s="38">
        <f>EXP(-'Data Bonds'!Q48*N49)</f>
        <v>0.85394508705932803</v>
      </c>
      <c r="BW49" s="38">
        <f>EXP(-'Data Bonds'!R48*O49)</f>
        <v>0.83239541980118914</v>
      </c>
      <c r="BX49" s="38">
        <f>EXP(-'Data Bonds'!S48*P49)</f>
        <v>0.81116332561828708</v>
      </c>
      <c r="BY49" s="38">
        <f>EXP(-'Data Bonds'!T48*Q49)</f>
        <v>0.79029139660492453</v>
      </c>
      <c r="BZ49" s="38">
        <f>EXP(-'Data Bonds'!U48*R49)</f>
        <v>0.76981519641342533</v>
      </c>
      <c r="CA49" s="38">
        <f>EXP(-'Data Bonds'!V48*S49)</f>
        <v>0.74976172414671449</v>
      </c>
      <c r="CB49" s="38">
        <f>EXP(-'Data Bonds'!W48*T49)</f>
        <v>0.73014971419213559</v>
      </c>
      <c r="CC49" s="38">
        <f>EXP(-'Data Bonds'!X48*U49)</f>
        <v>0.71099072354814263</v>
      </c>
      <c r="CD49" s="38">
        <f>EXP(-'Data Bonds'!Y48*V49)</f>
        <v>0.69229044963946051</v>
      </c>
      <c r="CE49" s="38">
        <f>EXP(-'Data Bonds'!Z48*W49)</f>
        <v>0.67405000392176173</v>
      </c>
      <c r="CF49" s="38">
        <f>EXP(-'Data Bonds'!AA48*X49)</f>
        <v>0.65626702351290833</v>
      </c>
      <c r="CG49" s="38">
        <f>EXP(-'Data Bonds'!AB48*Y49)</f>
        <v>0.63893658633137096</v>
      </c>
      <c r="CH49" s="38">
        <f>EXP(-'Data Bonds'!AC48*Z49)</f>
        <v>0.62205193621476651</v>
      </c>
      <c r="CI49" s="38">
        <f>EXP(-'Data Bonds'!AD48*AA49)</f>
        <v>0.60560504204345178</v>
      </c>
      <c r="CJ49" s="38">
        <f>EXP(-'Data Bonds'!AE48*AB49)</f>
        <v>0.58958702003626717</v>
      </c>
      <c r="CK49" s="38">
        <f>EXP(-'Data Bonds'!AF48*AC49)</f>
        <v>0.57398844742708199</v>
      </c>
      <c r="CL49" s="38">
        <f>EXP(-'Data Bonds'!AG48*AD49)</f>
        <v>0.55879959216452202</v>
      </c>
      <c r="CM49" s="38">
        <f>EXP(-'Data Bonds'!AH48*AE49)</f>
        <v>0.54401057894878535</v>
      </c>
      <c r="CN49" s="38">
        <f>EXP(-'Data Bonds'!AI48*AF49)</f>
        <v>0.52961150773453602</v>
      </c>
      <c r="CO49" s="38">
        <f>EXP(-'Data Bonds'!AJ48*AG49)</f>
        <v>0.51559253717395914</v>
      </c>
      <c r="CP49" s="38">
        <f>EXP(-'Data Bonds'!AK48*AH49)</f>
        <v>0.50194394246170126</v>
      </c>
      <c r="CQ49" s="38">
        <f>EXP(-'Data Bonds'!AL48*AI49)</f>
        <v>0.48865615465192236</v>
      </c>
      <c r="CR49" s="38">
        <f>EXP(-'Data Bonds'!AM48*AJ49)</f>
        <v>0.4757197866682138</v>
      </c>
      <c r="CS49" s="38">
        <f>EXP(-'Data Bonds'!AN48*AK49)</f>
        <v>0.46312564982427568</v>
      </c>
      <c r="CT49" s="38">
        <f>EXP(-'Data Bonds'!AO48*AL49)</f>
        <v>0.45086476362489408</v>
      </c>
      <c r="CU49" s="38">
        <f>EXP(-'Data Bonds'!AP48*AM49)</f>
        <v>0.43892836084252473</v>
      </c>
      <c r="CV49" s="38">
        <f>EXP(-'Data Bonds'!AQ48*AN49)</f>
        <v>0.42730788929846697</v>
      </c>
      <c r="CW49" s="38">
        <f>EXP(-'Data Bonds'!AR48*AO49)</f>
        <v>0.41599501136665035</v>
      </c>
      <c r="CX49" s="38">
        <f>EXP(-'Data Bonds'!AS48*AP49)</f>
        <v>0.40498160192183524</v>
      </c>
      <c r="CY49" s="38">
        <f>EXP(-'Data Bonds'!AT48*AQ49)</f>
        <v>0.39425974524173307</v>
      </c>
      <c r="CZ49" s="38">
        <f>EXP(-'Data Bonds'!AU48*AR49)</f>
        <v>1</v>
      </c>
      <c r="DA49" s="38">
        <f>EXP(-'Data Bonds'!AV48*AS49)</f>
        <v>1</v>
      </c>
      <c r="DB49" s="38">
        <f>EXP(-'Data Bonds'!AW48*AT49)</f>
        <v>1</v>
      </c>
      <c r="DC49" s="38">
        <f>EXP(-'Data Bonds'!AX48*AU49)</f>
        <v>1</v>
      </c>
      <c r="DD49" s="38">
        <f>EXP(-'Data Bonds'!AY48*AV49)</f>
        <v>1</v>
      </c>
      <c r="DE49" s="38">
        <f>EXP(-'Data Bonds'!AZ48*AW49)</f>
        <v>1</v>
      </c>
      <c r="DF49" s="38">
        <f>EXP(-'Data Bonds'!BA48*AX49)</f>
        <v>1</v>
      </c>
      <c r="DG49" s="38">
        <f>EXP(-'Data Bonds'!BB48*AY49)</f>
        <v>1</v>
      </c>
      <c r="DH49" s="38">
        <f>EXP(-'Data Bonds'!BC48*AZ49)</f>
        <v>1</v>
      </c>
      <c r="DI49" s="38">
        <f>EXP(-'Data Bonds'!BD48*BA49)</f>
        <v>1</v>
      </c>
      <c r="DJ49" s="38">
        <f>EXP(-'Data Bonds'!BE48*BB49)</f>
        <v>1</v>
      </c>
      <c r="DK49" s="38">
        <f>EXP(-'Data Bonds'!BF48*BC49)</f>
        <v>1</v>
      </c>
      <c r="DL49" s="38">
        <f>EXP(-'Data Bonds'!BG48*BD49)</f>
        <v>1</v>
      </c>
      <c r="DM49" s="38">
        <f>EXP(-'Data Bonds'!BH48*BE49)</f>
        <v>1</v>
      </c>
      <c r="DN49" s="38">
        <f>EXP(-'Data Bonds'!BI48*BF49)</f>
        <v>1</v>
      </c>
      <c r="DO49" s="38">
        <f>EXP(-'Data Bonds'!BJ48*BG49)</f>
        <v>1</v>
      </c>
      <c r="DP49" s="38">
        <f>EXP(-'Data Bonds'!BK48*BH49)</f>
        <v>1</v>
      </c>
      <c r="DQ49" s="38">
        <f>EXP(-'Data Bonds'!BL48*BI49)</f>
        <v>1</v>
      </c>
      <c r="DR49" s="38">
        <f>EXP(-'Data Bonds'!BM48*BJ49)</f>
        <v>1</v>
      </c>
      <c r="DS49" s="38">
        <f>EXP(-'Data Bonds'!BN48*BK49)</f>
        <v>1</v>
      </c>
      <c r="DT49" s="38">
        <f>EXP(-'Data Bonds'!BO48*BL49)</f>
        <v>1</v>
      </c>
      <c r="DU49" s="38">
        <f>EXP(-'Data Bonds'!BP48*BM49)</f>
        <v>1</v>
      </c>
      <c r="DV49" s="38">
        <f>EXP(-'Data Bonds'!BQ48*BN49)</f>
        <v>1</v>
      </c>
      <c r="DW49" s="38">
        <f>EXP(-'Data Bonds'!BR48*BO49)</f>
        <v>1</v>
      </c>
      <c r="DX49" s="28">
        <f>SUMPRODUCT(BP49:DW49,'Data Bonds'!BU48:EB48)</f>
        <v>129.03436474763859</v>
      </c>
      <c r="DY49" s="28">
        <f t="shared" si="5"/>
        <v>0.32307006294918389</v>
      </c>
      <c r="EA49" s="33">
        <f t="shared" si="6"/>
        <v>19</v>
      </c>
      <c r="EB49" s="29">
        <f t="shared" si="8"/>
        <v>5.2689694036151473E-2</v>
      </c>
      <c r="EC49" s="29">
        <f t="shared" si="9"/>
        <v>0.36747345777210588</v>
      </c>
      <c r="ED49" s="29">
        <f t="shared" si="7"/>
        <v>5.3663576872995812E-2</v>
      </c>
      <c r="EF49" s="32"/>
      <c r="EG49" s="32"/>
      <c r="EI49" s="34"/>
    </row>
    <row r="50" spans="1:139">
      <c r="B50" s="27">
        <f>'Data Bonds'!E49</f>
        <v>6.875</v>
      </c>
      <c r="C50" s="27">
        <f>'Data Bonds'!F49</f>
        <v>117.84375</v>
      </c>
      <c r="D50" s="27">
        <f>'Data Bonds'!G49</f>
        <v>117.90625</v>
      </c>
      <c r="E50" s="27">
        <f>'Data Bonds'!I49</f>
        <v>2.1388888888888888</v>
      </c>
      <c r="F50" s="40">
        <f>'Data Bonds'!H49</f>
        <v>18.18888888888889</v>
      </c>
      <c r="G50" s="28">
        <f t="shared" si="4"/>
        <v>120.01388888888889</v>
      </c>
      <c r="H50" s="45">
        <f>IF('Data Bonds'!K49=0,0,theta0+(theta1+theta2)*(1-EXP(-'Data Bonds'!K49/la))/('Data Bonds'!K49/la)-theta2*EXP(-'Data Bonds'!K49/la))</f>
        <v>5.1598526027898411E-2</v>
      </c>
      <c r="I50" s="45">
        <f>IF('Data Bonds'!L49=0,0,theta0+(theta1+theta2)*(1-EXP(-'Data Bonds'!L49/la))/('Data Bonds'!L49/la)-theta2*EXP(-'Data Bonds'!L49/la))</f>
        <v>5.0271357324748023E-2</v>
      </c>
      <c r="J50" s="45">
        <f>IF('Data Bonds'!M49=0,0,theta0+(theta1+theta2)*(1-EXP(-'Data Bonds'!M49/la))/('Data Bonds'!M49/la)-theta2*EXP(-'Data Bonds'!M49/la))</f>
        <v>4.9578457297749672E-2</v>
      </c>
      <c r="K50" s="45">
        <f>IF('Data Bonds'!N49=0,0,theta0+(theta1+theta2)*(1-EXP(-'Data Bonds'!N49/la))/('Data Bonds'!N49/la)-theta2*EXP(-'Data Bonds'!N49/la))</f>
        <v>4.9285035750538553E-2</v>
      </c>
      <c r="L50" s="45">
        <f>IF('Data Bonds'!O49=0,0,theta0+(theta1+theta2)*(1-EXP(-'Data Bonds'!O49/la))/('Data Bonds'!O49/la)-theta2*EXP(-'Data Bonds'!O49/la))</f>
        <v>4.9237017363447266E-2</v>
      </c>
      <c r="M50" s="45">
        <f>IF('Data Bonds'!P49=0,0,theta0+(theta1+theta2)*(1-EXP(-'Data Bonds'!P49/la))/('Data Bonds'!P49/la)-theta2*EXP(-'Data Bonds'!P49/la))</f>
        <v>4.9334171753160738E-2</v>
      </c>
      <c r="N50" s="45">
        <f>IF('Data Bonds'!Q49=0,0,theta0+(theta1+theta2)*(1-EXP(-'Data Bonds'!Q49/la))/('Data Bonds'!Q49/la)-theta2*EXP(-'Data Bonds'!Q49/la))</f>
        <v>4.9512038088999483E-2</v>
      </c>
      <c r="O50" s="45">
        <f>IF('Data Bonds'!R49=0,0,theta0+(theta1+theta2)*(1-EXP(-'Data Bonds'!R49/la))/('Data Bonds'!R49/la)-theta2*EXP(-'Data Bonds'!R49/la))</f>
        <v>4.9729794635889335E-2</v>
      </c>
      <c r="P50" s="45">
        <f>IF('Data Bonds'!S49=0,0,theta0+(theta1+theta2)*(1-EXP(-'Data Bonds'!S49/la))/('Data Bonds'!S49/la)-theta2*EXP(-'Data Bonds'!S49/la))</f>
        <v>4.9962140977046696E-2</v>
      </c>
      <c r="Q50" s="45">
        <f>IF('Data Bonds'!T49=0,0,theta0+(theta1+theta2)*(1-EXP(-'Data Bonds'!T49/la))/('Data Bonds'!T49/la)-theta2*EXP(-'Data Bonds'!T49/la))</f>
        <v>5.0193884019659962E-2</v>
      </c>
      <c r="R50" s="45">
        <f>IF('Data Bonds'!U49=0,0,theta0+(theta1+theta2)*(1-EXP(-'Data Bonds'!U49/la))/('Data Bonds'!U49/la)-theta2*EXP(-'Data Bonds'!U49/la))</f>
        <v>5.0416342149512058E-2</v>
      </c>
      <c r="S50" s="45">
        <f>IF('Data Bonds'!V49=0,0,theta0+(theta1+theta2)*(1-EXP(-'Data Bonds'!V49/la))/('Data Bonds'!V49/la)-theta2*EXP(-'Data Bonds'!V49/la))</f>
        <v>5.0624969074311257E-2</v>
      </c>
      <c r="T50" s="45">
        <f>IF('Data Bonds'!W49=0,0,theta0+(theta1+theta2)*(1-EXP(-'Data Bonds'!W49/la))/('Data Bonds'!W49/la)-theta2*EXP(-'Data Bonds'!W49/la))</f>
        <v>5.0817793561872729E-2</v>
      </c>
      <c r="U50" s="45">
        <f>IF('Data Bonds'!X49=0,0,theta0+(theta1+theta2)*(1-EXP(-'Data Bonds'!X49/la))/('Data Bonds'!X49/la)-theta2*EXP(-'Data Bonds'!X49/la))</f>
        <v>5.0994403103277734E-2</v>
      </c>
      <c r="V50" s="45">
        <f>IF('Data Bonds'!Y49=0,0,theta0+(theta1+theta2)*(1-EXP(-'Data Bonds'!Y49/la))/('Data Bonds'!Y49/la)-theta2*EXP(-'Data Bonds'!Y49/la))</f>
        <v>5.1155288695615496E-2</v>
      </c>
      <c r="W50" s="45">
        <f>IF('Data Bonds'!Z49=0,0,theta0+(theta1+theta2)*(1-EXP(-'Data Bonds'!Z49/la))/('Data Bonds'!Z49/la)-theta2*EXP(-'Data Bonds'!Z49/la))</f>
        <v>5.1301428168232986E-2</v>
      </c>
      <c r="X50" s="45">
        <f>IF('Data Bonds'!AA49=0,0,theta0+(theta1+theta2)*(1-EXP(-'Data Bonds'!AA49/la))/('Data Bonds'!AA49/la)-theta2*EXP(-'Data Bonds'!AA49/la))</f>
        <v>5.1434026097624264E-2</v>
      </c>
      <c r="Y50" s="45">
        <f>IF('Data Bonds'!AB49=0,0,theta0+(theta1+theta2)*(1-EXP(-'Data Bonds'!AB49/la))/('Data Bonds'!AB49/la)-theta2*EXP(-'Data Bonds'!AB49/la))</f>
        <v>5.1554355703636381E-2</v>
      </c>
      <c r="Z50" s="45">
        <f>IF('Data Bonds'!AC49=0,0,theta0+(theta1+theta2)*(1-EXP(-'Data Bonds'!AC49/la))/('Data Bonds'!AC49/la)-theta2*EXP(-'Data Bonds'!AC49/la))</f>
        <v>5.1663666492393567E-2</v>
      </c>
      <c r="AA50" s="45">
        <f>IF('Data Bonds'!AD49=0,0,theta0+(theta1+theta2)*(1-EXP(-'Data Bonds'!AD49/la))/('Data Bonds'!AD49/la)-theta2*EXP(-'Data Bonds'!AD49/la))</f>
        <v>5.1763133724185395E-2</v>
      </c>
      <c r="AB50" s="45">
        <f>IF('Data Bonds'!AE49=0,0,theta0+(theta1+theta2)*(1-EXP(-'Data Bonds'!AE49/la))/('Data Bonds'!AE49/la)-theta2*EXP(-'Data Bonds'!AE49/la))</f>
        <v>5.1853834012200901E-2</v>
      </c>
      <c r="AC50" s="45">
        <f>IF('Data Bonds'!AF49=0,0,theta0+(theta1+theta2)*(1-EXP(-'Data Bonds'!AF49/la))/('Data Bonds'!AF49/la)-theta2*EXP(-'Data Bonds'!AF49/la))</f>
        <v>5.1936736836682804E-2</v>
      </c>
      <c r="AD50" s="45">
        <f>IF('Data Bonds'!AG49=0,0,theta0+(theta1+theta2)*(1-EXP(-'Data Bonds'!AG49/la))/('Data Bonds'!AG49/la)-theta2*EXP(-'Data Bonds'!AG49/la))</f>
        <v>5.2012705391962649E-2</v>
      </c>
      <c r="AE50" s="45">
        <f>IF('Data Bonds'!AH49=0,0,theta0+(theta1+theta2)*(1-EXP(-'Data Bonds'!AH49/la))/('Data Bonds'!AH49/la)-theta2*EXP(-'Data Bonds'!AH49/la))</f>
        <v>5.2082502580458233E-2</v>
      </c>
      <c r="AF50" s="45">
        <f>IF('Data Bonds'!AI49=0,0,theta0+(theta1+theta2)*(1-EXP(-'Data Bonds'!AI49/la))/('Data Bonds'!AI49/la)-theta2*EXP(-'Data Bonds'!AI49/la))</f>
        <v>5.2146799538785205E-2</v>
      </c>
      <c r="AG50" s="45">
        <f>IF('Data Bonds'!AJ49=0,0,theta0+(theta1+theta2)*(1-EXP(-'Data Bonds'!AJ49/la))/('Data Bonds'!AJ49/la)-theta2*EXP(-'Data Bonds'!AJ49/la))</f>
        <v>5.2206185102880893E-2</v>
      </c>
      <c r="AH50" s="45">
        <f>IF('Data Bonds'!AK49=0,0,theta0+(theta1+theta2)*(1-EXP(-'Data Bonds'!AK49/la))/('Data Bonds'!AK49/la)-theta2*EXP(-'Data Bonds'!AK49/la))</f>
        <v>5.2261175276823613E-2</v>
      </c>
      <c r="AI50" s="45">
        <f>IF('Data Bonds'!AL49=0,0,theta0+(theta1+theta2)*(1-EXP(-'Data Bonds'!AL49/la))/('Data Bonds'!AL49/la)-theta2*EXP(-'Data Bonds'!AL49/la))</f>
        <v>5.2312222187925556E-2</v>
      </c>
      <c r="AJ50" s="45">
        <f>IF('Data Bonds'!AM49=0,0,theta0+(theta1+theta2)*(1-EXP(-'Data Bonds'!AM49/la))/('Data Bonds'!AM49/la)-theta2*EXP(-'Data Bonds'!AM49/la))</f>
        <v>5.2359722271472377E-2</v>
      </c>
      <c r="AK50" s="45">
        <f>IF('Data Bonds'!AN49=0,0,theta0+(theta1+theta2)*(1-EXP(-'Data Bonds'!AN49/la))/('Data Bonds'!AN49/la)-theta2*EXP(-'Data Bonds'!AN49/la))</f>
        <v>5.240402358722291E-2</v>
      </c>
      <c r="AL50" s="45">
        <f>IF('Data Bonds'!AO49=0,0,theta0+(theta1+theta2)*(1-EXP(-'Data Bonds'!AO49/la))/('Data Bonds'!AO49/la)-theta2*EXP(-'Data Bonds'!AO49/la))</f>
        <v>5.2445432262903005E-2</v>
      </c>
      <c r="AM50" s="45">
        <f>IF('Data Bonds'!AP49=0,0,theta0+(theta1+theta2)*(1-EXP(-'Data Bonds'!AP49/la))/('Data Bonds'!AP49/la)-theta2*EXP(-'Data Bonds'!AP49/la))</f>
        <v>5.2484218111421725E-2</v>
      </c>
      <c r="AN50" s="45">
        <f>IF('Data Bonds'!AQ49=0,0,theta0+(theta1+theta2)*(1-EXP(-'Data Bonds'!AQ49/la))/('Data Bonds'!AQ49/la)-theta2*EXP(-'Data Bonds'!AQ49/la))</f>
        <v>5.2520619494096282E-2</v>
      </c>
      <c r="AO50" s="45">
        <f>IF('Data Bonds'!AR49=0,0,theta0+(theta1+theta2)*(1-EXP(-'Data Bonds'!AR49/la))/('Data Bonds'!AR49/la)-theta2*EXP(-'Data Bonds'!AR49/la))</f>
        <v>5.2554847511976095E-2</v>
      </c>
      <c r="AP50" s="45">
        <f>IF('Data Bonds'!AS49=0,0,theta0+(theta1+theta2)*(1-EXP(-'Data Bonds'!AS49/la))/('Data Bonds'!AS49/la)-theta2*EXP(-'Data Bonds'!AS49/la))</f>
        <v>5.2587089607941187E-2</v>
      </c>
      <c r="AQ50" s="45">
        <f>IF('Data Bonds'!AT49=0,0,theta0+(theta1+theta2)*(1-EXP(-'Data Bonds'!AT49/la))/('Data Bonds'!AT49/la)-theta2*EXP(-'Data Bonds'!AT49/la))</f>
        <v>5.2617512657752857E-2</v>
      </c>
      <c r="AR50" s="45">
        <f>IF('Data Bonds'!AU49=0,0,theta0+(theta1+theta2)*(1-EXP(-'Data Bonds'!AU49/la))/('Data Bonds'!AU49/la)-theta2*EXP(-'Data Bonds'!AU49/la))</f>
        <v>5.2646265621229565E-2</v>
      </c>
      <c r="AS50" s="45">
        <f>IF('Data Bonds'!AV49=0,0,theta0+(theta1+theta2)*(1-EXP(-'Data Bonds'!AV49/la))/('Data Bonds'!AV49/la)-theta2*EXP(-'Data Bonds'!AV49/la))</f>
        <v>0</v>
      </c>
      <c r="AT50" s="45">
        <f>IF('Data Bonds'!AW49=0,0,theta0+(theta1+theta2)*(1-EXP(-'Data Bonds'!AW49/la))/('Data Bonds'!AW49/la)-theta2*EXP(-'Data Bonds'!AW49/la))</f>
        <v>0</v>
      </c>
      <c r="AU50" s="45">
        <f>IF('Data Bonds'!AX49=0,0,theta0+(theta1+theta2)*(1-EXP(-'Data Bonds'!AX49/la))/('Data Bonds'!AX49/la)-theta2*EXP(-'Data Bonds'!AX49/la))</f>
        <v>0</v>
      </c>
      <c r="AV50" s="45">
        <f>IF('Data Bonds'!AY49=0,0,theta0+(theta1+theta2)*(1-EXP(-'Data Bonds'!AY49/la))/('Data Bonds'!AY49/la)-theta2*EXP(-'Data Bonds'!AY49/la))</f>
        <v>0</v>
      </c>
      <c r="AW50" s="45">
        <f>IF('Data Bonds'!AZ49=0,0,theta0+(theta1+theta2)*(1-EXP(-'Data Bonds'!AZ49/la))/('Data Bonds'!AZ49/la)-theta2*EXP(-'Data Bonds'!AZ49/la))</f>
        <v>0</v>
      </c>
      <c r="AX50" s="45">
        <f>IF('Data Bonds'!BA49=0,0,theta0+(theta1+theta2)*(1-EXP(-'Data Bonds'!BA49/la))/('Data Bonds'!BA49/la)-theta2*EXP(-'Data Bonds'!BA49/la))</f>
        <v>0</v>
      </c>
      <c r="AY50" s="45">
        <f>IF('Data Bonds'!BB49=0,0,theta0+(theta1+theta2)*(1-EXP(-'Data Bonds'!BB49/la))/('Data Bonds'!BB49/la)-theta2*EXP(-'Data Bonds'!BB49/la))</f>
        <v>0</v>
      </c>
      <c r="AZ50" s="45">
        <f>IF('Data Bonds'!BC49=0,0,theta0+(theta1+theta2)*(1-EXP(-'Data Bonds'!BC49/la))/('Data Bonds'!BC49/la)-theta2*EXP(-'Data Bonds'!BC49/la))</f>
        <v>0</v>
      </c>
      <c r="BA50" s="45">
        <f>IF('Data Bonds'!BD49=0,0,theta0+(theta1+theta2)*(1-EXP(-'Data Bonds'!BD49/la))/('Data Bonds'!BD49/la)-theta2*EXP(-'Data Bonds'!BD49/la))</f>
        <v>0</v>
      </c>
      <c r="BB50" s="45">
        <f>IF('Data Bonds'!BE49=0,0,theta0+(theta1+theta2)*(1-EXP(-'Data Bonds'!BE49/la))/('Data Bonds'!BE49/la)-theta2*EXP(-'Data Bonds'!BE49/la))</f>
        <v>0</v>
      </c>
      <c r="BC50" s="45">
        <f>IF('Data Bonds'!BF49=0,0,theta0+(theta1+theta2)*(1-EXP(-'Data Bonds'!BF49/la))/('Data Bonds'!BF49/la)-theta2*EXP(-'Data Bonds'!BF49/la))</f>
        <v>0</v>
      </c>
      <c r="BD50" s="45">
        <f>IF('Data Bonds'!BG49=0,0,theta0+(theta1+theta2)*(1-EXP(-'Data Bonds'!BG49/la))/('Data Bonds'!BG49/la)-theta2*EXP(-'Data Bonds'!BG49/la))</f>
        <v>0</v>
      </c>
      <c r="BE50" s="45">
        <f>IF('Data Bonds'!BH49=0,0,theta0+(theta1+theta2)*(1-EXP(-'Data Bonds'!BH49/la))/('Data Bonds'!BH49/la)-theta2*EXP(-'Data Bonds'!BH49/la))</f>
        <v>0</v>
      </c>
      <c r="BF50" s="45">
        <f>IF('Data Bonds'!BI49=0,0,theta0+(theta1+theta2)*(1-EXP(-'Data Bonds'!BI49/la))/('Data Bonds'!BI49/la)-theta2*EXP(-'Data Bonds'!BI49/la))</f>
        <v>0</v>
      </c>
      <c r="BG50" s="45">
        <f>IF('Data Bonds'!BJ49=0,0,theta0+(theta1+theta2)*(1-EXP(-'Data Bonds'!BJ49/la))/('Data Bonds'!BJ49/la)-theta2*EXP(-'Data Bonds'!BJ49/la))</f>
        <v>0</v>
      </c>
      <c r="BH50" s="45">
        <f>IF('Data Bonds'!BK49=0,0,theta0+(theta1+theta2)*(1-EXP(-'Data Bonds'!BK49/la))/('Data Bonds'!BK49/la)-theta2*EXP(-'Data Bonds'!BK49/la))</f>
        <v>0</v>
      </c>
      <c r="BI50" s="45">
        <f>IF('Data Bonds'!BL49=0,0,theta0+(theta1+theta2)*(1-EXP(-'Data Bonds'!BL49/la))/('Data Bonds'!BL49/la)-theta2*EXP(-'Data Bonds'!BL49/la))</f>
        <v>0</v>
      </c>
      <c r="BJ50" s="45">
        <f>IF('Data Bonds'!BM49=0,0,theta0+(theta1+theta2)*(1-EXP(-'Data Bonds'!BM49/la))/('Data Bonds'!BM49/la)-theta2*EXP(-'Data Bonds'!BM49/la))</f>
        <v>0</v>
      </c>
      <c r="BK50" s="45">
        <f>IF('Data Bonds'!BN49=0,0,theta0+(theta1+theta2)*(1-EXP(-'Data Bonds'!BN49/la))/('Data Bonds'!BN49/la)-theta2*EXP(-'Data Bonds'!BN49/la))</f>
        <v>0</v>
      </c>
      <c r="BL50" s="45">
        <f>IF('Data Bonds'!BO49=0,0,theta0+(theta1+theta2)*(1-EXP(-'Data Bonds'!BO49/la))/('Data Bonds'!BO49/la)-theta2*EXP(-'Data Bonds'!BO49/la))</f>
        <v>0</v>
      </c>
      <c r="BM50" s="45">
        <f>IF('Data Bonds'!BP49=0,0,theta0+(theta1+theta2)*(1-EXP(-'Data Bonds'!BP49/la))/('Data Bonds'!BP49/la)-theta2*EXP(-'Data Bonds'!BP49/la))</f>
        <v>0</v>
      </c>
      <c r="BN50" s="45">
        <f>IF('Data Bonds'!BQ49=0,0,theta0+(theta1+theta2)*(1-EXP(-'Data Bonds'!BQ49/la))/('Data Bonds'!BQ49/la)-theta2*EXP(-'Data Bonds'!BQ49/la))</f>
        <v>0</v>
      </c>
      <c r="BO50" s="45">
        <f>IF('Data Bonds'!BR49=0,0,theta0+(theta1+theta2)*(1-EXP(-'Data Bonds'!BR49/la))/('Data Bonds'!BR49/la)-theta2*EXP(-'Data Bonds'!BR49/la))</f>
        <v>0</v>
      </c>
      <c r="BP50" s="38">
        <f>EXP(-'Data Bonds'!K49*H50)</f>
        <v>0.99030095386253514</v>
      </c>
      <c r="BQ50" s="38">
        <f>EXP(-'Data Bonds'!L49*I50)</f>
        <v>0.96596142383001249</v>
      </c>
      <c r="BR50" s="38">
        <f>EXP(-'Data Bonds'!M49*J50)</f>
        <v>0.94276024382077384</v>
      </c>
      <c r="BS50" s="38">
        <f>EXP(-'Data Bonds'!N49*K50)</f>
        <v>0.92013309652437447</v>
      </c>
      <c r="BT50" s="38">
        <f>EXP(-'Data Bonds'!O49*L50)</f>
        <v>0.8978301597681585</v>
      </c>
      <c r="BU50" s="38">
        <f>EXP(-'Data Bonds'!P49*M50)</f>
        <v>0.8757679623727499</v>
      </c>
      <c r="BV50" s="38">
        <f>EXP(-'Data Bonds'!Q49*N50)</f>
        <v>0.85394508705932803</v>
      </c>
      <c r="BW50" s="38">
        <f>EXP(-'Data Bonds'!R49*O50)</f>
        <v>0.83239541980118914</v>
      </c>
      <c r="BX50" s="38">
        <f>EXP(-'Data Bonds'!S49*P50)</f>
        <v>0.81116332561828708</v>
      </c>
      <c r="BY50" s="38">
        <f>EXP(-'Data Bonds'!T49*Q50)</f>
        <v>0.79029139660492453</v>
      </c>
      <c r="BZ50" s="38">
        <f>EXP(-'Data Bonds'!U49*R50)</f>
        <v>0.76981519641342533</v>
      </c>
      <c r="CA50" s="38">
        <f>EXP(-'Data Bonds'!V49*S50)</f>
        <v>0.74976172414671449</v>
      </c>
      <c r="CB50" s="38">
        <f>EXP(-'Data Bonds'!W49*T50)</f>
        <v>0.73014971419213559</v>
      </c>
      <c r="CC50" s="38">
        <f>EXP(-'Data Bonds'!X49*U50)</f>
        <v>0.71099072354814263</v>
      </c>
      <c r="CD50" s="38">
        <f>EXP(-'Data Bonds'!Y49*V50)</f>
        <v>0.69229044963946051</v>
      </c>
      <c r="CE50" s="38">
        <f>EXP(-'Data Bonds'!Z49*W50)</f>
        <v>0.67405000392176173</v>
      </c>
      <c r="CF50" s="38">
        <f>EXP(-'Data Bonds'!AA49*X50)</f>
        <v>0.65626702351290833</v>
      </c>
      <c r="CG50" s="38">
        <f>EXP(-'Data Bonds'!AB49*Y50)</f>
        <v>0.63893658633137096</v>
      </c>
      <c r="CH50" s="38">
        <f>EXP(-'Data Bonds'!AC49*Z50)</f>
        <v>0.62205193621476651</v>
      </c>
      <c r="CI50" s="38">
        <f>EXP(-'Data Bonds'!AD49*AA50)</f>
        <v>0.60560504204345178</v>
      </c>
      <c r="CJ50" s="38">
        <f>EXP(-'Data Bonds'!AE49*AB50)</f>
        <v>0.58958702003626717</v>
      </c>
      <c r="CK50" s="38">
        <f>EXP(-'Data Bonds'!AF49*AC50)</f>
        <v>0.57398844742708199</v>
      </c>
      <c r="CL50" s="38">
        <f>EXP(-'Data Bonds'!AG49*AD50)</f>
        <v>0.55879959216452202</v>
      </c>
      <c r="CM50" s="38">
        <f>EXP(-'Data Bonds'!AH49*AE50)</f>
        <v>0.54401057894878535</v>
      </c>
      <c r="CN50" s="38">
        <f>EXP(-'Data Bonds'!AI49*AF50)</f>
        <v>0.52961150773453602</v>
      </c>
      <c r="CO50" s="38">
        <f>EXP(-'Data Bonds'!AJ49*AG50)</f>
        <v>0.51559253717395914</v>
      </c>
      <c r="CP50" s="38">
        <f>EXP(-'Data Bonds'!AK49*AH50)</f>
        <v>0.50194394246170126</v>
      </c>
      <c r="CQ50" s="38">
        <f>EXP(-'Data Bonds'!AL49*AI50)</f>
        <v>0.48865615465192236</v>
      </c>
      <c r="CR50" s="38">
        <f>EXP(-'Data Bonds'!AM49*AJ50)</f>
        <v>0.4757197866682138</v>
      </c>
      <c r="CS50" s="38">
        <f>EXP(-'Data Bonds'!AN49*AK50)</f>
        <v>0.46312564982427568</v>
      </c>
      <c r="CT50" s="38">
        <f>EXP(-'Data Bonds'!AO49*AL50)</f>
        <v>0.45086476362489408</v>
      </c>
      <c r="CU50" s="38">
        <f>EXP(-'Data Bonds'!AP49*AM50)</f>
        <v>0.43892836084252473</v>
      </c>
      <c r="CV50" s="38">
        <f>EXP(-'Data Bonds'!AQ49*AN50)</f>
        <v>0.42730788929846697</v>
      </c>
      <c r="CW50" s="38">
        <f>EXP(-'Data Bonds'!AR49*AO50)</f>
        <v>0.41599501136665035</v>
      </c>
      <c r="CX50" s="38">
        <f>EXP(-'Data Bonds'!AS49*AP50)</f>
        <v>0.40498160192183524</v>
      </c>
      <c r="CY50" s="38">
        <f>EXP(-'Data Bonds'!AT49*AQ50)</f>
        <v>0.39425974524173307</v>
      </c>
      <c r="CZ50" s="38">
        <f>EXP(-'Data Bonds'!AU49*AR50)</f>
        <v>0.38382173122115876</v>
      </c>
      <c r="DA50" s="38">
        <f>EXP(-'Data Bonds'!AV49*AS50)</f>
        <v>1</v>
      </c>
      <c r="DB50" s="38">
        <f>EXP(-'Data Bonds'!AW49*AT50)</f>
        <v>1</v>
      </c>
      <c r="DC50" s="38">
        <f>EXP(-'Data Bonds'!AX49*AU50)</f>
        <v>1</v>
      </c>
      <c r="DD50" s="38">
        <f>EXP(-'Data Bonds'!AY49*AV50)</f>
        <v>1</v>
      </c>
      <c r="DE50" s="38">
        <f>EXP(-'Data Bonds'!AZ49*AW50)</f>
        <v>1</v>
      </c>
      <c r="DF50" s="38">
        <f>EXP(-'Data Bonds'!BA49*AX50)</f>
        <v>1</v>
      </c>
      <c r="DG50" s="38">
        <f>EXP(-'Data Bonds'!BB49*AY50)</f>
        <v>1</v>
      </c>
      <c r="DH50" s="38">
        <f>EXP(-'Data Bonds'!BC49*AZ50)</f>
        <v>1</v>
      </c>
      <c r="DI50" s="38">
        <f>EXP(-'Data Bonds'!BD49*BA50)</f>
        <v>1</v>
      </c>
      <c r="DJ50" s="38">
        <f>EXP(-'Data Bonds'!BE49*BB50)</f>
        <v>1</v>
      </c>
      <c r="DK50" s="38">
        <f>EXP(-'Data Bonds'!BF49*BC50)</f>
        <v>1</v>
      </c>
      <c r="DL50" s="38">
        <f>EXP(-'Data Bonds'!BG49*BD50)</f>
        <v>1</v>
      </c>
      <c r="DM50" s="38">
        <f>EXP(-'Data Bonds'!BH49*BE50)</f>
        <v>1</v>
      </c>
      <c r="DN50" s="38">
        <f>EXP(-'Data Bonds'!BI49*BF50)</f>
        <v>1</v>
      </c>
      <c r="DO50" s="38">
        <f>EXP(-'Data Bonds'!BJ49*BG50)</f>
        <v>1</v>
      </c>
      <c r="DP50" s="38">
        <f>EXP(-'Data Bonds'!BK49*BH50)</f>
        <v>1</v>
      </c>
      <c r="DQ50" s="38">
        <f>EXP(-'Data Bonds'!BL49*BI50)</f>
        <v>1</v>
      </c>
      <c r="DR50" s="38">
        <f>EXP(-'Data Bonds'!BM49*BJ50)</f>
        <v>1</v>
      </c>
      <c r="DS50" s="38">
        <f>EXP(-'Data Bonds'!BN49*BK50)</f>
        <v>1</v>
      </c>
      <c r="DT50" s="38">
        <f>EXP(-'Data Bonds'!BO49*BL50)</f>
        <v>1</v>
      </c>
      <c r="DU50" s="38">
        <f>EXP(-'Data Bonds'!BP49*BM50)</f>
        <v>1</v>
      </c>
      <c r="DV50" s="38">
        <f>EXP(-'Data Bonds'!BQ49*BN50)</f>
        <v>1</v>
      </c>
      <c r="DW50" s="38">
        <f>EXP(-'Data Bonds'!BR49*BO50)</f>
        <v>1</v>
      </c>
      <c r="DX50" s="28">
        <f>SUMPRODUCT(BP50:DW50,'Data Bonds'!BU49:EB49)</f>
        <v>120.49601052467369</v>
      </c>
      <c r="DY50" s="28">
        <f t="shared" si="5"/>
        <v>0.23244127169181836</v>
      </c>
      <c r="EA50" s="33">
        <f t="shared" si="6"/>
        <v>19.5</v>
      </c>
      <c r="EB50" s="29">
        <f t="shared" si="8"/>
        <v>5.2714666335008153E-2</v>
      </c>
      <c r="EC50" s="29">
        <f t="shared" si="9"/>
        <v>0.35774458621483479</v>
      </c>
      <c r="ED50" s="29">
        <f t="shared" si="7"/>
        <v>5.366361369156214E-2</v>
      </c>
      <c r="EF50" s="32"/>
      <c r="EG50" s="32"/>
      <c r="EI50" s="34"/>
    </row>
    <row r="51" spans="1:139">
      <c r="B51" s="27">
        <f>'Data Bonds'!E50</f>
        <v>6</v>
      </c>
      <c r="C51" s="27">
        <f>'Data Bonds'!F50</f>
        <v>107.875</v>
      </c>
      <c r="D51" s="27">
        <f>'Data Bonds'!G50</f>
        <v>107.9375</v>
      </c>
      <c r="E51" s="27">
        <f>'Data Bonds'!I50</f>
        <v>1.8666666666666667</v>
      </c>
      <c r="F51" s="40">
        <f>'Data Bonds'!H50</f>
        <v>18.68888888888889</v>
      </c>
      <c r="G51" s="28">
        <f t="shared" si="4"/>
        <v>109.77291666666666</v>
      </c>
      <c r="H51" s="45">
        <f>IF('Data Bonds'!K50=0,0,theta0+(theta1+theta2)*(1-EXP(-'Data Bonds'!K50/la))/('Data Bonds'!K50/la)-theta2*EXP(-'Data Bonds'!K50/la))</f>
        <v>5.1598526027898411E-2</v>
      </c>
      <c r="I51" s="45">
        <f>IF('Data Bonds'!L50=0,0,theta0+(theta1+theta2)*(1-EXP(-'Data Bonds'!L50/la))/('Data Bonds'!L50/la)-theta2*EXP(-'Data Bonds'!L50/la))</f>
        <v>5.0271357324748023E-2</v>
      </c>
      <c r="J51" s="45">
        <f>IF('Data Bonds'!M50=0,0,theta0+(theta1+theta2)*(1-EXP(-'Data Bonds'!M50/la))/('Data Bonds'!M50/la)-theta2*EXP(-'Data Bonds'!M50/la))</f>
        <v>4.9578457297749672E-2</v>
      </c>
      <c r="K51" s="45">
        <f>IF('Data Bonds'!N50=0,0,theta0+(theta1+theta2)*(1-EXP(-'Data Bonds'!N50/la))/('Data Bonds'!N50/la)-theta2*EXP(-'Data Bonds'!N50/la))</f>
        <v>4.9285035750538553E-2</v>
      </c>
      <c r="L51" s="45">
        <f>IF('Data Bonds'!O50=0,0,theta0+(theta1+theta2)*(1-EXP(-'Data Bonds'!O50/la))/('Data Bonds'!O50/la)-theta2*EXP(-'Data Bonds'!O50/la))</f>
        <v>4.9237017363447266E-2</v>
      </c>
      <c r="M51" s="45">
        <f>IF('Data Bonds'!P50=0,0,theta0+(theta1+theta2)*(1-EXP(-'Data Bonds'!P50/la))/('Data Bonds'!P50/la)-theta2*EXP(-'Data Bonds'!P50/la))</f>
        <v>4.9334171753160738E-2</v>
      </c>
      <c r="N51" s="45">
        <f>IF('Data Bonds'!Q50=0,0,theta0+(theta1+theta2)*(1-EXP(-'Data Bonds'!Q50/la))/('Data Bonds'!Q50/la)-theta2*EXP(-'Data Bonds'!Q50/la))</f>
        <v>4.9512038088999483E-2</v>
      </c>
      <c r="O51" s="45">
        <f>IF('Data Bonds'!R50=0,0,theta0+(theta1+theta2)*(1-EXP(-'Data Bonds'!R50/la))/('Data Bonds'!R50/la)-theta2*EXP(-'Data Bonds'!R50/la))</f>
        <v>4.9729794635889335E-2</v>
      </c>
      <c r="P51" s="45">
        <f>IF('Data Bonds'!S50=0,0,theta0+(theta1+theta2)*(1-EXP(-'Data Bonds'!S50/la))/('Data Bonds'!S50/la)-theta2*EXP(-'Data Bonds'!S50/la))</f>
        <v>4.9962140977046696E-2</v>
      </c>
      <c r="Q51" s="45">
        <f>IF('Data Bonds'!T50=0,0,theta0+(theta1+theta2)*(1-EXP(-'Data Bonds'!T50/la))/('Data Bonds'!T50/la)-theta2*EXP(-'Data Bonds'!T50/la))</f>
        <v>5.0193884019659962E-2</v>
      </c>
      <c r="R51" s="45">
        <f>IF('Data Bonds'!U50=0,0,theta0+(theta1+theta2)*(1-EXP(-'Data Bonds'!U50/la))/('Data Bonds'!U50/la)-theta2*EXP(-'Data Bonds'!U50/la))</f>
        <v>5.0416342149512058E-2</v>
      </c>
      <c r="S51" s="45">
        <f>IF('Data Bonds'!V50=0,0,theta0+(theta1+theta2)*(1-EXP(-'Data Bonds'!V50/la))/('Data Bonds'!V50/la)-theta2*EXP(-'Data Bonds'!V50/la))</f>
        <v>5.0624969074311257E-2</v>
      </c>
      <c r="T51" s="45">
        <f>IF('Data Bonds'!W50=0,0,theta0+(theta1+theta2)*(1-EXP(-'Data Bonds'!W50/la))/('Data Bonds'!W50/la)-theta2*EXP(-'Data Bonds'!W50/la))</f>
        <v>5.0817793561872729E-2</v>
      </c>
      <c r="U51" s="45">
        <f>IF('Data Bonds'!X50=0,0,theta0+(theta1+theta2)*(1-EXP(-'Data Bonds'!X50/la))/('Data Bonds'!X50/la)-theta2*EXP(-'Data Bonds'!X50/la))</f>
        <v>5.0994403103277734E-2</v>
      </c>
      <c r="V51" s="45">
        <f>IF('Data Bonds'!Y50=0,0,theta0+(theta1+theta2)*(1-EXP(-'Data Bonds'!Y50/la))/('Data Bonds'!Y50/la)-theta2*EXP(-'Data Bonds'!Y50/la))</f>
        <v>5.1155288695615496E-2</v>
      </c>
      <c r="W51" s="45">
        <f>IF('Data Bonds'!Z50=0,0,theta0+(theta1+theta2)*(1-EXP(-'Data Bonds'!Z50/la))/('Data Bonds'!Z50/la)-theta2*EXP(-'Data Bonds'!Z50/la))</f>
        <v>5.1301428168232986E-2</v>
      </c>
      <c r="X51" s="45">
        <f>IF('Data Bonds'!AA50=0,0,theta0+(theta1+theta2)*(1-EXP(-'Data Bonds'!AA50/la))/('Data Bonds'!AA50/la)-theta2*EXP(-'Data Bonds'!AA50/la))</f>
        <v>5.1434026097624264E-2</v>
      </c>
      <c r="Y51" s="45">
        <f>IF('Data Bonds'!AB50=0,0,theta0+(theta1+theta2)*(1-EXP(-'Data Bonds'!AB50/la))/('Data Bonds'!AB50/la)-theta2*EXP(-'Data Bonds'!AB50/la))</f>
        <v>5.1554355703636381E-2</v>
      </c>
      <c r="Z51" s="45">
        <f>IF('Data Bonds'!AC50=0,0,theta0+(theta1+theta2)*(1-EXP(-'Data Bonds'!AC50/la))/('Data Bonds'!AC50/la)-theta2*EXP(-'Data Bonds'!AC50/la))</f>
        <v>5.1663666492393567E-2</v>
      </c>
      <c r="AA51" s="45">
        <f>IF('Data Bonds'!AD50=0,0,theta0+(theta1+theta2)*(1-EXP(-'Data Bonds'!AD50/la))/('Data Bonds'!AD50/la)-theta2*EXP(-'Data Bonds'!AD50/la))</f>
        <v>5.1763133724185395E-2</v>
      </c>
      <c r="AB51" s="45">
        <f>IF('Data Bonds'!AE50=0,0,theta0+(theta1+theta2)*(1-EXP(-'Data Bonds'!AE50/la))/('Data Bonds'!AE50/la)-theta2*EXP(-'Data Bonds'!AE50/la))</f>
        <v>5.1853834012200901E-2</v>
      </c>
      <c r="AC51" s="45">
        <f>IF('Data Bonds'!AF50=0,0,theta0+(theta1+theta2)*(1-EXP(-'Data Bonds'!AF50/la))/('Data Bonds'!AF50/la)-theta2*EXP(-'Data Bonds'!AF50/la))</f>
        <v>5.1936736836682804E-2</v>
      </c>
      <c r="AD51" s="45">
        <f>IF('Data Bonds'!AG50=0,0,theta0+(theta1+theta2)*(1-EXP(-'Data Bonds'!AG50/la))/('Data Bonds'!AG50/la)-theta2*EXP(-'Data Bonds'!AG50/la))</f>
        <v>5.2012705391962649E-2</v>
      </c>
      <c r="AE51" s="45">
        <f>IF('Data Bonds'!AH50=0,0,theta0+(theta1+theta2)*(1-EXP(-'Data Bonds'!AH50/la))/('Data Bonds'!AH50/la)-theta2*EXP(-'Data Bonds'!AH50/la))</f>
        <v>5.2082502580458233E-2</v>
      </c>
      <c r="AF51" s="45">
        <f>IF('Data Bonds'!AI50=0,0,theta0+(theta1+theta2)*(1-EXP(-'Data Bonds'!AI50/la))/('Data Bonds'!AI50/la)-theta2*EXP(-'Data Bonds'!AI50/la))</f>
        <v>5.2146799538785205E-2</v>
      </c>
      <c r="AG51" s="45">
        <f>IF('Data Bonds'!AJ50=0,0,theta0+(theta1+theta2)*(1-EXP(-'Data Bonds'!AJ50/la))/('Data Bonds'!AJ50/la)-theta2*EXP(-'Data Bonds'!AJ50/la))</f>
        <v>5.2206185102880893E-2</v>
      </c>
      <c r="AH51" s="45">
        <f>IF('Data Bonds'!AK50=0,0,theta0+(theta1+theta2)*(1-EXP(-'Data Bonds'!AK50/la))/('Data Bonds'!AK50/la)-theta2*EXP(-'Data Bonds'!AK50/la))</f>
        <v>5.2261175276823613E-2</v>
      </c>
      <c r="AI51" s="45">
        <f>IF('Data Bonds'!AL50=0,0,theta0+(theta1+theta2)*(1-EXP(-'Data Bonds'!AL50/la))/('Data Bonds'!AL50/la)-theta2*EXP(-'Data Bonds'!AL50/la))</f>
        <v>5.2312222187925556E-2</v>
      </c>
      <c r="AJ51" s="45">
        <f>IF('Data Bonds'!AM50=0,0,theta0+(theta1+theta2)*(1-EXP(-'Data Bonds'!AM50/la))/('Data Bonds'!AM50/la)-theta2*EXP(-'Data Bonds'!AM50/la))</f>
        <v>5.2359722271472377E-2</v>
      </c>
      <c r="AK51" s="45">
        <f>IF('Data Bonds'!AN50=0,0,theta0+(theta1+theta2)*(1-EXP(-'Data Bonds'!AN50/la))/('Data Bonds'!AN50/la)-theta2*EXP(-'Data Bonds'!AN50/la))</f>
        <v>5.240402358722291E-2</v>
      </c>
      <c r="AL51" s="45">
        <f>IF('Data Bonds'!AO50=0,0,theta0+(theta1+theta2)*(1-EXP(-'Data Bonds'!AO50/la))/('Data Bonds'!AO50/la)-theta2*EXP(-'Data Bonds'!AO50/la))</f>
        <v>5.2445432262903005E-2</v>
      </c>
      <c r="AM51" s="45">
        <f>IF('Data Bonds'!AP50=0,0,theta0+(theta1+theta2)*(1-EXP(-'Data Bonds'!AP50/la))/('Data Bonds'!AP50/la)-theta2*EXP(-'Data Bonds'!AP50/la))</f>
        <v>5.2484218111421725E-2</v>
      </c>
      <c r="AN51" s="45">
        <f>IF('Data Bonds'!AQ50=0,0,theta0+(theta1+theta2)*(1-EXP(-'Data Bonds'!AQ50/la))/('Data Bonds'!AQ50/la)-theta2*EXP(-'Data Bonds'!AQ50/la))</f>
        <v>5.2520619494096282E-2</v>
      </c>
      <c r="AO51" s="45">
        <f>IF('Data Bonds'!AR50=0,0,theta0+(theta1+theta2)*(1-EXP(-'Data Bonds'!AR50/la))/('Data Bonds'!AR50/la)-theta2*EXP(-'Data Bonds'!AR50/la))</f>
        <v>5.2554847511976095E-2</v>
      </c>
      <c r="AP51" s="45">
        <f>IF('Data Bonds'!AS50=0,0,theta0+(theta1+theta2)*(1-EXP(-'Data Bonds'!AS50/la))/('Data Bonds'!AS50/la)-theta2*EXP(-'Data Bonds'!AS50/la))</f>
        <v>5.2587089607941187E-2</v>
      </c>
      <c r="AQ51" s="45">
        <f>IF('Data Bonds'!AT50=0,0,theta0+(theta1+theta2)*(1-EXP(-'Data Bonds'!AT50/la))/('Data Bonds'!AT50/la)-theta2*EXP(-'Data Bonds'!AT50/la))</f>
        <v>5.2617512657752857E-2</v>
      </c>
      <c r="AR51" s="45">
        <f>IF('Data Bonds'!AU50=0,0,theta0+(theta1+theta2)*(1-EXP(-'Data Bonds'!AU50/la))/('Data Bonds'!AU50/la)-theta2*EXP(-'Data Bonds'!AU50/la))</f>
        <v>5.2646265621229565E-2</v>
      </c>
      <c r="AS51" s="45">
        <f>IF('Data Bonds'!AV50=0,0,theta0+(theta1+theta2)*(1-EXP(-'Data Bonds'!AV50/la))/('Data Bonds'!AV50/la)-theta2*EXP(-'Data Bonds'!AV50/la))</f>
        <v>5.2673481816763512E-2</v>
      </c>
      <c r="AT51" s="45">
        <f>IF('Data Bonds'!AW50=0,0,theta0+(theta1+theta2)*(1-EXP(-'Data Bonds'!AW50/la))/('Data Bonds'!AW50/la)-theta2*EXP(-'Data Bonds'!AW50/la))</f>
        <v>0</v>
      </c>
      <c r="AU51" s="45">
        <f>IF('Data Bonds'!AX50=0,0,theta0+(theta1+theta2)*(1-EXP(-'Data Bonds'!AX50/la))/('Data Bonds'!AX50/la)-theta2*EXP(-'Data Bonds'!AX50/la))</f>
        <v>0</v>
      </c>
      <c r="AV51" s="45">
        <f>IF('Data Bonds'!AY50=0,0,theta0+(theta1+theta2)*(1-EXP(-'Data Bonds'!AY50/la))/('Data Bonds'!AY50/la)-theta2*EXP(-'Data Bonds'!AY50/la))</f>
        <v>0</v>
      </c>
      <c r="AW51" s="45">
        <f>IF('Data Bonds'!AZ50=0,0,theta0+(theta1+theta2)*(1-EXP(-'Data Bonds'!AZ50/la))/('Data Bonds'!AZ50/la)-theta2*EXP(-'Data Bonds'!AZ50/la))</f>
        <v>0</v>
      </c>
      <c r="AX51" s="45">
        <f>IF('Data Bonds'!BA50=0,0,theta0+(theta1+theta2)*(1-EXP(-'Data Bonds'!BA50/la))/('Data Bonds'!BA50/la)-theta2*EXP(-'Data Bonds'!BA50/la))</f>
        <v>0</v>
      </c>
      <c r="AY51" s="45">
        <f>IF('Data Bonds'!BB50=0,0,theta0+(theta1+theta2)*(1-EXP(-'Data Bonds'!BB50/la))/('Data Bonds'!BB50/la)-theta2*EXP(-'Data Bonds'!BB50/la))</f>
        <v>0</v>
      </c>
      <c r="AZ51" s="45">
        <f>IF('Data Bonds'!BC50=0,0,theta0+(theta1+theta2)*(1-EXP(-'Data Bonds'!BC50/la))/('Data Bonds'!BC50/la)-theta2*EXP(-'Data Bonds'!BC50/la))</f>
        <v>0</v>
      </c>
      <c r="BA51" s="45">
        <f>IF('Data Bonds'!BD50=0,0,theta0+(theta1+theta2)*(1-EXP(-'Data Bonds'!BD50/la))/('Data Bonds'!BD50/la)-theta2*EXP(-'Data Bonds'!BD50/la))</f>
        <v>0</v>
      </c>
      <c r="BB51" s="45">
        <f>IF('Data Bonds'!BE50=0,0,theta0+(theta1+theta2)*(1-EXP(-'Data Bonds'!BE50/la))/('Data Bonds'!BE50/la)-theta2*EXP(-'Data Bonds'!BE50/la))</f>
        <v>0</v>
      </c>
      <c r="BC51" s="45">
        <f>IF('Data Bonds'!BF50=0,0,theta0+(theta1+theta2)*(1-EXP(-'Data Bonds'!BF50/la))/('Data Bonds'!BF50/la)-theta2*EXP(-'Data Bonds'!BF50/la))</f>
        <v>0</v>
      </c>
      <c r="BD51" s="45">
        <f>IF('Data Bonds'!BG50=0,0,theta0+(theta1+theta2)*(1-EXP(-'Data Bonds'!BG50/la))/('Data Bonds'!BG50/la)-theta2*EXP(-'Data Bonds'!BG50/la))</f>
        <v>0</v>
      </c>
      <c r="BE51" s="45">
        <f>IF('Data Bonds'!BH50=0,0,theta0+(theta1+theta2)*(1-EXP(-'Data Bonds'!BH50/la))/('Data Bonds'!BH50/la)-theta2*EXP(-'Data Bonds'!BH50/la))</f>
        <v>0</v>
      </c>
      <c r="BF51" s="45">
        <f>IF('Data Bonds'!BI50=0,0,theta0+(theta1+theta2)*(1-EXP(-'Data Bonds'!BI50/la))/('Data Bonds'!BI50/la)-theta2*EXP(-'Data Bonds'!BI50/la))</f>
        <v>0</v>
      </c>
      <c r="BG51" s="45">
        <f>IF('Data Bonds'!BJ50=0,0,theta0+(theta1+theta2)*(1-EXP(-'Data Bonds'!BJ50/la))/('Data Bonds'!BJ50/la)-theta2*EXP(-'Data Bonds'!BJ50/la))</f>
        <v>0</v>
      </c>
      <c r="BH51" s="45">
        <f>IF('Data Bonds'!BK50=0,0,theta0+(theta1+theta2)*(1-EXP(-'Data Bonds'!BK50/la))/('Data Bonds'!BK50/la)-theta2*EXP(-'Data Bonds'!BK50/la))</f>
        <v>0</v>
      </c>
      <c r="BI51" s="45">
        <f>IF('Data Bonds'!BL50=0,0,theta0+(theta1+theta2)*(1-EXP(-'Data Bonds'!BL50/la))/('Data Bonds'!BL50/la)-theta2*EXP(-'Data Bonds'!BL50/la))</f>
        <v>0</v>
      </c>
      <c r="BJ51" s="45">
        <f>IF('Data Bonds'!BM50=0,0,theta0+(theta1+theta2)*(1-EXP(-'Data Bonds'!BM50/la))/('Data Bonds'!BM50/la)-theta2*EXP(-'Data Bonds'!BM50/la))</f>
        <v>0</v>
      </c>
      <c r="BK51" s="45">
        <f>IF('Data Bonds'!BN50=0,0,theta0+(theta1+theta2)*(1-EXP(-'Data Bonds'!BN50/la))/('Data Bonds'!BN50/la)-theta2*EXP(-'Data Bonds'!BN50/la))</f>
        <v>0</v>
      </c>
      <c r="BL51" s="45">
        <f>IF('Data Bonds'!BO50=0,0,theta0+(theta1+theta2)*(1-EXP(-'Data Bonds'!BO50/la))/('Data Bonds'!BO50/la)-theta2*EXP(-'Data Bonds'!BO50/la))</f>
        <v>0</v>
      </c>
      <c r="BM51" s="45">
        <f>IF('Data Bonds'!BP50=0,0,theta0+(theta1+theta2)*(1-EXP(-'Data Bonds'!BP50/la))/('Data Bonds'!BP50/la)-theta2*EXP(-'Data Bonds'!BP50/la))</f>
        <v>0</v>
      </c>
      <c r="BN51" s="45">
        <f>IF('Data Bonds'!BQ50=0,0,theta0+(theta1+theta2)*(1-EXP(-'Data Bonds'!BQ50/la))/('Data Bonds'!BQ50/la)-theta2*EXP(-'Data Bonds'!BQ50/la))</f>
        <v>0</v>
      </c>
      <c r="BO51" s="45">
        <f>IF('Data Bonds'!BR50=0,0,theta0+(theta1+theta2)*(1-EXP(-'Data Bonds'!BR50/la))/('Data Bonds'!BR50/la)-theta2*EXP(-'Data Bonds'!BR50/la))</f>
        <v>0</v>
      </c>
      <c r="BP51" s="38">
        <f>EXP(-'Data Bonds'!K50*H51)</f>
        <v>0.99030095386253514</v>
      </c>
      <c r="BQ51" s="38">
        <f>EXP(-'Data Bonds'!L50*I51)</f>
        <v>0.96596142383001249</v>
      </c>
      <c r="BR51" s="38">
        <f>EXP(-'Data Bonds'!M50*J51)</f>
        <v>0.94276024382077384</v>
      </c>
      <c r="BS51" s="38">
        <f>EXP(-'Data Bonds'!N50*K51)</f>
        <v>0.92013309652437447</v>
      </c>
      <c r="BT51" s="38">
        <f>EXP(-'Data Bonds'!O50*L51)</f>
        <v>0.8978301597681585</v>
      </c>
      <c r="BU51" s="38">
        <f>EXP(-'Data Bonds'!P50*M51)</f>
        <v>0.8757679623727499</v>
      </c>
      <c r="BV51" s="38">
        <f>EXP(-'Data Bonds'!Q50*N51)</f>
        <v>0.85394508705932803</v>
      </c>
      <c r="BW51" s="38">
        <f>EXP(-'Data Bonds'!R50*O51)</f>
        <v>0.83239541980118914</v>
      </c>
      <c r="BX51" s="38">
        <f>EXP(-'Data Bonds'!S50*P51)</f>
        <v>0.81116332561828708</v>
      </c>
      <c r="BY51" s="38">
        <f>EXP(-'Data Bonds'!T50*Q51)</f>
        <v>0.79029139660492453</v>
      </c>
      <c r="BZ51" s="38">
        <f>EXP(-'Data Bonds'!U50*R51)</f>
        <v>0.76981519641342533</v>
      </c>
      <c r="CA51" s="38">
        <f>EXP(-'Data Bonds'!V50*S51)</f>
        <v>0.74976172414671449</v>
      </c>
      <c r="CB51" s="38">
        <f>EXP(-'Data Bonds'!W50*T51)</f>
        <v>0.73014971419213559</v>
      </c>
      <c r="CC51" s="38">
        <f>EXP(-'Data Bonds'!X50*U51)</f>
        <v>0.71099072354814263</v>
      </c>
      <c r="CD51" s="38">
        <f>EXP(-'Data Bonds'!Y50*V51)</f>
        <v>0.69229044963946051</v>
      </c>
      <c r="CE51" s="38">
        <f>EXP(-'Data Bonds'!Z50*W51)</f>
        <v>0.67405000392176173</v>
      </c>
      <c r="CF51" s="38">
        <f>EXP(-'Data Bonds'!AA50*X51)</f>
        <v>0.65626702351290833</v>
      </c>
      <c r="CG51" s="38">
        <f>EXP(-'Data Bonds'!AB50*Y51)</f>
        <v>0.63893658633137096</v>
      </c>
      <c r="CH51" s="38">
        <f>EXP(-'Data Bonds'!AC50*Z51)</f>
        <v>0.62205193621476651</v>
      </c>
      <c r="CI51" s="38">
        <f>EXP(-'Data Bonds'!AD50*AA51)</f>
        <v>0.60560504204345178</v>
      </c>
      <c r="CJ51" s="38">
        <f>EXP(-'Data Bonds'!AE50*AB51)</f>
        <v>0.58958702003626717</v>
      </c>
      <c r="CK51" s="38">
        <f>EXP(-'Data Bonds'!AF50*AC51)</f>
        <v>0.57398844742708199</v>
      </c>
      <c r="CL51" s="38">
        <f>EXP(-'Data Bonds'!AG50*AD51)</f>
        <v>0.55879959216452202</v>
      </c>
      <c r="CM51" s="38">
        <f>EXP(-'Data Bonds'!AH50*AE51)</f>
        <v>0.54401057894878535</v>
      </c>
      <c r="CN51" s="38">
        <f>EXP(-'Data Bonds'!AI50*AF51)</f>
        <v>0.52961150773453602</v>
      </c>
      <c r="CO51" s="38">
        <f>EXP(-'Data Bonds'!AJ50*AG51)</f>
        <v>0.51559253717395914</v>
      </c>
      <c r="CP51" s="38">
        <f>EXP(-'Data Bonds'!AK50*AH51)</f>
        <v>0.50194394246170126</v>
      </c>
      <c r="CQ51" s="38">
        <f>EXP(-'Data Bonds'!AL50*AI51)</f>
        <v>0.48865615465192236</v>
      </c>
      <c r="CR51" s="38">
        <f>EXP(-'Data Bonds'!AM50*AJ51)</f>
        <v>0.4757197866682138</v>
      </c>
      <c r="CS51" s="38">
        <f>EXP(-'Data Bonds'!AN50*AK51)</f>
        <v>0.46312564982427568</v>
      </c>
      <c r="CT51" s="38">
        <f>EXP(-'Data Bonds'!AO50*AL51)</f>
        <v>0.45086476362489408</v>
      </c>
      <c r="CU51" s="38">
        <f>EXP(-'Data Bonds'!AP50*AM51)</f>
        <v>0.43892836084252473</v>
      </c>
      <c r="CV51" s="38">
        <f>EXP(-'Data Bonds'!AQ50*AN51)</f>
        <v>0.42730788929846697</v>
      </c>
      <c r="CW51" s="38">
        <f>EXP(-'Data Bonds'!AR50*AO51)</f>
        <v>0.41599501136665035</v>
      </c>
      <c r="CX51" s="38">
        <f>EXP(-'Data Bonds'!AS50*AP51)</f>
        <v>0.40498160192183524</v>
      </c>
      <c r="CY51" s="38">
        <f>EXP(-'Data Bonds'!AT50*AQ51)</f>
        <v>0.39425974524173307</v>
      </c>
      <c r="CZ51" s="38">
        <f>EXP(-'Data Bonds'!AU50*AR51)</f>
        <v>0.38382173122115876</v>
      </c>
      <c r="DA51" s="38">
        <f>EXP(-'Data Bonds'!AV50*AS51)</f>
        <v>0.37366005114884232</v>
      </c>
      <c r="DB51" s="38">
        <f>EXP(-'Data Bonds'!AW50*AT51)</f>
        <v>1</v>
      </c>
      <c r="DC51" s="38">
        <f>EXP(-'Data Bonds'!AX50*AU51)</f>
        <v>1</v>
      </c>
      <c r="DD51" s="38">
        <f>EXP(-'Data Bonds'!AY50*AV51)</f>
        <v>1</v>
      </c>
      <c r="DE51" s="38">
        <f>EXP(-'Data Bonds'!AZ50*AW51)</f>
        <v>1</v>
      </c>
      <c r="DF51" s="38">
        <f>EXP(-'Data Bonds'!BA50*AX51)</f>
        <v>1</v>
      </c>
      <c r="DG51" s="38">
        <f>EXP(-'Data Bonds'!BB50*AY51)</f>
        <v>1</v>
      </c>
      <c r="DH51" s="38">
        <f>EXP(-'Data Bonds'!BC50*AZ51)</f>
        <v>1</v>
      </c>
      <c r="DI51" s="38">
        <f>EXP(-'Data Bonds'!BD50*BA51)</f>
        <v>1</v>
      </c>
      <c r="DJ51" s="38">
        <f>EXP(-'Data Bonds'!BE50*BB51)</f>
        <v>1</v>
      </c>
      <c r="DK51" s="38">
        <f>EXP(-'Data Bonds'!BF50*BC51)</f>
        <v>1</v>
      </c>
      <c r="DL51" s="38">
        <f>EXP(-'Data Bonds'!BG50*BD51)</f>
        <v>1</v>
      </c>
      <c r="DM51" s="38">
        <f>EXP(-'Data Bonds'!BH50*BE51)</f>
        <v>1</v>
      </c>
      <c r="DN51" s="38">
        <f>EXP(-'Data Bonds'!BI50*BF51)</f>
        <v>1</v>
      </c>
      <c r="DO51" s="38">
        <f>EXP(-'Data Bonds'!BJ50*BG51)</f>
        <v>1</v>
      </c>
      <c r="DP51" s="38">
        <f>EXP(-'Data Bonds'!BK50*BH51)</f>
        <v>1</v>
      </c>
      <c r="DQ51" s="38">
        <f>EXP(-'Data Bonds'!BL50*BI51)</f>
        <v>1</v>
      </c>
      <c r="DR51" s="38">
        <f>EXP(-'Data Bonds'!BM50*BJ51)</f>
        <v>1</v>
      </c>
      <c r="DS51" s="38">
        <f>EXP(-'Data Bonds'!BN50*BK51)</f>
        <v>1</v>
      </c>
      <c r="DT51" s="38">
        <f>EXP(-'Data Bonds'!BO50*BL51)</f>
        <v>1</v>
      </c>
      <c r="DU51" s="38">
        <f>EXP(-'Data Bonds'!BP50*BM51)</f>
        <v>1</v>
      </c>
      <c r="DV51" s="38">
        <f>EXP(-'Data Bonds'!BQ50*BN51)</f>
        <v>1</v>
      </c>
      <c r="DW51" s="38">
        <f>EXP(-'Data Bonds'!BR50*BO51)</f>
        <v>1</v>
      </c>
      <c r="DX51" s="28">
        <f>SUMPRODUCT(BP51:DW51,'Data Bonds'!BU50:EB50)</f>
        <v>110.14997063783574</v>
      </c>
      <c r="DY51" s="28">
        <f t="shared" si="5"/>
        <v>0.14216969717437034</v>
      </c>
      <c r="EA51" s="33">
        <f t="shared" si="6"/>
        <v>20</v>
      </c>
      <c r="EB51" s="29">
        <f t="shared" si="8"/>
        <v>5.2738390666908171E-2</v>
      </c>
      <c r="EC51" s="29">
        <f t="shared" si="9"/>
        <v>0.34827328232993632</v>
      </c>
      <c r="ED51" s="29">
        <f t="shared" si="7"/>
        <v>5.3663639611008881E-2</v>
      </c>
      <c r="EF51" s="32"/>
      <c r="EG51" s="32"/>
      <c r="EI51" s="34"/>
    </row>
    <row r="52" spans="1:139">
      <c r="B52" s="27">
        <f>'Data Bonds'!E51</f>
        <v>6.75</v>
      </c>
      <c r="C52" s="27">
        <f>'Data Bonds'!F51</f>
        <v>116.984375</v>
      </c>
      <c r="D52" s="27">
        <f>'Data Bonds'!G51</f>
        <v>117.046875</v>
      </c>
      <c r="E52" s="27">
        <f>'Data Bonds'!I51</f>
        <v>2.1</v>
      </c>
      <c r="F52" s="40">
        <f>'Data Bonds'!H51</f>
        <v>19.18888888888889</v>
      </c>
      <c r="G52" s="28">
        <f t="shared" si="4"/>
        <v>119.11562499999999</v>
      </c>
      <c r="H52" s="45">
        <f>IF('Data Bonds'!K51=0,0,theta0+(theta1+theta2)*(1-EXP(-'Data Bonds'!K51/la))/('Data Bonds'!K51/la)-theta2*EXP(-'Data Bonds'!K51/la))</f>
        <v>5.1598526027898411E-2</v>
      </c>
      <c r="I52" s="45">
        <f>IF('Data Bonds'!L51=0,0,theta0+(theta1+theta2)*(1-EXP(-'Data Bonds'!L51/la))/('Data Bonds'!L51/la)-theta2*EXP(-'Data Bonds'!L51/la))</f>
        <v>5.0271357324748023E-2</v>
      </c>
      <c r="J52" s="45">
        <f>IF('Data Bonds'!M51=0,0,theta0+(theta1+theta2)*(1-EXP(-'Data Bonds'!M51/la))/('Data Bonds'!M51/la)-theta2*EXP(-'Data Bonds'!M51/la))</f>
        <v>4.9578457297749672E-2</v>
      </c>
      <c r="K52" s="45">
        <f>IF('Data Bonds'!N51=0,0,theta0+(theta1+theta2)*(1-EXP(-'Data Bonds'!N51/la))/('Data Bonds'!N51/la)-theta2*EXP(-'Data Bonds'!N51/la))</f>
        <v>4.9285035750538553E-2</v>
      </c>
      <c r="L52" s="45">
        <f>IF('Data Bonds'!O51=0,0,theta0+(theta1+theta2)*(1-EXP(-'Data Bonds'!O51/la))/('Data Bonds'!O51/la)-theta2*EXP(-'Data Bonds'!O51/la))</f>
        <v>4.9237017363447266E-2</v>
      </c>
      <c r="M52" s="45">
        <f>IF('Data Bonds'!P51=0,0,theta0+(theta1+theta2)*(1-EXP(-'Data Bonds'!P51/la))/('Data Bonds'!P51/la)-theta2*EXP(-'Data Bonds'!P51/la))</f>
        <v>4.9334171753160738E-2</v>
      </c>
      <c r="N52" s="45">
        <f>IF('Data Bonds'!Q51=0,0,theta0+(theta1+theta2)*(1-EXP(-'Data Bonds'!Q51/la))/('Data Bonds'!Q51/la)-theta2*EXP(-'Data Bonds'!Q51/la))</f>
        <v>4.9512038088999483E-2</v>
      </c>
      <c r="O52" s="45">
        <f>IF('Data Bonds'!R51=0,0,theta0+(theta1+theta2)*(1-EXP(-'Data Bonds'!R51/la))/('Data Bonds'!R51/la)-theta2*EXP(-'Data Bonds'!R51/la))</f>
        <v>4.9729794635889335E-2</v>
      </c>
      <c r="P52" s="45">
        <f>IF('Data Bonds'!S51=0,0,theta0+(theta1+theta2)*(1-EXP(-'Data Bonds'!S51/la))/('Data Bonds'!S51/la)-theta2*EXP(-'Data Bonds'!S51/la))</f>
        <v>4.9962140977046696E-2</v>
      </c>
      <c r="Q52" s="45">
        <f>IF('Data Bonds'!T51=0,0,theta0+(theta1+theta2)*(1-EXP(-'Data Bonds'!T51/la))/('Data Bonds'!T51/la)-theta2*EXP(-'Data Bonds'!T51/la))</f>
        <v>5.0193884019659962E-2</v>
      </c>
      <c r="R52" s="45">
        <f>IF('Data Bonds'!U51=0,0,theta0+(theta1+theta2)*(1-EXP(-'Data Bonds'!U51/la))/('Data Bonds'!U51/la)-theta2*EXP(-'Data Bonds'!U51/la))</f>
        <v>5.0416342149512058E-2</v>
      </c>
      <c r="S52" s="45">
        <f>IF('Data Bonds'!V51=0,0,theta0+(theta1+theta2)*(1-EXP(-'Data Bonds'!V51/la))/('Data Bonds'!V51/la)-theta2*EXP(-'Data Bonds'!V51/la))</f>
        <v>5.0624969074311257E-2</v>
      </c>
      <c r="T52" s="45">
        <f>IF('Data Bonds'!W51=0,0,theta0+(theta1+theta2)*(1-EXP(-'Data Bonds'!W51/la))/('Data Bonds'!W51/la)-theta2*EXP(-'Data Bonds'!W51/la))</f>
        <v>5.0817793561872729E-2</v>
      </c>
      <c r="U52" s="45">
        <f>IF('Data Bonds'!X51=0,0,theta0+(theta1+theta2)*(1-EXP(-'Data Bonds'!X51/la))/('Data Bonds'!X51/la)-theta2*EXP(-'Data Bonds'!X51/la))</f>
        <v>5.0994403103277734E-2</v>
      </c>
      <c r="V52" s="45">
        <f>IF('Data Bonds'!Y51=0,0,theta0+(theta1+theta2)*(1-EXP(-'Data Bonds'!Y51/la))/('Data Bonds'!Y51/la)-theta2*EXP(-'Data Bonds'!Y51/la))</f>
        <v>5.1155288695615496E-2</v>
      </c>
      <c r="W52" s="45">
        <f>IF('Data Bonds'!Z51=0,0,theta0+(theta1+theta2)*(1-EXP(-'Data Bonds'!Z51/la))/('Data Bonds'!Z51/la)-theta2*EXP(-'Data Bonds'!Z51/la))</f>
        <v>5.1301428168232986E-2</v>
      </c>
      <c r="X52" s="45">
        <f>IF('Data Bonds'!AA51=0,0,theta0+(theta1+theta2)*(1-EXP(-'Data Bonds'!AA51/la))/('Data Bonds'!AA51/la)-theta2*EXP(-'Data Bonds'!AA51/la))</f>
        <v>5.1434026097624264E-2</v>
      </c>
      <c r="Y52" s="45">
        <f>IF('Data Bonds'!AB51=0,0,theta0+(theta1+theta2)*(1-EXP(-'Data Bonds'!AB51/la))/('Data Bonds'!AB51/la)-theta2*EXP(-'Data Bonds'!AB51/la))</f>
        <v>5.1554355703636381E-2</v>
      </c>
      <c r="Z52" s="45">
        <f>IF('Data Bonds'!AC51=0,0,theta0+(theta1+theta2)*(1-EXP(-'Data Bonds'!AC51/la))/('Data Bonds'!AC51/la)-theta2*EXP(-'Data Bonds'!AC51/la))</f>
        <v>5.1663666492393567E-2</v>
      </c>
      <c r="AA52" s="45">
        <f>IF('Data Bonds'!AD51=0,0,theta0+(theta1+theta2)*(1-EXP(-'Data Bonds'!AD51/la))/('Data Bonds'!AD51/la)-theta2*EXP(-'Data Bonds'!AD51/la))</f>
        <v>5.1763133724185395E-2</v>
      </c>
      <c r="AB52" s="45">
        <f>IF('Data Bonds'!AE51=0,0,theta0+(theta1+theta2)*(1-EXP(-'Data Bonds'!AE51/la))/('Data Bonds'!AE51/la)-theta2*EXP(-'Data Bonds'!AE51/la))</f>
        <v>5.1853834012200901E-2</v>
      </c>
      <c r="AC52" s="45">
        <f>IF('Data Bonds'!AF51=0,0,theta0+(theta1+theta2)*(1-EXP(-'Data Bonds'!AF51/la))/('Data Bonds'!AF51/la)-theta2*EXP(-'Data Bonds'!AF51/la))</f>
        <v>5.1936736836682804E-2</v>
      </c>
      <c r="AD52" s="45">
        <f>IF('Data Bonds'!AG51=0,0,theta0+(theta1+theta2)*(1-EXP(-'Data Bonds'!AG51/la))/('Data Bonds'!AG51/la)-theta2*EXP(-'Data Bonds'!AG51/la))</f>
        <v>5.2012705391962649E-2</v>
      </c>
      <c r="AE52" s="45">
        <f>IF('Data Bonds'!AH51=0,0,theta0+(theta1+theta2)*(1-EXP(-'Data Bonds'!AH51/la))/('Data Bonds'!AH51/la)-theta2*EXP(-'Data Bonds'!AH51/la))</f>
        <v>5.2082502580458233E-2</v>
      </c>
      <c r="AF52" s="45">
        <f>IF('Data Bonds'!AI51=0,0,theta0+(theta1+theta2)*(1-EXP(-'Data Bonds'!AI51/la))/('Data Bonds'!AI51/la)-theta2*EXP(-'Data Bonds'!AI51/la))</f>
        <v>5.2146799538785205E-2</v>
      </c>
      <c r="AG52" s="45">
        <f>IF('Data Bonds'!AJ51=0,0,theta0+(theta1+theta2)*(1-EXP(-'Data Bonds'!AJ51/la))/('Data Bonds'!AJ51/la)-theta2*EXP(-'Data Bonds'!AJ51/la))</f>
        <v>5.2206185102880893E-2</v>
      </c>
      <c r="AH52" s="45">
        <f>IF('Data Bonds'!AK51=0,0,theta0+(theta1+theta2)*(1-EXP(-'Data Bonds'!AK51/la))/('Data Bonds'!AK51/la)-theta2*EXP(-'Data Bonds'!AK51/la))</f>
        <v>5.2261175276823613E-2</v>
      </c>
      <c r="AI52" s="45">
        <f>IF('Data Bonds'!AL51=0,0,theta0+(theta1+theta2)*(1-EXP(-'Data Bonds'!AL51/la))/('Data Bonds'!AL51/la)-theta2*EXP(-'Data Bonds'!AL51/la))</f>
        <v>5.2312222187925556E-2</v>
      </c>
      <c r="AJ52" s="45">
        <f>IF('Data Bonds'!AM51=0,0,theta0+(theta1+theta2)*(1-EXP(-'Data Bonds'!AM51/la))/('Data Bonds'!AM51/la)-theta2*EXP(-'Data Bonds'!AM51/la))</f>
        <v>5.2359722271472377E-2</v>
      </c>
      <c r="AK52" s="45">
        <f>IF('Data Bonds'!AN51=0,0,theta0+(theta1+theta2)*(1-EXP(-'Data Bonds'!AN51/la))/('Data Bonds'!AN51/la)-theta2*EXP(-'Data Bonds'!AN51/la))</f>
        <v>5.240402358722291E-2</v>
      </c>
      <c r="AL52" s="45">
        <f>IF('Data Bonds'!AO51=0,0,theta0+(theta1+theta2)*(1-EXP(-'Data Bonds'!AO51/la))/('Data Bonds'!AO51/la)-theta2*EXP(-'Data Bonds'!AO51/la))</f>
        <v>5.2445432262903005E-2</v>
      </c>
      <c r="AM52" s="45">
        <f>IF('Data Bonds'!AP51=0,0,theta0+(theta1+theta2)*(1-EXP(-'Data Bonds'!AP51/la))/('Data Bonds'!AP51/la)-theta2*EXP(-'Data Bonds'!AP51/la))</f>
        <v>5.2484218111421725E-2</v>
      </c>
      <c r="AN52" s="45">
        <f>IF('Data Bonds'!AQ51=0,0,theta0+(theta1+theta2)*(1-EXP(-'Data Bonds'!AQ51/la))/('Data Bonds'!AQ51/la)-theta2*EXP(-'Data Bonds'!AQ51/la))</f>
        <v>5.2520619494096282E-2</v>
      </c>
      <c r="AO52" s="45">
        <f>IF('Data Bonds'!AR51=0,0,theta0+(theta1+theta2)*(1-EXP(-'Data Bonds'!AR51/la))/('Data Bonds'!AR51/la)-theta2*EXP(-'Data Bonds'!AR51/la))</f>
        <v>5.2554847511976095E-2</v>
      </c>
      <c r="AP52" s="45">
        <f>IF('Data Bonds'!AS51=0,0,theta0+(theta1+theta2)*(1-EXP(-'Data Bonds'!AS51/la))/('Data Bonds'!AS51/la)-theta2*EXP(-'Data Bonds'!AS51/la))</f>
        <v>5.2587089607941187E-2</v>
      </c>
      <c r="AQ52" s="45">
        <f>IF('Data Bonds'!AT51=0,0,theta0+(theta1+theta2)*(1-EXP(-'Data Bonds'!AT51/la))/('Data Bonds'!AT51/la)-theta2*EXP(-'Data Bonds'!AT51/la))</f>
        <v>5.2617512657752857E-2</v>
      </c>
      <c r="AR52" s="45">
        <f>IF('Data Bonds'!AU51=0,0,theta0+(theta1+theta2)*(1-EXP(-'Data Bonds'!AU51/la))/('Data Bonds'!AU51/la)-theta2*EXP(-'Data Bonds'!AU51/la))</f>
        <v>5.2646265621229565E-2</v>
      </c>
      <c r="AS52" s="45">
        <f>IF('Data Bonds'!AV51=0,0,theta0+(theta1+theta2)*(1-EXP(-'Data Bonds'!AV51/la))/('Data Bonds'!AV51/la)-theta2*EXP(-'Data Bonds'!AV51/la))</f>
        <v>5.2673481816763512E-2</v>
      </c>
      <c r="AT52" s="45">
        <f>IF('Data Bonds'!AW51=0,0,theta0+(theta1+theta2)*(1-EXP(-'Data Bonds'!AW51/la))/('Data Bonds'!AW51/la)-theta2*EXP(-'Data Bonds'!AW51/la))</f>
        <v>5.2699280874393732E-2</v>
      </c>
      <c r="AU52" s="45">
        <f>IF('Data Bonds'!AX51=0,0,theta0+(theta1+theta2)*(1-EXP(-'Data Bonds'!AX51/la))/('Data Bonds'!AX51/la)-theta2*EXP(-'Data Bonds'!AX51/la))</f>
        <v>0</v>
      </c>
      <c r="AV52" s="45">
        <f>IF('Data Bonds'!AY51=0,0,theta0+(theta1+theta2)*(1-EXP(-'Data Bonds'!AY51/la))/('Data Bonds'!AY51/la)-theta2*EXP(-'Data Bonds'!AY51/la))</f>
        <v>0</v>
      </c>
      <c r="AW52" s="45">
        <f>IF('Data Bonds'!AZ51=0,0,theta0+(theta1+theta2)*(1-EXP(-'Data Bonds'!AZ51/la))/('Data Bonds'!AZ51/la)-theta2*EXP(-'Data Bonds'!AZ51/la))</f>
        <v>0</v>
      </c>
      <c r="AX52" s="45">
        <f>IF('Data Bonds'!BA51=0,0,theta0+(theta1+theta2)*(1-EXP(-'Data Bonds'!BA51/la))/('Data Bonds'!BA51/la)-theta2*EXP(-'Data Bonds'!BA51/la))</f>
        <v>0</v>
      </c>
      <c r="AY52" s="45">
        <f>IF('Data Bonds'!BB51=0,0,theta0+(theta1+theta2)*(1-EXP(-'Data Bonds'!BB51/la))/('Data Bonds'!BB51/la)-theta2*EXP(-'Data Bonds'!BB51/la))</f>
        <v>0</v>
      </c>
      <c r="AZ52" s="45">
        <f>IF('Data Bonds'!BC51=0,0,theta0+(theta1+theta2)*(1-EXP(-'Data Bonds'!BC51/la))/('Data Bonds'!BC51/la)-theta2*EXP(-'Data Bonds'!BC51/la))</f>
        <v>0</v>
      </c>
      <c r="BA52" s="45">
        <f>IF('Data Bonds'!BD51=0,0,theta0+(theta1+theta2)*(1-EXP(-'Data Bonds'!BD51/la))/('Data Bonds'!BD51/la)-theta2*EXP(-'Data Bonds'!BD51/la))</f>
        <v>0</v>
      </c>
      <c r="BB52" s="45">
        <f>IF('Data Bonds'!BE51=0,0,theta0+(theta1+theta2)*(1-EXP(-'Data Bonds'!BE51/la))/('Data Bonds'!BE51/la)-theta2*EXP(-'Data Bonds'!BE51/la))</f>
        <v>0</v>
      </c>
      <c r="BC52" s="45">
        <f>IF('Data Bonds'!BF51=0,0,theta0+(theta1+theta2)*(1-EXP(-'Data Bonds'!BF51/la))/('Data Bonds'!BF51/la)-theta2*EXP(-'Data Bonds'!BF51/la))</f>
        <v>0</v>
      </c>
      <c r="BD52" s="45">
        <f>IF('Data Bonds'!BG51=0,0,theta0+(theta1+theta2)*(1-EXP(-'Data Bonds'!BG51/la))/('Data Bonds'!BG51/la)-theta2*EXP(-'Data Bonds'!BG51/la))</f>
        <v>0</v>
      </c>
      <c r="BE52" s="45">
        <f>IF('Data Bonds'!BH51=0,0,theta0+(theta1+theta2)*(1-EXP(-'Data Bonds'!BH51/la))/('Data Bonds'!BH51/la)-theta2*EXP(-'Data Bonds'!BH51/la))</f>
        <v>0</v>
      </c>
      <c r="BF52" s="45">
        <f>IF('Data Bonds'!BI51=0,0,theta0+(theta1+theta2)*(1-EXP(-'Data Bonds'!BI51/la))/('Data Bonds'!BI51/la)-theta2*EXP(-'Data Bonds'!BI51/la))</f>
        <v>0</v>
      </c>
      <c r="BG52" s="45">
        <f>IF('Data Bonds'!BJ51=0,0,theta0+(theta1+theta2)*(1-EXP(-'Data Bonds'!BJ51/la))/('Data Bonds'!BJ51/la)-theta2*EXP(-'Data Bonds'!BJ51/la))</f>
        <v>0</v>
      </c>
      <c r="BH52" s="45">
        <f>IF('Data Bonds'!BK51=0,0,theta0+(theta1+theta2)*(1-EXP(-'Data Bonds'!BK51/la))/('Data Bonds'!BK51/la)-theta2*EXP(-'Data Bonds'!BK51/la))</f>
        <v>0</v>
      </c>
      <c r="BI52" s="45">
        <f>IF('Data Bonds'!BL51=0,0,theta0+(theta1+theta2)*(1-EXP(-'Data Bonds'!BL51/la))/('Data Bonds'!BL51/la)-theta2*EXP(-'Data Bonds'!BL51/la))</f>
        <v>0</v>
      </c>
      <c r="BJ52" s="45">
        <f>IF('Data Bonds'!BM51=0,0,theta0+(theta1+theta2)*(1-EXP(-'Data Bonds'!BM51/la))/('Data Bonds'!BM51/la)-theta2*EXP(-'Data Bonds'!BM51/la))</f>
        <v>0</v>
      </c>
      <c r="BK52" s="45">
        <f>IF('Data Bonds'!BN51=0,0,theta0+(theta1+theta2)*(1-EXP(-'Data Bonds'!BN51/la))/('Data Bonds'!BN51/la)-theta2*EXP(-'Data Bonds'!BN51/la))</f>
        <v>0</v>
      </c>
      <c r="BL52" s="45">
        <f>IF('Data Bonds'!BO51=0,0,theta0+(theta1+theta2)*(1-EXP(-'Data Bonds'!BO51/la))/('Data Bonds'!BO51/la)-theta2*EXP(-'Data Bonds'!BO51/la))</f>
        <v>0</v>
      </c>
      <c r="BM52" s="45">
        <f>IF('Data Bonds'!BP51=0,0,theta0+(theta1+theta2)*(1-EXP(-'Data Bonds'!BP51/la))/('Data Bonds'!BP51/la)-theta2*EXP(-'Data Bonds'!BP51/la))</f>
        <v>0</v>
      </c>
      <c r="BN52" s="45">
        <f>IF('Data Bonds'!BQ51=0,0,theta0+(theta1+theta2)*(1-EXP(-'Data Bonds'!BQ51/la))/('Data Bonds'!BQ51/la)-theta2*EXP(-'Data Bonds'!BQ51/la))</f>
        <v>0</v>
      </c>
      <c r="BO52" s="45">
        <f>IF('Data Bonds'!BR51=0,0,theta0+(theta1+theta2)*(1-EXP(-'Data Bonds'!BR51/la))/('Data Bonds'!BR51/la)-theta2*EXP(-'Data Bonds'!BR51/la))</f>
        <v>0</v>
      </c>
      <c r="BP52" s="38">
        <f>EXP(-'Data Bonds'!K51*H52)</f>
        <v>0.99030095386253514</v>
      </c>
      <c r="BQ52" s="38">
        <f>EXP(-'Data Bonds'!L51*I52)</f>
        <v>0.96596142383001249</v>
      </c>
      <c r="BR52" s="38">
        <f>EXP(-'Data Bonds'!M51*J52)</f>
        <v>0.94276024382077384</v>
      </c>
      <c r="BS52" s="38">
        <f>EXP(-'Data Bonds'!N51*K52)</f>
        <v>0.92013309652437447</v>
      </c>
      <c r="BT52" s="38">
        <f>EXP(-'Data Bonds'!O51*L52)</f>
        <v>0.8978301597681585</v>
      </c>
      <c r="BU52" s="38">
        <f>EXP(-'Data Bonds'!P51*M52)</f>
        <v>0.8757679623727499</v>
      </c>
      <c r="BV52" s="38">
        <f>EXP(-'Data Bonds'!Q51*N52)</f>
        <v>0.85394508705932803</v>
      </c>
      <c r="BW52" s="38">
        <f>EXP(-'Data Bonds'!R51*O52)</f>
        <v>0.83239541980118914</v>
      </c>
      <c r="BX52" s="38">
        <f>EXP(-'Data Bonds'!S51*P52)</f>
        <v>0.81116332561828708</v>
      </c>
      <c r="BY52" s="38">
        <f>EXP(-'Data Bonds'!T51*Q52)</f>
        <v>0.79029139660492453</v>
      </c>
      <c r="BZ52" s="38">
        <f>EXP(-'Data Bonds'!U51*R52)</f>
        <v>0.76981519641342533</v>
      </c>
      <c r="CA52" s="38">
        <f>EXP(-'Data Bonds'!V51*S52)</f>
        <v>0.74976172414671449</v>
      </c>
      <c r="CB52" s="38">
        <f>EXP(-'Data Bonds'!W51*T52)</f>
        <v>0.73014971419213559</v>
      </c>
      <c r="CC52" s="38">
        <f>EXP(-'Data Bonds'!X51*U52)</f>
        <v>0.71099072354814263</v>
      </c>
      <c r="CD52" s="38">
        <f>EXP(-'Data Bonds'!Y51*V52)</f>
        <v>0.69229044963946051</v>
      </c>
      <c r="CE52" s="38">
        <f>EXP(-'Data Bonds'!Z51*W52)</f>
        <v>0.67405000392176173</v>
      </c>
      <c r="CF52" s="38">
        <f>EXP(-'Data Bonds'!AA51*X52)</f>
        <v>0.65626702351290833</v>
      </c>
      <c r="CG52" s="38">
        <f>EXP(-'Data Bonds'!AB51*Y52)</f>
        <v>0.63893658633137096</v>
      </c>
      <c r="CH52" s="38">
        <f>EXP(-'Data Bonds'!AC51*Z52)</f>
        <v>0.62205193621476651</v>
      </c>
      <c r="CI52" s="38">
        <f>EXP(-'Data Bonds'!AD51*AA52)</f>
        <v>0.60560504204345178</v>
      </c>
      <c r="CJ52" s="38">
        <f>EXP(-'Data Bonds'!AE51*AB52)</f>
        <v>0.58958702003626717</v>
      </c>
      <c r="CK52" s="38">
        <f>EXP(-'Data Bonds'!AF51*AC52)</f>
        <v>0.57398844742708199</v>
      </c>
      <c r="CL52" s="38">
        <f>EXP(-'Data Bonds'!AG51*AD52)</f>
        <v>0.55879959216452202</v>
      </c>
      <c r="CM52" s="38">
        <f>EXP(-'Data Bonds'!AH51*AE52)</f>
        <v>0.54401057894878535</v>
      </c>
      <c r="CN52" s="38">
        <f>EXP(-'Data Bonds'!AI51*AF52)</f>
        <v>0.52961150773453602</v>
      </c>
      <c r="CO52" s="38">
        <f>EXP(-'Data Bonds'!AJ51*AG52)</f>
        <v>0.51559253717395914</v>
      </c>
      <c r="CP52" s="38">
        <f>EXP(-'Data Bonds'!AK51*AH52)</f>
        <v>0.50194394246170126</v>
      </c>
      <c r="CQ52" s="38">
        <f>EXP(-'Data Bonds'!AL51*AI52)</f>
        <v>0.48865615465192236</v>
      </c>
      <c r="CR52" s="38">
        <f>EXP(-'Data Bonds'!AM51*AJ52)</f>
        <v>0.4757197866682138</v>
      </c>
      <c r="CS52" s="38">
        <f>EXP(-'Data Bonds'!AN51*AK52)</f>
        <v>0.46312564982427568</v>
      </c>
      <c r="CT52" s="38">
        <f>EXP(-'Data Bonds'!AO51*AL52)</f>
        <v>0.45086476362489408</v>
      </c>
      <c r="CU52" s="38">
        <f>EXP(-'Data Bonds'!AP51*AM52)</f>
        <v>0.43892836084252473</v>
      </c>
      <c r="CV52" s="38">
        <f>EXP(-'Data Bonds'!AQ51*AN52)</f>
        <v>0.42730788929846697</v>
      </c>
      <c r="CW52" s="38">
        <f>EXP(-'Data Bonds'!AR51*AO52)</f>
        <v>0.41599501136665035</v>
      </c>
      <c r="CX52" s="38">
        <f>EXP(-'Data Bonds'!AS51*AP52)</f>
        <v>0.40498160192183524</v>
      </c>
      <c r="CY52" s="38">
        <f>EXP(-'Data Bonds'!AT51*AQ52)</f>
        <v>0.39425974524173307</v>
      </c>
      <c r="CZ52" s="38">
        <f>EXP(-'Data Bonds'!AU51*AR52)</f>
        <v>0.38382173122115876</v>
      </c>
      <c r="DA52" s="38">
        <f>EXP(-'Data Bonds'!AV51*AS52)</f>
        <v>0.37366005114884232</v>
      </c>
      <c r="DB52" s="38">
        <f>EXP(-'Data Bonds'!AW51*AT52)</f>
        <v>0.36376739322150714</v>
      </c>
      <c r="DC52" s="38">
        <f>EXP(-'Data Bonds'!AX51*AU52)</f>
        <v>1</v>
      </c>
      <c r="DD52" s="38">
        <f>EXP(-'Data Bonds'!AY51*AV52)</f>
        <v>1</v>
      </c>
      <c r="DE52" s="38">
        <f>EXP(-'Data Bonds'!AZ51*AW52)</f>
        <v>1</v>
      </c>
      <c r="DF52" s="38">
        <f>EXP(-'Data Bonds'!BA51*AX52)</f>
        <v>1</v>
      </c>
      <c r="DG52" s="38">
        <f>EXP(-'Data Bonds'!BB51*AY52)</f>
        <v>1</v>
      </c>
      <c r="DH52" s="38">
        <f>EXP(-'Data Bonds'!BC51*AZ52)</f>
        <v>1</v>
      </c>
      <c r="DI52" s="38">
        <f>EXP(-'Data Bonds'!BD51*BA52)</f>
        <v>1</v>
      </c>
      <c r="DJ52" s="38">
        <f>EXP(-'Data Bonds'!BE51*BB52)</f>
        <v>1</v>
      </c>
      <c r="DK52" s="38">
        <f>EXP(-'Data Bonds'!BF51*BC52)</f>
        <v>1</v>
      </c>
      <c r="DL52" s="38">
        <f>EXP(-'Data Bonds'!BG51*BD52)</f>
        <v>1</v>
      </c>
      <c r="DM52" s="38">
        <f>EXP(-'Data Bonds'!BH51*BE52)</f>
        <v>1</v>
      </c>
      <c r="DN52" s="38">
        <f>EXP(-'Data Bonds'!BI51*BF52)</f>
        <v>1</v>
      </c>
      <c r="DO52" s="38">
        <f>EXP(-'Data Bonds'!BJ51*BG52)</f>
        <v>1</v>
      </c>
      <c r="DP52" s="38">
        <f>EXP(-'Data Bonds'!BK51*BH52)</f>
        <v>1</v>
      </c>
      <c r="DQ52" s="38">
        <f>EXP(-'Data Bonds'!BL51*BI52)</f>
        <v>1</v>
      </c>
      <c r="DR52" s="38">
        <f>EXP(-'Data Bonds'!BM51*BJ52)</f>
        <v>1</v>
      </c>
      <c r="DS52" s="38">
        <f>EXP(-'Data Bonds'!BN51*BK52)</f>
        <v>1</v>
      </c>
      <c r="DT52" s="38">
        <f>EXP(-'Data Bonds'!BO51*BL52)</f>
        <v>1</v>
      </c>
      <c r="DU52" s="38">
        <f>EXP(-'Data Bonds'!BP51*BM52)</f>
        <v>1</v>
      </c>
      <c r="DV52" s="38">
        <f>EXP(-'Data Bonds'!BQ51*BN52)</f>
        <v>1</v>
      </c>
      <c r="DW52" s="38">
        <f>EXP(-'Data Bonds'!BR51*BO52)</f>
        <v>1</v>
      </c>
      <c r="DX52" s="28">
        <f>SUMPRODUCT(BP52:DW52,'Data Bonds'!BU51:EB51)</f>
        <v>119.48641548759377</v>
      </c>
      <c r="DY52" s="28">
        <f t="shared" si="5"/>
        <v>0.13748558569003311</v>
      </c>
      <c r="EA52" s="33">
        <f t="shared" si="6"/>
        <v>20.5</v>
      </c>
      <c r="EB52" s="29">
        <f t="shared" si="8"/>
        <v>5.2760958159034296E-2</v>
      </c>
      <c r="EC52" s="29">
        <f t="shared" si="9"/>
        <v>0.3390527285470748</v>
      </c>
      <c r="ED52" s="29">
        <f t="shared" si="7"/>
        <v>5.3663657844079282E-2</v>
      </c>
      <c r="EF52" s="32"/>
      <c r="EG52" s="32"/>
      <c r="EI52" s="34"/>
    </row>
    <row r="53" spans="1:139">
      <c r="B53" s="27">
        <f>'Data Bonds'!E52</f>
        <v>6.625</v>
      </c>
      <c r="C53" s="27">
        <f>'Data Bonds'!F52</f>
        <v>115.75</v>
      </c>
      <c r="D53" s="27">
        <f>'Data Bonds'!G52</f>
        <v>115.8125</v>
      </c>
      <c r="E53" s="27">
        <f>'Data Bonds'!I52</f>
        <v>2.0611111111111113</v>
      </c>
      <c r="F53" s="40">
        <f>'Data Bonds'!H52</f>
        <v>19.68888888888889</v>
      </c>
      <c r="G53" s="28">
        <f t="shared" si="4"/>
        <v>117.84236111111112</v>
      </c>
      <c r="H53" s="45">
        <f>IF('Data Bonds'!K52=0,0,theta0+(theta1+theta2)*(1-EXP(-'Data Bonds'!K52/la))/('Data Bonds'!K52/la)-theta2*EXP(-'Data Bonds'!K52/la))</f>
        <v>5.1598526027898411E-2</v>
      </c>
      <c r="I53" s="45">
        <f>IF('Data Bonds'!L52=0,0,theta0+(theta1+theta2)*(1-EXP(-'Data Bonds'!L52/la))/('Data Bonds'!L52/la)-theta2*EXP(-'Data Bonds'!L52/la))</f>
        <v>5.0271357324748023E-2</v>
      </c>
      <c r="J53" s="45">
        <f>IF('Data Bonds'!M52=0,0,theta0+(theta1+theta2)*(1-EXP(-'Data Bonds'!M52/la))/('Data Bonds'!M52/la)-theta2*EXP(-'Data Bonds'!M52/la))</f>
        <v>4.9578457297749672E-2</v>
      </c>
      <c r="K53" s="45">
        <f>IF('Data Bonds'!N52=0,0,theta0+(theta1+theta2)*(1-EXP(-'Data Bonds'!N52/la))/('Data Bonds'!N52/la)-theta2*EXP(-'Data Bonds'!N52/la))</f>
        <v>4.9285035750538553E-2</v>
      </c>
      <c r="L53" s="45">
        <f>IF('Data Bonds'!O52=0,0,theta0+(theta1+theta2)*(1-EXP(-'Data Bonds'!O52/la))/('Data Bonds'!O52/la)-theta2*EXP(-'Data Bonds'!O52/la))</f>
        <v>4.9237017363447266E-2</v>
      </c>
      <c r="M53" s="45">
        <f>IF('Data Bonds'!P52=0,0,theta0+(theta1+theta2)*(1-EXP(-'Data Bonds'!P52/la))/('Data Bonds'!P52/la)-theta2*EXP(-'Data Bonds'!P52/la))</f>
        <v>4.9334171753160738E-2</v>
      </c>
      <c r="N53" s="45">
        <f>IF('Data Bonds'!Q52=0,0,theta0+(theta1+theta2)*(1-EXP(-'Data Bonds'!Q52/la))/('Data Bonds'!Q52/la)-theta2*EXP(-'Data Bonds'!Q52/la))</f>
        <v>4.9512038088999483E-2</v>
      </c>
      <c r="O53" s="45">
        <f>IF('Data Bonds'!R52=0,0,theta0+(theta1+theta2)*(1-EXP(-'Data Bonds'!R52/la))/('Data Bonds'!R52/la)-theta2*EXP(-'Data Bonds'!R52/la))</f>
        <v>4.9729794635889335E-2</v>
      </c>
      <c r="P53" s="45">
        <f>IF('Data Bonds'!S52=0,0,theta0+(theta1+theta2)*(1-EXP(-'Data Bonds'!S52/la))/('Data Bonds'!S52/la)-theta2*EXP(-'Data Bonds'!S52/la))</f>
        <v>4.9962140977046696E-2</v>
      </c>
      <c r="Q53" s="45">
        <f>IF('Data Bonds'!T52=0,0,theta0+(theta1+theta2)*(1-EXP(-'Data Bonds'!T52/la))/('Data Bonds'!T52/la)-theta2*EXP(-'Data Bonds'!T52/la))</f>
        <v>5.0193884019659962E-2</v>
      </c>
      <c r="R53" s="45">
        <f>IF('Data Bonds'!U52=0,0,theta0+(theta1+theta2)*(1-EXP(-'Data Bonds'!U52/la))/('Data Bonds'!U52/la)-theta2*EXP(-'Data Bonds'!U52/la))</f>
        <v>5.0416342149512058E-2</v>
      </c>
      <c r="S53" s="45">
        <f>IF('Data Bonds'!V52=0,0,theta0+(theta1+theta2)*(1-EXP(-'Data Bonds'!V52/la))/('Data Bonds'!V52/la)-theta2*EXP(-'Data Bonds'!V52/la))</f>
        <v>5.0624969074311257E-2</v>
      </c>
      <c r="T53" s="45">
        <f>IF('Data Bonds'!W52=0,0,theta0+(theta1+theta2)*(1-EXP(-'Data Bonds'!W52/la))/('Data Bonds'!W52/la)-theta2*EXP(-'Data Bonds'!W52/la))</f>
        <v>5.0817793561872729E-2</v>
      </c>
      <c r="U53" s="45">
        <f>IF('Data Bonds'!X52=0,0,theta0+(theta1+theta2)*(1-EXP(-'Data Bonds'!X52/la))/('Data Bonds'!X52/la)-theta2*EXP(-'Data Bonds'!X52/la))</f>
        <v>5.0994403103277734E-2</v>
      </c>
      <c r="V53" s="45">
        <f>IF('Data Bonds'!Y52=0,0,theta0+(theta1+theta2)*(1-EXP(-'Data Bonds'!Y52/la))/('Data Bonds'!Y52/la)-theta2*EXP(-'Data Bonds'!Y52/la))</f>
        <v>5.1155288695615496E-2</v>
      </c>
      <c r="W53" s="45">
        <f>IF('Data Bonds'!Z52=0,0,theta0+(theta1+theta2)*(1-EXP(-'Data Bonds'!Z52/la))/('Data Bonds'!Z52/la)-theta2*EXP(-'Data Bonds'!Z52/la))</f>
        <v>5.1301428168232986E-2</v>
      </c>
      <c r="X53" s="45">
        <f>IF('Data Bonds'!AA52=0,0,theta0+(theta1+theta2)*(1-EXP(-'Data Bonds'!AA52/la))/('Data Bonds'!AA52/la)-theta2*EXP(-'Data Bonds'!AA52/la))</f>
        <v>5.1434026097624264E-2</v>
      </c>
      <c r="Y53" s="45">
        <f>IF('Data Bonds'!AB52=0,0,theta0+(theta1+theta2)*(1-EXP(-'Data Bonds'!AB52/la))/('Data Bonds'!AB52/la)-theta2*EXP(-'Data Bonds'!AB52/la))</f>
        <v>5.1554355703636381E-2</v>
      </c>
      <c r="Z53" s="45">
        <f>IF('Data Bonds'!AC52=0,0,theta0+(theta1+theta2)*(1-EXP(-'Data Bonds'!AC52/la))/('Data Bonds'!AC52/la)-theta2*EXP(-'Data Bonds'!AC52/la))</f>
        <v>5.1663666492393567E-2</v>
      </c>
      <c r="AA53" s="45">
        <f>IF('Data Bonds'!AD52=0,0,theta0+(theta1+theta2)*(1-EXP(-'Data Bonds'!AD52/la))/('Data Bonds'!AD52/la)-theta2*EXP(-'Data Bonds'!AD52/la))</f>
        <v>5.1763133724185395E-2</v>
      </c>
      <c r="AB53" s="45">
        <f>IF('Data Bonds'!AE52=0,0,theta0+(theta1+theta2)*(1-EXP(-'Data Bonds'!AE52/la))/('Data Bonds'!AE52/la)-theta2*EXP(-'Data Bonds'!AE52/la))</f>
        <v>5.1853834012200901E-2</v>
      </c>
      <c r="AC53" s="45">
        <f>IF('Data Bonds'!AF52=0,0,theta0+(theta1+theta2)*(1-EXP(-'Data Bonds'!AF52/la))/('Data Bonds'!AF52/la)-theta2*EXP(-'Data Bonds'!AF52/la))</f>
        <v>5.1936736836682804E-2</v>
      </c>
      <c r="AD53" s="45">
        <f>IF('Data Bonds'!AG52=0,0,theta0+(theta1+theta2)*(1-EXP(-'Data Bonds'!AG52/la))/('Data Bonds'!AG52/la)-theta2*EXP(-'Data Bonds'!AG52/la))</f>
        <v>5.2012705391962649E-2</v>
      </c>
      <c r="AE53" s="45">
        <f>IF('Data Bonds'!AH52=0,0,theta0+(theta1+theta2)*(1-EXP(-'Data Bonds'!AH52/la))/('Data Bonds'!AH52/la)-theta2*EXP(-'Data Bonds'!AH52/la))</f>
        <v>5.2082502580458233E-2</v>
      </c>
      <c r="AF53" s="45">
        <f>IF('Data Bonds'!AI52=0,0,theta0+(theta1+theta2)*(1-EXP(-'Data Bonds'!AI52/la))/('Data Bonds'!AI52/la)-theta2*EXP(-'Data Bonds'!AI52/la))</f>
        <v>5.2146799538785205E-2</v>
      </c>
      <c r="AG53" s="45">
        <f>IF('Data Bonds'!AJ52=0,0,theta0+(theta1+theta2)*(1-EXP(-'Data Bonds'!AJ52/la))/('Data Bonds'!AJ52/la)-theta2*EXP(-'Data Bonds'!AJ52/la))</f>
        <v>5.2206185102880893E-2</v>
      </c>
      <c r="AH53" s="45">
        <f>IF('Data Bonds'!AK52=0,0,theta0+(theta1+theta2)*(1-EXP(-'Data Bonds'!AK52/la))/('Data Bonds'!AK52/la)-theta2*EXP(-'Data Bonds'!AK52/la))</f>
        <v>5.2261175276823613E-2</v>
      </c>
      <c r="AI53" s="45">
        <f>IF('Data Bonds'!AL52=0,0,theta0+(theta1+theta2)*(1-EXP(-'Data Bonds'!AL52/la))/('Data Bonds'!AL52/la)-theta2*EXP(-'Data Bonds'!AL52/la))</f>
        <v>5.2312222187925556E-2</v>
      </c>
      <c r="AJ53" s="45">
        <f>IF('Data Bonds'!AM52=0,0,theta0+(theta1+theta2)*(1-EXP(-'Data Bonds'!AM52/la))/('Data Bonds'!AM52/la)-theta2*EXP(-'Data Bonds'!AM52/la))</f>
        <v>5.2359722271472377E-2</v>
      </c>
      <c r="AK53" s="45">
        <f>IF('Data Bonds'!AN52=0,0,theta0+(theta1+theta2)*(1-EXP(-'Data Bonds'!AN52/la))/('Data Bonds'!AN52/la)-theta2*EXP(-'Data Bonds'!AN52/la))</f>
        <v>5.240402358722291E-2</v>
      </c>
      <c r="AL53" s="45">
        <f>IF('Data Bonds'!AO52=0,0,theta0+(theta1+theta2)*(1-EXP(-'Data Bonds'!AO52/la))/('Data Bonds'!AO52/la)-theta2*EXP(-'Data Bonds'!AO52/la))</f>
        <v>5.2445432262903005E-2</v>
      </c>
      <c r="AM53" s="45">
        <f>IF('Data Bonds'!AP52=0,0,theta0+(theta1+theta2)*(1-EXP(-'Data Bonds'!AP52/la))/('Data Bonds'!AP52/la)-theta2*EXP(-'Data Bonds'!AP52/la))</f>
        <v>5.2484218111421725E-2</v>
      </c>
      <c r="AN53" s="45">
        <f>IF('Data Bonds'!AQ52=0,0,theta0+(theta1+theta2)*(1-EXP(-'Data Bonds'!AQ52/la))/('Data Bonds'!AQ52/la)-theta2*EXP(-'Data Bonds'!AQ52/la))</f>
        <v>5.2520619494096282E-2</v>
      </c>
      <c r="AO53" s="45">
        <f>IF('Data Bonds'!AR52=0,0,theta0+(theta1+theta2)*(1-EXP(-'Data Bonds'!AR52/la))/('Data Bonds'!AR52/la)-theta2*EXP(-'Data Bonds'!AR52/la))</f>
        <v>5.2554847511976095E-2</v>
      </c>
      <c r="AP53" s="45">
        <f>IF('Data Bonds'!AS52=0,0,theta0+(theta1+theta2)*(1-EXP(-'Data Bonds'!AS52/la))/('Data Bonds'!AS52/la)-theta2*EXP(-'Data Bonds'!AS52/la))</f>
        <v>5.2587089607941187E-2</v>
      </c>
      <c r="AQ53" s="45">
        <f>IF('Data Bonds'!AT52=0,0,theta0+(theta1+theta2)*(1-EXP(-'Data Bonds'!AT52/la))/('Data Bonds'!AT52/la)-theta2*EXP(-'Data Bonds'!AT52/la))</f>
        <v>5.2617512657752857E-2</v>
      </c>
      <c r="AR53" s="45">
        <f>IF('Data Bonds'!AU52=0,0,theta0+(theta1+theta2)*(1-EXP(-'Data Bonds'!AU52/la))/('Data Bonds'!AU52/la)-theta2*EXP(-'Data Bonds'!AU52/la))</f>
        <v>5.2646265621229565E-2</v>
      </c>
      <c r="AS53" s="45">
        <f>IF('Data Bonds'!AV52=0,0,theta0+(theta1+theta2)*(1-EXP(-'Data Bonds'!AV52/la))/('Data Bonds'!AV52/la)-theta2*EXP(-'Data Bonds'!AV52/la))</f>
        <v>5.2673481816763512E-2</v>
      </c>
      <c r="AT53" s="45">
        <f>IF('Data Bonds'!AW52=0,0,theta0+(theta1+theta2)*(1-EXP(-'Data Bonds'!AW52/la))/('Data Bonds'!AW52/la)-theta2*EXP(-'Data Bonds'!AW52/la))</f>
        <v>5.2699280874393732E-2</v>
      </c>
      <c r="AU53" s="45">
        <f>IF('Data Bonds'!AX52=0,0,theta0+(theta1+theta2)*(1-EXP(-'Data Bonds'!AX52/la))/('Data Bonds'!AX52/la)-theta2*EXP(-'Data Bonds'!AX52/la))</f>
        <v>5.2723770415106237E-2</v>
      </c>
      <c r="AV53" s="45">
        <f>IF('Data Bonds'!AY52=0,0,theta0+(theta1+theta2)*(1-EXP(-'Data Bonds'!AY52/la))/('Data Bonds'!AY52/la)-theta2*EXP(-'Data Bonds'!AY52/la))</f>
        <v>0</v>
      </c>
      <c r="AW53" s="45">
        <f>IF('Data Bonds'!AZ52=0,0,theta0+(theta1+theta2)*(1-EXP(-'Data Bonds'!AZ52/la))/('Data Bonds'!AZ52/la)-theta2*EXP(-'Data Bonds'!AZ52/la))</f>
        <v>0</v>
      </c>
      <c r="AX53" s="45">
        <f>IF('Data Bonds'!BA52=0,0,theta0+(theta1+theta2)*(1-EXP(-'Data Bonds'!BA52/la))/('Data Bonds'!BA52/la)-theta2*EXP(-'Data Bonds'!BA52/la))</f>
        <v>0</v>
      </c>
      <c r="AY53" s="45">
        <f>IF('Data Bonds'!BB52=0,0,theta0+(theta1+theta2)*(1-EXP(-'Data Bonds'!BB52/la))/('Data Bonds'!BB52/la)-theta2*EXP(-'Data Bonds'!BB52/la))</f>
        <v>0</v>
      </c>
      <c r="AZ53" s="45">
        <f>IF('Data Bonds'!BC52=0,0,theta0+(theta1+theta2)*(1-EXP(-'Data Bonds'!BC52/la))/('Data Bonds'!BC52/la)-theta2*EXP(-'Data Bonds'!BC52/la))</f>
        <v>0</v>
      </c>
      <c r="BA53" s="45">
        <f>IF('Data Bonds'!BD52=0,0,theta0+(theta1+theta2)*(1-EXP(-'Data Bonds'!BD52/la))/('Data Bonds'!BD52/la)-theta2*EXP(-'Data Bonds'!BD52/la))</f>
        <v>0</v>
      </c>
      <c r="BB53" s="45">
        <f>IF('Data Bonds'!BE52=0,0,theta0+(theta1+theta2)*(1-EXP(-'Data Bonds'!BE52/la))/('Data Bonds'!BE52/la)-theta2*EXP(-'Data Bonds'!BE52/la))</f>
        <v>0</v>
      </c>
      <c r="BC53" s="45">
        <f>IF('Data Bonds'!BF52=0,0,theta0+(theta1+theta2)*(1-EXP(-'Data Bonds'!BF52/la))/('Data Bonds'!BF52/la)-theta2*EXP(-'Data Bonds'!BF52/la))</f>
        <v>0</v>
      </c>
      <c r="BD53" s="45">
        <f>IF('Data Bonds'!BG52=0,0,theta0+(theta1+theta2)*(1-EXP(-'Data Bonds'!BG52/la))/('Data Bonds'!BG52/la)-theta2*EXP(-'Data Bonds'!BG52/la))</f>
        <v>0</v>
      </c>
      <c r="BE53" s="45">
        <f>IF('Data Bonds'!BH52=0,0,theta0+(theta1+theta2)*(1-EXP(-'Data Bonds'!BH52/la))/('Data Bonds'!BH52/la)-theta2*EXP(-'Data Bonds'!BH52/la))</f>
        <v>0</v>
      </c>
      <c r="BF53" s="45">
        <f>IF('Data Bonds'!BI52=0,0,theta0+(theta1+theta2)*(1-EXP(-'Data Bonds'!BI52/la))/('Data Bonds'!BI52/la)-theta2*EXP(-'Data Bonds'!BI52/la))</f>
        <v>0</v>
      </c>
      <c r="BG53" s="45">
        <f>IF('Data Bonds'!BJ52=0,0,theta0+(theta1+theta2)*(1-EXP(-'Data Bonds'!BJ52/la))/('Data Bonds'!BJ52/la)-theta2*EXP(-'Data Bonds'!BJ52/la))</f>
        <v>0</v>
      </c>
      <c r="BH53" s="45">
        <f>IF('Data Bonds'!BK52=0,0,theta0+(theta1+theta2)*(1-EXP(-'Data Bonds'!BK52/la))/('Data Bonds'!BK52/la)-theta2*EXP(-'Data Bonds'!BK52/la))</f>
        <v>0</v>
      </c>
      <c r="BI53" s="45">
        <f>IF('Data Bonds'!BL52=0,0,theta0+(theta1+theta2)*(1-EXP(-'Data Bonds'!BL52/la))/('Data Bonds'!BL52/la)-theta2*EXP(-'Data Bonds'!BL52/la))</f>
        <v>0</v>
      </c>
      <c r="BJ53" s="45">
        <f>IF('Data Bonds'!BM52=0,0,theta0+(theta1+theta2)*(1-EXP(-'Data Bonds'!BM52/la))/('Data Bonds'!BM52/la)-theta2*EXP(-'Data Bonds'!BM52/la))</f>
        <v>0</v>
      </c>
      <c r="BK53" s="45">
        <f>IF('Data Bonds'!BN52=0,0,theta0+(theta1+theta2)*(1-EXP(-'Data Bonds'!BN52/la))/('Data Bonds'!BN52/la)-theta2*EXP(-'Data Bonds'!BN52/la))</f>
        <v>0</v>
      </c>
      <c r="BL53" s="45">
        <f>IF('Data Bonds'!BO52=0,0,theta0+(theta1+theta2)*(1-EXP(-'Data Bonds'!BO52/la))/('Data Bonds'!BO52/la)-theta2*EXP(-'Data Bonds'!BO52/la))</f>
        <v>0</v>
      </c>
      <c r="BM53" s="45">
        <f>IF('Data Bonds'!BP52=0,0,theta0+(theta1+theta2)*(1-EXP(-'Data Bonds'!BP52/la))/('Data Bonds'!BP52/la)-theta2*EXP(-'Data Bonds'!BP52/la))</f>
        <v>0</v>
      </c>
      <c r="BN53" s="45">
        <f>IF('Data Bonds'!BQ52=0,0,theta0+(theta1+theta2)*(1-EXP(-'Data Bonds'!BQ52/la))/('Data Bonds'!BQ52/la)-theta2*EXP(-'Data Bonds'!BQ52/la))</f>
        <v>0</v>
      </c>
      <c r="BO53" s="45">
        <f>IF('Data Bonds'!BR52=0,0,theta0+(theta1+theta2)*(1-EXP(-'Data Bonds'!BR52/la))/('Data Bonds'!BR52/la)-theta2*EXP(-'Data Bonds'!BR52/la))</f>
        <v>0</v>
      </c>
      <c r="BP53" s="38">
        <f>EXP(-'Data Bonds'!K52*H53)</f>
        <v>0.99030095386253514</v>
      </c>
      <c r="BQ53" s="38">
        <f>EXP(-'Data Bonds'!L52*I53)</f>
        <v>0.96596142383001249</v>
      </c>
      <c r="BR53" s="38">
        <f>EXP(-'Data Bonds'!M52*J53)</f>
        <v>0.94276024382077384</v>
      </c>
      <c r="BS53" s="38">
        <f>EXP(-'Data Bonds'!N52*K53)</f>
        <v>0.92013309652437447</v>
      </c>
      <c r="BT53" s="38">
        <f>EXP(-'Data Bonds'!O52*L53)</f>
        <v>0.8978301597681585</v>
      </c>
      <c r="BU53" s="38">
        <f>EXP(-'Data Bonds'!P52*M53)</f>
        <v>0.8757679623727499</v>
      </c>
      <c r="BV53" s="38">
        <f>EXP(-'Data Bonds'!Q52*N53)</f>
        <v>0.85394508705932803</v>
      </c>
      <c r="BW53" s="38">
        <f>EXP(-'Data Bonds'!R52*O53)</f>
        <v>0.83239541980118914</v>
      </c>
      <c r="BX53" s="38">
        <f>EXP(-'Data Bonds'!S52*P53)</f>
        <v>0.81116332561828708</v>
      </c>
      <c r="BY53" s="38">
        <f>EXP(-'Data Bonds'!T52*Q53)</f>
        <v>0.79029139660492453</v>
      </c>
      <c r="BZ53" s="38">
        <f>EXP(-'Data Bonds'!U52*R53)</f>
        <v>0.76981519641342533</v>
      </c>
      <c r="CA53" s="38">
        <f>EXP(-'Data Bonds'!V52*S53)</f>
        <v>0.74976172414671449</v>
      </c>
      <c r="CB53" s="38">
        <f>EXP(-'Data Bonds'!W52*T53)</f>
        <v>0.73014971419213559</v>
      </c>
      <c r="CC53" s="38">
        <f>EXP(-'Data Bonds'!X52*U53)</f>
        <v>0.71099072354814263</v>
      </c>
      <c r="CD53" s="38">
        <f>EXP(-'Data Bonds'!Y52*V53)</f>
        <v>0.69229044963946051</v>
      </c>
      <c r="CE53" s="38">
        <f>EXP(-'Data Bonds'!Z52*W53)</f>
        <v>0.67405000392176173</v>
      </c>
      <c r="CF53" s="38">
        <f>EXP(-'Data Bonds'!AA52*X53)</f>
        <v>0.65626702351290833</v>
      </c>
      <c r="CG53" s="38">
        <f>EXP(-'Data Bonds'!AB52*Y53)</f>
        <v>0.63893658633137096</v>
      </c>
      <c r="CH53" s="38">
        <f>EXP(-'Data Bonds'!AC52*Z53)</f>
        <v>0.62205193621476651</v>
      </c>
      <c r="CI53" s="38">
        <f>EXP(-'Data Bonds'!AD52*AA53)</f>
        <v>0.60560504204345178</v>
      </c>
      <c r="CJ53" s="38">
        <f>EXP(-'Data Bonds'!AE52*AB53)</f>
        <v>0.58958702003626717</v>
      </c>
      <c r="CK53" s="38">
        <f>EXP(-'Data Bonds'!AF52*AC53)</f>
        <v>0.57398844742708199</v>
      </c>
      <c r="CL53" s="38">
        <f>EXP(-'Data Bonds'!AG52*AD53)</f>
        <v>0.55879959216452202</v>
      </c>
      <c r="CM53" s="38">
        <f>EXP(-'Data Bonds'!AH52*AE53)</f>
        <v>0.54401057894878535</v>
      </c>
      <c r="CN53" s="38">
        <f>EXP(-'Data Bonds'!AI52*AF53)</f>
        <v>0.52961150773453602</v>
      </c>
      <c r="CO53" s="38">
        <f>EXP(-'Data Bonds'!AJ52*AG53)</f>
        <v>0.51559253717395914</v>
      </c>
      <c r="CP53" s="38">
        <f>EXP(-'Data Bonds'!AK52*AH53)</f>
        <v>0.50194394246170126</v>
      </c>
      <c r="CQ53" s="38">
        <f>EXP(-'Data Bonds'!AL52*AI53)</f>
        <v>0.48865615465192236</v>
      </c>
      <c r="CR53" s="38">
        <f>EXP(-'Data Bonds'!AM52*AJ53)</f>
        <v>0.4757197866682138</v>
      </c>
      <c r="CS53" s="38">
        <f>EXP(-'Data Bonds'!AN52*AK53)</f>
        <v>0.46312564982427568</v>
      </c>
      <c r="CT53" s="38">
        <f>EXP(-'Data Bonds'!AO52*AL53)</f>
        <v>0.45086476362489408</v>
      </c>
      <c r="CU53" s="38">
        <f>EXP(-'Data Bonds'!AP52*AM53)</f>
        <v>0.43892836084252473</v>
      </c>
      <c r="CV53" s="38">
        <f>EXP(-'Data Bonds'!AQ52*AN53)</f>
        <v>0.42730788929846697</v>
      </c>
      <c r="CW53" s="38">
        <f>EXP(-'Data Bonds'!AR52*AO53)</f>
        <v>0.41599501136665035</v>
      </c>
      <c r="CX53" s="38">
        <f>EXP(-'Data Bonds'!AS52*AP53)</f>
        <v>0.40498160192183524</v>
      </c>
      <c r="CY53" s="38">
        <f>EXP(-'Data Bonds'!AT52*AQ53)</f>
        <v>0.39425974524173307</v>
      </c>
      <c r="CZ53" s="38">
        <f>EXP(-'Data Bonds'!AU52*AR53)</f>
        <v>0.38382173122115876</v>
      </c>
      <c r="DA53" s="38">
        <f>EXP(-'Data Bonds'!AV52*AS53)</f>
        <v>0.37366005114884232</v>
      </c>
      <c r="DB53" s="38">
        <f>EXP(-'Data Bonds'!AW52*AT53)</f>
        <v>0.36376739322150714</v>
      </c>
      <c r="DC53" s="38">
        <f>EXP(-'Data Bonds'!AX52*AU53)</f>
        <v>0.35413663791624533</v>
      </c>
      <c r="DD53" s="38">
        <f>EXP(-'Data Bonds'!AY52*AV53)</f>
        <v>1</v>
      </c>
      <c r="DE53" s="38">
        <f>EXP(-'Data Bonds'!AZ52*AW53)</f>
        <v>1</v>
      </c>
      <c r="DF53" s="38">
        <f>EXP(-'Data Bonds'!BA52*AX53)</f>
        <v>1</v>
      </c>
      <c r="DG53" s="38">
        <f>EXP(-'Data Bonds'!BB52*AY53)</f>
        <v>1</v>
      </c>
      <c r="DH53" s="38">
        <f>EXP(-'Data Bonds'!BC52*AZ53)</f>
        <v>1</v>
      </c>
      <c r="DI53" s="38">
        <f>EXP(-'Data Bonds'!BD52*BA53)</f>
        <v>1</v>
      </c>
      <c r="DJ53" s="38">
        <f>EXP(-'Data Bonds'!BE52*BB53)</f>
        <v>1</v>
      </c>
      <c r="DK53" s="38">
        <f>EXP(-'Data Bonds'!BF52*BC53)</f>
        <v>1</v>
      </c>
      <c r="DL53" s="38">
        <f>EXP(-'Data Bonds'!BG52*BD53)</f>
        <v>1</v>
      </c>
      <c r="DM53" s="38">
        <f>EXP(-'Data Bonds'!BH52*BE53)</f>
        <v>1</v>
      </c>
      <c r="DN53" s="38">
        <f>EXP(-'Data Bonds'!BI52*BF53)</f>
        <v>1</v>
      </c>
      <c r="DO53" s="38">
        <f>EXP(-'Data Bonds'!BJ52*BG53)</f>
        <v>1</v>
      </c>
      <c r="DP53" s="38">
        <f>EXP(-'Data Bonds'!BK52*BH53)</f>
        <v>1</v>
      </c>
      <c r="DQ53" s="38">
        <f>EXP(-'Data Bonds'!BL52*BI53)</f>
        <v>1</v>
      </c>
      <c r="DR53" s="38">
        <f>EXP(-'Data Bonds'!BM52*BJ53)</f>
        <v>1</v>
      </c>
      <c r="DS53" s="38">
        <f>EXP(-'Data Bonds'!BN52*BK53)</f>
        <v>1</v>
      </c>
      <c r="DT53" s="38">
        <f>EXP(-'Data Bonds'!BO52*BL53)</f>
        <v>1</v>
      </c>
      <c r="DU53" s="38">
        <f>EXP(-'Data Bonds'!BP52*BM53)</f>
        <v>1</v>
      </c>
      <c r="DV53" s="38">
        <f>EXP(-'Data Bonds'!BQ52*BN53)</f>
        <v>1</v>
      </c>
      <c r="DW53" s="38">
        <f>EXP(-'Data Bonds'!BR52*BO53)</f>
        <v>1</v>
      </c>
      <c r="DX53" s="28">
        <f>SUMPRODUCT(BP53:DW53,'Data Bonds'!BU52:EB52)</f>
        <v>118.15734949302734</v>
      </c>
      <c r="DY53" s="28">
        <f t="shared" si="5"/>
        <v>9.9217680742200165E-2</v>
      </c>
      <c r="EA53" s="33">
        <f t="shared" si="6"/>
        <v>21</v>
      </c>
      <c r="EB53" s="29">
        <f t="shared" si="8"/>
        <v>5.2782451313844708E-2</v>
      </c>
      <c r="EC53" s="29">
        <f t="shared" si="9"/>
        <v>0.33007628730363625</v>
      </c>
      <c r="ED53" s="29">
        <f t="shared" si="7"/>
        <v>5.3663670661071444E-2</v>
      </c>
      <c r="EF53" s="32"/>
      <c r="EG53" s="32"/>
      <c r="EI53" s="34"/>
    </row>
    <row r="54" spans="1:139">
      <c r="B54" s="27">
        <f>'Data Bonds'!E53</f>
        <v>6.375</v>
      </c>
      <c r="C54" s="27">
        <f>'Data Bonds'!F53</f>
        <v>112.921875</v>
      </c>
      <c r="D54" s="27">
        <f>'Data Bonds'!G53</f>
        <v>112.984375</v>
      </c>
      <c r="E54" s="27">
        <f>'Data Bonds'!I53</f>
        <v>1.9833333333333334</v>
      </c>
      <c r="F54" s="40">
        <f>'Data Bonds'!H53</f>
        <v>20.18888888888889</v>
      </c>
      <c r="G54" s="28">
        <f t="shared" si="4"/>
        <v>114.93645833333333</v>
      </c>
      <c r="H54" s="45">
        <f>IF('Data Bonds'!K53=0,0,theta0+(theta1+theta2)*(1-EXP(-'Data Bonds'!K53/la))/('Data Bonds'!K53/la)-theta2*EXP(-'Data Bonds'!K53/la))</f>
        <v>5.1598526027898411E-2</v>
      </c>
      <c r="I54" s="45">
        <f>IF('Data Bonds'!L53=0,0,theta0+(theta1+theta2)*(1-EXP(-'Data Bonds'!L53/la))/('Data Bonds'!L53/la)-theta2*EXP(-'Data Bonds'!L53/la))</f>
        <v>5.0271357324748023E-2</v>
      </c>
      <c r="J54" s="45">
        <f>IF('Data Bonds'!M53=0,0,theta0+(theta1+theta2)*(1-EXP(-'Data Bonds'!M53/la))/('Data Bonds'!M53/la)-theta2*EXP(-'Data Bonds'!M53/la))</f>
        <v>4.9578457297749672E-2</v>
      </c>
      <c r="K54" s="45">
        <f>IF('Data Bonds'!N53=0,0,theta0+(theta1+theta2)*(1-EXP(-'Data Bonds'!N53/la))/('Data Bonds'!N53/la)-theta2*EXP(-'Data Bonds'!N53/la))</f>
        <v>4.9285035750538553E-2</v>
      </c>
      <c r="L54" s="45">
        <f>IF('Data Bonds'!O53=0,0,theta0+(theta1+theta2)*(1-EXP(-'Data Bonds'!O53/la))/('Data Bonds'!O53/la)-theta2*EXP(-'Data Bonds'!O53/la))</f>
        <v>4.9237017363447266E-2</v>
      </c>
      <c r="M54" s="45">
        <f>IF('Data Bonds'!P53=0,0,theta0+(theta1+theta2)*(1-EXP(-'Data Bonds'!P53/la))/('Data Bonds'!P53/la)-theta2*EXP(-'Data Bonds'!P53/la))</f>
        <v>4.9334171753160738E-2</v>
      </c>
      <c r="N54" s="45">
        <f>IF('Data Bonds'!Q53=0,0,theta0+(theta1+theta2)*(1-EXP(-'Data Bonds'!Q53/la))/('Data Bonds'!Q53/la)-theta2*EXP(-'Data Bonds'!Q53/la))</f>
        <v>4.9512038088999483E-2</v>
      </c>
      <c r="O54" s="45">
        <f>IF('Data Bonds'!R53=0,0,theta0+(theta1+theta2)*(1-EXP(-'Data Bonds'!R53/la))/('Data Bonds'!R53/la)-theta2*EXP(-'Data Bonds'!R53/la))</f>
        <v>4.9729794635889335E-2</v>
      </c>
      <c r="P54" s="45">
        <f>IF('Data Bonds'!S53=0,0,theta0+(theta1+theta2)*(1-EXP(-'Data Bonds'!S53/la))/('Data Bonds'!S53/la)-theta2*EXP(-'Data Bonds'!S53/la))</f>
        <v>4.9962140977046696E-2</v>
      </c>
      <c r="Q54" s="45">
        <f>IF('Data Bonds'!T53=0,0,theta0+(theta1+theta2)*(1-EXP(-'Data Bonds'!T53/la))/('Data Bonds'!T53/la)-theta2*EXP(-'Data Bonds'!T53/la))</f>
        <v>5.0193884019659962E-2</v>
      </c>
      <c r="R54" s="45">
        <f>IF('Data Bonds'!U53=0,0,theta0+(theta1+theta2)*(1-EXP(-'Data Bonds'!U53/la))/('Data Bonds'!U53/la)-theta2*EXP(-'Data Bonds'!U53/la))</f>
        <v>5.0416342149512058E-2</v>
      </c>
      <c r="S54" s="45">
        <f>IF('Data Bonds'!V53=0,0,theta0+(theta1+theta2)*(1-EXP(-'Data Bonds'!V53/la))/('Data Bonds'!V53/la)-theta2*EXP(-'Data Bonds'!V53/la))</f>
        <v>5.0624969074311257E-2</v>
      </c>
      <c r="T54" s="45">
        <f>IF('Data Bonds'!W53=0,0,theta0+(theta1+theta2)*(1-EXP(-'Data Bonds'!W53/la))/('Data Bonds'!W53/la)-theta2*EXP(-'Data Bonds'!W53/la))</f>
        <v>5.0817793561872729E-2</v>
      </c>
      <c r="U54" s="45">
        <f>IF('Data Bonds'!X53=0,0,theta0+(theta1+theta2)*(1-EXP(-'Data Bonds'!X53/la))/('Data Bonds'!X53/la)-theta2*EXP(-'Data Bonds'!X53/la))</f>
        <v>5.0994403103277734E-2</v>
      </c>
      <c r="V54" s="45">
        <f>IF('Data Bonds'!Y53=0,0,theta0+(theta1+theta2)*(1-EXP(-'Data Bonds'!Y53/la))/('Data Bonds'!Y53/la)-theta2*EXP(-'Data Bonds'!Y53/la))</f>
        <v>5.1155288695615496E-2</v>
      </c>
      <c r="W54" s="45">
        <f>IF('Data Bonds'!Z53=0,0,theta0+(theta1+theta2)*(1-EXP(-'Data Bonds'!Z53/la))/('Data Bonds'!Z53/la)-theta2*EXP(-'Data Bonds'!Z53/la))</f>
        <v>5.1301428168232986E-2</v>
      </c>
      <c r="X54" s="45">
        <f>IF('Data Bonds'!AA53=0,0,theta0+(theta1+theta2)*(1-EXP(-'Data Bonds'!AA53/la))/('Data Bonds'!AA53/la)-theta2*EXP(-'Data Bonds'!AA53/la))</f>
        <v>5.1434026097624264E-2</v>
      </c>
      <c r="Y54" s="45">
        <f>IF('Data Bonds'!AB53=0,0,theta0+(theta1+theta2)*(1-EXP(-'Data Bonds'!AB53/la))/('Data Bonds'!AB53/la)-theta2*EXP(-'Data Bonds'!AB53/la))</f>
        <v>5.1554355703636381E-2</v>
      </c>
      <c r="Z54" s="45">
        <f>IF('Data Bonds'!AC53=0,0,theta0+(theta1+theta2)*(1-EXP(-'Data Bonds'!AC53/la))/('Data Bonds'!AC53/la)-theta2*EXP(-'Data Bonds'!AC53/la))</f>
        <v>5.1663666492393567E-2</v>
      </c>
      <c r="AA54" s="45">
        <f>IF('Data Bonds'!AD53=0,0,theta0+(theta1+theta2)*(1-EXP(-'Data Bonds'!AD53/la))/('Data Bonds'!AD53/la)-theta2*EXP(-'Data Bonds'!AD53/la))</f>
        <v>5.1763133724185395E-2</v>
      </c>
      <c r="AB54" s="45">
        <f>IF('Data Bonds'!AE53=0,0,theta0+(theta1+theta2)*(1-EXP(-'Data Bonds'!AE53/la))/('Data Bonds'!AE53/la)-theta2*EXP(-'Data Bonds'!AE53/la))</f>
        <v>5.1853834012200901E-2</v>
      </c>
      <c r="AC54" s="45">
        <f>IF('Data Bonds'!AF53=0,0,theta0+(theta1+theta2)*(1-EXP(-'Data Bonds'!AF53/la))/('Data Bonds'!AF53/la)-theta2*EXP(-'Data Bonds'!AF53/la))</f>
        <v>5.1936736836682804E-2</v>
      </c>
      <c r="AD54" s="45">
        <f>IF('Data Bonds'!AG53=0,0,theta0+(theta1+theta2)*(1-EXP(-'Data Bonds'!AG53/la))/('Data Bonds'!AG53/la)-theta2*EXP(-'Data Bonds'!AG53/la))</f>
        <v>5.2012705391962649E-2</v>
      </c>
      <c r="AE54" s="45">
        <f>IF('Data Bonds'!AH53=0,0,theta0+(theta1+theta2)*(1-EXP(-'Data Bonds'!AH53/la))/('Data Bonds'!AH53/la)-theta2*EXP(-'Data Bonds'!AH53/la))</f>
        <v>5.2082502580458233E-2</v>
      </c>
      <c r="AF54" s="45">
        <f>IF('Data Bonds'!AI53=0,0,theta0+(theta1+theta2)*(1-EXP(-'Data Bonds'!AI53/la))/('Data Bonds'!AI53/la)-theta2*EXP(-'Data Bonds'!AI53/la))</f>
        <v>5.2146799538785205E-2</v>
      </c>
      <c r="AG54" s="45">
        <f>IF('Data Bonds'!AJ53=0,0,theta0+(theta1+theta2)*(1-EXP(-'Data Bonds'!AJ53/la))/('Data Bonds'!AJ53/la)-theta2*EXP(-'Data Bonds'!AJ53/la))</f>
        <v>5.2206185102880893E-2</v>
      </c>
      <c r="AH54" s="45">
        <f>IF('Data Bonds'!AK53=0,0,theta0+(theta1+theta2)*(1-EXP(-'Data Bonds'!AK53/la))/('Data Bonds'!AK53/la)-theta2*EXP(-'Data Bonds'!AK53/la))</f>
        <v>5.2261175276823613E-2</v>
      </c>
      <c r="AI54" s="45">
        <f>IF('Data Bonds'!AL53=0,0,theta0+(theta1+theta2)*(1-EXP(-'Data Bonds'!AL53/la))/('Data Bonds'!AL53/la)-theta2*EXP(-'Data Bonds'!AL53/la))</f>
        <v>5.2312222187925556E-2</v>
      </c>
      <c r="AJ54" s="45">
        <f>IF('Data Bonds'!AM53=0,0,theta0+(theta1+theta2)*(1-EXP(-'Data Bonds'!AM53/la))/('Data Bonds'!AM53/la)-theta2*EXP(-'Data Bonds'!AM53/la))</f>
        <v>5.2359722271472377E-2</v>
      </c>
      <c r="AK54" s="45">
        <f>IF('Data Bonds'!AN53=0,0,theta0+(theta1+theta2)*(1-EXP(-'Data Bonds'!AN53/la))/('Data Bonds'!AN53/la)-theta2*EXP(-'Data Bonds'!AN53/la))</f>
        <v>5.240402358722291E-2</v>
      </c>
      <c r="AL54" s="45">
        <f>IF('Data Bonds'!AO53=0,0,theta0+(theta1+theta2)*(1-EXP(-'Data Bonds'!AO53/la))/('Data Bonds'!AO53/la)-theta2*EXP(-'Data Bonds'!AO53/la))</f>
        <v>5.2445432262903005E-2</v>
      </c>
      <c r="AM54" s="45">
        <f>IF('Data Bonds'!AP53=0,0,theta0+(theta1+theta2)*(1-EXP(-'Data Bonds'!AP53/la))/('Data Bonds'!AP53/la)-theta2*EXP(-'Data Bonds'!AP53/la))</f>
        <v>5.2484218111421725E-2</v>
      </c>
      <c r="AN54" s="45">
        <f>IF('Data Bonds'!AQ53=0,0,theta0+(theta1+theta2)*(1-EXP(-'Data Bonds'!AQ53/la))/('Data Bonds'!AQ53/la)-theta2*EXP(-'Data Bonds'!AQ53/la))</f>
        <v>5.2520619494096282E-2</v>
      </c>
      <c r="AO54" s="45">
        <f>IF('Data Bonds'!AR53=0,0,theta0+(theta1+theta2)*(1-EXP(-'Data Bonds'!AR53/la))/('Data Bonds'!AR53/la)-theta2*EXP(-'Data Bonds'!AR53/la))</f>
        <v>5.2554847511976095E-2</v>
      </c>
      <c r="AP54" s="45">
        <f>IF('Data Bonds'!AS53=0,0,theta0+(theta1+theta2)*(1-EXP(-'Data Bonds'!AS53/la))/('Data Bonds'!AS53/la)-theta2*EXP(-'Data Bonds'!AS53/la))</f>
        <v>5.2587089607941187E-2</v>
      </c>
      <c r="AQ54" s="45">
        <f>IF('Data Bonds'!AT53=0,0,theta0+(theta1+theta2)*(1-EXP(-'Data Bonds'!AT53/la))/('Data Bonds'!AT53/la)-theta2*EXP(-'Data Bonds'!AT53/la))</f>
        <v>5.2617512657752857E-2</v>
      </c>
      <c r="AR54" s="45">
        <f>IF('Data Bonds'!AU53=0,0,theta0+(theta1+theta2)*(1-EXP(-'Data Bonds'!AU53/la))/('Data Bonds'!AU53/la)-theta2*EXP(-'Data Bonds'!AU53/la))</f>
        <v>5.2646265621229565E-2</v>
      </c>
      <c r="AS54" s="45">
        <f>IF('Data Bonds'!AV53=0,0,theta0+(theta1+theta2)*(1-EXP(-'Data Bonds'!AV53/la))/('Data Bonds'!AV53/la)-theta2*EXP(-'Data Bonds'!AV53/la))</f>
        <v>5.2673481816763512E-2</v>
      </c>
      <c r="AT54" s="45">
        <f>IF('Data Bonds'!AW53=0,0,theta0+(theta1+theta2)*(1-EXP(-'Data Bonds'!AW53/la))/('Data Bonds'!AW53/la)-theta2*EXP(-'Data Bonds'!AW53/la))</f>
        <v>5.2699280874393732E-2</v>
      </c>
      <c r="AU54" s="45">
        <f>IF('Data Bonds'!AX53=0,0,theta0+(theta1+theta2)*(1-EXP(-'Data Bonds'!AX53/la))/('Data Bonds'!AX53/la)-theta2*EXP(-'Data Bonds'!AX53/la))</f>
        <v>5.2723770415106237E-2</v>
      </c>
      <c r="AV54" s="45">
        <f>IF('Data Bonds'!AY53=0,0,theta0+(theta1+theta2)*(1-EXP(-'Data Bonds'!AY53/la))/('Data Bonds'!AY53/la)-theta2*EXP(-'Data Bonds'!AY53/la))</f>
        <v>5.2747047497184035E-2</v>
      </c>
      <c r="AW54" s="45">
        <f>IF('Data Bonds'!AZ53=0,0,theta0+(theta1+theta2)*(1-EXP(-'Data Bonds'!AZ53/la))/('Data Bonds'!AZ53/la)-theta2*EXP(-'Data Bonds'!AZ53/la))</f>
        <v>0</v>
      </c>
      <c r="AX54" s="45">
        <f>IF('Data Bonds'!BA53=0,0,theta0+(theta1+theta2)*(1-EXP(-'Data Bonds'!BA53/la))/('Data Bonds'!BA53/la)-theta2*EXP(-'Data Bonds'!BA53/la))</f>
        <v>0</v>
      </c>
      <c r="AY54" s="45">
        <f>IF('Data Bonds'!BB53=0,0,theta0+(theta1+theta2)*(1-EXP(-'Data Bonds'!BB53/la))/('Data Bonds'!BB53/la)-theta2*EXP(-'Data Bonds'!BB53/la))</f>
        <v>0</v>
      </c>
      <c r="AZ54" s="45">
        <f>IF('Data Bonds'!BC53=0,0,theta0+(theta1+theta2)*(1-EXP(-'Data Bonds'!BC53/la))/('Data Bonds'!BC53/la)-theta2*EXP(-'Data Bonds'!BC53/la))</f>
        <v>0</v>
      </c>
      <c r="BA54" s="45">
        <f>IF('Data Bonds'!BD53=0,0,theta0+(theta1+theta2)*(1-EXP(-'Data Bonds'!BD53/la))/('Data Bonds'!BD53/la)-theta2*EXP(-'Data Bonds'!BD53/la))</f>
        <v>0</v>
      </c>
      <c r="BB54" s="45">
        <f>IF('Data Bonds'!BE53=0,0,theta0+(theta1+theta2)*(1-EXP(-'Data Bonds'!BE53/la))/('Data Bonds'!BE53/la)-theta2*EXP(-'Data Bonds'!BE53/la))</f>
        <v>0</v>
      </c>
      <c r="BC54" s="45">
        <f>IF('Data Bonds'!BF53=0,0,theta0+(theta1+theta2)*(1-EXP(-'Data Bonds'!BF53/la))/('Data Bonds'!BF53/la)-theta2*EXP(-'Data Bonds'!BF53/la))</f>
        <v>0</v>
      </c>
      <c r="BD54" s="45">
        <f>IF('Data Bonds'!BG53=0,0,theta0+(theta1+theta2)*(1-EXP(-'Data Bonds'!BG53/la))/('Data Bonds'!BG53/la)-theta2*EXP(-'Data Bonds'!BG53/la))</f>
        <v>0</v>
      </c>
      <c r="BE54" s="45">
        <f>IF('Data Bonds'!BH53=0,0,theta0+(theta1+theta2)*(1-EXP(-'Data Bonds'!BH53/la))/('Data Bonds'!BH53/la)-theta2*EXP(-'Data Bonds'!BH53/la))</f>
        <v>0</v>
      </c>
      <c r="BF54" s="45">
        <f>IF('Data Bonds'!BI53=0,0,theta0+(theta1+theta2)*(1-EXP(-'Data Bonds'!BI53/la))/('Data Bonds'!BI53/la)-theta2*EXP(-'Data Bonds'!BI53/la))</f>
        <v>0</v>
      </c>
      <c r="BG54" s="45">
        <f>IF('Data Bonds'!BJ53=0,0,theta0+(theta1+theta2)*(1-EXP(-'Data Bonds'!BJ53/la))/('Data Bonds'!BJ53/la)-theta2*EXP(-'Data Bonds'!BJ53/la))</f>
        <v>0</v>
      </c>
      <c r="BH54" s="45">
        <f>IF('Data Bonds'!BK53=0,0,theta0+(theta1+theta2)*(1-EXP(-'Data Bonds'!BK53/la))/('Data Bonds'!BK53/la)-theta2*EXP(-'Data Bonds'!BK53/la))</f>
        <v>0</v>
      </c>
      <c r="BI54" s="45">
        <f>IF('Data Bonds'!BL53=0,0,theta0+(theta1+theta2)*(1-EXP(-'Data Bonds'!BL53/la))/('Data Bonds'!BL53/la)-theta2*EXP(-'Data Bonds'!BL53/la))</f>
        <v>0</v>
      </c>
      <c r="BJ54" s="45">
        <f>IF('Data Bonds'!BM53=0,0,theta0+(theta1+theta2)*(1-EXP(-'Data Bonds'!BM53/la))/('Data Bonds'!BM53/la)-theta2*EXP(-'Data Bonds'!BM53/la))</f>
        <v>0</v>
      </c>
      <c r="BK54" s="45">
        <f>IF('Data Bonds'!BN53=0,0,theta0+(theta1+theta2)*(1-EXP(-'Data Bonds'!BN53/la))/('Data Bonds'!BN53/la)-theta2*EXP(-'Data Bonds'!BN53/la))</f>
        <v>0</v>
      </c>
      <c r="BL54" s="45">
        <f>IF('Data Bonds'!BO53=0,0,theta0+(theta1+theta2)*(1-EXP(-'Data Bonds'!BO53/la))/('Data Bonds'!BO53/la)-theta2*EXP(-'Data Bonds'!BO53/la))</f>
        <v>0</v>
      </c>
      <c r="BM54" s="45">
        <f>IF('Data Bonds'!BP53=0,0,theta0+(theta1+theta2)*(1-EXP(-'Data Bonds'!BP53/la))/('Data Bonds'!BP53/la)-theta2*EXP(-'Data Bonds'!BP53/la))</f>
        <v>0</v>
      </c>
      <c r="BN54" s="45">
        <f>IF('Data Bonds'!BQ53=0,0,theta0+(theta1+theta2)*(1-EXP(-'Data Bonds'!BQ53/la))/('Data Bonds'!BQ53/la)-theta2*EXP(-'Data Bonds'!BQ53/la))</f>
        <v>0</v>
      </c>
      <c r="BO54" s="45">
        <f>IF('Data Bonds'!BR53=0,0,theta0+(theta1+theta2)*(1-EXP(-'Data Bonds'!BR53/la))/('Data Bonds'!BR53/la)-theta2*EXP(-'Data Bonds'!BR53/la))</f>
        <v>0</v>
      </c>
      <c r="BP54" s="38">
        <f>EXP(-'Data Bonds'!K53*H54)</f>
        <v>0.99030095386253514</v>
      </c>
      <c r="BQ54" s="38">
        <f>EXP(-'Data Bonds'!L53*I54)</f>
        <v>0.96596142383001249</v>
      </c>
      <c r="BR54" s="38">
        <f>EXP(-'Data Bonds'!M53*J54)</f>
        <v>0.94276024382077384</v>
      </c>
      <c r="BS54" s="38">
        <f>EXP(-'Data Bonds'!N53*K54)</f>
        <v>0.92013309652437447</v>
      </c>
      <c r="BT54" s="38">
        <f>EXP(-'Data Bonds'!O53*L54)</f>
        <v>0.8978301597681585</v>
      </c>
      <c r="BU54" s="38">
        <f>EXP(-'Data Bonds'!P53*M54)</f>
        <v>0.8757679623727499</v>
      </c>
      <c r="BV54" s="38">
        <f>EXP(-'Data Bonds'!Q53*N54)</f>
        <v>0.85394508705932803</v>
      </c>
      <c r="BW54" s="38">
        <f>EXP(-'Data Bonds'!R53*O54)</f>
        <v>0.83239541980118914</v>
      </c>
      <c r="BX54" s="38">
        <f>EXP(-'Data Bonds'!S53*P54)</f>
        <v>0.81116332561828708</v>
      </c>
      <c r="BY54" s="38">
        <f>EXP(-'Data Bonds'!T53*Q54)</f>
        <v>0.79029139660492453</v>
      </c>
      <c r="BZ54" s="38">
        <f>EXP(-'Data Bonds'!U53*R54)</f>
        <v>0.76981519641342533</v>
      </c>
      <c r="CA54" s="38">
        <f>EXP(-'Data Bonds'!V53*S54)</f>
        <v>0.74976172414671449</v>
      </c>
      <c r="CB54" s="38">
        <f>EXP(-'Data Bonds'!W53*T54)</f>
        <v>0.73014971419213559</v>
      </c>
      <c r="CC54" s="38">
        <f>EXP(-'Data Bonds'!X53*U54)</f>
        <v>0.71099072354814263</v>
      </c>
      <c r="CD54" s="38">
        <f>EXP(-'Data Bonds'!Y53*V54)</f>
        <v>0.69229044963946051</v>
      </c>
      <c r="CE54" s="38">
        <f>EXP(-'Data Bonds'!Z53*W54)</f>
        <v>0.67405000392176173</v>
      </c>
      <c r="CF54" s="38">
        <f>EXP(-'Data Bonds'!AA53*X54)</f>
        <v>0.65626702351290833</v>
      </c>
      <c r="CG54" s="38">
        <f>EXP(-'Data Bonds'!AB53*Y54)</f>
        <v>0.63893658633137096</v>
      </c>
      <c r="CH54" s="38">
        <f>EXP(-'Data Bonds'!AC53*Z54)</f>
        <v>0.62205193621476651</v>
      </c>
      <c r="CI54" s="38">
        <f>EXP(-'Data Bonds'!AD53*AA54)</f>
        <v>0.60560504204345178</v>
      </c>
      <c r="CJ54" s="38">
        <f>EXP(-'Data Bonds'!AE53*AB54)</f>
        <v>0.58958702003626717</v>
      </c>
      <c r="CK54" s="38">
        <f>EXP(-'Data Bonds'!AF53*AC54)</f>
        <v>0.57398844742708199</v>
      </c>
      <c r="CL54" s="38">
        <f>EXP(-'Data Bonds'!AG53*AD54)</f>
        <v>0.55879959216452202</v>
      </c>
      <c r="CM54" s="38">
        <f>EXP(-'Data Bonds'!AH53*AE54)</f>
        <v>0.54401057894878535</v>
      </c>
      <c r="CN54" s="38">
        <f>EXP(-'Data Bonds'!AI53*AF54)</f>
        <v>0.52961150773453602</v>
      </c>
      <c r="CO54" s="38">
        <f>EXP(-'Data Bonds'!AJ53*AG54)</f>
        <v>0.51559253717395914</v>
      </c>
      <c r="CP54" s="38">
        <f>EXP(-'Data Bonds'!AK53*AH54)</f>
        <v>0.50194394246170126</v>
      </c>
      <c r="CQ54" s="38">
        <f>EXP(-'Data Bonds'!AL53*AI54)</f>
        <v>0.48865615465192236</v>
      </c>
      <c r="CR54" s="38">
        <f>EXP(-'Data Bonds'!AM53*AJ54)</f>
        <v>0.4757197866682138</v>
      </c>
      <c r="CS54" s="38">
        <f>EXP(-'Data Bonds'!AN53*AK54)</f>
        <v>0.46312564982427568</v>
      </c>
      <c r="CT54" s="38">
        <f>EXP(-'Data Bonds'!AO53*AL54)</f>
        <v>0.45086476362489408</v>
      </c>
      <c r="CU54" s="38">
        <f>EXP(-'Data Bonds'!AP53*AM54)</f>
        <v>0.43892836084252473</v>
      </c>
      <c r="CV54" s="38">
        <f>EXP(-'Data Bonds'!AQ53*AN54)</f>
        <v>0.42730788929846697</v>
      </c>
      <c r="CW54" s="38">
        <f>EXP(-'Data Bonds'!AR53*AO54)</f>
        <v>0.41599501136665035</v>
      </c>
      <c r="CX54" s="38">
        <f>EXP(-'Data Bonds'!AS53*AP54)</f>
        <v>0.40498160192183524</v>
      </c>
      <c r="CY54" s="38">
        <f>EXP(-'Data Bonds'!AT53*AQ54)</f>
        <v>0.39425974524173307</v>
      </c>
      <c r="CZ54" s="38">
        <f>EXP(-'Data Bonds'!AU53*AR54)</f>
        <v>0.38382173122115876</v>
      </c>
      <c r="DA54" s="38">
        <f>EXP(-'Data Bonds'!AV53*AS54)</f>
        <v>0.37366005114884232</v>
      </c>
      <c r="DB54" s="38">
        <f>EXP(-'Data Bonds'!AW53*AT54)</f>
        <v>0.36376739322150714</v>
      </c>
      <c r="DC54" s="38">
        <f>EXP(-'Data Bonds'!AX53*AU54)</f>
        <v>0.35413663791624533</v>
      </c>
      <c r="DD54" s="38">
        <f>EXP(-'Data Bonds'!AY53*AV54)</f>
        <v>0.34476085330458445</v>
      </c>
      <c r="DE54" s="38">
        <f>EXP(-'Data Bonds'!AZ53*AW54)</f>
        <v>1</v>
      </c>
      <c r="DF54" s="38">
        <f>EXP(-'Data Bonds'!BA53*AX54)</f>
        <v>1</v>
      </c>
      <c r="DG54" s="38">
        <f>EXP(-'Data Bonds'!BB53*AY54)</f>
        <v>1</v>
      </c>
      <c r="DH54" s="38">
        <f>EXP(-'Data Bonds'!BC53*AZ54)</f>
        <v>1</v>
      </c>
      <c r="DI54" s="38">
        <f>EXP(-'Data Bonds'!BD53*BA54)</f>
        <v>1</v>
      </c>
      <c r="DJ54" s="38">
        <f>EXP(-'Data Bonds'!BE53*BB54)</f>
        <v>1</v>
      </c>
      <c r="DK54" s="38">
        <f>EXP(-'Data Bonds'!BF53*BC54)</f>
        <v>1</v>
      </c>
      <c r="DL54" s="38">
        <f>EXP(-'Data Bonds'!BG53*BD54)</f>
        <v>1</v>
      </c>
      <c r="DM54" s="38">
        <f>EXP(-'Data Bonds'!BH53*BE54)</f>
        <v>1</v>
      </c>
      <c r="DN54" s="38">
        <f>EXP(-'Data Bonds'!BI53*BF54)</f>
        <v>1</v>
      </c>
      <c r="DO54" s="38">
        <f>EXP(-'Data Bonds'!BJ53*BG54)</f>
        <v>1</v>
      </c>
      <c r="DP54" s="38">
        <f>EXP(-'Data Bonds'!BK53*BH54)</f>
        <v>1</v>
      </c>
      <c r="DQ54" s="38">
        <f>EXP(-'Data Bonds'!BL53*BI54)</f>
        <v>1</v>
      </c>
      <c r="DR54" s="38">
        <f>EXP(-'Data Bonds'!BM53*BJ54)</f>
        <v>1</v>
      </c>
      <c r="DS54" s="38">
        <f>EXP(-'Data Bonds'!BN53*BK54)</f>
        <v>1</v>
      </c>
      <c r="DT54" s="38">
        <f>EXP(-'Data Bonds'!BO53*BL54)</f>
        <v>1</v>
      </c>
      <c r="DU54" s="38">
        <f>EXP(-'Data Bonds'!BP53*BM54)</f>
        <v>1</v>
      </c>
      <c r="DV54" s="38">
        <f>EXP(-'Data Bonds'!BQ53*BN54)</f>
        <v>1</v>
      </c>
      <c r="DW54" s="38">
        <f>EXP(-'Data Bonds'!BR53*BO54)</f>
        <v>1</v>
      </c>
      <c r="DX54" s="28">
        <f>SUMPRODUCT(BP54:DW54,'Data Bonds'!BU53:EB53)</f>
        <v>115.19629301775439</v>
      </c>
      <c r="DY54" s="28">
        <f t="shared" si="5"/>
        <v>6.7514063228187191E-2</v>
      </c>
      <c r="EA54" s="33">
        <f t="shared" si="6"/>
        <v>21.5</v>
      </c>
      <c r="EB54" s="29">
        <f t="shared" si="8"/>
        <v>5.2802944996424156E-2</v>
      </c>
      <c r="EC54" s="29">
        <f t="shared" si="9"/>
        <v>0.32133749643176268</v>
      </c>
      <c r="ED54" s="29">
        <f t="shared" si="7"/>
        <v>5.3663679664760704E-2</v>
      </c>
      <c r="EF54" s="32"/>
      <c r="EG54" s="32"/>
      <c r="EI54" s="34"/>
    </row>
    <row r="55" spans="1:139">
      <c r="B55" s="27">
        <f>'Data Bonds'!E54</f>
        <v>5.5</v>
      </c>
      <c r="C55" s="27">
        <f>'Data Bonds'!F54</f>
        <v>102.375</v>
      </c>
      <c r="D55" s="27">
        <f>'Data Bonds'!G54</f>
        <v>102.4375</v>
      </c>
      <c r="E55" s="27">
        <f>'Data Bonds'!I54</f>
        <v>1.7111111111111112</v>
      </c>
      <c r="F55" s="40">
        <f>'Data Bonds'!H54</f>
        <v>21.18888888888889</v>
      </c>
      <c r="G55" s="28">
        <f t="shared" si="4"/>
        <v>104.11736111111111</v>
      </c>
      <c r="H55" s="45">
        <f>IF('Data Bonds'!K54=0,0,theta0+(theta1+theta2)*(1-EXP(-'Data Bonds'!K54/la))/('Data Bonds'!K54/la)-theta2*EXP(-'Data Bonds'!K54/la))</f>
        <v>5.1598526027898411E-2</v>
      </c>
      <c r="I55" s="45">
        <f>IF('Data Bonds'!L54=0,0,theta0+(theta1+theta2)*(1-EXP(-'Data Bonds'!L54/la))/('Data Bonds'!L54/la)-theta2*EXP(-'Data Bonds'!L54/la))</f>
        <v>5.0271357324748023E-2</v>
      </c>
      <c r="J55" s="45">
        <f>IF('Data Bonds'!M54=0,0,theta0+(theta1+theta2)*(1-EXP(-'Data Bonds'!M54/la))/('Data Bonds'!M54/la)-theta2*EXP(-'Data Bonds'!M54/la))</f>
        <v>4.9578457297749672E-2</v>
      </c>
      <c r="K55" s="45">
        <f>IF('Data Bonds'!N54=0,0,theta0+(theta1+theta2)*(1-EXP(-'Data Bonds'!N54/la))/('Data Bonds'!N54/la)-theta2*EXP(-'Data Bonds'!N54/la))</f>
        <v>4.9285035750538553E-2</v>
      </c>
      <c r="L55" s="45">
        <f>IF('Data Bonds'!O54=0,0,theta0+(theta1+theta2)*(1-EXP(-'Data Bonds'!O54/la))/('Data Bonds'!O54/la)-theta2*EXP(-'Data Bonds'!O54/la))</f>
        <v>4.9237017363447266E-2</v>
      </c>
      <c r="M55" s="45">
        <f>IF('Data Bonds'!P54=0,0,theta0+(theta1+theta2)*(1-EXP(-'Data Bonds'!P54/la))/('Data Bonds'!P54/la)-theta2*EXP(-'Data Bonds'!P54/la))</f>
        <v>4.9334171753160738E-2</v>
      </c>
      <c r="N55" s="45">
        <f>IF('Data Bonds'!Q54=0,0,theta0+(theta1+theta2)*(1-EXP(-'Data Bonds'!Q54/la))/('Data Bonds'!Q54/la)-theta2*EXP(-'Data Bonds'!Q54/la))</f>
        <v>4.9512038088999483E-2</v>
      </c>
      <c r="O55" s="45">
        <f>IF('Data Bonds'!R54=0,0,theta0+(theta1+theta2)*(1-EXP(-'Data Bonds'!R54/la))/('Data Bonds'!R54/la)-theta2*EXP(-'Data Bonds'!R54/la))</f>
        <v>4.9729794635889335E-2</v>
      </c>
      <c r="P55" s="45">
        <f>IF('Data Bonds'!S54=0,0,theta0+(theta1+theta2)*(1-EXP(-'Data Bonds'!S54/la))/('Data Bonds'!S54/la)-theta2*EXP(-'Data Bonds'!S54/la))</f>
        <v>4.9962140977046696E-2</v>
      </c>
      <c r="Q55" s="45">
        <f>IF('Data Bonds'!T54=0,0,theta0+(theta1+theta2)*(1-EXP(-'Data Bonds'!T54/la))/('Data Bonds'!T54/la)-theta2*EXP(-'Data Bonds'!T54/la))</f>
        <v>5.0193884019659962E-2</v>
      </c>
      <c r="R55" s="45">
        <f>IF('Data Bonds'!U54=0,0,theta0+(theta1+theta2)*(1-EXP(-'Data Bonds'!U54/la))/('Data Bonds'!U54/la)-theta2*EXP(-'Data Bonds'!U54/la))</f>
        <v>5.0416342149512058E-2</v>
      </c>
      <c r="S55" s="45">
        <f>IF('Data Bonds'!V54=0,0,theta0+(theta1+theta2)*(1-EXP(-'Data Bonds'!V54/la))/('Data Bonds'!V54/la)-theta2*EXP(-'Data Bonds'!V54/la))</f>
        <v>5.0624969074311257E-2</v>
      </c>
      <c r="T55" s="45">
        <f>IF('Data Bonds'!W54=0,0,theta0+(theta1+theta2)*(1-EXP(-'Data Bonds'!W54/la))/('Data Bonds'!W54/la)-theta2*EXP(-'Data Bonds'!W54/la))</f>
        <v>5.0817793561872729E-2</v>
      </c>
      <c r="U55" s="45">
        <f>IF('Data Bonds'!X54=0,0,theta0+(theta1+theta2)*(1-EXP(-'Data Bonds'!X54/la))/('Data Bonds'!X54/la)-theta2*EXP(-'Data Bonds'!X54/la))</f>
        <v>5.0994403103277734E-2</v>
      </c>
      <c r="V55" s="45">
        <f>IF('Data Bonds'!Y54=0,0,theta0+(theta1+theta2)*(1-EXP(-'Data Bonds'!Y54/la))/('Data Bonds'!Y54/la)-theta2*EXP(-'Data Bonds'!Y54/la))</f>
        <v>5.1155288695615496E-2</v>
      </c>
      <c r="W55" s="45">
        <f>IF('Data Bonds'!Z54=0,0,theta0+(theta1+theta2)*(1-EXP(-'Data Bonds'!Z54/la))/('Data Bonds'!Z54/la)-theta2*EXP(-'Data Bonds'!Z54/la))</f>
        <v>5.1301428168232986E-2</v>
      </c>
      <c r="X55" s="45">
        <f>IF('Data Bonds'!AA54=0,0,theta0+(theta1+theta2)*(1-EXP(-'Data Bonds'!AA54/la))/('Data Bonds'!AA54/la)-theta2*EXP(-'Data Bonds'!AA54/la))</f>
        <v>5.1434026097624264E-2</v>
      </c>
      <c r="Y55" s="45">
        <f>IF('Data Bonds'!AB54=0,0,theta0+(theta1+theta2)*(1-EXP(-'Data Bonds'!AB54/la))/('Data Bonds'!AB54/la)-theta2*EXP(-'Data Bonds'!AB54/la))</f>
        <v>5.1554355703636381E-2</v>
      </c>
      <c r="Z55" s="45">
        <f>IF('Data Bonds'!AC54=0,0,theta0+(theta1+theta2)*(1-EXP(-'Data Bonds'!AC54/la))/('Data Bonds'!AC54/la)-theta2*EXP(-'Data Bonds'!AC54/la))</f>
        <v>5.1663666492393567E-2</v>
      </c>
      <c r="AA55" s="45">
        <f>IF('Data Bonds'!AD54=0,0,theta0+(theta1+theta2)*(1-EXP(-'Data Bonds'!AD54/la))/('Data Bonds'!AD54/la)-theta2*EXP(-'Data Bonds'!AD54/la))</f>
        <v>5.1763133724185395E-2</v>
      </c>
      <c r="AB55" s="45">
        <f>IF('Data Bonds'!AE54=0,0,theta0+(theta1+theta2)*(1-EXP(-'Data Bonds'!AE54/la))/('Data Bonds'!AE54/la)-theta2*EXP(-'Data Bonds'!AE54/la))</f>
        <v>5.1853834012200901E-2</v>
      </c>
      <c r="AC55" s="45">
        <f>IF('Data Bonds'!AF54=0,0,theta0+(theta1+theta2)*(1-EXP(-'Data Bonds'!AF54/la))/('Data Bonds'!AF54/la)-theta2*EXP(-'Data Bonds'!AF54/la))</f>
        <v>5.1936736836682804E-2</v>
      </c>
      <c r="AD55" s="45">
        <f>IF('Data Bonds'!AG54=0,0,theta0+(theta1+theta2)*(1-EXP(-'Data Bonds'!AG54/la))/('Data Bonds'!AG54/la)-theta2*EXP(-'Data Bonds'!AG54/la))</f>
        <v>5.2012705391962649E-2</v>
      </c>
      <c r="AE55" s="45">
        <f>IF('Data Bonds'!AH54=0,0,theta0+(theta1+theta2)*(1-EXP(-'Data Bonds'!AH54/la))/('Data Bonds'!AH54/la)-theta2*EXP(-'Data Bonds'!AH54/la))</f>
        <v>5.2082502580458233E-2</v>
      </c>
      <c r="AF55" s="45">
        <f>IF('Data Bonds'!AI54=0,0,theta0+(theta1+theta2)*(1-EXP(-'Data Bonds'!AI54/la))/('Data Bonds'!AI54/la)-theta2*EXP(-'Data Bonds'!AI54/la))</f>
        <v>5.2146799538785205E-2</v>
      </c>
      <c r="AG55" s="45">
        <f>IF('Data Bonds'!AJ54=0,0,theta0+(theta1+theta2)*(1-EXP(-'Data Bonds'!AJ54/la))/('Data Bonds'!AJ54/la)-theta2*EXP(-'Data Bonds'!AJ54/la))</f>
        <v>5.2206185102880893E-2</v>
      </c>
      <c r="AH55" s="45">
        <f>IF('Data Bonds'!AK54=0,0,theta0+(theta1+theta2)*(1-EXP(-'Data Bonds'!AK54/la))/('Data Bonds'!AK54/la)-theta2*EXP(-'Data Bonds'!AK54/la))</f>
        <v>5.2261175276823613E-2</v>
      </c>
      <c r="AI55" s="45">
        <f>IF('Data Bonds'!AL54=0,0,theta0+(theta1+theta2)*(1-EXP(-'Data Bonds'!AL54/la))/('Data Bonds'!AL54/la)-theta2*EXP(-'Data Bonds'!AL54/la))</f>
        <v>5.2312222187925556E-2</v>
      </c>
      <c r="AJ55" s="45">
        <f>IF('Data Bonds'!AM54=0,0,theta0+(theta1+theta2)*(1-EXP(-'Data Bonds'!AM54/la))/('Data Bonds'!AM54/la)-theta2*EXP(-'Data Bonds'!AM54/la))</f>
        <v>5.2359722271472377E-2</v>
      </c>
      <c r="AK55" s="45">
        <f>IF('Data Bonds'!AN54=0,0,theta0+(theta1+theta2)*(1-EXP(-'Data Bonds'!AN54/la))/('Data Bonds'!AN54/la)-theta2*EXP(-'Data Bonds'!AN54/la))</f>
        <v>5.240402358722291E-2</v>
      </c>
      <c r="AL55" s="45">
        <f>IF('Data Bonds'!AO54=0,0,theta0+(theta1+theta2)*(1-EXP(-'Data Bonds'!AO54/la))/('Data Bonds'!AO54/la)-theta2*EXP(-'Data Bonds'!AO54/la))</f>
        <v>5.2445432262903005E-2</v>
      </c>
      <c r="AM55" s="45">
        <f>IF('Data Bonds'!AP54=0,0,theta0+(theta1+theta2)*(1-EXP(-'Data Bonds'!AP54/la))/('Data Bonds'!AP54/la)-theta2*EXP(-'Data Bonds'!AP54/la))</f>
        <v>5.2484218111421725E-2</v>
      </c>
      <c r="AN55" s="45">
        <f>IF('Data Bonds'!AQ54=0,0,theta0+(theta1+theta2)*(1-EXP(-'Data Bonds'!AQ54/la))/('Data Bonds'!AQ54/la)-theta2*EXP(-'Data Bonds'!AQ54/la))</f>
        <v>5.2520619494096282E-2</v>
      </c>
      <c r="AO55" s="45">
        <f>IF('Data Bonds'!AR54=0,0,theta0+(theta1+theta2)*(1-EXP(-'Data Bonds'!AR54/la))/('Data Bonds'!AR54/la)-theta2*EXP(-'Data Bonds'!AR54/la))</f>
        <v>5.2554847511976095E-2</v>
      </c>
      <c r="AP55" s="45">
        <f>IF('Data Bonds'!AS54=0,0,theta0+(theta1+theta2)*(1-EXP(-'Data Bonds'!AS54/la))/('Data Bonds'!AS54/la)-theta2*EXP(-'Data Bonds'!AS54/la))</f>
        <v>5.2587089607941187E-2</v>
      </c>
      <c r="AQ55" s="45">
        <f>IF('Data Bonds'!AT54=0,0,theta0+(theta1+theta2)*(1-EXP(-'Data Bonds'!AT54/la))/('Data Bonds'!AT54/la)-theta2*EXP(-'Data Bonds'!AT54/la))</f>
        <v>5.2617512657752857E-2</v>
      </c>
      <c r="AR55" s="45">
        <f>IF('Data Bonds'!AU54=0,0,theta0+(theta1+theta2)*(1-EXP(-'Data Bonds'!AU54/la))/('Data Bonds'!AU54/la)-theta2*EXP(-'Data Bonds'!AU54/la))</f>
        <v>5.2646265621229565E-2</v>
      </c>
      <c r="AS55" s="45">
        <f>IF('Data Bonds'!AV54=0,0,theta0+(theta1+theta2)*(1-EXP(-'Data Bonds'!AV54/la))/('Data Bonds'!AV54/la)-theta2*EXP(-'Data Bonds'!AV54/la))</f>
        <v>5.2673481816763512E-2</v>
      </c>
      <c r="AT55" s="45">
        <f>IF('Data Bonds'!AW54=0,0,theta0+(theta1+theta2)*(1-EXP(-'Data Bonds'!AW54/la))/('Data Bonds'!AW54/la)-theta2*EXP(-'Data Bonds'!AW54/la))</f>
        <v>5.2699280874393732E-2</v>
      </c>
      <c r="AU55" s="45">
        <f>IF('Data Bonds'!AX54=0,0,theta0+(theta1+theta2)*(1-EXP(-'Data Bonds'!AX54/la))/('Data Bonds'!AX54/la)-theta2*EXP(-'Data Bonds'!AX54/la))</f>
        <v>5.2723770415106237E-2</v>
      </c>
      <c r="AV55" s="45">
        <f>IF('Data Bonds'!AY54=0,0,theta0+(theta1+theta2)*(1-EXP(-'Data Bonds'!AY54/la))/('Data Bonds'!AY54/la)-theta2*EXP(-'Data Bonds'!AY54/la))</f>
        <v>5.2747047497184035E-2</v>
      </c>
      <c r="AW55" s="45">
        <f>IF('Data Bonds'!AZ54=0,0,theta0+(theta1+theta2)*(1-EXP(-'Data Bonds'!AZ54/la))/('Data Bonds'!AZ54/la)-theta2*EXP(-'Data Bonds'!AZ54/la))</f>
        <v>5.2769199864369155E-2</v>
      </c>
      <c r="AX55" s="45">
        <f>IF('Data Bonds'!BA54=0,0,theta0+(theta1+theta2)*(1-EXP(-'Data Bonds'!BA54/la))/('Data Bonds'!BA54/la)-theta2*EXP(-'Data Bonds'!BA54/la))</f>
        <v>5.2790307025326638E-2</v>
      </c>
      <c r="AY55" s="45">
        <f>IF('Data Bonds'!BB54=0,0,theta0+(theta1+theta2)*(1-EXP(-'Data Bonds'!BB54/la))/('Data Bonds'!BB54/la)-theta2*EXP(-'Data Bonds'!BB54/la))</f>
        <v>0</v>
      </c>
      <c r="AZ55" s="45">
        <f>IF('Data Bonds'!BC54=0,0,theta0+(theta1+theta2)*(1-EXP(-'Data Bonds'!BC54/la))/('Data Bonds'!BC54/la)-theta2*EXP(-'Data Bonds'!BC54/la))</f>
        <v>0</v>
      </c>
      <c r="BA55" s="45">
        <f>IF('Data Bonds'!BD54=0,0,theta0+(theta1+theta2)*(1-EXP(-'Data Bonds'!BD54/la))/('Data Bonds'!BD54/la)-theta2*EXP(-'Data Bonds'!BD54/la))</f>
        <v>0</v>
      </c>
      <c r="BB55" s="45">
        <f>IF('Data Bonds'!BE54=0,0,theta0+(theta1+theta2)*(1-EXP(-'Data Bonds'!BE54/la))/('Data Bonds'!BE54/la)-theta2*EXP(-'Data Bonds'!BE54/la))</f>
        <v>0</v>
      </c>
      <c r="BC55" s="45">
        <f>IF('Data Bonds'!BF54=0,0,theta0+(theta1+theta2)*(1-EXP(-'Data Bonds'!BF54/la))/('Data Bonds'!BF54/la)-theta2*EXP(-'Data Bonds'!BF54/la))</f>
        <v>0</v>
      </c>
      <c r="BD55" s="45">
        <f>IF('Data Bonds'!BG54=0,0,theta0+(theta1+theta2)*(1-EXP(-'Data Bonds'!BG54/la))/('Data Bonds'!BG54/la)-theta2*EXP(-'Data Bonds'!BG54/la))</f>
        <v>0</v>
      </c>
      <c r="BE55" s="45">
        <f>IF('Data Bonds'!BH54=0,0,theta0+(theta1+theta2)*(1-EXP(-'Data Bonds'!BH54/la))/('Data Bonds'!BH54/la)-theta2*EXP(-'Data Bonds'!BH54/la))</f>
        <v>0</v>
      </c>
      <c r="BF55" s="45">
        <f>IF('Data Bonds'!BI54=0,0,theta0+(theta1+theta2)*(1-EXP(-'Data Bonds'!BI54/la))/('Data Bonds'!BI54/la)-theta2*EXP(-'Data Bonds'!BI54/la))</f>
        <v>0</v>
      </c>
      <c r="BG55" s="45">
        <f>IF('Data Bonds'!BJ54=0,0,theta0+(theta1+theta2)*(1-EXP(-'Data Bonds'!BJ54/la))/('Data Bonds'!BJ54/la)-theta2*EXP(-'Data Bonds'!BJ54/la))</f>
        <v>0</v>
      </c>
      <c r="BH55" s="45">
        <f>IF('Data Bonds'!BK54=0,0,theta0+(theta1+theta2)*(1-EXP(-'Data Bonds'!BK54/la))/('Data Bonds'!BK54/la)-theta2*EXP(-'Data Bonds'!BK54/la))</f>
        <v>0</v>
      </c>
      <c r="BI55" s="45">
        <f>IF('Data Bonds'!BL54=0,0,theta0+(theta1+theta2)*(1-EXP(-'Data Bonds'!BL54/la))/('Data Bonds'!BL54/la)-theta2*EXP(-'Data Bonds'!BL54/la))</f>
        <v>0</v>
      </c>
      <c r="BJ55" s="45">
        <f>IF('Data Bonds'!BM54=0,0,theta0+(theta1+theta2)*(1-EXP(-'Data Bonds'!BM54/la))/('Data Bonds'!BM54/la)-theta2*EXP(-'Data Bonds'!BM54/la))</f>
        <v>0</v>
      </c>
      <c r="BK55" s="45">
        <f>IF('Data Bonds'!BN54=0,0,theta0+(theta1+theta2)*(1-EXP(-'Data Bonds'!BN54/la))/('Data Bonds'!BN54/la)-theta2*EXP(-'Data Bonds'!BN54/la))</f>
        <v>0</v>
      </c>
      <c r="BL55" s="45">
        <f>IF('Data Bonds'!BO54=0,0,theta0+(theta1+theta2)*(1-EXP(-'Data Bonds'!BO54/la))/('Data Bonds'!BO54/la)-theta2*EXP(-'Data Bonds'!BO54/la))</f>
        <v>0</v>
      </c>
      <c r="BM55" s="45">
        <f>IF('Data Bonds'!BP54=0,0,theta0+(theta1+theta2)*(1-EXP(-'Data Bonds'!BP54/la))/('Data Bonds'!BP54/la)-theta2*EXP(-'Data Bonds'!BP54/la))</f>
        <v>0</v>
      </c>
      <c r="BN55" s="45">
        <f>IF('Data Bonds'!BQ54=0,0,theta0+(theta1+theta2)*(1-EXP(-'Data Bonds'!BQ54/la))/('Data Bonds'!BQ54/la)-theta2*EXP(-'Data Bonds'!BQ54/la))</f>
        <v>0</v>
      </c>
      <c r="BO55" s="45">
        <f>IF('Data Bonds'!BR54=0,0,theta0+(theta1+theta2)*(1-EXP(-'Data Bonds'!BR54/la))/('Data Bonds'!BR54/la)-theta2*EXP(-'Data Bonds'!BR54/la))</f>
        <v>0</v>
      </c>
      <c r="BP55" s="38">
        <f>EXP(-'Data Bonds'!K54*H55)</f>
        <v>0.99030095386253514</v>
      </c>
      <c r="BQ55" s="38">
        <f>EXP(-'Data Bonds'!L54*I55)</f>
        <v>0.96596142383001249</v>
      </c>
      <c r="BR55" s="38">
        <f>EXP(-'Data Bonds'!M54*J55)</f>
        <v>0.94276024382077384</v>
      </c>
      <c r="BS55" s="38">
        <f>EXP(-'Data Bonds'!N54*K55)</f>
        <v>0.92013309652437447</v>
      </c>
      <c r="BT55" s="38">
        <f>EXP(-'Data Bonds'!O54*L55)</f>
        <v>0.8978301597681585</v>
      </c>
      <c r="BU55" s="38">
        <f>EXP(-'Data Bonds'!P54*M55)</f>
        <v>0.8757679623727499</v>
      </c>
      <c r="BV55" s="38">
        <f>EXP(-'Data Bonds'!Q54*N55)</f>
        <v>0.85394508705932803</v>
      </c>
      <c r="BW55" s="38">
        <f>EXP(-'Data Bonds'!R54*O55)</f>
        <v>0.83239541980118914</v>
      </c>
      <c r="BX55" s="38">
        <f>EXP(-'Data Bonds'!S54*P55)</f>
        <v>0.81116332561828708</v>
      </c>
      <c r="BY55" s="38">
        <f>EXP(-'Data Bonds'!T54*Q55)</f>
        <v>0.79029139660492453</v>
      </c>
      <c r="BZ55" s="38">
        <f>EXP(-'Data Bonds'!U54*R55)</f>
        <v>0.76981519641342533</v>
      </c>
      <c r="CA55" s="38">
        <f>EXP(-'Data Bonds'!V54*S55)</f>
        <v>0.74976172414671449</v>
      </c>
      <c r="CB55" s="38">
        <f>EXP(-'Data Bonds'!W54*T55)</f>
        <v>0.73014971419213559</v>
      </c>
      <c r="CC55" s="38">
        <f>EXP(-'Data Bonds'!X54*U55)</f>
        <v>0.71099072354814263</v>
      </c>
      <c r="CD55" s="38">
        <f>EXP(-'Data Bonds'!Y54*V55)</f>
        <v>0.69229044963946051</v>
      </c>
      <c r="CE55" s="38">
        <f>EXP(-'Data Bonds'!Z54*W55)</f>
        <v>0.67405000392176173</v>
      </c>
      <c r="CF55" s="38">
        <f>EXP(-'Data Bonds'!AA54*X55)</f>
        <v>0.65626702351290833</v>
      </c>
      <c r="CG55" s="38">
        <f>EXP(-'Data Bonds'!AB54*Y55)</f>
        <v>0.63893658633137096</v>
      </c>
      <c r="CH55" s="38">
        <f>EXP(-'Data Bonds'!AC54*Z55)</f>
        <v>0.62205193621476651</v>
      </c>
      <c r="CI55" s="38">
        <f>EXP(-'Data Bonds'!AD54*AA55)</f>
        <v>0.60560504204345178</v>
      </c>
      <c r="CJ55" s="38">
        <f>EXP(-'Data Bonds'!AE54*AB55)</f>
        <v>0.58958702003626717</v>
      </c>
      <c r="CK55" s="38">
        <f>EXP(-'Data Bonds'!AF54*AC55)</f>
        <v>0.57398844742708199</v>
      </c>
      <c r="CL55" s="38">
        <f>EXP(-'Data Bonds'!AG54*AD55)</f>
        <v>0.55879959216452202</v>
      </c>
      <c r="CM55" s="38">
        <f>EXP(-'Data Bonds'!AH54*AE55)</f>
        <v>0.54401057894878535</v>
      </c>
      <c r="CN55" s="38">
        <f>EXP(-'Data Bonds'!AI54*AF55)</f>
        <v>0.52961150773453602</v>
      </c>
      <c r="CO55" s="38">
        <f>EXP(-'Data Bonds'!AJ54*AG55)</f>
        <v>0.51559253717395914</v>
      </c>
      <c r="CP55" s="38">
        <f>EXP(-'Data Bonds'!AK54*AH55)</f>
        <v>0.50194394246170126</v>
      </c>
      <c r="CQ55" s="38">
        <f>EXP(-'Data Bonds'!AL54*AI55)</f>
        <v>0.48865615465192236</v>
      </c>
      <c r="CR55" s="38">
        <f>EXP(-'Data Bonds'!AM54*AJ55)</f>
        <v>0.4757197866682138</v>
      </c>
      <c r="CS55" s="38">
        <f>EXP(-'Data Bonds'!AN54*AK55)</f>
        <v>0.46312564982427568</v>
      </c>
      <c r="CT55" s="38">
        <f>EXP(-'Data Bonds'!AO54*AL55)</f>
        <v>0.45086476362489408</v>
      </c>
      <c r="CU55" s="38">
        <f>EXP(-'Data Bonds'!AP54*AM55)</f>
        <v>0.43892836084252473</v>
      </c>
      <c r="CV55" s="38">
        <f>EXP(-'Data Bonds'!AQ54*AN55)</f>
        <v>0.42730788929846697</v>
      </c>
      <c r="CW55" s="38">
        <f>EXP(-'Data Bonds'!AR54*AO55)</f>
        <v>0.41599501136665035</v>
      </c>
      <c r="CX55" s="38">
        <f>EXP(-'Data Bonds'!AS54*AP55)</f>
        <v>0.40498160192183524</v>
      </c>
      <c r="CY55" s="38">
        <f>EXP(-'Data Bonds'!AT54*AQ55)</f>
        <v>0.39425974524173307</v>
      </c>
      <c r="CZ55" s="38">
        <f>EXP(-'Data Bonds'!AU54*AR55)</f>
        <v>0.38382173122115876</v>
      </c>
      <c r="DA55" s="38">
        <f>EXP(-'Data Bonds'!AV54*AS55)</f>
        <v>0.37366005114884232</v>
      </c>
      <c r="DB55" s="38">
        <f>EXP(-'Data Bonds'!AW54*AT55)</f>
        <v>0.36376739322150714</v>
      </c>
      <c r="DC55" s="38">
        <f>EXP(-'Data Bonds'!AX54*AU55)</f>
        <v>0.35413663791624533</v>
      </c>
      <c r="DD55" s="38">
        <f>EXP(-'Data Bonds'!AY54*AV55)</f>
        <v>0.34476085330458445</v>
      </c>
      <c r="DE55" s="38">
        <f>EXP(-'Data Bonds'!AZ54*AW55)</f>
        <v>0.33563329036527928</v>
      </c>
      <c r="DF55" s="38">
        <f>EXP(-'Data Bonds'!BA54*AX55)</f>
        <v>0.32674737833445056</v>
      </c>
      <c r="DG55" s="38">
        <f>EXP(-'Data Bonds'!BB54*AY55)</f>
        <v>1</v>
      </c>
      <c r="DH55" s="38">
        <f>EXP(-'Data Bonds'!BC54*AZ55)</f>
        <v>1</v>
      </c>
      <c r="DI55" s="38">
        <f>EXP(-'Data Bonds'!BD54*BA55)</f>
        <v>1</v>
      </c>
      <c r="DJ55" s="38">
        <f>EXP(-'Data Bonds'!BE54*BB55)</f>
        <v>1</v>
      </c>
      <c r="DK55" s="38">
        <f>EXP(-'Data Bonds'!BF54*BC55)</f>
        <v>1</v>
      </c>
      <c r="DL55" s="38">
        <f>EXP(-'Data Bonds'!BG54*BD55)</f>
        <v>1</v>
      </c>
      <c r="DM55" s="38">
        <f>EXP(-'Data Bonds'!BH54*BE55)</f>
        <v>1</v>
      </c>
      <c r="DN55" s="38">
        <f>EXP(-'Data Bonds'!BI54*BF55)</f>
        <v>1</v>
      </c>
      <c r="DO55" s="38">
        <f>EXP(-'Data Bonds'!BJ54*BG55)</f>
        <v>1</v>
      </c>
      <c r="DP55" s="38">
        <f>EXP(-'Data Bonds'!BK54*BH55)</f>
        <v>1</v>
      </c>
      <c r="DQ55" s="38">
        <f>EXP(-'Data Bonds'!BL54*BI55)</f>
        <v>1</v>
      </c>
      <c r="DR55" s="38">
        <f>EXP(-'Data Bonds'!BM54*BJ55)</f>
        <v>1</v>
      </c>
      <c r="DS55" s="38">
        <f>EXP(-'Data Bonds'!BN54*BK55)</f>
        <v>1</v>
      </c>
      <c r="DT55" s="38">
        <f>EXP(-'Data Bonds'!BO54*BL55)</f>
        <v>1</v>
      </c>
      <c r="DU55" s="38">
        <f>EXP(-'Data Bonds'!BP54*BM55)</f>
        <v>1</v>
      </c>
      <c r="DV55" s="38">
        <f>EXP(-'Data Bonds'!BQ54*BN55)</f>
        <v>1</v>
      </c>
      <c r="DW55" s="38">
        <f>EXP(-'Data Bonds'!BR54*BO55)</f>
        <v>1</v>
      </c>
      <c r="DX55" s="28">
        <f>SUMPRODUCT(BP55:DW55,'Data Bonds'!BU54:EB54)</f>
        <v>104.13724816729129</v>
      </c>
      <c r="DY55" s="28">
        <f t="shared" si="5"/>
        <v>3.9549500351368174E-4</v>
      </c>
      <c r="EA55" s="33">
        <f t="shared" si="6"/>
        <v>22</v>
      </c>
      <c r="EB55" s="29">
        <f t="shared" si="8"/>
        <v>5.282250729163359E-2</v>
      </c>
      <c r="EC55" s="29">
        <f t="shared" si="9"/>
        <v>0.31283006461989971</v>
      </c>
      <c r="ED55" s="29">
        <f t="shared" si="7"/>
        <v>5.3663685985639857E-2</v>
      </c>
      <c r="EF55" s="32"/>
      <c r="EG55" s="32"/>
      <c r="EI55" s="34"/>
    </row>
    <row r="56" spans="1:139">
      <c r="B56" s="27">
        <f>'Data Bonds'!E55</f>
        <v>5.25</v>
      </c>
      <c r="C56" s="27">
        <f>'Data Bonds'!F55</f>
        <v>99.3125</v>
      </c>
      <c r="D56" s="27">
        <f>'Data Bonds'!G55</f>
        <v>99.375</v>
      </c>
      <c r="E56" s="27">
        <f>'Data Bonds'!I55</f>
        <v>1.6333333333333333</v>
      </c>
      <c r="F56" s="40">
        <f>'Data Bonds'!H55</f>
        <v>21.68888888888889</v>
      </c>
      <c r="G56" s="28">
        <f t="shared" si="4"/>
        <v>100.97708333333334</v>
      </c>
      <c r="H56" s="45">
        <f>IF('Data Bonds'!K55=0,0,theta0+(theta1+theta2)*(1-EXP(-'Data Bonds'!K55/la))/('Data Bonds'!K55/la)-theta2*EXP(-'Data Bonds'!K55/la))</f>
        <v>5.1598526027898411E-2</v>
      </c>
      <c r="I56" s="45">
        <f>IF('Data Bonds'!L55=0,0,theta0+(theta1+theta2)*(1-EXP(-'Data Bonds'!L55/la))/('Data Bonds'!L55/la)-theta2*EXP(-'Data Bonds'!L55/la))</f>
        <v>5.0271357324748023E-2</v>
      </c>
      <c r="J56" s="45">
        <f>IF('Data Bonds'!M55=0,0,theta0+(theta1+theta2)*(1-EXP(-'Data Bonds'!M55/la))/('Data Bonds'!M55/la)-theta2*EXP(-'Data Bonds'!M55/la))</f>
        <v>4.9578457297749672E-2</v>
      </c>
      <c r="K56" s="45">
        <f>IF('Data Bonds'!N55=0,0,theta0+(theta1+theta2)*(1-EXP(-'Data Bonds'!N55/la))/('Data Bonds'!N55/la)-theta2*EXP(-'Data Bonds'!N55/la))</f>
        <v>4.9285035750538553E-2</v>
      </c>
      <c r="L56" s="45">
        <f>IF('Data Bonds'!O55=0,0,theta0+(theta1+theta2)*(1-EXP(-'Data Bonds'!O55/la))/('Data Bonds'!O55/la)-theta2*EXP(-'Data Bonds'!O55/la))</f>
        <v>4.9237017363447266E-2</v>
      </c>
      <c r="M56" s="45">
        <f>IF('Data Bonds'!P55=0,0,theta0+(theta1+theta2)*(1-EXP(-'Data Bonds'!P55/la))/('Data Bonds'!P55/la)-theta2*EXP(-'Data Bonds'!P55/la))</f>
        <v>4.9334171753160738E-2</v>
      </c>
      <c r="N56" s="45">
        <f>IF('Data Bonds'!Q55=0,0,theta0+(theta1+theta2)*(1-EXP(-'Data Bonds'!Q55/la))/('Data Bonds'!Q55/la)-theta2*EXP(-'Data Bonds'!Q55/la))</f>
        <v>4.9512038088999483E-2</v>
      </c>
      <c r="O56" s="45">
        <f>IF('Data Bonds'!R55=0,0,theta0+(theta1+theta2)*(1-EXP(-'Data Bonds'!R55/la))/('Data Bonds'!R55/la)-theta2*EXP(-'Data Bonds'!R55/la))</f>
        <v>4.9729794635889335E-2</v>
      </c>
      <c r="P56" s="45">
        <f>IF('Data Bonds'!S55=0,0,theta0+(theta1+theta2)*(1-EXP(-'Data Bonds'!S55/la))/('Data Bonds'!S55/la)-theta2*EXP(-'Data Bonds'!S55/la))</f>
        <v>4.9962140977046696E-2</v>
      </c>
      <c r="Q56" s="45">
        <f>IF('Data Bonds'!T55=0,0,theta0+(theta1+theta2)*(1-EXP(-'Data Bonds'!T55/la))/('Data Bonds'!T55/la)-theta2*EXP(-'Data Bonds'!T55/la))</f>
        <v>5.0193884019659962E-2</v>
      </c>
      <c r="R56" s="45">
        <f>IF('Data Bonds'!U55=0,0,theta0+(theta1+theta2)*(1-EXP(-'Data Bonds'!U55/la))/('Data Bonds'!U55/la)-theta2*EXP(-'Data Bonds'!U55/la))</f>
        <v>5.0416342149512058E-2</v>
      </c>
      <c r="S56" s="45">
        <f>IF('Data Bonds'!V55=0,0,theta0+(theta1+theta2)*(1-EXP(-'Data Bonds'!V55/la))/('Data Bonds'!V55/la)-theta2*EXP(-'Data Bonds'!V55/la))</f>
        <v>5.0624969074311257E-2</v>
      </c>
      <c r="T56" s="45">
        <f>IF('Data Bonds'!W55=0,0,theta0+(theta1+theta2)*(1-EXP(-'Data Bonds'!W55/la))/('Data Bonds'!W55/la)-theta2*EXP(-'Data Bonds'!W55/la))</f>
        <v>5.0817793561872729E-2</v>
      </c>
      <c r="U56" s="45">
        <f>IF('Data Bonds'!X55=0,0,theta0+(theta1+theta2)*(1-EXP(-'Data Bonds'!X55/la))/('Data Bonds'!X55/la)-theta2*EXP(-'Data Bonds'!X55/la))</f>
        <v>5.0994403103277734E-2</v>
      </c>
      <c r="V56" s="45">
        <f>IF('Data Bonds'!Y55=0,0,theta0+(theta1+theta2)*(1-EXP(-'Data Bonds'!Y55/la))/('Data Bonds'!Y55/la)-theta2*EXP(-'Data Bonds'!Y55/la))</f>
        <v>5.1155288695615496E-2</v>
      </c>
      <c r="W56" s="45">
        <f>IF('Data Bonds'!Z55=0,0,theta0+(theta1+theta2)*(1-EXP(-'Data Bonds'!Z55/la))/('Data Bonds'!Z55/la)-theta2*EXP(-'Data Bonds'!Z55/la))</f>
        <v>5.1301428168232986E-2</v>
      </c>
      <c r="X56" s="45">
        <f>IF('Data Bonds'!AA55=0,0,theta0+(theta1+theta2)*(1-EXP(-'Data Bonds'!AA55/la))/('Data Bonds'!AA55/la)-theta2*EXP(-'Data Bonds'!AA55/la))</f>
        <v>5.1434026097624264E-2</v>
      </c>
      <c r="Y56" s="45">
        <f>IF('Data Bonds'!AB55=0,0,theta0+(theta1+theta2)*(1-EXP(-'Data Bonds'!AB55/la))/('Data Bonds'!AB55/la)-theta2*EXP(-'Data Bonds'!AB55/la))</f>
        <v>5.1554355703636381E-2</v>
      </c>
      <c r="Z56" s="45">
        <f>IF('Data Bonds'!AC55=0,0,theta0+(theta1+theta2)*(1-EXP(-'Data Bonds'!AC55/la))/('Data Bonds'!AC55/la)-theta2*EXP(-'Data Bonds'!AC55/la))</f>
        <v>5.1663666492393567E-2</v>
      </c>
      <c r="AA56" s="45">
        <f>IF('Data Bonds'!AD55=0,0,theta0+(theta1+theta2)*(1-EXP(-'Data Bonds'!AD55/la))/('Data Bonds'!AD55/la)-theta2*EXP(-'Data Bonds'!AD55/la))</f>
        <v>5.1763133724185395E-2</v>
      </c>
      <c r="AB56" s="45">
        <f>IF('Data Bonds'!AE55=0,0,theta0+(theta1+theta2)*(1-EXP(-'Data Bonds'!AE55/la))/('Data Bonds'!AE55/la)-theta2*EXP(-'Data Bonds'!AE55/la))</f>
        <v>5.1853834012200901E-2</v>
      </c>
      <c r="AC56" s="45">
        <f>IF('Data Bonds'!AF55=0,0,theta0+(theta1+theta2)*(1-EXP(-'Data Bonds'!AF55/la))/('Data Bonds'!AF55/la)-theta2*EXP(-'Data Bonds'!AF55/la))</f>
        <v>5.1936736836682804E-2</v>
      </c>
      <c r="AD56" s="45">
        <f>IF('Data Bonds'!AG55=0,0,theta0+(theta1+theta2)*(1-EXP(-'Data Bonds'!AG55/la))/('Data Bonds'!AG55/la)-theta2*EXP(-'Data Bonds'!AG55/la))</f>
        <v>5.2012705391962649E-2</v>
      </c>
      <c r="AE56" s="45">
        <f>IF('Data Bonds'!AH55=0,0,theta0+(theta1+theta2)*(1-EXP(-'Data Bonds'!AH55/la))/('Data Bonds'!AH55/la)-theta2*EXP(-'Data Bonds'!AH55/la))</f>
        <v>5.2082502580458233E-2</v>
      </c>
      <c r="AF56" s="45">
        <f>IF('Data Bonds'!AI55=0,0,theta0+(theta1+theta2)*(1-EXP(-'Data Bonds'!AI55/la))/('Data Bonds'!AI55/la)-theta2*EXP(-'Data Bonds'!AI55/la))</f>
        <v>5.2146799538785205E-2</v>
      </c>
      <c r="AG56" s="45">
        <f>IF('Data Bonds'!AJ55=0,0,theta0+(theta1+theta2)*(1-EXP(-'Data Bonds'!AJ55/la))/('Data Bonds'!AJ55/la)-theta2*EXP(-'Data Bonds'!AJ55/la))</f>
        <v>5.2206185102880893E-2</v>
      </c>
      <c r="AH56" s="45">
        <f>IF('Data Bonds'!AK55=0,0,theta0+(theta1+theta2)*(1-EXP(-'Data Bonds'!AK55/la))/('Data Bonds'!AK55/la)-theta2*EXP(-'Data Bonds'!AK55/la))</f>
        <v>5.2261175276823613E-2</v>
      </c>
      <c r="AI56" s="45">
        <f>IF('Data Bonds'!AL55=0,0,theta0+(theta1+theta2)*(1-EXP(-'Data Bonds'!AL55/la))/('Data Bonds'!AL55/la)-theta2*EXP(-'Data Bonds'!AL55/la))</f>
        <v>5.2312222187925556E-2</v>
      </c>
      <c r="AJ56" s="45">
        <f>IF('Data Bonds'!AM55=0,0,theta0+(theta1+theta2)*(1-EXP(-'Data Bonds'!AM55/la))/('Data Bonds'!AM55/la)-theta2*EXP(-'Data Bonds'!AM55/la))</f>
        <v>5.2359722271472377E-2</v>
      </c>
      <c r="AK56" s="45">
        <f>IF('Data Bonds'!AN55=0,0,theta0+(theta1+theta2)*(1-EXP(-'Data Bonds'!AN55/la))/('Data Bonds'!AN55/la)-theta2*EXP(-'Data Bonds'!AN55/la))</f>
        <v>5.240402358722291E-2</v>
      </c>
      <c r="AL56" s="45">
        <f>IF('Data Bonds'!AO55=0,0,theta0+(theta1+theta2)*(1-EXP(-'Data Bonds'!AO55/la))/('Data Bonds'!AO55/la)-theta2*EXP(-'Data Bonds'!AO55/la))</f>
        <v>5.2445432262903005E-2</v>
      </c>
      <c r="AM56" s="45">
        <f>IF('Data Bonds'!AP55=0,0,theta0+(theta1+theta2)*(1-EXP(-'Data Bonds'!AP55/la))/('Data Bonds'!AP55/la)-theta2*EXP(-'Data Bonds'!AP55/la))</f>
        <v>5.2484218111421725E-2</v>
      </c>
      <c r="AN56" s="45">
        <f>IF('Data Bonds'!AQ55=0,0,theta0+(theta1+theta2)*(1-EXP(-'Data Bonds'!AQ55/la))/('Data Bonds'!AQ55/la)-theta2*EXP(-'Data Bonds'!AQ55/la))</f>
        <v>5.2520619494096282E-2</v>
      </c>
      <c r="AO56" s="45">
        <f>IF('Data Bonds'!AR55=0,0,theta0+(theta1+theta2)*(1-EXP(-'Data Bonds'!AR55/la))/('Data Bonds'!AR55/la)-theta2*EXP(-'Data Bonds'!AR55/la))</f>
        <v>5.2554847511976095E-2</v>
      </c>
      <c r="AP56" s="45">
        <f>IF('Data Bonds'!AS55=0,0,theta0+(theta1+theta2)*(1-EXP(-'Data Bonds'!AS55/la))/('Data Bonds'!AS55/la)-theta2*EXP(-'Data Bonds'!AS55/la))</f>
        <v>5.2587089607941187E-2</v>
      </c>
      <c r="AQ56" s="45">
        <f>IF('Data Bonds'!AT55=0,0,theta0+(theta1+theta2)*(1-EXP(-'Data Bonds'!AT55/la))/('Data Bonds'!AT55/la)-theta2*EXP(-'Data Bonds'!AT55/la))</f>
        <v>5.2617512657752857E-2</v>
      </c>
      <c r="AR56" s="45">
        <f>IF('Data Bonds'!AU55=0,0,theta0+(theta1+theta2)*(1-EXP(-'Data Bonds'!AU55/la))/('Data Bonds'!AU55/la)-theta2*EXP(-'Data Bonds'!AU55/la))</f>
        <v>5.2646265621229565E-2</v>
      </c>
      <c r="AS56" s="45">
        <f>IF('Data Bonds'!AV55=0,0,theta0+(theta1+theta2)*(1-EXP(-'Data Bonds'!AV55/la))/('Data Bonds'!AV55/la)-theta2*EXP(-'Data Bonds'!AV55/la))</f>
        <v>5.2673481816763512E-2</v>
      </c>
      <c r="AT56" s="45">
        <f>IF('Data Bonds'!AW55=0,0,theta0+(theta1+theta2)*(1-EXP(-'Data Bonds'!AW55/la))/('Data Bonds'!AW55/la)-theta2*EXP(-'Data Bonds'!AW55/la))</f>
        <v>5.2699280874393732E-2</v>
      </c>
      <c r="AU56" s="45">
        <f>IF('Data Bonds'!AX55=0,0,theta0+(theta1+theta2)*(1-EXP(-'Data Bonds'!AX55/la))/('Data Bonds'!AX55/la)-theta2*EXP(-'Data Bonds'!AX55/la))</f>
        <v>5.2723770415106237E-2</v>
      </c>
      <c r="AV56" s="45">
        <f>IF('Data Bonds'!AY55=0,0,theta0+(theta1+theta2)*(1-EXP(-'Data Bonds'!AY55/la))/('Data Bonds'!AY55/la)-theta2*EXP(-'Data Bonds'!AY55/la))</f>
        <v>5.2747047497184035E-2</v>
      </c>
      <c r="AW56" s="45">
        <f>IF('Data Bonds'!AZ55=0,0,theta0+(theta1+theta2)*(1-EXP(-'Data Bonds'!AZ55/la))/('Data Bonds'!AZ55/la)-theta2*EXP(-'Data Bonds'!AZ55/la))</f>
        <v>5.2769199864369155E-2</v>
      </c>
      <c r="AX56" s="45">
        <f>IF('Data Bonds'!BA55=0,0,theta0+(theta1+theta2)*(1-EXP(-'Data Bonds'!BA55/la))/('Data Bonds'!BA55/la)-theta2*EXP(-'Data Bonds'!BA55/la))</f>
        <v>5.2790307025326638E-2</v>
      </c>
      <c r="AY56" s="45">
        <f>IF('Data Bonds'!BB55=0,0,theta0+(theta1+theta2)*(1-EXP(-'Data Bonds'!BB55/la))/('Data Bonds'!BB55/la)-theta2*EXP(-'Data Bonds'!BB55/la))</f>
        <v>5.2810441189367362E-2</v>
      </c>
      <c r="AZ56" s="45">
        <f>IF('Data Bonds'!BC55=0,0,theta0+(theta1+theta2)*(1-EXP(-'Data Bonds'!BC55/la))/('Data Bonds'!BC55/la)-theta2*EXP(-'Data Bonds'!BC55/la))</f>
        <v>0</v>
      </c>
      <c r="BA56" s="45">
        <f>IF('Data Bonds'!BD55=0,0,theta0+(theta1+theta2)*(1-EXP(-'Data Bonds'!BD55/la))/('Data Bonds'!BD55/la)-theta2*EXP(-'Data Bonds'!BD55/la))</f>
        <v>0</v>
      </c>
      <c r="BB56" s="45">
        <f>IF('Data Bonds'!BE55=0,0,theta0+(theta1+theta2)*(1-EXP(-'Data Bonds'!BE55/la))/('Data Bonds'!BE55/la)-theta2*EXP(-'Data Bonds'!BE55/la))</f>
        <v>0</v>
      </c>
      <c r="BC56" s="45">
        <f>IF('Data Bonds'!BF55=0,0,theta0+(theta1+theta2)*(1-EXP(-'Data Bonds'!BF55/la))/('Data Bonds'!BF55/la)-theta2*EXP(-'Data Bonds'!BF55/la))</f>
        <v>0</v>
      </c>
      <c r="BD56" s="45">
        <f>IF('Data Bonds'!BG55=0,0,theta0+(theta1+theta2)*(1-EXP(-'Data Bonds'!BG55/la))/('Data Bonds'!BG55/la)-theta2*EXP(-'Data Bonds'!BG55/la))</f>
        <v>0</v>
      </c>
      <c r="BE56" s="45">
        <f>IF('Data Bonds'!BH55=0,0,theta0+(theta1+theta2)*(1-EXP(-'Data Bonds'!BH55/la))/('Data Bonds'!BH55/la)-theta2*EXP(-'Data Bonds'!BH55/la))</f>
        <v>0</v>
      </c>
      <c r="BF56" s="45">
        <f>IF('Data Bonds'!BI55=0,0,theta0+(theta1+theta2)*(1-EXP(-'Data Bonds'!BI55/la))/('Data Bonds'!BI55/la)-theta2*EXP(-'Data Bonds'!BI55/la))</f>
        <v>0</v>
      </c>
      <c r="BG56" s="45">
        <f>IF('Data Bonds'!BJ55=0,0,theta0+(theta1+theta2)*(1-EXP(-'Data Bonds'!BJ55/la))/('Data Bonds'!BJ55/la)-theta2*EXP(-'Data Bonds'!BJ55/la))</f>
        <v>0</v>
      </c>
      <c r="BH56" s="45">
        <f>IF('Data Bonds'!BK55=0,0,theta0+(theta1+theta2)*(1-EXP(-'Data Bonds'!BK55/la))/('Data Bonds'!BK55/la)-theta2*EXP(-'Data Bonds'!BK55/la))</f>
        <v>0</v>
      </c>
      <c r="BI56" s="45">
        <f>IF('Data Bonds'!BL55=0,0,theta0+(theta1+theta2)*(1-EXP(-'Data Bonds'!BL55/la))/('Data Bonds'!BL55/la)-theta2*EXP(-'Data Bonds'!BL55/la))</f>
        <v>0</v>
      </c>
      <c r="BJ56" s="45">
        <f>IF('Data Bonds'!BM55=0,0,theta0+(theta1+theta2)*(1-EXP(-'Data Bonds'!BM55/la))/('Data Bonds'!BM55/la)-theta2*EXP(-'Data Bonds'!BM55/la))</f>
        <v>0</v>
      </c>
      <c r="BK56" s="45">
        <f>IF('Data Bonds'!BN55=0,0,theta0+(theta1+theta2)*(1-EXP(-'Data Bonds'!BN55/la))/('Data Bonds'!BN55/la)-theta2*EXP(-'Data Bonds'!BN55/la))</f>
        <v>0</v>
      </c>
      <c r="BL56" s="45">
        <f>IF('Data Bonds'!BO55=0,0,theta0+(theta1+theta2)*(1-EXP(-'Data Bonds'!BO55/la))/('Data Bonds'!BO55/la)-theta2*EXP(-'Data Bonds'!BO55/la))</f>
        <v>0</v>
      </c>
      <c r="BM56" s="45">
        <f>IF('Data Bonds'!BP55=0,0,theta0+(theta1+theta2)*(1-EXP(-'Data Bonds'!BP55/la))/('Data Bonds'!BP55/la)-theta2*EXP(-'Data Bonds'!BP55/la))</f>
        <v>0</v>
      </c>
      <c r="BN56" s="45">
        <f>IF('Data Bonds'!BQ55=0,0,theta0+(theta1+theta2)*(1-EXP(-'Data Bonds'!BQ55/la))/('Data Bonds'!BQ55/la)-theta2*EXP(-'Data Bonds'!BQ55/la))</f>
        <v>0</v>
      </c>
      <c r="BO56" s="45">
        <f>IF('Data Bonds'!BR55=0,0,theta0+(theta1+theta2)*(1-EXP(-'Data Bonds'!BR55/la))/('Data Bonds'!BR55/la)-theta2*EXP(-'Data Bonds'!BR55/la))</f>
        <v>0</v>
      </c>
      <c r="BP56" s="38">
        <f>EXP(-'Data Bonds'!K55*H56)</f>
        <v>0.99030095386253514</v>
      </c>
      <c r="BQ56" s="38">
        <f>EXP(-'Data Bonds'!L55*I56)</f>
        <v>0.96596142383001249</v>
      </c>
      <c r="BR56" s="38">
        <f>EXP(-'Data Bonds'!M55*J56)</f>
        <v>0.94276024382077384</v>
      </c>
      <c r="BS56" s="38">
        <f>EXP(-'Data Bonds'!N55*K56)</f>
        <v>0.92013309652437447</v>
      </c>
      <c r="BT56" s="38">
        <f>EXP(-'Data Bonds'!O55*L56)</f>
        <v>0.8978301597681585</v>
      </c>
      <c r="BU56" s="38">
        <f>EXP(-'Data Bonds'!P55*M56)</f>
        <v>0.8757679623727499</v>
      </c>
      <c r="BV56" s="38">
        <f>EXP(-'Data Bonds'!Q55*N56)</f>
        <v>0.85394508705932803</v>
      </c>
      <c r="BW56" s="38">
        <f>EXP(-'Data Bonds'!R55*O56)</f>
        <v>0.83239541980118914</v>
      </c>
      <c r="BX56" s="38">
        <f>EXP(-'Data Bonds'!S55*P56)</f>
        <v>0.81116332561828708</v>
      </c>
      <c r="BY56" s="38">
        <f>EXP(-'Data Bonds'!T55*Q56)</f>
        <v>0.79029139660492453</v>
      </c>
      <c r="BZ56" s="38">
        <f>EXP(-'Data Bonds'!U55*R56)</f>
        <v>0.76981519641342533</v>
      </c>
      <c r="CA56" s="38">
        <f>EXP(-'Data Bonds'!V55*S56)</f>
        <v>0.74976172414671449</v>
      </c>
      <c r="CB56" s="38">
        <f>EXP(-'Data Bonds'!W55*T56)</f>
        <v>0.73014971419213559</v>
      </c>
      <c r="CC56" s="38">
        <f>EXP(-'Data Bonds'!X55*U56)</f>
        <v>0.71099072354814263</v>
      </c>
      <c r="CD56" s="38">
        <f>EXP(-'Data Bonds'!Y55*V56)</f>
        <v>0.69229044963946051</v>
      </c>
      <c r="CE56" s="38">
        <f>EXP(-'Data Bonds'!Z55*W56)</f>
        <v>0.67405000392176173</v>
      </c>
      <c r="CF56" s="38">
        <f>EXP(-'Data Bonds'!AA55*X56)</f>
        <v>0.65626702351290833</v>
      </c>
      <c r="CG56" s="38">
        <f>EXP(-'Data Bonds'!AB55*Y56)</f>
        <v>0.63893658633137096</v>
      </c>
      <c r="CH56" s="38">
        <f>EXP(-'Data Bonds'!AC55*Z56)</f>
        <v>0.62205193621476651</v>
      </c>
      <c r="CI56" s="38">
        <f>EXP(-'Data Bonds'!AD55*AA56)</f>
        <v>0.60560504204345178</v>
      </c>
      <c r="CJ56" s="38">
        <f>EXP(-'Data Bonds'!AE55*AB56)</f>
        <v>0.58958702003626717</v>
      </c>
      <c r="CK56" s="38">
        <f>EXP(-'Data Bonds'!AF55*AC56)</f>
        <v>0.57398844742708199</v>
      </c>
      <c r="CL56" s="38">
        <f>EXP(-'Data Bonds'!AG55*AD56)</f>
        <v>0.55879959216452202</v>
      </c>
      <c r="CM56" s="38">
        <f>EXP(-'Data Bonds'!AH55*AE56)</f>
        <v>0.54401057894878535</v>
      </c>
      <c r="CN56" s="38">
        <f>EXP(-'Data Bonds'!AI55*AF56)</f>
        <v>0.52961150773453602</v>
      </c>
      <c r="CO56" s="38">
        <f>EXP(-'Data Bonds'!AJ55*AG56)</f>
        <v>0.51559253717395914</v>
      </c>
      <c r="CP56" s="38">
        <f>EXP(-'Data Bonds'!AK55*AH56)</f>
        <v>0.50194394246170126</v>
      </c>
      <c r="CQ56" s="38">
        <f>EXP(-'Data Bonds'!AL55*AI56)</f>
        <v>0.48865615465192236</v>
      </c>
      <c r="CR56" s="38">
        <f>EXP(-'Data Bonds'!AM55*AJ56)</f>
        <v>0.4757197866682138</v>
      </c>
      <c r="CS56" s="38">
        <f>EXP(-'Data Bonds'!AN55*AK56)</f>
        <v>0.46312564982427568</v>
      </c>
      <c r="CT56" s="38">
        <f>EXP(-'Data Bonds'!AO55*AL56)</f>
        <v>0.45086476362489408</v>
      </c>
      <c r="CU56" s="38">
        <f>EXP(-'Data Bonds'!AP55*AM56)</f>
        <v>0.43892836084252473</v>
      </c>
      <c r="CV56" s="38">
        <f>EXP(-'Data Bonds'!AQ55*AN56)</f>
        <v>0.42730788929846697</v>
      </c>
      <c r="CW56" s="38">
        <f>EXP(-'Data Bonds'!AR55*AO56)</f>
        <v>0.41599501136665035</v>
      </c>
      <c r="CX56" s="38">
        <f>EXP(-'Data Bonds'!AS55*AP56)</f>
        <v>0.40498160192183524</v>
      </c>
      <c r="CY56" s="38">
        <f>EXP(-'Data Bonds'!AT55*AQ56)</f>
        <v>0.39425974524173307</v>
      </c>
      <c r="CZ56" s="38">
        <f>EXP(-'Data Bonds'!AU55*AR56)</f>
        <v>0.38382173122115876</v>
      </c>
      <c r="DA56" s="38">
        <f>EXP(-'Data Bonds'!AV55*AS56)</f>
        <v>0.37366005114884232</v>
      </c>
      <c r="DB56" s="38">
        <f>EXP(-'Data Bonds'!AW55*AT56)</f>
        <v>0.36376739322150714</v>
      </c>
      <c r="DC56" s="38">
        <f>EXP(-'Data Bonds'!AX55*AU56)</f>
        <v>0.35413663791624533</v>
      </c>
      <c r="DD56" s="38">
        <f>EXP(-'Data Bonds'!AY55*AV56)</f>
        <v>0.34476085330458445</v>
      </c>
      <c r="DE56" s="38">
        <f>EXP(-'Data Bonds'!AZ55*AW56)</f>
        <v>0.33563329036527928</v>
      </c>
      <c r="DF56" s="38">
        <f>EXP(-'Data Bonds'!BA55*AX56)</f>
        <v>0.32674737833445056</v>
      </c>
      <c r="DG56" s="38">
        <f>EXP(-'Data Bonds'!BB55*AY56)</f>
        <v>0.3180967201188713</v>
      </c>
      <c r="DH56" s="38">
        <f>EXP(-'Data Bonds'!BC55*AZ56)</f>
        <v>1</v>
      </c>
      <c r="DI56" s="38">
        <f>EXP(-'Data Bonds'!BD55*BA56)</f>
        <v>1</v>
      </c>
      <c r="DJ56" s="38">
        <f>EXP(-'Data Bonds'!BE55*BB56)</f>
        <v>1</v>
      </c>
      <c r="DK56" s="38">
        <f>EXP(-'Data Bonds'!BF55*BC56)</f>
        <v>1</v>
      </c>
      <c r="DL56" s="38">
        <f>EXP(-'Data Bonds'!BG55*BD56)</f>
        <v>1</v>
      </c>
      <c r="DM56" s="38">
        <f>EXP(-'Data Bonds'!BH55*BE56)</f>
        <v>1</v>
      </c>
      <c r="DN56" s="38">
        <f>EXP(-'Data Bonds'!BI55*BF56)</f>
        <v>1</v>
      </c>
      <c r="DO56" s="38">
        <f>EXP(-'Data Bonds'!BJ55*BG56)</f>
        <v>1</v>
      </c>
      <c r="DP56" s="38">
        <f>EXP(-'Data Bonds'!BK55*BH56)</f>
        <v>1</v>
      </c>
      <c r="DQ56" s="38">
        <f>EXP(-'Data Bonds'!BL55*BI56)</f>
        <v>1</v>
      </c>
      <c r="DR56" s="38">
        <f>EXP(-'Data Bonds'!BM55*BJ56)</f>
        <v>1</v>
      </c>
      <c r="DS56" s="38">
        <f>EXP(-'Data Bonds'!BN55*BK56)</f>
        <v>1</v>
      </c>
      <c r="DT56" s="38">
        <f>EXP(-'Data Bonds'!BO55*BL56)</f>
        <v>1</v>
      </c>
      <c r="DU56" s="38">
        <f>EXP(-'Data Bonds'!BP55*BM56)</f>
        <v>1</v>
      </c>
      <c r="DV56" s="38">
        <f>EXP(-'Data Bonds'!BQ55*BN56)</f>
        <v>1</v>
      </c>
      <c r="DW56" s="38">
        <f>EXP(-'Data Bonds'!BR55*BO56)</f>
        <v>1</v>
      </c>
      <c r="DX56" s="28">
        <f>SUMPRODUCT(BP56:DW56,'Data Bonds'!BU55:EB55)</f>
        <v>100.85889031177967</v>
      </c>
      <c r="DY56" s="28">
        <f t="shared" si="5"/>
        <v>1.3969590343985188E-2</v>
      </c>
      <c r="EA56" s="33">
        <f t="shared" si="6"/>
        <v>22.5</v>
      </c>
      <c r="EB56" s="29">
        <f t="shared" si="8"/>
        <v>5.2841200250050693E-2</v>
      </c>
      <c r="EC56" s="29">
        <f t="shared" si="9"/>
        <v>0.30454786696165514</v>
      </c>
      <c r="ED56" s="29">
        <f t="shared" si="7"/>
        <v>5.3663690420402761E-2</v>
      </c>
      <c r="EF56" s="32"/>
      <c r="EG56" s="32"/>
      <c r="EI56" s="34"/>
    </row>
    <row r="57" spans="1:139">
      <c r="B57" s="27">
        <f>'Data Bonds'!E56</f>
        <v>6.125</v>
      </c>
      <c r="C57" s="27">
        <f>'Data Bonds'!F56</f>
        <v>110.6875</v>
      </c>
      <c r="D57" s="27">
        <f>'Data Bonds'!G56</f>
        <v>110.75</v>
      </c>
      <c r="E57" s="27">
        <f>'Data Bonds'!I56</f>
        <v>1.9055555555555557</v>
      </c>
      <c r="F57" s="40">
        <f>'Data Bonds'!H56</f>
        <v>22.18888888888889</v>
      </c>
      <c r="G57" s="28">
        <f t="shared" si="4"/>
        <v>112.62430555555555</v>
      </c>
      <c r="H57" s="45">
        <f>IF('Data Bonds'!K56=0,0,theta0+(theta1+theta2)*(1-EXP(-'Data Bonds'!K56/la))/('Data Bonds'!K56/la)-theta2*EXP(-'Data Bonds'!K56/la))</f>
        <v>5.1598526027898411E-2</v>
      </c>
      <c r="I57" s="45">
        <f>IF('Data Bonds'!L56=0,0,theta0+(theta1+theta2)*(1-EXP(-'Data Bonds'!L56/la))/('Data Bonds'!L56/la)-theta2*EXP(-'Data Bonds'!L56/la))</f>
        <v>5.0271357324748023E-2</v>
      </c>
      <c r="J57" s="45">
        <f>IF('Data Bonds'!M56=0,0,theta0+(theta1+theta2)*(1-EXP(-'Data Bonds'!M56/la))/('Data Bonds'!M56/la)-theta2*EXP(-'Data Bonds'!M56/la))</f>
        <v>4.9578457297749672E-2</v>
      </c>
      <c r="K57" s="45">
        <f>IF('Data Bonds'!N56=0,0,theta0+(theta1+theta2)*(1-EXP(-'Data Bonds'!N56/la))/('Data Bonds'!N56/la)-theta2*EXP(-'Data Bonds'!N56/la))</f>
        <v>4.9285035750538553E-2</v>
      </c>
      <c r="L57" s="45">
        <f>IF('Data Bonds'!O56=0,0,theta0+(theta1+theta2)*(1-EXP(-'Data Bonds'!O56/la))/('Data Bonds'!O56/la)-theta2*EXP(-'Data Bonds'!O56/la))</f>
        <v>4.9237017363447266E-2</v>
      </c>
      <c r="M57" s="45">
        <f>IF('Data Bonds'!P56=0,0,theta0+(theta1+theta2)*(1-EXP(-'Data Bonds'!P56/la))/('Data Bonds'!P56/la)-theta2*EXP(-'Data Bonds'!P56/la))</f>
        <v>4.9334171753160738E-2</v>
      </c>
      <c r="N57" s="45">
        <f>IF('Data Bonds'!Q56=0,0,theta0+(theta1+theta2)*(1-EXP(-'Data Bonds'!Q56/la))/('Data Bonds'!Q56/la)-theta2*EXP(-'Data Bonds'!Q56/la))</f>
        <v>4.9512038088999483E-2</v>
      </c>
      <c r="O57" s="45">
        <f>IF('Data Bonds'!R56=0,0,theta0+(theta1+theta2)*(1-EXP(-'Data Bonds'!R56/la))/('Data Bonds'!R56/la)-theta2*EXP(-'Data Bonds'!R56/la))</f>
        <v>4.9729794635889335E-2</v>
      </c>
      <c r="P57" s="45">
        <f>IF('Data Bonds'!S56=0,0,theta0+(theta1+theta2)*(1-EXP(-'Data Bonds'!S56/la))/('Data Bonds'!S56/la)-theta2*EXP(-'Data Bonds'!S56/la))</f>
        <v>4.9962140977046696E-2</v>
      </c>
      <c r="Q57" s="45">
        <f>IF('Data Bonds'!T56=0,0,theta0+(theta1+theta2)*(1-EXP(-'Data Bonds'!T56/la))/('Data Bonds'!T56/la)-theta2*EXP(-'Data Bonds'!T56/la))</f>
        <v>5.0193884019659962E-2</v>
      </c>
      <c r="R57" s="45">
        <f>IF('Data Bonds'!U56=0,0,theta0+(theta1+theta2)*(1-EXP(-'Data Bonds'!U56/la))/('Data Bonds'!U56/la)-theta2*EXP(-'Data Bonds'!U56/la))</f>
        <v>5.0416342149512058E-2</v>
      </c>
      <c r="S57" s="45">
        <f>IF('Data Bonds'!V56=0,0,theta0+(theta1+theta2)*(1-EXP(-'Data Bonds'!V56/la))/('Data Bonds'!V56/la)-theta2*EXP(-'Data Bonds'!V56/la))</f>
        <v>5.0624969074311257E-2</v>
      </c>
      <c r="T57" s="45">
        <f>IF('Data Bonds'!W56=0,0,theta0+(theta1+theta2)*(1-EXP(-'Data Bonds'!W56/la))/('Data Bonds'!W56/la)-theta2*EXP(-'Data Bonds'!W56/la))</f>
        <v>5.0817793561872729E-2</v>
      </c>
      <c r="U57" s="45">
        <f>IF('Data Bonds'!X56=0,0,theta0+(theta1+theta2)*(1-EXP(-'Data Bonds'!X56/la))/('Data Bonds'!X56/la)-theta2*EXP(-'Data Bonds'!X56/la))</f>
        <v>5.0994403103277734E-2</v>
      </c>
      <c r="V57" s="45">
        <f>IF('Data Bonds'!Y56=0,0,theta0+(theta1+theta2)*(1-EXP(-'Data Bonds'!Y56/la))/('Data Bonds'!Y56/la)-theta2*EXP(-'Data Bonds'!Y56/la))</f>
        <v>5.1155288695615496E-2</v>
      </c>
      <c r="W57" s="45">
        <f>IF('Data Bonds'!Z56=0,0,theta0+(theta1+theta2)*(1-EXP(-'Data Bonds'!Z56/la))/('Data Bonds'!Z56/la)-theta2*EXP(-'Data Bonds'!Z56/la))</f>
        <v>5.1301428168232986E-2</v>
      </c>
      <c r="X57" s="45">
        <f>IF('Data Bonds'!AA56=0,0,theta0+(theta1+theta2)*(1-EXP(-'Data Bonds'!AA56/la))/('Data Bonds'!AA56/la)-theta2*EXP(-'Data Bonds'!AA56/la))</f>
        <v>5.1434026097624264E-2</v>
      </c>
      <c r="Y57" s="45">
        <f>IF('Data Bonds'!AB56=0,0,theta0+(theta1+theta2)*(1-EXP(-'Data Bonds'!AB56/la))/('Data Bonds'!AB56/la)-theta2*EXP(-'Data Bonds'!AB56/la))</f>
        <v>5.1554355703636381E-2</v>
      </c>
      <c r="Z57" s="45">
        <f>IF('Data Bonds'!AC56=0,0,theta0+(theta1+theta2)*(1-EXP(-'Data Bonds'!AC56/la))/('Data Bonds'!AC56/la)-theta2*EXP(-'Data Bonds'!AC56/la))</f>
        <v>5.1663666492393567E-2</v>
      </c>
      <c r="AA57" s="45">
        <f>IF('Data Bonds'!AD56=0,0,theta0+(theta1+theta2)*(1-EXP(-'Data Bonds'!AD56/la))/('Data Bonds'!AD56/la)-theta2*EXP(-'Data Bonds'!AD56/la))</f>
        <v>5.1763133724185395E-2</v>
      </c>
      <c r="AB57" s="45">
        <f>IF('Data Bonds'!AE56=0,0,theta0+(theta1+theta2)*(1-EXP(-'Data Bonds'!AE56/la))/('Data Bonds'!AE56/la)-theta2*EXP(-'Data Bonds'!AE56/la))</f>
        <v>5.1853834012200901E-2</v>
      </c>
      <c r="AC57" s="45">
        <f>IF('Data Bonds'!AF56=0,0,theta0+(theta1+theta2)*(1-EXP(-'Data Bonds'!AF56/la))/('Data Bonds'!AF56/la)-theta2*EXP(-'Data Bonds'!AF56/la))</f>
        <v>5.1936736836682804E-2</v>
      </c>
      <c r="AD57" s="45">
        <f>IF('Data Bonds'!AG56=0,0,theta0+(theta1+theta2)*(1-EXP(-'Data Bonds'!AG56/la))/('Data Bonds'!AG56/la)-theta2*EXP(-'Data Bonds'!AG56/la))</f>
        <v>5.2012705391962649E-2</v>
      </c>
      <c r="AE57" s="45">
        <f>IF('Data Bonds'!AH56=0,0,theta0+(theta1+theta2)*(1-EXP(-'Data Bonds'!AH56/la))/('Data Bonds'!AH56/la)-theta2*EXP(-'Data Bonds'!AH56/la))</f>
        <v>5.2082502580458233E-2</v>
      </c>
      <c r="AF57" s="45">
        <f>IF('Data Bonds'!AI56=0,0,theta0+(theta1+theta2)*(1-EXP(-'Data Bonds'!AI56/la))/('Data Bonds'!AI56/la)-theta2*EXP(-'Data Bonds'!AI56/la))</f>
        <v>5.2146799538785205E-2</v>
      </c>
      <c r="AG57" s="45">
        <f>IF('Data Bonds'!AJ56=0,0,theta0+(theta1+theta2)*(1-EXP(-'Data Bonds'!AJ56/la))/('Data Bonds'!AJ56/la)-theta2*EXP(-'Data Bonds'!AJ56/la))</f>
        <v>5.2206185102880893E-2</v>
      </c>
      <c r="AH57" s="45">
        <f>IF('Data Bonds'!AK56=0,0,theta0+(theta1+theta2)*(1-EXP(-'Data Bonds'!AK56/la))/('Data Bonds'!AK56/la)-theta2*EXP(-'Data Bonds'!AK56/la))</f>
        <v>5.2261175276823613E-2</v>
      </c>
      <c r="AI57" s="45">
        <f>IF('Data Bonds'!AL56=0,0,theta0+(theta1+theta2)*(1-EXP(-'Data Bonds'!AL56/la))/('Data Bonds'!AL56/la)-theta2*EXP(-'Data Bonds'!AL56/la))</f>
        <v>5.2312222187925556E-2</v>
      </c>
      <c r="AJ57" s="45">
        <f>IF('Data Bonds'!AM56=0,0,theta0+(theta1+theta2)*(1-EXP(-'Data Bonds'!AM56/la))/('Data Bonds'!AM56/la)-theta2*EXP(-'Data Bonds'!AM56/la))</f>
        <v>5.2359722271472377E-2</v>
      </c>
      <c r="AK57" s="45">
        <f>IF('Data Bonds'!AN56=0,0,theta0+(theta1+theta2)*(1-EXP(-'Data Bonds'!AN56/la))/('Data Bonds'!AN56/la)-theta2*EXP(-'Data Bonds'!AN56/la))</f>
        <v>5.240402358722291E-2</v>
      </c>
      <c r="AL57" s="45">
        <f>IF('Data Bonds'!AO56=0,0,theta0+(theta1+theta2)*(1-EXP(-'Data Bonds'!AO56/la))/('Data Bonds'!AO56/la)-theta2*EXP(-'Data Bonds'!AO56/la))</f>
        <v>5.2445432262903005E-2</v>
      </c>
      <c r="AM57" s="45">
        <f>IF('Data Bonds'!AP56=0,0,theta0+(theta1+theta2)*(1-EXP(-'Data Bonds'!AP56/la))/('Data Bonds'!AP56/la)-theta2*EXP(-'Data Bonds'!AP56/la))</f>
        <v>5.2484218111421725E-2</v>
      </c>
      <c r="AN57" s="45">
        <f>IF('Data Bonds'!AQ56=0,0,theta0+(theta1+theta2)*(1-EXP(-'Data Bonds'!AQ56/la))/('Data Bonds'!AQ56/la)-theta2*EXP(-'Data Bonds'!AQ56/la))</f>
        <v>5.2520619494096282E-2</v>
      </c>
      <c r="AO57" s="45">
        <f>IF('Data Bonds'!AR56=0,0,theta0+(theta1+theta2)*(1-EXP(-'Data Bonds'!AR56/la))/('Data Bonds'!AR56/la)-theta2*EXP(-'Data Bonds'!AR56/la))</f>
        <v>5.2554847511976095E-2</v>
      </c>
      <c r="AP57" s="45">
        <f>IF('Data Bonds'!AS56=0,0,theta0+(theta1+theta2)*(1-EXP(-'Data Bonds'!AS56/la))/('Data Bonds'!AS56/la)-theta2*EXP(-'Data Bonds'!AS56/la))</f>
        <v>5.2587089607941187E-2</v>
      </c>
      <c r="AQ57" s="45">
        <f>IF('Data Bonds'!AT56=0,0,theta0+(theta1+theta2)*(1-EXP(-'Data Bonds'!AT56/la))/('Data Bonds'!AT56/la)-theta2*EXP(-'Data Bonds'!AT56/la))</f>
        <v>5.2617512657752857E-2</v>
      </c>
      <c r="AR57" s="45">
        <f>IF('Data Bonds'!AU56=0,0,theta0+(theta1+theta2)*(1-EXP(-'Data Bonds'!AU56/la))/('Data Bonds'!AU56/la)-theta2*EXP(-'Data Bonds'!AU56/la))</f>
        <v>5.2646265621229565E-2</v>
      </c>
      <c r="AS57" s="45">
        <f>IF('Data Bonds'!AV56=0,0,theta0+(theta1+theta2)*(1-EXP(-'Data Bonds'!AV56/la))/('Data Bonds'!AV56/la)-theta2*EXP(-'Data Bonds'!AV56/la))</f>
        <v>5.2673481816763512E-2</v>
      </c>
      <c r="AT57" s="45">
        <f>IF('Data Bonds'!AW56=0,0,theta0+(theta1+theta2)*(1-EXP(-'Data Bonds'!AW56/la))/('Data Bonds'!AW56/la)-theta2*EXP(-'Data Bonds'!AW56/la))</f>
        <v>5.2699280874393732E-2</v>
      </c>
      <c r="AU57" s="45">
        <f>IF('Data Bonds'!AX56=0,0,theta0+(theta1+theta2)*(1-EXP(-'Data Bonds'!AX56/la))/('Data Bonds'!AX56/la)-theta2*EXP(-'Data Bonds'!AX56/la))</f>
        <v>5.2723770415106237E-2</v>
      </c>
      <c r="AV57" s="45">
        <f>IF('Data Bonds'!AY56=0,0,theta0+(theta1+theta2)*(1-EXP(-'Data Bonds'!AY56/la))/('Data Bonds'!AY56/la)-theta2*EXP(-'Data Bonds'!AY56/la))</f>
        <v>5.2747047497184035E-2</v>
      </c>
      <c r="AW57" s="45">
        <f>IF('Data Bonds'!AZ56=0,0,theta0+(theta1+theta2)*(1-EXP(-'Data Bonds'!AZ56/la))/('Data Bonds'!AZ56/la)-theta2*EXP(-'Data Bonds'!AZ56/la))</f>
        <v>5.2769199864369155E-2</v>
      </c>
      <c r="AX57" s="45">
        <f>IF('Data Bonds'!BA56=0,0,theta0+(theta1+theta2)*(1-EXP(-'Data Bonds'!BA56/la))/('Data Bonds'!BA56/la)-theta2*EXP(-'Data Bonds'!BA56/la))</f>
        <v>5.2790307025326638E-2</v>
      </c>
      <c r="AY57" s="45">
        <f>IF('Data Bonds'!BB56=0,0,theta0+(theta1+theta2)*(1-EXP(-'Data Bonds'!BB56/la))/('Data Bonds'!BB56/la)-theta2*EXP(-'Data Bonds'!BB56/la))</f>
        <v>5.2810441189367362E-2</v>
      </c>
      <c r="AZ57" s="45">
        <f>IF('Data Bonds'!BC56=0,0,theta0+(theta1+theta2)*(1-EXP(-'Data Bonds'!BC56/la))/('Data Bonds'!BC56/la)-theta2*EXP(-'Data Bonds'!BC56/la))</f>
        <v>5.2829668079523232E-2</v>
      </c>
      <c r="BA57" s="45">
        <f>IF('Data Bonds'!BD56=0,0,theta0+(theta1+theta2)*(1-EXP(-'Data Bonds'!BD56/la))/('Data Bonds'!BD56/la)-theta2*EXP(-'Data Bonds'!BD56/la))</f>
        <v>0</v>
      </c>
      <c r="BB57" s="45">
        <f>IF('Data Bonds'!BE56=0,0,theta0+(theta1+theta2)*(1-EXP(-'Data Bonds'!BE56/la))/('Data Bonds'!BE56/la)-theta2*EXP(-'Data Bonds'!BE56/la))</f>
        <v>0</v>
      </c>
      <c r="BC57" s="45">
        <f>IF('Data Bonds'!BF56=0,0,theta0+(theta1+theta2)*(1-EXP(-'Data Bonds'!BF56/la))/('Data Bonds'!BF56/la)-theta2*EXP(-'Data Bonds'!BF56/la))</f>
        <v>0</v>
      </c>
      <c r="BD57" s="45">
        <f>IF('Data Bonds'!BG56=0,0,theta0+(theta1+theta2)*(1-EXP(-'Data Bonds'!BG56/la))/('Data Bonds'!BG56/la)-theta2*EXP(-'Data Bonds'!BG56/la))</f>
        <v>0</v>
      </c>
      <c r="BE57" s="45">
        <f>IF('Data Bonds'!BH56=0,0,theta0+(theta1+theta2)*(1-EXP(-'Data Bonds'!BH56/la))/('Data Bonds'!BH56/la)-theta2*EXP(-'Data Bonds'!BH56/la))</f>
        <v>0</v>
      </c>
      <c r="BF57" s="45">
        <f>IF('Data Bonds'!BI56=0,0,theta0+(theta1+theta2)*(1-EXP(-'Data Bonds'!BI56/la))/('Data Bonds'!BI56/la)-theta2*EXP(-'Data Bonds'!BI56/la))</f>
        <v>0</v>
      </c>
      <c r="BG57" s="45">
        <f>IF('Data Bonds'!BJ56=0,0,theta0+(theta1+theta2)*(1-EXP(-'Data Bonds'!BJ56/la))/('Data Bonds'!BJ56/la)-theta2*EXP(-'Data Bonds'!BJ56/la))</f>
        <v>0</v>
      </c>
      <c r="BH57" s="45">
        <f>IF('Data Bonds'!BK56=0,0,theta0+(theta1+theta2)*(1-EXP(-'Data Bonds'!BK56/la))/('Data Bonds'!BK56/la)-theta2*EXP(-'Data Bonds'!BK56/la))</f>
        <v>0</v>
      </c>
      <c r="BI57" s="45">
        <f>IF('Data Bonds'!BL56=0,0,theta0+(theta1+theta2)*(1-EXP(-'Data Bonds'!BL56/la))/('Data Bonds'!BL56/la)-theta2*EXP(-'Data Bonds'!BL56/la))</f>
        <v>0</v>
      </c>
      <c r="BJ57" s="45">
        <f>IF('Data Bonds'!BM56=0,0,theta0+(theta1+theta2)*(1-EXP(-'Data Bonds'!BM56/la))/('Data Bonds'!BM56/la)-theta2*EXP(-'Data Bonds'!BM56/la))</f>
        <v>0</v>
      </c>
      <c r="BK57" s="45">
        <f>IF('Data Bonds'!BN56=0,0,theta0+(theta1+theta2)*(1-EXP(-'Data Bonds'!BN56/la))/('Data Bonds'!BN56/la)-theta2*EXP(-'Data Bonds'!BN56/la))</f>
        <v>0</v>
      </c>
      <c r="BL57" s="45">
        <f>IF('Data Bonds'!BO56=0,0,theta0+(theta1+theta2)*(1-EXP(-'Data Bonds'!BO56/la))/('Data Bonds'!BO56/la)-theta2*EXP(-'Data Bonds'!BO56/la))</f>
        <v>0</v>
      </c>
      <c r="BM57" s="45">
        <f>IF('Data Bonds'!BP56=0,0,theta0+(theta1+theta2)*(1-EXP(-'Data Bonds'!BP56/la))/('Data Bonds'!BP56/la)-theta2*EXP(-'Data Bonds'!BP56/la))</f>
        <v>0</v>
      </c>
      <c r="BN57" s="45">
        <f>IF('Data Bonds'!BQ56=0,0,theta0+(theta1+theta2)*(1-EXP(-'Data Bonds'!BQ56/la))/('Data Bonds'!BQ56/la)-theta2*EXP(-'Data Bonds'!BQ56/la))</f>
        <v>0</v>
      </c>
      <c r="BO57" s="45">
        <f>IF('Data Bonds'!BR56=0,0,theta0+(theta1+theta2)*(1-EXP(-'Data Bonds'!BR56/la))/('Data Bonds'!BR56/la)-theta2*EXP(-'Data Bonds'!BR56/la))</f>
        <v>0</v>
      </c>
      <c r="BP57" s="38">
        <f>EXP(-'Data Bonds'!K56*H57)</f>
        <v>0.99030095386253514</v>
      </c>
      <c r="BQ57" s="38">
        <f>EXP(-'Data Bonds'!L56*I57)</f>
        <v>0.96596142383001249</v>
      </c>
      <c r="BR57" s="38">
        <f>EXP(-'Data Bonds'!M56*J57)</f>
        <v>0.94276024382077384</v>
      </c>
      <c r="BS57" s="38">
        <f>EXP(-'Data Bonds'!N56*K57)</f>
        <v>0.92013309652437447</v>
      </c>
      <c r="BT57" s="38">
        <f>EXP(-'Data Bonds'!O56*L57)</f>
        <v>0.8978301597681585</v>
      </c>
      <c r="BU57" s="38">
        <f>EXP(-'Data Bonds'!P56*M57)</f>
        <v>0.8757679623727499</v>
      </c>
      <c r="BV57" s="38">
        <f>EXP(-'Data Bonds'!Q56*N57)</f>
        <v>0.85394508705932803</v>
      </c>
      <c r="BW57" s="38">
        <f>EXP(-'Data Bonds'!R56*O57)</f>
        <v>0.83239541980118914</v>
      </c>
      <c r="BX57" s="38">
        <f>EXP(-'Data Bonds'!S56*P57)</f>
        <v>0.81116332561828708</v>
      </c>
      <c r="BY57" s="38">
        <f>EXP(-'Data Bonds'!T56*Q57)</f>
        <v>0.79029139660492453</v>
      </c>
      <c r="BZ57" s="38">
        <f>EXP(-'Data Bonds'!U56*R57)</f>
        <v>0.76981519641342533</v>
      </c>
      <c r="CA57" s="38">
        <f>EXP(-'Data Bonds'!V56*S57)</f>
        <v>0.74976172414671449</v>
      </c>
      <c r="CB57" s="38">
        <f>EXP(-'Data Bonds'!W56*T57)</f>
        <v>0.73014971419213559</v>
      </c>
      <c r="CC57" s="38">
        <f>EXP(-'Data Bonds'!X56*U57)</f>
        <v>0.71099072354814263</v>
      </c>
      <c r="CD57" s="38">
        <f>EXP(-'Data Bonds'!Y56*V57)</f>
        <v>0.69229044963946051</v>
      </c>
      <c r="CE57" s="38">
        <f>EXP(-'Data Bonds'!Z56*W57)</f>
        <v>0.67405000392176173</v>
      </c>
      <c r="CF57" s="38">
        <f>EXP(-'Data Bonds'!AA56*X57)</f>
        <v>0.65626702351290833</v>
      </c>
      <c r="CG57" s="38">
        <f>EXP(-'Data Bonds'!AB56*Y57)</f>
        <v>0.63893658633137096</v>
      </c>
      <c r="CH57" s="38">
        <f>EXP(-'Data Bonds'!AC56*Z57)</f>
        <v>0.62205193621476651</v>
      </c>
      <c r="CI57" s="38">
        <f>EXP(-'Data Bonds'!AD56*AA57)</f>
        <v>0.60560504204345178</v>
      </c>
      <c r="CJ57" s="38">
        <f>EXP(-'Data Bonds'!AE56*AB57)</f>
        <v>0.58958702003626717</v>
      </c>
      <c r="CK57" s="38">
        <f>EXP(-'Data Bonds'!AF56*AC57)</f>
        <v>0.57398844742708199</v>
      </c>
      <c r="CL57" s="38">
        <f>EXP(-'Data Bonds'!AG56*AD57)</f>
        <v>0.55879959216452202</v>
      </c>
      <c r="CM57" s="38">
        <f>EXP(-'Data Bonds'!AH56*AE57)</f>
        <v>0.54401057894878535</v>
      </c>
      <c r="CN57" s="38">
        <f>EXP(-'Data Bonds'!AI56*AF57)</f>
        <v>0.52961150773453602</v>
      </c>
      <c r="CO57" s="38">
        <f>EXP(-'Data Bonds'!AJ56*AG57)</f>
        <v>0.51559253717395914</v>
      </c>
      <c r="CP57" s="38">
        <f>EXP(-'Data Bonds'!AK56*AH57)</f>
        <v>0.50194394246170126</v>
      </c>
      <c r="CQ57" s="38">
        <f>EXP(-'Data Bonds'!AL56*AI57)</f>
        <v>0.48865615465192236</v>
      </c>
      <c r="CR57" s="38">
        <f>EXP(-'Data Bonds'!AM56*AJ57)</f>
        <v>0.4757197866682138</v>
      </c>
      <c r="CS57" s="38">
        <f>EXP(-'Data Bonds'!AN56*AK57)</f>
        <v>0.46312564982427568</v>
      </c>
      <c r="CT57" s="38">
        <f>EXP(-'Data Bonds'!AO56*AL57)</f>
        <v>0.45086476362489408</v>
      </c>
      <c r="CU57" s="38">
        <f>EXP(-'Data Bonds'!AP56*AM57)</f>
        <v>0.43892836084252473</v>
      </c>
      <c r="CV57" s="38">
        <f>EXP(-'Data Bonds'!AQ56*AN57)</f>
        <v>0.42730788929846697</v>
      </c>
      <c r="CW57" s="38">
        <f>EXP(-'Data Bonds'!AR56*AO57)</f>
        <v>0.41599501136665035</v>
      </c>
      <c r="CX57" s="38">
        <f>EXP(-'Data Bonds'!AS56*AP57)</f>
        <v>0.40498160192183524</v>
      </c>
      <c r="CY57" s="38">
        <f>EXP(-'Data Bonds'!AT56*AQ57)</f>
        <v>0.39425974524173307</v>
      </c>
      <c r="CZ57" s="38">
        <f>EXP(-'Data Bonds'!AU56*AR57)</f>
        <v>0.38382173122115876</v>
      </c>
      <c r="DA57" s="38">
        <f>EXP(-'Data Bonds'!AV56*AS57)</f>
        <v>0.37366005114884232</v>
      </c>
      <c r="DB57" s="38">
        <f>EXP(-'Data Bonds'!AW56*AT57)</f>
        <v>0.36376739322150714</v>
      </c>
      <c r="DC57" s="38">
        <f>EXP(-'Data Bonds'!AX56*AU57)</f>
        <v>0.35413663791624533</v>
      </c>
      <c r="DD57" s="38">
        <f>EXP(-'Data Bonds'!AY56*AV57)</f>
        <v>0.34476085330458445</v>
      </c>
      <c r="DE57" s="38">
        <f>EXP(-'Data Bonds'!AZ56*AW57)</f>
        <v>0.33563329036527928</v>
      </c>
      <c r="DF57" s="38">
        <f>EXP(-'Data Bonds'!BA56*AX57)</f>
        <v>0.32674737833445056</v>
      </c>
      <c r="DG57" s="38">
        <f>EXP(-'Data Bonds'!BB56*AY57)</f>
        <v>0.3180967201188713</v>
      </c>
      <c r="DH57" s="38">
        <f>EXP(-'Data Bonds'!BC56*AZ57)</f>
        <v>0.30967508778929886</v>
      </c>
      <c r="DI57" s="38">
        <f>EXP(-'Data Bonds'!BD56*BA57)</f>
        <v>1</v>
      </c>
      <c r="DJ57" s="38">
        <f>EXP(-'Data Bonds'!BE56*BB57)</f>
        <v>1</v>
      </c>
      <c r="DK57" s="38">
        <f>EXP(-'Data Bonds'!BF56*BC57)</f>
        <v>1</v>
      </c>
      <c r="DL57" s="38">
        <f>EXP(-'Data Bonds'!BG56*BD57)</f>
        <v>1</v>
      </c>
      <c r="DM57" s="38">
        <f>EXP(-'Data Bonds'!BH56*BE57)</f>
        <v>1</v>
      </c>
      <c r="DN57" s="38">
        <f>EXP(-'Data Bonds'!BI56*BF57)</f>
        <v>1</v>
      </c>
      <c r="DO57" s="38">
        <f>EXP(-'Data Bonds'!BJ56*BG57)</f>
        <v>1</v>
      </c>
      <c r="DP57" s="38">
        <f>EXP(-'Data Bonds'!BK56*BH57)</f>
        <v>1</v>
      </c>
      <c r="DQ57" s="38">
        <f>EXP(-'Data Bonds'!BL56*BI57)</f>
        <v>1</v>
      </c>
      <c r="DR57" s="38">
        <f>EXP(-'Data Bonds'!BM56*BJ57)</f>
        <v>1</v>
      </c>
      <c r="DS57" s="38">
        <f>EXP(-'Data Bonds'!BN56*BK57)</f>
        <v>1</v>
      </c>
      <c r="DT57" s="38">
        <f>EXP(-'Data Bonds'!BO56*BL57)</f>
        <v>1</v>
      </c>
      <c r="DU57" s="38">
        <f>EXP(-'Data Bonds'!BP56*BM57)</f>
        <v>1</v>
      </c>
      <c r="DV57" s="38">
        <f>EXP(-'Data Bonds'!BQ56*BN57)</f>
        <v>1</v>
      </c>
      <c r="DW57" s="38">
        <f>EXP(-'Data Bonds'!BR56*BO57)</f>
        <v>1</v>
      </c>
      <c r="DX57" s="28">
        <f>SUMPRODUCT(BP57:DW57,'Data Bonds'!BU56:EB56)</f>
        <v>112.47331008515926</v>
      </c>
      <c r="DY57" s="28">
        <f t="shared" si="5"/>
        <v>2.279963208019874E-2</v>
      </c>
      <c r="EA57" s="33">
        <f t="shared" si="6"/>
        <v>23</v>
      </c>
      <c r="EB57" s="29">
        <f t="shared" si="8"/>
        <v>5.2859080538746502E-2</v>
      </c>
      <c r="EC57" s="29">
        <f t="shared" si="9"/>
        <v>0.29648494059987068</v>
      </c>
      <c r="ED57" s="29">
        <f t="shared" si="7"/>
        <v>5.3663693530057933E-2</v>
      </c>
      <c r="EF57" s="32"/>
      <c r="EG57" s="32"/>
      <c r="EI57" s="34"/>
    </row>
    <row r="58" spans="1:139">
      <c r="B58" s="27">
        <f>'Data Bonds'!E57</f>
        <v>5.375</v>
      </c>
      <c r="C58" s="27">
        <f>'Data Bonds'!F57</f>
        <v>101.234375</v>
      </c>
      <c r="D58" s="27">
        <f>'Data Bonds'!G57</f>
        <v>101.296875</v>
      </c>
      <c r="E58" s="27">
        <f>'Data Bonds'!I57</f>
        <v>1.6722222222222223</v>
      </c>
      <c r="F58" s="40">
        <f>'Data Bonds'!H57</f>
        <v>23.68888888888889</v>
      </c>
      <c r="G58" s="28">
        <f t="shared" si="4"/>
        <v>102.93784722222222</v>
      </c>
      <c r="H58" s="45">
        <f>IF('Data Bonds'!K57=0,0,theta0+(theta1+theta2)*(1-EXP(-'Data Bonds'!K57/la))/('Data Bonds'!K57/la)-theta2*EXP(-'Data Bonds'!K57/la))</f>
        <v>5.1598526027898411E-2</v>
      </c>
      <c r="I58" s="45">
        <f>IF('Data Bonds'!L57=0,0,theta0+(theta1+theta2)*(1-EXP(-'Data Bonds'!L57/la))/('Data Bonds'!L57/la)-theta2*EXP(-'Data Bonds'!L57/la))</f>
        <v>5.0271357324748023E-2</v>
      </c>
      <c r="J58" s="45">
        <f>IF('Data Bonds'!M57=0,0,theta0+(theta1+theta2)*(1-EXP(-'Data Bonds'!M57/la))/('Data Bonds'!M57/la)-theta2*EXP(-'Data Bonds'!M57/la))</f>
        <v>4.9578457297749672E-2</v>
      </c>
      <c r="K58" s="45">
        <f>IF('Data Bonds'!N57=0,0,theta0+(theta1+theta2)*(1-EXP(-'Data Bonds'!N57/la))/('Data Bonds'!N57/la)-theta2*EXP(-'Data Bonds'!N57/la))</f>
        <v>4.9285035750538553E-2</v>
      </c>
      <c r="L58" s="45">
        <f>IF('Data Bonds'!O57=0,0,theta0+(theta1+theta2)*(1-EXP(-'Data Bonds'!O57/la))/('Data Bonds'!O57/la)-theta2*EXP(-'Data Bonds'!O57/la))</f>
        <v>4.9237017363447266E-2</v>
      </c>
      <c r="M58" s="45">
        <f>IF('Data Bonds'!P57=0,0,theta0+(theta1+theta2)*(1-EXP(-'Data Bonds'!P57/la))/('Data Bonds'!P57/la)-theta2*EXP(-'Data Bonds'!P57/la))</f>
        <v>4.9334171753160738E-2</v>
      </c>
      <c r="N58" s="45">
        <f>IF('Data Bonds'!Q57=0,0,theta0+(theta1+theta2)*(1-EXP(-'Data Bonds'!Q57/la))/('Data Bonds'!Q57/la)-theta2*EXP(-'Data Bonds'!Q57/la))</f>
        <v>4.9512038088999483E-2</v>
      </c>
      <c r="O58" s="45">
        <f>IF('Data Bonds'!R57=0,0,theta0+(theta1+theta2)*(1-EXP(-'Data Bonds'!R57/la))/('Data Bonds'!R57/la)-theta2*EXP(-'Data Bonds'!R57/la))</f>
        <v>4.9729794635889335E-2</v>
      </c>
      <c r="P58" s="45">
        <f>IF('Data Bonds'!S57=0,0,theta0+(theta1+theta2)*(1-EXP(-'Data Bonds'!S57/la))/('Data Bonds'!S57/la)-theta2*EXP(-'Data Bonds'!S57/la))</f>
        <v>4.9962140977046696E-2</v>
      </c>
      <c r="Q58" s="45">
        <f>IF('Data Bonds'!T57=0,0,theta0+(theta1+theta2)*(1-EXP(-'Data Bonds'!T57/la))/('Data Bonds'!T57/la)-theta2*EXP(-'Data Bonds'!T57/la))</f>
        <v>5.0193884019659962E-2</v>
      </c>
      <c r="R58" s="45">
        <f>IF('Data Bonds'!U57=0,0,theta0+(theta1+theta2)*(1-EXP(-'Data Bonds'!U57/la))/('Data Bonds'!U57/la)-theta2*EXP(-'Data Bonds'!U57/la))</f>
        <v>5.0416342149512058E-2</v>
      </c>
      <c r="S58" s="45">
        <f>IF('Data Bonds'!V57=0,0,theta0+(theta1+theta2)*(1-EXP(-'Data Bonds'!V57/la))/('Data Bonds'!V57/la)-theta2*EXP(-'Data Bonds'!V57/la))</f>
        <v>5.0624969074311257E-2</v>
      </c>
      <c r="T58" s="45">
        <f>IF('Data Bonds'!W57=0,0,theta0+(theta1+theta2)*(1-EXP(-'Data Bonds'!W57/la))/('Data Bonds'!W57/la)-theta2*EXP(-'Data Bonds'!W57/la))</f>
        <v>5.0817793561872729E-2</v>
      </c>
      <c r="U58" s="45">
        <f>IF('Data Bonds'!X57=0,0,theta0+(theta1+theta2)*(1-EXP(-'Data Bonds'!X57/la))/('Data Bonds'!X57/la)-theta2*EXP(-'Data Bonds'!X57/la))</f>
        <v>5.0994403103277734E-2</v>
      </c>
      <c r="V58" s="45">
        <f>IF('Data Bonds'!Y57=0,0,theta0+(theta1+theta2)*(1-EXP(-'Data Bonds'!Y57/la))/('Data Bonds'!Y57/la)-theta2*EXP(-'Data Bonds'!Y57/la))</f>
        <v>5.1155288695615496E-2</v>
      </c>
      <c r="W58" s="45">
        <f>IF('Data Bonds'!Z57=0,0,theta0+(theta1+theta2)*(1-EXP(-'Data Bonds'!Z57/la))/('Data Bonds'!Z57/la)-theta2*EXP(-'Data Bonds'!Z57/la))</f>
        <v>5.1301428168232986E-2</v>
      </c>
      <c r="X58" s="45">
        <f>IF('Data Bonds'!AA57=0,0,theta0+(theta1+theta2)*(1-EXP(-'Data Bonds'!AA57/la))/('Data Bonds'!AA57/la)-theta2*EXP(-'Data Bonds'!AA57/la))</f>
        <v>5.1434026097624264E-2</v>
      </c>
      <c r="Y58" s="45">
        <f>IF('Data Bonds'!AB57=0,0,theta0+(theta1+theta2)*(1-EXP(-'Data Bonds'!AB57/la))/('Data Bonds'!AB57/la)-theta2*EXP(-'Data Bonds'!AB57/la))</f>
        <v>5.1554355703636381E-2</v>
      </c>
      <c r="Z58" s="45">
        <f>IF('Data Bonds'!AC57=0,0,theta0+(theta1+theta2)*(1-EXP(-'Data Bonds'!AC57/la))/('Data Bonds'!AC57/la)-theta2*EXP(-'Data Bonds'!AC57/la))</f>
        <v>5.1663666492393567E-2</v>
      </c>
      <c r="AA58" s="45">
        <f>IF('Data Bonds'!AD57=0,0,theta0+(theta1+theta2)*(1-EXP(-'Data Bonds'!AD57/la))/('Data Bonds'!AD57/la)-theta2*EXP(-'Data Bonds'!AD57/la))</f>
        <v>5.1763133724185395E-2</v>
      </c>
      <c r="AB58" s="45">
        <f>IF('Data Bonds'!AE57=0,0,theta0+(theta1+theta2)*(1-EXP(-'Data Bonds'!AE57/la))/('Data Bonds'!AE57/la)-theta2*EXP(-'Data Bonds'!AE57/la))</f>
        <v>5.1853834012200901E-2</v>
      </c>
      <c r="AC58" s="45">
        <f>IF('Data Bonds'!AF57=0,0,theta0+(theta1+theta2)*(1-EXP(-'Data Bonds'!AF57/la))/('Data Bonds'!AF57/la)-theta2*EXP(-'Data Bonds'!AF57/la))</f>
        <v>5.1936736836682804E-2</v>
      </c>
      <c r="AD58" s="45">
        <f>IF('Data Bonds'!AG57=0,0,theta0+(theta1+theta2)*(1-EXP(-'Data Bonds'!AG57/la))/('Data Bonds'!AG57/la)-theta2*EXP(-'Data Bonds'!AG57/la))</f>
        <v>5.2012705391962649E-2</v>
      </c>
      <c r="AE58" s="45">
        <f>IF('Data Bonds'!AH57=0,0,theta0+(theta1+theta2)*(1-EXP(-'Data Bonds'!AH57/la))/('Data Bonds'!AH57/la)-theta2*EXP(-'Data Bonds'!AH57/la))</f>
        <v>5.2082502580458233E-2</v>
      </c>
      <c r="AF58" s="45">
        <f>IF('Data Bonds'!AI57=0,0,theta0+(theta1+theta2)*(1-EXP(-'Data Bonds'!AI57/la))/('Data Bonds'!AI57/la)-theta2*EXP(-'Data Bonds'!AI57/la))</f>
        <v>5.2146799538785205E-2</v>
      </c>
      <c r="AG58" s="45">
        <f>IF('Data Bonds'!AJ57=0,0,theta0+(theta1+theta2)*(1-EXP(-'Data Bonds'!AJ57/la))/('Data Bonds'!AJ57/la)-theta2*EXP(-'Data Bonds'!AJ57/la))</f>
        <v>5.2206185102880893E-2</v>
      </c>
      <c r="AH58" s="45">
        <f>IF('Data Bonds'!AK57=0,0,theta0+(theta1+theta2)*(1-EXP(-'Data Bonds'!AK57/la))/('Data Bonds'!AK57/la)-theta2*EXP(-'Data Bonds'!AK57/la))</f>
        <v>5.2261175276823613E-2</v>
      </c>
      <c r="AI58" s="45">
        <f>IF('Data Bonds'!AL57=0,0,theta0+(theta1+theta2)*(1-EXP(-'Data Bonds'!AL57/la))/('Data Bonds'!AL57/la)-theta2*EXP(-'Data Bonds'!AL57/la))</f>
        <v>5.2312222187925556E-2</v>
      </c>
      <c r="AJ58" s="45">
        <f>IF('Data Bonds'!AM57=0,0,theta0+(theta1+theta2)*(1-EXP(-'Data Bonds'!AM57/la))/('Data Bonds'!AM57/la)-theta2*EXP(-'Data Bonds'!AM57/la))</f>
        <v>5.2359722271472377E-2</v>
      </c>
      <c r="AK58" s="45">
        <f>IF('Data Bonds'!AN57=0,0,theta0+(theta1+theta2)*(1-EXP(-'Data Bonds'!AN57/la))/('Data Bonds'!AN57/la)-theta2*EXP(-'Data Bonds'!AN57/la))</f>
        <v>5.240402358722291E-2</v>
      </c>
      <c r="AL58" s="45">
        <f>IF('Data Bonds'!AO57=0,0,theta0+(theta1+theta2)*(1-EXP(-'Data Bonds'!AO57/la))/('Data Bonds'!AO57/la)-theta2*EXP(-'Data Bonds'!AO57/la))</f>
        <v>5.2445432262903005E-2</v>
      </c>
      <c r="AM58" s="45">
        <f>IF('Data Bonds'!AP57=0,0,theta0+(theta1+theta2)*(1-EXP(-'Data Bonds'!AP57/la))/('Data Bonds'!AP57/la)-theta2*EXP(-'Data Bonds'!AP57/la))</f>
        <v>5.2484218111421725E-2</v>
      </c>
      <c r="AN58" s="45">
        <f>IF('Data Bonds'!AQ57=0,0,theta0+(theta1+theta2)*(1-EXP(-'Data Bonds'!AQ57/la))/('Data Bonds'!AQ57/la)-theta2*EXP(-'Data Bonds'!AQ57/la))</f>
        <v>5.2520619494096282E-2</v>
      </c>
      <c r="AO58" s="45">
        <f>IF('Data Bonds'!AR57=0,0,theta0+(theta1+theta2)*(1-EXP(-'Data Bonds'!AR57/la))/('Data Bonds'!AR57/la)-theta2*EXP(-'Data Bonds'!AR57/la))</f>
        <v>5.2554847511976095E-2</v>
      </c>
      <c r="AP58" s="45">
        <f>IF('Data Bonds'!AS57=0,0,theta0+(theta1+theta2)*(1-EXP(-'Data Bonds'!AS57/la))/('Data Bonds'!AS57/la)-theta2*EXP(-'Data Bonds'!AS57/la))</f>
        <v>5.2587089607941187E-2</v>
      </c>
      <c r="AQ58" s="45">
        <f>IF('Data Bonds'!AT57=0,0,theta0+(theta1+theta2)*(1-EXP(-'Data Bonds'!AT57/la))/('Data Bonds'!AT57/la)-theta2*EXP(-'Data Bonds'!AT57/la))</f>
        <v>5.2617512657752857E-2</v>
      </c>
      <c r="AR58" s="45">
        <f>IF('Data Bonds'!AU57=0,0,theta0+(theta1+theta2)*(1-EXP(-'Data Bonds'!AU57/la))/('Data Bonds'!AU57/la)-theta2*EXP(-'Data Bonds'!AU57/la))</f>
        <v>5.2646265621229565E-2</v>
      </c>
      <c r="AS58" s="45">
        <f>IF('Data Bonds'!AV57=0,0,theta0+(theta1+theta2)*(1-EXP(-'Data Bonds'!AV57/la))/('Data Bonds'!AV57/la)-theta2*EXP(-'Data Bonds'!AV57/la))</f>
        <v>5.2673481816763512E-2</v>
      </c>
      <c r="AT58" s="45">
        <f>IF('Data Bonds'!AW57=0,0,theta0+(theta1+theta2)*(1-EXP(-'Data Bonds'!AW57/la))/('Data Bonds'!AW57/la)-theta2*EXP(-'Data Bonds'!AW57/la))</f>
        <v>5.2699280874393732E-2</v>
      </c>
      <c r="AU58" s="45">
        <f>IF('Data Bonds'!AX57=0,0,theta0+(theta1+theta2)*(1-EXP(-'Data Bonds'!AX57/la))/('Data Bonds'!AX57/la)-theta2*EXP(-'Data Bonds'!AX57/la))</f>
        <v>5.2723770415106237E-2</v>
      </c>
      <c r="AV58" s="45">
        <f>IF('Data Bonds'!AY57=0,0,theta0+(theta1+theta2)*(1-EXP(-'Data Bonds'!AY57/la))/('Data Bonds'!AY57/la)-theta2*EXP(-'Data Bonds'!AY57/la))</f>
        <v>5.2747047497184035E-2</v>
      </c>
      <c r="AW58" s="45">
        <f>IF('Data Bonds'!AZ57=0,0,theta0+(theta1+theta2)*(1-EXP(-'Data Bonds'!AZ57/la))/('Data Bonds'!AZ57/la)-theta2*EXP(-'Data Bonds'!AZ57/la))</f>
        <v>5.2769199864369155E-2</v>
      </c>
      <c r="AX58" s="45">
        <f>IF('Data Bonds'!BA57=0,0,theta0+(theta1+theta2)*(1-EXP(-'Data Bonds'!BA57/la))/('Data Bonds'!BA57/la)-theta2*EXP(-'Data Bonds'!BA57/la))</f>
        <v>5.2790307025326638E-2</v>
      </c>
      <c r="AY58" s="45">
        <f>IF('Data Bonds'!BB57=0,0,theta0+(theta1+theta2)*(1-EXP(-'Data Bonds'!BB57/la))/('Data Bonds'!BB57/la)-theta2*EXP(-'Data Bonds'!BB57/la))</f>
        <v>5.2810441189367362E-2</v>
      </c>
      <c r="AZ58" s="45">
        <f>IF('Data Bonds'!BC57=0,0,theta0+(theta1+theta2)*(1-EXP(-'Data Bonds'!BC57/la))/('Data Bonds'!BC57/la)-theta2*EXP(-'Data Bonds'!BC57/la))</f>
        <v>5.2829668079523232E-2</v>
      </c>
      <c r="BA58" s="45">
        <f>IF('Data Bonds'!BD57=0,0,theta0+(theta1+theta2)*(1-EXP(-'Data Bonds'!BD57/la))/('Data Bonds'!BD57/la)-theta2*EXP(-'Data Bonds'!BD57/la))</f>
        <v>5.2848047640794517E-2</v>
      </c>
      <c r="BB58" s="45">
        <f>IF('Data Bonds'!BE57=0,0,theta0+(theta1+theta2)*(1-EXP(-'Data Bonds'!BE57/la))/('Data Bonds'!BE57/la)-theta2*EXP(-'Data Bonds'!BE57/la))</f>
        <v>5.2865634658626065E-2</v>
      </c>
      <c r="BC58" s="45">
        <f>IF('Data Bonds'!BF57=0,0,theta0+(theta1+theta2)*(1-EXP(-'Data Bonds'!BF57/la))/('Data Bonds'!BF57/la)-theta2*EXP(-'Data Bonds'!BF57/la))</f>
        <v>5.2882479300344239E-2</v>
      </c>
      <c r="BD58" s="45">
        <f>IF('Data Bonds'!BG57=0,0,theta0+(theta1+theta2)*(1-EXP(-'Data Bonds'!BG57/la))/('Data Bonds'!BG57/la)-theta2*EXP(-'Data Bonds'!BG57/la))</f>
        <v>0</v>
      </c>
      <c r="BE58" s="45">
        <f>IF('Data Bonds'!BH57=0,0,theta0+(theta1+theta2)*(1-EXP(-'Data Bonds'!BH57/la))/('Data Bonds'!BH57/la)-theta2*EXP(-'Data Bonds'!BH57/la))</f>
        <v>0</v>
      </c>
      <c r="BF58" s="45">
        <f>IF('Data Bonds'!BI57=0,0,theta0+(theta1+theta2)*(1-EXP(-'Data Bonds'!BI57/la))/('Data Bonds'!BI57/la)-theta2*EXP(-'Data Bonds'!BI57/la))</f>
        <v>0</v>
      </c>
      <c r="BG58" s="45">
        <f>IF('Data Bonds'!BJ57=0,0,theta0+(theta1+theta2)*(1-EXP(-'Data Bonds'!BJ57/la))/('Data Bonds'!BJ57/la)-theta2*EXP(-'Data Bonds'!BJ57/la))</f>
        <v>0</v>
      </c>
      <c r="BH58" s="45">
        <f>IF('Data Bonds'!BK57=0,0,theta0+(theta1+theta2)*(1-EXP(-'Data Bonds'!BK57/la))/('Data Bonds'!BK57/la)-theta2*EXP(-'Data Bonds'!BK57/la))</f>
        <v>0</v>
      </c>
      <c r="BI58" s="45">
        <f>IF('Data Bonds'!BL57=0,0,theta0+(theta1+theta2)*(1-EXP(-'Data Bonds'!BL57/la))/('Data Bonds'!BL57/la)-theta2*EXP(-'Data Bonds'!BL57/la))</f>
        <v>0</v>
      </c>
      <c r="BJ58" s="45">
        <f>IF('Data Bonds'!BM57=0,0,theta0+(theta1+theta2)*(1-EXP(-'Data Bonds'!BM57/la))/('Data Bonds'!BM57/la)-theta2*EXP(-'Data Bonds'!BM57/la))</f>
        <v>0</v>
      </c>
      <c r="BK58" s="45">
        <f>IF('Data Bonds'!BN57=0,0,theta0+(theta1+theta2)*(1-EXP(-'Data Bonds'!BN57/la))/('Data Bonds'!BN57/la)-theta2*EXP(-'Data Bonds'!BN57/la))</f>
        <v>0</v>
      </c>
      <c r="BL58" s="45">
        <f>IF('Data Bonds'!BO57=0,0,theta0+(theta1+theta2)*(1-EXP(-'Data Bonds'!BO57/la))/('Data Bonds'!BO57/la)-theta2*EXP(-'Data Bonds'!BO57/la))</f>
        <v>0</v>
      </c>
      <c r="BM58" s="45">
        <f>IF('Data Bonds'!BP57=0,0,theta0+(theta1+theta2)*(1-EXP(-'Data Bonds'!BP57/la))/('Data Bonds'!BP57/la)-theta2*EXP(-'Data Bonds'!BP57/la))</f>
        <v>0</v>
      </c>
      <c r="BN58" s="45">
        <f>IF('Data Bonds'!BQ57=0,0,theta0+(theta1+theta2)*(1-EXP(-'Data Bonds'!BQ57/la))/('Data Bonds'!BQ57/la)-theta2*EXP(-'Data Bonds'!BQ57/la))</f>
        <v>0</v>
      </c>
      <c r="BO58" s="45">
        <f>IF('Data Bonds'!BR57=0,0,theta0+(theta1+theta2)*(1-EXP(-'Data Bonds'!BR57/la))/('Data Bonds'!BR57/la)-theta2*EXP(-'Data Bonds'!BR57/la))</f>
        <v>0</v>
      </c>
      <c r="BP58" s="38">
        <f>EXP(-'Data Bonds'!K57*H58)</f>
        <v>0.99030095386253514</v>
      </c>
      <c r="BQ58" s="38">
        <f>EXP(-'Data Bonds'!L57*I58)</f>
        <v>0.96596142383001249</v>
      </c>
      <c r="BR58" s="38">
        <f>EXP(-'Data Bonds'!M57*J58)</f>
        <v>0.94276024382077384</v>
      </c>
      <c r="BS58" s="38">
        <f>EXP(-'Data Bonds'!N57*K58)</f>
        <v>0.92013309652437447</v>
      </c>
      <c r="BT58" s="38">
        <f>EXP(-'Data Bonds'!O57*L58)</f>
        <v>0.8978301597681585</v>
      </c>
      <c r="BU58" s="38">
        <f>EXP(-'Data Bonds'!P57*M58)</f>
        <v>0.8757679623727499</v>
      </c>
      <c r="BV58" s="38">
        <f>EXP(-'Data Bonds'!Q57*N58)</f>
        <v>0.85394508705932803</v>
      </c>
      <c r="BW58" s="38">
        <f>EXP(-'Data Bonds'!R57*O58)</f>
        <v>0.83239541980118914</v>
      </c>
      <c r="BX58" s="38">
        <f>EXP(-'Data Bonds'!S57*P58)</f>
        <v>0.81116332561828708</v>
      </c>
      <c r="BY58" s="38">
        <f>EXP(-'Data Bonds'!T57*Q58)</f>
        <v>0.79029139660492453</v>
      </c>
      <c r="BZ58" s="38">
        <f>EXP(-'Data Bonds'!U57*R58)</f>
        <v>0.76981519641342533</v>
      </c>
      <c r="CA58" s="38">
        <f>EXP(-'Data Bonds'!V57*S58)</f>
        <v>0.74976172414671449</v>
      </c>
      <c r="CB58" s="38">
        <f>EXP(-'Data Bonds'!W57*T58)</f>
        <v>0.73014971419213559</v>
      </c>
      <c r="CC58" s="38">
        <f>EXP(-'Data Bonds'!X57*U58)</f>
        <v>0.71099072354814263</v>
      </c>
      <c r="CD58" s="38">
        <f>EXP(-'Data Bonds'!Y57*V58)</f>
        <v>0.69229044963946051</v>
      </c>
      <c r="CE58" s="38">
        <f>EXP(-'Data Bonds'!Z57*W58)</f>
        <v>0.67405000392176173</v>
      </c>
      <c r="CF58" s="38">
        <f>EXP(-'Data Bonds'!AA57*X58)</f>
        <v>0.65626702351290833</v>
      </c>
      <c r="CG58" s="38">
        <f>EXP(-'Data Bonds'!AB57*Y58)</f>
        <v>0.63893658633137096</v>
      </c>
      <c r="CH58" s="38">
        <f>EXP(-'Data Bonds'!AC57*Z58)</f>
        <v>0.62205193621476651</v>
      </c>
      <c r="CI58" s="38">
        <f>EXP(-'Data Bonds'!AD57*AA58)</f>
        <v>0.60560504204345178</v>
      </c>
      <c r="CJ58" s="38">
        <f>EXP(-'Data Bonds'!AE57*AB58)</f>
        <v>0.58958702003626717</v>
      </c>
      <c r="CK58" s="38">
        <f>EXP(-'Data Bonds'!AF57*AC58)</f>
        <v>0.57398844742708199</v>
      </c>
      <c r="CL58" s="38">
        <f>EXP(-'Data Bonds'!AG57*AD58)</f>
        <v>0.55879959216452202</v>
      </c>
      <c r="CM58" s="38">
        <f>EXP(-'Data Bonds'!AH57*AE58)</f>
        <v>0.54401057894878535</v>
      </c>
      <c r="CN58" s="38">
        <f>EXP(-'Data Bonds'!AI57*AF58)</f>
        <v>0.52961150773453602</v>
      </c>
      <c r="CO58" s="38">
        <f>EXP(-'Data Bonds'!AJ57*AG58)</f>
        <v>0.51559253717395914</v>
      </c>
      <c r="CP58" s="38">
        <f>EXP(-'Data Bonds'!AK57*AH58)</f>
        <v>0.50194394246170126</v>
      </c>
      <c r="CQ58" s="38">
        <f>EXP(-'Data Bonds'!AL57*AI58)</f>
        <v>0.48865615465192236</v>
      </c>
      <c r="CR58" s="38">
        <f>EXP(-'Data Bonds'!AM57*AJ58)</f>
        <v>0.4757197866682138</v>
      </c>
      <c r="CS58" s="38">
        <f>EXP(-'Data Bonds'!AN57*AK58)</f>
        <v>0.46312564982427568</v>
      </c>
      <c r="CT58" s="38">
        <f>EXP(-'Data Bonds'!AO57*AL58)</f>
        <v>0.45086476362489408</v>
      </c>
      <c r="CU58" s="38">
        <f>EXP(-'Data Bonds'!AP57*AM58)</f>
        <v>0.43892836084252473</v>
      </c>
      <c r="CV58" s="38">
        <f>EXP(-'Data Bonds'!AQ57*AN58)</f>
        <v>0.42730788929846697</v>
      </c>
      <c r="CW58" s="38">
        <f>EXP(-'Data Bonds'!AR57*AO58)</f>
        <v>0.41599501136665035</v>
      </c>
      <c r="CX58" s="38">
        <f>EXP(-'Data Bonds'!AS57*AP58)</f>
        <v>0.40498160192183524</v>
      </c>
      <c r="CY58" s="38">
        <f>EXP(-'Data Bonds'!AT57*AQ58)</f>
        <v>0.39425974524173307</v>
      </c>
      <c r="CZ58" s="38">
        <f>EXP(-'Data Bonds'!AU57*AR58)</f>
        <v>0.38382173122115876</v>
      </c>
      <c r="DA58" s="38">
        <f>EXP(-'Data Bonds'!AV57*AS58)</f>
        <v>0.37366005114884232</v>
      </c>
      <c r="DB58" s="38">
        <f>EXP(-'Data Bonds'!AW57*AT58)</f>
        <v>0.36376739322150714</v>
      </c>
      <c r="DC58" s="38">
        <f>EXP(-'Data Bonds'!AX57*AU58)</f>
        <v>0.35413663791624533</v>
      </c>
      <c r="DD58" s="38">
        <f>EXP(-'Data Bonds'!AY57*AV58)</f>
        <v>0.34476085330458445</v>
      </c>
      <c r="DE58" s="38">
        <f>EXP(-'Data Bonds'!AZ57*AW58)</f>
        <v>0.33563329036527928</v>
      </c>
      <c r="DF58" s="38">
        <f>EXP(-'Data Bonds'!BA57*AX58)</f>
        <v>0.32674737833445056</v>
      </c>
      <c r="DG58" s="38">
        <f>EXP(-'Data Bonds'!BB57*AY58)</f>
        <v>0.3180967201188713</v>
      </c>
      <c r="DH58" s="38">
        <f>EXP(-'Data Bonds'!BC57*AZ58)</f>
        <v>0.30967508778929886</v>
      </c>
      <c r="DI58" s="38">
        <f>EXP(-'Data Bonds'!BD57*BA58)</f>
        <v>0.30147641816458359</v>
      </c>
      <c r="DJ58" s="38">
        <f>EXP(-'Data Bonds'!BE57*BB58)</f>
        <v>0.29349480849303439</v>
      </c>
      <c r="DK58" s="38">
        <f>EXP(-'Data Bonds'!BF57*BC58)</f>
        <v>0.28572451223459838</v>
      </c>
      <c r="DL58" s="38">
        <f>EXP(-'Data Bonds'!BG57*BD58)</f>
        <v>1</v>
      </c>
      <c r="DM58" s="38">
        <f>EXP(-'Data Bonds'!BH57*BE58)</f>
        <v>1</v>
      </c>
      <c r="DN58" s="38">
        <f>EXP(-'Data Bonds'!BI57*BF58)</f>
        <v>1</v>
      </c>
      <c r="DO58" s="38">
        <f>EXP(-'Data Bonds'!BJ57*BG58)</f>
        <v>1</v>
      </c>
      <c r="DP58" s="38">
        <f>EXP(-'Data Bonds'!BK57*BH58)</f>
        <v>1</v>
      </c>
      <c r="DQ58" s="38">
        <f>EXP(-'Data Bonds'!BL57*BI58)</f>
        <v>1</v>
      </c>
      <c r="DR58" s="38">
        <f>EXP(-'Data Bonds'!BM57*BJ58)</f>
        <v>1</v>
      </c>
      <c r="DS58" s="38">
        <f>EXP(-'Data Bonds'!BN57*BK58)</f>
        <v>1</v>
      </c>
      <c r="DT58" s="38">
        <f>EXP(-'Data Bonds'!BO57*BL58)</f>
        <v>1</v>
      </c>
      <c r="DU58" s="38">
        <f>EXP(-'Data Bonds'!BP57*BM58)</f>
        <v>1</v>
      </c>
      <c r="DV58" s="38">
        <f>EXP(-'Data Bonds'!BQ57*BN58)</f>
        <v>1</v>
      </c>
      <c r="DW58" s="38">
        <f>EXP(-'Data Bonds'!BR57*BO58)</f>
        <v>1</v>
      </c>
      <c r="DX58" s="28">
        <f>SUMPRODUCT(BP58:DW58,'Data Bonds'!BU57:EB57)</f>
        <v>102.46482012719927</v>
      </c>
      <c r="DY58" s="28">
        <f t="shared" si="5"/>
        <v>0.22375463262584386</v>
      </c>
      <c r="EA58" s="33">
        <f t="shared" si="6"/>
        <v>23.5</v>
      </c>
      <c r="EB58" s="29">
        <f t="shared" si="8"/>
        <v>5.2876200010461345E-2</v>
      </c>
      <c r="EC58" s="29">
        <f t="shared" si="9"/>
        <v>0.28863548047044202</v>
      </c>
      <c r="ED58" s="29">
        <f t="shared" si="7"/>
        <v>5.366369570934449E-2</v>
      </c>
      <c r="EF58" s="32"/>
      <c r="EG58" s="32"/>
      <c r="EI58" s="34"/>
    </row>
    <row r="59" spans="1:139">
      <c r="B59" s="27">
        <f>'Data Bonds'!E58</f>
        <v>4.5</v>
      </c>
      <c r="C59" s="27">
        <f>'Data Bonds'!F58</f>
        <v>89.015625</v>
      </c>
      <c r="D59" s="27">
        <f>'Data Bonds'!G58</f>
        <v>89.078125</v>
      </c>
      <c r="E59" s="27">
        <f>'Data Bonds'!I58</f>
        <v>1.4</v>
      </c>
      <c r="F59" s="40">
        <f>'Data Bonds'!H58</f>
        <v>28.68888888888889</v>
      </c>
      <c r="G59" s="28">
        <f t="shared" si="4"/>
        <v>90.446875000000006</v>
      </c>
      <c r="H59" s="45">
        <f>IF('Data Bonds'!K58=0,0,theta0+(theta1+theta2)*(1-EXP(-'Data Bonds'!K58/la))/('Data Bonds'!K58/la)-theta2*EXP(-'Data Bonds'!K58/la))</f>
        <v>5.1598526027898411E-2</v>
      </c>
      <c r="I59" s="45">
        <f>IF('Data Bonds'!L58=0,0,theta0+(theta1+theta2)*(1-EXP(-'Data Bonds'!L58/la))/('Data Bonds'!L58/la)-theta2*EXP(-'Data Bonds'!L58/la))</f>
        <v>5.0271357324748023E-2</v>
      </c>
      <c r="J59" s="45">
        <f>IF('Data Bonds'!M58=0,0,theta0+(theta1+theta2)*(1-EXP(-'Data Bonds'!M58/la))/('Data Bonds'!M58/la)-theta2*EXP(-'Data Bonds'!M58/la))</f>
        <v>4.9578457297749672E-2</v>
      </c>
      <c r="K59" s="45">
        <f>IF('Data Bonds'!N58=0,0,theta0+(theta1+theta2)*(1-EXP(-'Data Bonds'!N58/la))/('Data Bonds'!N58/la)-theta2*EXP(-'Data Bonds'!N58/la))</f>
        <v>4.9285035750538553E-2</v>
      </c>
      <c r="L59" s="45">
        <f>IF('Data Bonds'!O58=0,0,theta0+(theta1+theta2)*(1-EXP(-'Data Bonds'!O58/la))/('Data Bonds'!O58/la)-theta2*EXP(-'Data Bonds'!O58/la))</f>
        <v>4.9237017363447266E-2</v>
      </c>
      <c r="M59" s="45">
        <f>IF('Data Bonds'!P58=0,0,theta0+(theta1+theta2)*(1-EXP(-'Data Bonds'!P58/la))/('Data Bonds'!P58/la)-theta2*EXP(-'Data Bonds'!P58/la))</f>
        <v>4.9334171753160738E-2</v>
      </c>
      <c r="N59" s="45">
        <f>IF('Data Bonds'!Q58=0,0,theta0+(theta1+theta2)*(1-EXP(-'Data Bonds'!Q58/la))/('Data Bonds'!Q58/la)-theta2*EXP(-'Data Bonds'!Q58/la))</f>
        <v>4.9512038088999483E-2</v>
      </c>
      <c r="O59" s="45">
        <f>IF('Data Bonds'!R58=0,0,theta0+(theta1+theta2)*(1-EXP(-'Data Bonds'!R58/la))/('Data Bonds'!R58/la)-theta2*EXP(-'Data Bonds'!R58/la))</f>
        <v>4.9729794635889335E-2</v>
      </c>
      <c r="P59" s="45">
        <f>IF('Data Bonds'!S58=0,0,theta0+(theta1+theta2)*(1-EXP(-'Data Bonds'!S58/la))/('Data Bonds'!S58/la)-theta2*EXP(-'Data Bonds'!S58/la))</f>
        <v>4.9962140977046696E-2</v>
      </c>
      <c r="Q59" s="45">
        <f>IF('Data Bonds'!T58=0,0,theta0+(theta1+theta2)*(1-EXP(-'Data Bonds'!T58/la))/('Data Bonds'!T58/la)-theta2*EXP(-'Data Bonds'!T58/la))</f>
        <v>5.0193884019659962E-2</v>
      </c>
      <c r="R59" s="45">
        <f>IF('Data Bonds'!U58=0,0,theta0+(theta1+theta2)*(1-EXP(-'Data Bonds'!U58/la))/('Data Bonds'!U58/la)-theta2*EXP(-'Data Bonds'!U58/la))</f>
        <v>5.0416342149512058E-2</v>
      </c>
      <c r="S59" s="45">
        <f>IF('Data Bonds'!V58=0,0,theta0+(theta1+theta2)*(1-EXP(-'Data Bonds'!V58/la))/('Data Bonds'!V58/la)-theta2*EXP(-'Data Bonds'!V58/la))</f>
        <v>5.0624969074311257E-2</v>
      </c>
      <c r="T59" s="45">
        <f>IF('Data Bonds'!W58=0,0,theta0+(theta1+theta2)*(1-EXP(-'Data Bonds'!W58/la))/('Data Bonds'!W58/la)-theta2*EXP(-'Data Bonds'!W58/la))</f>
        <v>5.0817793561872729E-2</v>
      </c>
      <c r="U59" s="45">
        <f>IF('Data Bonds'!X58=0,0,theta0+(theta1+theta2)*(1-EXP(-'Data Bonds'!X58/la))/('Data Bonds'!X58/la)-theta2*EXP(-'Data Bonds'!X58/la))</f>
        <v>5.0994403103277734E-2</v>
      </c>
      <c r="V59" s="45">
        <f>IF('Data Bonds'!Y58=0,0,theta0+(theta1+theta2)*(1-EXP(-'Data Bonds'!Y58/la))/('Data Bonds'!Y58/la)-theta2*EXP(-'Data Bonds'!Y58/la))</f>
        <v>5.1155288695615496E-2</v>
      </c>
      <c r="W59" s="45">
        <f>IF('Data Bonds'!Z58=0,0,theta0+(theta1+theta2)*(1-EXP(-'Data Bonds'!Z58/la))/('Data Bonds'!Z58/la)-theta2*EXP(-'Data Bonds'!Z58/la))</f>
        <v>5.1301428168232986E-2</v>
      </c>
      <c r="X59" s="45">
        <f>IF('Data Bonds'!AA58=0,0,theta0+(theta1+theta2)*(1-EXP(-'Data Bonds'!AA58/la))/('Data Bonds'!AA58/la)-theta2*EXP(-'Data Bonds'!AA58/la))</f>
        <v>5.1434026097624264E-2</v>
      </c>
      <c r="Y59" s="45">
        <f>IF('Data Bonds'!AB58=0,0,theta0+(theta1+theta2)*(1-EXP(-'Data Bonds'!AB58/la))/('Data Bonds'!AB58/la)-theta2*EXP(-'Data Bonds'!AB58/la))</f>
        <v>5.1554355703636381E-2</v>
      </c>
      <c r="Z59" s="45">
        <f>IF('Data Bonds'!AC58=0,0,theta0+(theta1+theta2)*(1-EXP(-'Data Bonds'!AC58/la))/('Data Bonds'!AC58/la)-theta2*EXP(-'Data Bonds'!AC58/la))</f>
        <v>5.1663666492393567E-2</v>
      </c>
      <c r="AA59" s="45">
        <f>IF('Data Bonds'!AD58=0,0,theta0+(theta1+theta2)*(1-EXP(-'Data Bonds'!AD58/la))/('Data Bonds'!AD58/la)-theta2*EXP(-'Data Bonds'!AD58/la))</f>
        <v>5.1763133724185395E-2</v>
      </c>
      <c r="AB59" s="45">
        <f>IF('Data Bonds'!AE58=0,0,theta0+(theta1+theta2)*(1-EXP(-'Data Bonds'!AE58/la))/('Data Bonds'!AE58/la)-theta2*EXP(-'Data Bonds'!AE58/la))</f>
        <v>5.1853834012200901E-2</v>
      </c>
      <c r="AC59" s="45">
        <f>IF('Data Bonds'!AF58=0,0,theta0+(theta1+theta2)*(1-EXP(-'Data Bonds'!AF58/la))/('Data Bonds'!AF58/la)-theta2*EXP(-'Data Bonds'!AF58/la))</f>
        <v>5.1936736836682804E-2</v>
      </c>
      <c r="AD59" s="45">
        <f>IF('Data Bonds'!AG58=0,0,theta0+(theta1+theta2)*(1-EXP(-'Data Bonds'!AG58/la))/('Data Bonds'!AG58/la)-theta2*EXP(-'Data Bonds'!AG58/la))</f>
        <v>5.2012705391962649E-2</v>
      </c>
      <c r="AE59" s="45">
        <f>IF('Data Bonds'!AH58=0,0,theta0+(theta1+theta2)*(1-EXP(-'Data Bonds'!AH58/la))/('Data Bonds'!AH58/la)-theta2*EXP(-'Data Bonds'!AH58/la))</f>
        <v>5.2082502580458233E-2</v>
      </c>
      <c r="AF59" s="45">
        <f>IF('Data Bonds'!AI58=0,0,theta0+(theta1+theta2)*(1-EXP(-'Data Bonds'!AI58/la))/('Data Bonds'!AI58/la)-theta2*EXP(-'Data Bonds'!AI58/la))</f>
        <v>5.2146799538785205E-2</v>
      </c>
      <c r="AG59" s="45">
        <f>IF('Data Bonds'!AJ58=0,0,theta0+(theta1+theta2)*(1-EXP(-'Data Bonds'!AJ58/la))/('Data Bonds'!AJ58/la)-theta2*EXP(-'Data Bonds'!AJ58/la))</f>
        <v>5.2206185102880893E-2</v>
      </c>
      <c r="AH59" s="45">
        <f>IF('Data Bonds'!AK58=0,0,theta0+(theta1+theta2)*(1-EXP(-'Data Bonds'!AK58/la))/('Data Bonds'!AK58/la)-theta2*EXP(-'Data Bonds'!AK58/la))</f>
        <v>5.2261175276823613E-2</v>
      </c>
      <c r="AI59" s="45">
        <f>IF('Data Bonds'!AL58=0,0,theta0+(theta1+theta2)*(1-EXP(-'Data Bonds'!AL58/la))/('Data Bonds'!AL58/la)-theta2*EXP(-'Data Bonds'!AL58/la))</f>
        <v>5.2312222187925556E-2</v>
      </c>
      <c r="AJ59" s="45">
        <f>IF('Data Bonds'!AM58=0,0,theta0+(theta1+theta2)*(1-EXP(-'Data Bonds'!AM58/la))/('Data Bonds'!AM58/la)-theta2*EXP(-'Data Bonds'!AM58/la))</f>
        <v>5.2359722271472377E-2</v>
      </c>
      <c r="AK59" s="45">
        <f>IF('Data Bonds'!AN58=0,0,theta0+(theta1+theta2)*(1-EXP(-'Data Bonds'!AN58/la))/('Data Bonds'!AN58/la)-theta2*EXP(-'Data Bonds'!AN58/la))</f>
        <v>5.240402358722291E-2</v>
      </c>
      <c r="AL59" s="45">
        <f>IF('Data Bonds'!AO58=0,0,theta0+(theta1+theta2)*(1-EXP(-'Data Bonds'!AO58/la))/('Data Bonds'!AO58/la)-theta2*EXP(-'Data Bonds'!AO58/la))</f>
        <v>5.2445432262903005E-2</v>
      </c>
      <c r="AM59" s="45">
        <f>IF('Data Bonds'!AP58=0,0,theta0+(theta1+theta2)*(1-EXP(-'Data Bonds'!AP58/la))/('Data Bonds'!AP58/la)-theta2*EXP(-'Data Bonds'!AP58/la))</f>
        <v>5.2484218111421725E-2</v>
      </c>
      <c r="AN59" s="45">
        <f>IF('Data Bonds'!AQ58=0,0,theta0+(theta1+theta2)*(1-EXP(-'Data Bonds'!AQ58/la))/('Data Bonds'!AQ58/la)-theta2*EXP(-'Data Bonds'!AQ58/la))</f>
        <v>5.2520619494096282E-2</v>
      </c>
      <c r="AO59" s="45">
        <f>IF('Data Bonds'!AR58=0,0,theta0+(theta1+theta2)*(1-EXP(-'Data Bonds'!AR58/la))/('Data Bonds'!AR58/la)-theta2*EXP(-'Data Bonds'!AR58/la))</f>
        <v>5.2554847511976095E-2</v>
      </c>
      <c r="AP59" s="45">
        <f>IF('Data Bonds'!AS58=0,0,theta0+(theta1+theta2)*(1-EXP(-'Data Bonds'!AS58/la))/('Data Bonds'!AS58/la)-theta2*EXP(-'Data Bonds'!AS58/la))</f>
        <v>5.2587089607941187E-2</v>
      </c>
      <c r="AQ59" s="45">
        <f>IF('Data Bonds'!AT58=0,0,theta0+(theta1+theta2)*(1-EXP(-'Data Bonds'!AT58/la))/('Data Bonds'!AT58/la)-theta2*EXP(-'Data Bonds'!AT58/la))</f>
        <v>5.2617512657752857E-2</v>
      </c>
      <c r="AR59" s="45">
        <f>IF('Data Bonds'!AU58=0,0,theta0+(theta1+theta2)*(1-EXP(-'Data Bonds'!AU58/la))/('Data Bonds'!AU58/la)-theta2*EXP(-'Data Bonds'!AU58/la))</f>
        <v>5.2646265621229565E-2</v>
      </c>
      <c r="AS59" s="45">
        <f>IF('Data Bonds'!AV58=0,0,theta0+(theta1+theta2)*(1-EXP(-'Data Bonds'!AV58/la))/('Data Bonds'!AV58/la)-theta2*EXP(-'Data Bonds'!AV58/la))</f>
        <v>5.2673481816763512E-2</v>
      </c>
      <c r="AT59" s="45">
        <f>IF('Data Bonds'!AW58=0,0,theta0+(theta1+theta2)*(1-EXP(-'Data Bonds'!AW58/la))/('Data Bonds'!AW58/la)-theta2*EXP(-'Data Bonds'!AW58/la))</f>
        <v>5.2699280874393732E-2</v>
      </c>
      <c r="AU59" s="45">
        <f>IF('Data Bonds'!AX58=0,0,theta0+(theta1+theta2)*(1-EXP(-'Data Bonds'!AX58/la))/('Data Bonds'!AX58/la)-theta2*EXP(-'Data Bonds'!AX58/la))</f>
        <v>5.2723770415106237E-2</v>
      </c>
      <c r="AV59" s="45">
        <f>IF('Data Bonds'!AY58=0,0,theta0+(theta1+theta2)*(1-EXP(-'Data Bonds'!AY58/la))/('Data Bonds'!AY58/la)-theta2*EXP(-'Data Bonds'!AY58/la))</f>
        <v>5.2747047497184035E-2</v>
      </c>
      <c r="AW59" s="45">
        <f>IF('Data Bonds'!AZ58=0,0,theta0+(theta1+theta2)*(1-EXP(-'Data Bonds'!AZ58/la))/('Data Bonds'!AZ58/la)-theta2*EXP(-'Data Bonds'!AZ58/la))</f>
        <v>5.2769199864369155E-2</v>
      </c>
      <c r="AX59" s="45">
        <f>IF('Data Bonds'!BA58=0,0,theta0+(theta1+theta2)*(1-EXP(-'Data Bonds'!BA58/la))/('Data Bonds'!BA58/la)-theta2*EXP(-'Data Bonds'!BA58/la))</f>
        <v>5.2790307025326638E-2</v>
      </c>
      <c r="AY59" s="45">
        <f>IF('Data Bonds'!BB58=0,0,theta0+(theta1+theta2)*(1-EXP(-'Data Bonds'!BB58/la))/('Data Bonds'!BB58/la)-theta2*EXP(-'Data Bonds'!BB58/la))</f>
        <v>5.2810441189367362E-2</v>
      </c>
      <c r="AZ59" s="45">
        <f>IF('Data Bonds'!BC58=0,0,theta0+(theta1+theta2)*(1-EXP(-'Data Bonds'!BC58/la))/('Data Bonds'!BC58/la)-theta2*EXP(-'Data Bonds'!BC58/la))</f>
        <v>5.2829668079523232E-2</v>
      </c>
      <c r="BA59" s="45">
        <f>IF('Data Bonds'!BD58=0,0,theta0+(theta1+theta2)*(1-EXP(-'Data Bonds'!BD58/la))/('Data Bonds'!BD58/la)-theta2*EXP(-'Data Bonds'!BD58/la))</f>
        <v>5.2848047640794517E-2</v>
      </c>
      <c r="BB59" s="45">
        <f>IF('Data Bonds'!BE58=0,0,theta0+(theta1+theta2)*(1-EXP(-'Data Bonds'!BE58/la))/('Data Bonds'!BE58/la)-theta2*EXP(-'Data Bonds'!BE58/la))</f>
        <v>5.2865634658626065E-2</v>
      </c>
      <c r="BC59" s="45">
        <f>IF('Data Bonds'!BF58=0,0,theta0+(theta1+theta2)*(1-EXP(-'Data Bonds'!BF58/la))/('Data Bonds'!BF58/la)-theta2*EXP(-'Data Bonds'!BF58/la))</f>
        <v>5.2882479300344239E-2</v>
      </c>
      <c r="BD59" s="45">
        <f>IF('Data Bonds'!BG58=0,0,theta0+(theta1+theta2)*(1-EXP(-'Data Bonds'!BG58/la))/('Data Bonds'!BG58/la)-theta2*EXP(-'Data Bonds'!BG58/la))</f>
        <v>5.2898627590332335E-2</v>
      </c>
      <c r="BE59" s="45">
        <f>IF('Data Bonds'!BH58=0,0,theta0+(theta1+theta2)*(1-EXP(-'Data Bonds'!BH58/la))/('Data Bonds'!BH58/la)-theta2*EXP(-'Data Bonds'!BH58/la))</f>
        <v>5.2914121828081702E-2</v>
      </c>
      <c r="BF59" s="45">
        <f>IF('Data Bonds'!BI58=0,0,theta0+(theta1+theta2)*(1-EXP(-'Data Bonds'!BI58/la))/('Data Bonds'!BI58/la)-theta2*EXP(-'Data Bonds'!BI58/la))</f>
        <v>5.2929000956878351E-2</v>
      </c>
      <c r="BG59" s="45">
        <f>IF('Data Bonds'!BJ58=0,0,theta0+(theta1+theta2)*(1-EXP(-'Data Bonds'!BJ58/la))/('Data Bonds'!BJ58/la)-theta2*EXP(-'Data Bonds'!BJ58/la))</f>
        <v>5.2943300889727436E-2</v>
      </c>
      <c r="BH59" s="45">
        <f>IF('Data Bonds'!BK58=0,0,theta0+(theta1+theta2)*(1-EXP(-'Data Bonds'!BK58/la))/('Data Bonds'!BK58/la)-theta2*EXP(-'Data Bonds'!BK58/la))</f>
        <v>5.2957054798145414E-2</v>
      </c>
      <c r="BI59" s="45">
        <f>IF('Data Bonds'!BL58=0,0,theta0+(theta1+theta2)*(1-EXP(-'Data Bonds'!BL58/la))/('Data Bonds'!BL58/la)-theta2*EXP(-'Data Bonds'!BL58/la))</f>
        <v>5.2970293368630225E-2</v>
      </c>
      <c r="BJ59" s="45">
        <f>IF('Data Bonds'!BM58=0,0,theta0+(theta1+theta2)*(1-EXP(-'Data Bonds'!BM58/la))/('Data Bonds'!BM58/la)-theta2*EXP(-'Data Bonds'!BM58/la))</f>
        <v>5.2983045030929578E-2</v>
      </c>
      <c r="BK59" s="45">
        <f>IF('Data Bonds'!BN58=0,0,theta0+(theta1+theta2)*(1-EXP(-'Data Bonds'!BN58/la))/('Data Bonds'!BN58/la)-theta2*EXP(-'Data Bonds'!BN58/la))</f>
        <v>5.299533616164382E-2</v>
      </c>
      <c r="BL59" s="45">
        <f>IF('Data Bonds'!BO58=0,0,theta0+(theta1+theta2)*(1-EXP(-'Data Bonds'!BO58/la))/('Data Bonds'!BO58/la)-theta2*EXP(-'Data Bonds'!BO58/la))</f>
        <v>5.3007191266206406E-2</v>
      </c>
      <c r="BM59" s="45">
        <f>IF('Data Bonds'!BP58=0,0,theta0+(theta1+theta2)*(1-EXP(-'Data Bonds'!BP58/la))/('Data Bonds'!BP58/la)-theta2*EXP(-'Data Bonds'!BP58/la))</f>
        <v>5.3018633141866452E-2</v>
      </c>
      <c r="BN59" s="45">
        <f>IF('Data Bonds'!BQ58=0,0,theta0+(theta1+theta2)*(1-EXP(-'Data Bonds'!BQ58/la))/('Data Bonds'!BQ58/la)-theta2*EXP(-'Data Bonds'!BQ58/la))</f>
        <v>0</v>
      </c>
      <c r="BO59" s="45">
        <f>IF('Data Bonds'!BR58=0,0,theta0+(theta1+theta2)*(1-EXP(-'Data Bonds'!BR58/la))/('Data Bonds'!BR58/la)-theta2*EXP(-'Data Bonds'!BR58/la))</f>
        <v>0</v>
      </c>
      <c r="BP59" s="38">
        <f>EXP(-'Data Bonds'!K58*H59)</f>
        <v>0.99030095386253514</v>
      </c>
      <c r="BQ59" s="38">
        <f>EXP(-'Data Bonds'!L58*I59)</f>
        <v>0.96596142383001249</v>
      </c>
      <c r="BR59" s="38">
        <f>EXP(-'Data Bonds'!M58*J59)</f>
        <v>0.94276024382077384</v>
      </c>
      <c r="BS59" s="38">
        <f>EXP(-'Data Bonds'!N58*K59)</f>
        <v>0.92013309652437447</v>
      </c>
      <c r="BT59" s="38">
        <f>EXP(-'Data Bonds'!O58*L59)</f>
        <v>0.8978301597681585</v>
      </c>
      <c r="BU59" s="38">
        <f>EXP(-'Data Bonds'!P58*M59)</f>
        <v>0.8757679623727499</v>
      </c>
      <c r="BV59" s="38">
        <f>EXP(-'Data Bonds'!Q58*N59)</f>
        <v>0.85394508705932803</v>
      </c>
      <c r="BW59" s="38">
        <f>EXP(-'Data Bonds'!R58*O59)</f>
        <v>0.83239541980118914</v>
      </c>
      <c r="BX59" s="38">
        <f>EXP(-'Data Bonds'!S58*P59)</f>
        <v>0.81116332561828708</v>
      </c>
      <c r="BY59" s="38">
        <f>EXP(-'Data Bonds'!T58*Q59)</f>
        <v>0.79029139660492453</v>
      </c>
      <c r="BZ59" s="38">
        <f>EXP(-'Data Bonds'!U58*R59)</f>
        <v>0.76981519641342533</v>
      </c>
      <c r="CA59" s="38">
        <f>EXP(-'Data Bonds'!V58*S59)</f>
        <v>0.74976172414671449</v>
      </c>
      <c r="CB59" s="38">
        <f>EXP(-'Data Bonds'!W58*T59)</f>
        <v>0.73014971419213559</v>
      </c>
      <c r="CC59" s="38">
        <f>EXP(-'Data Bonds'!X58*U59)</f>
        <v>0.71099072354814263</v>
      </c>
      <c r="CD59" s="38">
        <f>EXP(-'Data Bonds'!Y58*V59)</f>
        <v>0.69229044963946051</v>
      </c>
      <c r="CE59" s="38">
        <f>EXP(-'Data Bonds'!Z58*W59)</f>
        <v>0.67405000392176173</v>
      </c>
      <c r="CF59" s="38">
        <f>EXP(-'Data Bonds'!AA58*X59)</f>
        <v>0.65626702351290833</v>
      </c>
      <c r="CG59" s="38">
        <f>EXP(-'Data Bonds'!AB58*Y59)</f>
        <v>0.63893658633137096</v>
      </c>
      <c r="CH59" s="38">
        <f>EXP(-'Data Bonds'!AC58*Z59)</f>
        <v>0.62205193621476651</v>
      </c>
      <c r="CI59" s="38">
        <f>EXP(-'Data Bonds'!AD58*AA59)</f>
        <v>0.60560504204345178</v>
      </c>
      <c r="CJ59" s="38">
        <f>EXP(-'Data Bonds'!AE58*AB59)</f>
        <v>0.58958702003626717</v>
      </c>
      <c r="CK59" s="38">
        <f>EXP(-'Data Bonds'!AF58*AC59)</f>
        <v>0.57398844742708199</v>
      </c>
      <c r="CL59" s="38">
        <f>EXP(-'Data Bonds'!AG58*AD59)</f>
        <v>0.55879959216452202</v>
      </c>
      <c r="CM59" s="38">
        <f>EXP(-'Data Bonds'!AH58*AE59)</f>
        <v>0.54401057894878535</v>
      </c>
      <c r="CN59" s="38">
        <f>EXP(-'Data Bonds'!AI58*AF59)</f>
        <v>0.52961150773453602</v>
      </c>
      <c r="CO59" s="38">
        <f>EXP(-'Data Bonds'!AJ58*AG59)</f>
        <v>0.51559253717395914</v>
      </c>
      <c r="CP59" s="38">
        <f>EXP(-'Data Bonds'!AK58*AH59)</f>
        <v>0.50194394246170126</v>
      </c>
      <c r="CQ59" s="38">
        <f>EXP(-'Data Bonds'!AL58*AI59)</f>
        <v>0.48865615465192236</v>
      </c>
      <c r="CR59" s="38">
        <f>EXP(-'Data Bonds'!AM58*AJ59)</f>
        <v>0.4757197866682138</v>
      </c>
      <c r="CS59" s="38">
        <f>EXP(-'Data Bonds'!AN58*AK59)</f>
        <v>0.46312564982427568</v>
      </c>
      <c r="CT59" s="38">
        <f>EXP(-'Data Bonds'!AO58*AL59)</f>
        <v>0.45086476362489408</v>
      </c>
      <c r="CU59" s="38">
        <f>EXP(-'Data Bonds'!AP58*AM59)</f>
        <v>0.43892836084252473</v>
      </c>
      <c r="CV59" s="38">
        <f>EXP(-'Data Bonds'!AQ58*AN59)</f>
        <v>0.42730788929846697</v>
      </c>
      <c r="CW59" s="38">
        <f>EXP(-'Data Bonds'!AR58*AO59)</f>
        <v>0.41599501136665035</v>
      </c>
      <c r="CX59" s="38">
        <f>EXP(-'Data Bonds'!AS58*AP59)</f>
        <v>0.40498160192183524</v>
      </c>
      <c r="CY59" s="38">
        <f>EXP(-'Data Bonds'!AT58*AQ59)</f>
        <v>0.39425974524173307</v>
      </c>
      <c r="CZ59" s="38">
        <f>EXP(-'Data Bonds'!AU58*AR59)</f>
        <v>0.38382173122115876</v>
      </c>
      <c r="DA59" s="38">
        <f>EXP(-'Data Bonds'!AV58*AS59)</f>
        <v>0.37366005114884232</v>
      </c>
      <c r="DB59" s="38">
        <f>EXP(-'Data Bonds'!AW58*AT59)</f>
        <v>0.36376739322150714</v>
      </c>
      <c r="DC59" s="38">
        <f>EXP(-'Data Bonds'!AX58*AU59)</f>
        <v>0.35413663791624533</v>
      </c>
      <c r="DD59" s="38">
        <f>EXP(-'Data Bonds'!AY58*AV59)</f>
        <v>0.34476085330458445</v>
      </c>
      <c r="DE59" s="38">
        <f>EXP(-'Data Bonds'!AZ58*AW59)</f>
        <v>0.33563329036527928</v>
      </c>
      <c r="DF59" s="38">
        <f>EXP(-'Data Bonds'!BA58*AX59)</f>
        <v>0.32674737833445056</v>
      </c>
      <c r="DG59" s="38">
        <f>EXP(-'Data Bonds'!BB58*AY59)</f>
        <v>0.3180967201188713</v>
      </c>
      <c r="DH59" s="38">
        <f>EXP(-'Data Bonds'!BC58*AZ59)</f>
        <v>0.30967508778929886</v>
      </c>
      <c r="DI59" s="38">
        <f>EXP(-'Data Bonds'!BD58*BA59)</f>
        <v>0.30147641816458359</v>
      </c>
      <c r="DJ59" s="38">
        <f>EXP(-'Data Bonds'!BE58*BB59)</f>
        <v>0.29349480849303439</v>
      </c>
      <c r="DK59" s="38">
        <f>EXP(-'Data Bonds'!BF58*BC59)</f>
        <v>0.28572451223459838</v>
      </c>
      <c r="DL59" s="38">
        <f>EXP(-'Data Bonds'!BG58*BD59)</f>
        <v>0.27815993494541275</v>
      </c>
      <c r="DM59" s="38">
        <f>EXP(-'Data Bonds'!BH58*BE59)</f>
        <v>0.27079563026493014</v>
      </c>
      <c r="DN59" s="38">
        <f>EXP(-'Data Bonds'!BI58*BF59)</f>
        <v>0.26362629600490634</v>
      </c>
      <c r="DO59" s="38">
        <f>EXP(-'Data Bonds'!BJ58*BG59)</f>
        <v>0.25664677033892935</v>
      </c>
      <c r="DP59" s="38">
        <f>EXP(-'Data Bonds'!BK58*BH59)</f>
        <v>0.24985202809077425</v>
      </c>
      <c r="DQ59" s="38">
        <f>EXP(-'Data Bonds'!BL58*BI59)</f>
        <v>0.24323717711961601</v>
      </c>
      <c r="DR59" s="38">
        <f>EXP(-'Data Bonds'!BM58*BJ59)</f>
        <v>0.23679745479998102</v>
      </c>
      <c r="DS59" s="38">
        <f>EXP(-'Data Bonds'!BN58*BK59)</f>
        <v>0.23052822459423331</v>
      </c>
      <c r="DT59" s="38">
        <f>EXP(-'Data Bonds'!BO58*BL59)</f>
        <v>0.22442497271535519</v>
      </c>
      <c r="DU59" s="38">
        <f>EXP(-'Data Bonds'!BP58*BM59)</f>
        <v>0.21848330487777301</v>
      </c>
      <c r="DV59" s="38">
        <f>EXP(-'Data Bonds'!BQ58*BN59)</f>
        <v>1</v>
      </c>
      <c r="DW59" s="38">
        <f>EXP(-'Data Bonds'!BR58*BO59)</f>
        <v>1</v>
      </c>
      <c r="DX59" s="28">
        <f>SUMPRODUCT(BP59:DW59,'Data Bonds'!BU58:EB58)</f>
        <v>89.274950640803297</v>
      </c>
      <c r="DY59" s="28">
        <f t="shared" si="5"/>
        <v>1.3734067036786159</v>
      </c>
      <c r="EA59" s="33">
        <f t="shared" si="6"/>
        <v>24</v>
      </c>
      <c r="EB59" s="29">
        <f t="shared" si="8"/>
        <v>5.2892606202656137E-2</v>
      </c>
      <c r="EC59" s="29">
        <f t="shared" si="9"/>
        <v>0.28099383514811122</v>
      </c>
      <c r="ED59" s="29">
        <f t="shared" si="7"/>
        <v>5.3663697235811089E-2</v>
      </c>
      <c r="EF59" s="32"/>
      <c r="EG59" s="32"/>
      <c r="EI59" s="34"/>
    </row>
    <row r="60" spans="1:139">
      <c r="B60" s="27">
        <f>'Data Bonds'!E59</f>
        <v>4.75</v>
      </c>
      <c r="C60" s="27">
        <f>'Data Bonds'!F59</f>
        <v>92.765625</v>
      </c>
      <c r="D60" s="27">
        <f>'Data Bonds'!G59</f>
        <v>92.796875</v>
      </c>
      <c r="E60" s="27">
        <f>'Data Bonds'!I59</f>
        <v>1.4777777777777779</v>
      </c>
      <c r="F60" s="40">
        <f>'Data Bonds'!H59</f>
        <v>29.68888888888889</v>
      </c>
      <c r="G60" s="28">
        <f t="shared" si="4"/>
        <v>94.259027777777774</v>
      </c>
      <c r="H60" s="45">
        <f>IF('Data Bonds'!K59=0,0,theta0+(theta1+theta2)*(1-EXP(-'Data Bonds'!K59/la))/('Data Bonds'!K59/la)-theta2*EXP(-'Data Bonds'!K59/la))</f>
        <v>5.1598526027898411E-2</v>
      </c>
      <c r="I60" s="45">
        <f>IF('Data Bonds'!L59=0,0,theta0+(theta1+theta2)*(1-EXP(-'Data Bonds'!L59/la))/('Data Bonds'!L59/la)-theta2*EXP(-'Data Bonds'!L59/la))</f>
        <v>5.0271357324748023E-2</v>
      </c>
      <c r="J60" s="45">
        <f>IF('Data Bonds'!M59=0,0,theta0+(theta1+theta2)*(1-EXP(-'Data Bonds'!M59/la))/('Data Bonds'!M59/la)-theta2*EXP(-'Data Bonds'!M59/la))</f>
        <v>4.9578457297749672E-2</v>
      </c>
      <c r="K60" s="45">
        <f>IF('Data Bonds'!N59=0,0,theta0+(theta1+theta2)*(1-EXP(-'Data Bonds'!N59/la))/('Data Bonds'!N59/la)-theta2*EXP(-'Data Bonds'!N59/la))</f>
        <v>4.9285035750538553E-2</v>
      </c>
      <c r="L60" s="45">
        <f>IF('Data Bonds'!O59=0,0,theta0+(theta1+theta2)*(1-EXP(-'Data Bonds'!O59/la))/('Data Bonds'!O59/la)-theta2*EXP(-'Data Bonds'!O59/la))</f>
        <v>4.9237017363447266E-2</v>
      </c>
      <c r="M60" s="45">
        <f>IF('Data Bonds'!P59=0,0,theta0+(theta1+theta2)*(1-EXP(-'Data Bonds'!P59/la))/('Data Bonds'!P59/la)-theta2*EXP(-'Data Bonds'!P59/la))</f>
        <v>4.9334171753160738E-2</v>
      </c>
      <c r="N60" s="45">
        <f>IF('Data Bonds'!Q59=0,0,theta0+(theta1+theta2)*(1-EXP(-'Data Bonds'!Q59/la))/('Data Bonds'!Q59/la)-theta2*EXP(-'Data Bonds'!Q59/la))</f>
        <v>4.9512038088999483E-2</v>
      </c>
      <c r="O60" s="45">
        <f>IF('Data Bonds'!R59=0,0,theta0+(theta1+theta2)*(1-EXP(-'Data Bonds'!R59/la))/('Data Bonds'!R59/la)-theta2*EXP(-'Data Bonds'!R59/la))</f>
        <v>4.9729794635889335E-2</v>
      </c>
      <c r="P60" s="45">
        <f>IF('Data Bonds'!S59=0,0,theta0+(theta1+theta2)*(1-EXP(-'Data Bonds'!S59/la))/('Data Bonds'!S59/la)-theta2*EXP(-'Data Bonds'!S59/la))</f>
        <v>4.9962140977046696E-2</v>
      </c>
      <c r="Q60" s="45">
        <f>IF('Data Bonds'!T59=0,0,theta0+(theta1+theta2)*(1-EXP(-'Data Bonds'!T59/la))/('Data Bonds'!T59/la)-theta2*EXP(-'Data Bonds'!T59/la))</f>
        <v>5.0193884019659962E-2</v>
      </c>
      <c r="R60" s="45">
        <f>IF('Data Bonds'!U59=0,0,theta0+(theta1+theta2)*(1-EXP(-'Data Bonds'!U59/la))/('Data Bonds'!U59/la)-theta2*EXP(-'Data Bonds'!U59/la))</f>
        <v>5.0416342149512058E-2</v>
      </c>
      <c r="S60" s="45">
        <f>IF('Data Bonds'!V59=0,0,theta0+(theta1+theta2)*(1-EXP(-'Data Bonds'!V59/la))/('Data Bonds'!V59/la)-theta2*EXP(-'Data Bonds'!V59/la))</f>
        <v>5.0624969074311257E-2</v>
      </c>
      <c r="T60" s="45">
        <f>IF('Data Bonds'!W59=0,0,theta0+(theta1+theta2)*(1-EXP(-'Data Bonds'!W59/la))/('Data Bonds'!W59/la)-theta2*EXP(-'Data Bonds'!W59/la))</f>
        <v>5.0817793561872729E-2</v>
      </c>
      <c r="U60" s="45">
        <f>IF('Data Bonds'!X59=0,0,theta0+(theta1+theta2)*(1-EXP(-'Data Bonds'!X59/la))/('Data Bonds'!X59/la)-theta2*EXP(-'Data Bonds'!X59/la))</f>
        <v>5.0994403103277734E-2</v>
      </c>
      <c r="V60" s="45">
        <f>IF('Data Bonds'!Y59=0,0,theta0+(theta1+theta2)*(1-EXP(-'Data Bonds'!Y59/la))/('Data Bonds'!Y59/la)-theta2*EXP(-'Data Bonds'!Y59/la))</f>
        <v>5.1155288695615496E-2</v>
      </c>
      <c r="W60" s="45">
        <f>IF('Data Bonds'!Z59=0,0,theta0+(theta1+theta2)*(1-EXP(-'Data Bonds'!Z59/la))/('Data Bonds'!Z59/la)-theta2*EXP(-'Data Bonds'!Z59/la))</f>
        <v>5.1301428168232986E-2</v>
      </c>
      <c r="X60" s="45">
        <f>IF('Data Bonds'!AA59=0,0,theta0+(theta1+theta2)*(1-EXP(-'Data Bonds'!AA59/la))/('Data Bonds'!AA59/la)-theta2*EXP(-'Data Bonds'!AA59/la))</f>
        <v>5.1434026097624264E-2</v>
      </c>
      <c r="Y60" s="45">
        <f>IF('Data Bonds'!AB59=0,0,theta0+(theta1+theta2)*(1-EXP(-'Data Bonds'!AB59/la))/('Data Bonds'!AB59/la)-theta2*EXP(-'Data Bonds'!AB59/la))</f>
        <v>5.1554355703636381E-2</v>
      </c>
      <c r="Z60" s="45">
        <f>IF('Data Bonds'!AC59=0,0,theta0+(theta1+theta2)*(1-EXP(-'Data Bonds'!AC59/la))/('Data Bonds'!AC59/la)-theta2*EXP(-'Data Bonds'!AC59/la))</f>
        <v>5.1663666492393567E-2</v>
      </c>
      <c r="AA60" s="45">
        <f>IF('Data Bonds'!AD59=0,0,theta0+(theta1+theta2)*(1-EXP(-'Data Bonds'!AD59/la))/('Data Bonds'!AD59/la)-theta2*EXP(-'Data Bonds'!AD59/la))</f>
        <v>5.1763133724185395E-2</v>
      </c>
      <c r="AB60" s="45">
        <f>IF('Data Bonds'!AE59=0,0,theta0+(theta1+theta2)*(1-EXP(-'Data Bonds'!AE59/la))/('Data Bonds'!AE59/la)-theta2*EXP(-'Data Bonds'!AE59/la))</f>
        <v>5.1853834012200901E-2</v>
      </c>
      <c r="AC60" s="45">
        <f>IF('Data Bonds'!AF59=0,0,theta0+(theta1+theta2)*(1-EXP(-'Data Bonds'!AF59/la))/('Data Bonds'!AF59/la)-theta2*EXP(-'Data Bonds'!AF59/la))</f>
        <v>5.1936736836682804E-2</v>
      </c>
      <c r="AD60" s="45">
        <f>IF('Data Bonds'!AG59=0,0,theta0+(theta1+theta2)*(1-EXP(-'Data Bonds'!AG59/la))/('Data Bonds'!AG59/la)-theta2*EXP(-'Data Bonds'!AG59/la))</f>
        <v>5.2012705391962649E-2</v>
      </c>
      <c r="AE60" s="45">
        <f>IF('Data Bonds'!AH59=0,0,theta0+(theta1+theta2)*(1-EXP(-'Data Bonds'!AH59/la))/('Data Bonds'!AH59/la)-theta2*EXP(-'Data Bonds'!AH59/la))</f>
        <v>5.2082502580458233E-2</v>
      </c>
      <c r="AF60" s="45">
        <f>IF('Data Bonds'!AI59=0,0,theta0+(theta1+theta2)*(1-EXP(-'Data Bonds'!AI59/la))/('Data Bonds'!AI59/la)-theta2*EXP(-'Data Bonds'!AI59/la))</f>
        <v>5.2146799538785205E-2</v>
      </c>
      <c r="AG60" s="45">
        <f>IF('Data Bonds'!AJ59=0,0,theta0+(theta1+theta2)*(1-EXP(-'Data Bonds'!AJ59/la))/('Data Bonds'!AJ59/la)-theta2*EXP(-'Data Bonds'!AJ59/la))</f>
        <v>5.2206185102880893E-2</v>
      </c>
      <c r="AH60" s="45">
        <f>IF('Data Bonds'!AK59=0,0,theta0+(theta1+theta2)*(1-EXP(-'Data Bonds'!AK59/la))/('Data Bonds'!AK59/la)-theta2*EXP(-'Data Bonds'!AK59/la))</f>
        <v>5.2261175276823613E-2</v>
      </c>
      <c r="AI60" s="45">
        <f>IF('Data Bonds'!AL59=0,0,theta0+(theta1+theta2)*(1-EXP(-'Data Bonds'!AL59/la))/('Data Bonds'!AL59/la)-theta2*EXP(-'Data Bonds'!AL59/la))</f>
        <v>5.2312222187925556E-2</v>
      </c>
      <c r="AJ60" s="45">
        <f>IF('Data Bonds'!AM59=0,0,theta0+(theta1+theta2)*(1-EXP(-'Data Bonds'!AM59/la))/('Data Bonds'!AM59/la)-theta2*EXP(-'Data Bonds'!AM59/la))</f>
        <v>5.2359722271472377E-2</v>
      </c>
      <c r="AK60" s="45">
        <f>IF('Data Bonds'!AN59=0,0,theta0+(theta1+theta2)*(1-EXP(-'Data Bonds'!AN59/la))/('Data Bonds'!AN59/la)-theta2*EXP(-'Data Bonds'!AN59/la))</f>
        <v>5.240402358722291E-2</v>
      </c>
      <c r="AL60" s="45">
        <f>IF('Data Bonds'!AO59=0,0,theta0+(theta1+theta2)*(1-EXP(-'Data Bonds'!AO59/la))/('Data Bonds'!AO59/la)-theta2*EXP(-'Data Bonds'!AO59/la))</f>
        <v>5.2445432262903005E-2</v>
      </c>
      <c r="AM60" s="45">
        <f>IF('Data Bonds'!AP59=0,0,theta0+(theta1+theta2)*(1-EXP(-'Data Bonds'!AP59/la))/('Data Bonds'!AP59/la)-theta2*EXP(-'Data Bonds'!AP59/la))</f>
        <v>5.2484218111421725E-2</v>
      </c>
      <c r="AN60" s="45">
        <f>IF('Data Bonds'!AQ59=0,0,theta0+(theta1+theta2)*(1-EXP(-'Data Bonds'!AQ59/la))/('Data Bonds'!AQ59/la)-theta2*EXP(-'Data Bonds'!AQ59/la))</f>
        <v>5.2520619494096282E-2</v>
      </c>
      <c r="AO60" s="45">
        <f>IF('Data Bonds'!AR59=0,0,theta0+(theta1+theta2)*(1-EXP(-'Data Bonds'!AR59/la))/('Data Bonds'!AR59/la)-theta2*EXP(-'Data Bonds'!AR59/la))</f>
        <v>5.2554847511976095E-2</v>
      </c>
      <c r="AP60" s="45">
        <f>IF('Data Bonds'!AS59=0,0,theta0+(theta1+theta2)*(1-EXP(-'Data Bonds'!AS59/la))/('Data Bonds'!AS59/la)-theta2*EXP(-'Data Bonds'!AS59/la))</f>
        <v>5.2587089607941187E-2</v>
      </c>
      <c r="AQ60" s="45">
        <f>IF('Data Bonds'!AT59=0,0,theta0+(theta1+theta2)*(1-EXP(-'Data Bonds'!AT59/la))/('Data Bonds'!AT59/la)-theta2*EXP(-'Data Bonds'!AT59/la))</f>
        <v>5.2617512657752857E-2</v>
      </c>
      <c r="AR60" s="45">
        <f>IF('Data Bonds'!AU59=0,0,theta0+(theta1+theta2)*(1-EXP(-'Data Bonds'!AU59/la))/('Data Bonds'!AU59/la)-theta2*EXP(-'Data Bonds'!AU59/la))</f>
        <v>5.2646265621229565E-2</v>
      </c>
      <c r="AS60" s="45">
        <f>IF('Data Bonds'!AV59=0,0,theta0+(theta1+theta2)*(1-EXP(-'Data Bonds'!AV59/la))/('Data Bonds'!AV59/la)-theta2*EXP(-'Data Bonds'!AV59/la))</f>
        <v>5.2673481816763512E-2</v>
      </c>
      <c r="AT60" s="45">
        <f>IF('Data Bonds'!AW59=0,0,theta0+(theta1+theta2)*(1-EXP(-'Data Bonds'!AW59/la))/('Data Bonds'!AW59/la)-theta2*EXP(-'Data Bonds'!AW59/la))</f>
        <v>5.2699280874393732E-2</v>
      </c>
      <c r="AU60" s="45">
        <f>IF('Data Bonds'!AX59=0,0,theta0+(theta1+theta2)*(1-EXP(-'Data Bonds'!AX59/la))/('Data Bonds'!AX59/la)-theta2*EXP(-'Data Bonds'!AX59/la))</f>
        <v>5.2723770415106237E-2</v>
      </c>
      <c r="AV60" s="45">
        <f>IF('Data Bonds'!AY59=0,0,theta0+(theta1+theta2)*(1-EXP(-'Data Bonds'!AY59/la))/('Data Bonds'!AY59/la)-theta2*EXP(-'Data Bonds'!AY59/la))</f>
        <v>5.2747047497184035E-2</v>
      </c>
      <c r="AW60" s="45">
        <f>IF('Data Bonds'!AZ59=0,0,theta0+(theta1+theta2)*(1-EXP(-'Data Bonds'!AZ59/la))/('Data Bonds'!AZ59/la)-theta2*EXP(-'Data Bonds'!AZ59/la))</f>
        <v>5.2769199864369155E-2</v>
      </c>
      <c r="AX60" s="45">
        <f>IF('Data Bonds'!BA59=0,0,theta0+(theta1+theta2)*(1-EXP(-'Data Bonds'!BA59/la))/('Data Bonds'!BA59/la)-theta2*EXP(-'Data Bonds'!BA59/la))</f>
        <v>5.2790307025326638E-2</v>
      </c>
      <c r="AY60" s="45">
        <f>IF('Data Bonds'!BB59=0,0,theta0+(theta1+theta2)*(1-EXP(-'Data Bonds'!BB59/la))/('Data Bonds'!BB59/la)-theta2*EXP(-'Data Bonds'!BB59/la))</f>
        <v>5.2810441189367362E-2</v>
      </c>
      <c r="AZ60" s="45">
        <f>IF('Data Bonds'!BC59=0,0,theta0+(theta1+theta2)*(1-EXP(-'Data Bonds'!BC59/la))/('Data Bonds'!BC59/la)-theta2*EXP(-'Data Bonds'!BC59/la))</f>
        <v>5.2829668079523232E-2</v>
      </c>
      <c r="BA60" s="45">
        <f>IF('Data Bonds'!BD59=0,0,theta0+(theta1+theta2)*(1-EXP(-'Data Bonds'!BD59/la))/('Data Bonds'!BD59/la)-theta2*EXP(-'Data Bonds'!BD59/la))</f>
        <v>5.2848047640794517E-2</v>
      </c>
      <c r="BB60" s="45">
        <f>IF('Data Bonds'!BE59=0,0,theta0+(theta1+theta2)*(1-EXP(-'Data Bonds'!BE59/la))/('Data Bonds'!BE59/la)-theta2*EXP(-'Data Bonds'!BE59/la))</f>
        <v>5.2865634658626065E-2</v>
      </c>
      <c r="BC60" s="45">
        <f>IF('Data Bonds'!BF59=0,0,theta0+(theta1+theta2)*(1-EXP(-'Data Bonds'!BF59/la))/('Data Bonds'!BF59/la)-theta2*EXP(-'Data Bonds'!BF59/la))</f>
        <v>5.2882479300344239E-2</v>
      </c>
      <c r="BD60" s="45">
        <f>IF('Data Bonds'!BG59=0,0,theta0+(theta1+theta2)*(1-EXP(-'Data Bonds'!BG59/la))/('Data Bonds'!BG59/la)-theta2*EXP(-'Data Bonds'!BG59/la))</f>
        <v>5.2898627590332335E-2</v>
      </c>
      <c r="BE60" s="45">
        <f>IF('Data Bonds'!BH59=0,0,theta0+(theta1+theta2)*(1-EXP(-'Data Bonds'!BH59/la))/('Data Bonds'!BH59/la)-theta2*EXP(-'Data Bonds'!BH59/la))</f>
        <v>5.2914121828081702E-2</v>
      </c>
      <c r="BF60" s="45">
        <f>IF('Data Bonds'!BI59=0,0,theta0+(theta1+theta2)*(1-EXP(-'Data Bonds'!BI59/la))/('Data Bonds'!BI59/la)-theta2*EXP(-'Data Bonds'!BI59/la))</f>
        <v>5.2929000956878351E-2</v>
      </c>
      <c r="BG60" s="45">
        <f>IF('Data Bonds'!BJ59=0,0,theta0+(theta1+theta2)*(1-EXP(-'Data Bonds'!BJ59/la))/('Data Bonds'!BJ59/la)-theta2*EXP(-'Data Bonds'!BJ59/la))</f>
        <v>5.2943300889727436E-2</v>
      </c>
      <c r="BH60" s="45">
        <f>IF('Data Bonds'!BK59=0,0,theta0+(theta1+theta2)*(1-EXP(-'Data Bonds'!BK59/la))/('Data Bonds'!BK59/la)-theta2*EXP(-'Data Bonds'!BK59/la))</f>
        <v>5.2957054798145414E-2</v>
      </c>
      <c r="BI60" s="45">
        <f>IF('Data Bonds'!BL59=0,0,theta0+(theta1+theta2)*(1-EXP(-'Data Bonds'!BL59/la))/('Data Bonds'!BL59/la)-theta2*EXP(-'Data Bonds'!BL59/la))</f>
        <v>5.2970293368630225E-2</v>
      </c>
      <c r="BJ60" s="45">
        <f>IF('Data Bonds'!BM59=0,0,theta0+(theta1+theta2)*(1-EXP(-'Data Bonds'!BM59/la))/('Data Bonds'!BM59/la)-theta2*EXP(-'Data Bonds'!BM59/la))</f>
        <v>5.2983045030929578E-2</v>
      </c>
      <c r="BK60" s="45">
        <f>IF('Data Bonds'!BN59=0,0,theta0+(theta1+theta2)*(1-EXP(-'Data Bonds'!BN59/la))/('Data Bonds'!BN59/la)-theta2*EXP(-'Data Bonds'!BN59/la))</f>
        <v>5.299533616164382E-2</v>
      </c>
      <c r="BL60" s="45">
        <f>IF('Data Bonds'!BO59=0,0,theta0+(theta1+theta2)*(1-EXP(-'Data Bonds'!BO59/la))/('Data Bonds'!BO59/la)-theta2*EXP(-'Data Bonds'!BO59/la))</f>
        <v>5.3007191266206406E-2</v>
      </c>
      <c r="BM60" s="45">
        <f>IF('Data Bonds'!BP59=0,0,theta0+(theta1+theta2)*(1-EXP(-'Data Bonds'!BP59/la))/('Data Bonds'!BP59/la)-theta2*EXP(-'Data Bonds'!BP59/la))</f>
        <v>5.3018633141866452E-2</v>
      </c>
      <c r="BN60" s="45">
        <f>IF('Data Bonds'!BQ59=0,0,theta0+(theta1+theta2)*(1-EXP(-'Data Bonds'!BQ59/la))/('Data Bonds'!BQ59/la)-theta2*EXP(-'Data Bonds'!BQ59/la))</f>
        <v>5.3029683023941974E-2</v>
      </c>
      <c r="BO60" s="45">
        <f>IF('Data Bonds'!BR59=0,0,theta0+(theta1+theta2)*(1-EXP(-'Data Bonds'!BR59/la))/('Data Bonds'!BR59/la)-theta2*EXP(-'Data Bonds'!BR59/la))</f>
        <v>5.3040360717309609E-2</v>
      </c>
      <c r="BP60" s="38">
        <f>EXP(-'Data Bonds'!K59*H60)</f>
        <v>0.99030095386253514</v>
      </c>
      <c r="BQ60" s="38">
        <f>EXP(-'Data Bonds'!L59*I60)</f>
        <v>0.96596142383001249</v>
      </c>
      <c r="BR60" s="38">
        <f>EXP(-'Data Bonds'!M59*J60)</f>
        <v>0.94276024382077384</v>
      </c>
      <c r="BS60" s="38">
        <f>EXP(-'Data Bonds'!N59*K60)</f>
        <v>0.92013309652437447</v>
      </c>
      <c r="BT60" s="38">
        <f>EXP(-'Data Bonds'!O59*L60)</f>
        <v>0.8978301597681585</v>
      </c>
      <c r="BU60" s="38">
        <f>EXP(-'Data Bonds'!P59*M60)</f>
        <v>0.8757679623727499</v>
      </c>
      <c r="BV60" s="38">
        <f>EXP(-'Data Bonds'!Q59*N60)</f>
        <v>0.85394508705932803</v>
      </c>
      <c r="BW60" s="38">
        <f>EXP(-'Data Bonds'!R59*O60)</f>
        <v>0.83239541980118914</v>
      </c>
      <c r="BX60" s="38">
        <f>EXP(-'Data Bonds'!S59*P60)</f>
        <v>0.81116332561828708</v>
      </c>
      <c r="BY60" s="38">
        <f>EXP(-'Data Bonds'!T59*Q60)</f>
        <v>0.79029139660492453</v>
      </c>
      <c r="BZ60" s="38">
        <f>EXP(-'Data Bonds'!U59*R60)</f>
        <v>0.76981519641342533</v>
      </c>
      <c r="CA60" s="38">
        <f>EXP(-'Data Bonds'!V59*S60)</f>
        <v>0.74976172414671449</v>
      </c>
      <c r="CB60" s="38">
        <f>EXP(-'Data Bonds'!W59*T60)</f>
        <v>0.73014971419213559</v>
      </c>
      <c r="CC60" s="38">
        <f>EXP(-'Data Bonds'!X59*U60)</f>
        <v>0.71099072354814263</v>
      </c>
      <c r="CD60" s="38">
        <f>EXP(-'Data Bonds'!Y59*V60)</f>
        <v>0.69229044963946051</v>
      </c>
      <c r="CE60" s="38">
        <f>EXP(-'Data Bonds'!Z59*W60)</f>
        <v>0.67405000392176173</v>
      </c>
      <c r="CF60" s="38">
        <f>EXP(-'Data Bonds'!AA59*X60)</f>
        <v>0.65626702351290833</v>
      </c>
      <c r="CG60" s="38">
        <f>EXP(-'Data Bonds'!AB59*Y60)</f>
        <v>0.63893658633137096</v>
      </c>
      <c r="CH60" s="38">
        <f>EXP(-'Data Bonds'!AC59*Z60)</f>
        <v>0.62205193621476651</v>
      </c>
      <c r="CI60" s="38">
        <f>EXP(-'Data Bonds'!AD59*AA60)</f>
        <v>0.60560504204345178</v>
      </c>
      <c r="CJ60" s="38">
        <f>EXP(-'Data Bonds'!AE59*AB60)</f>
        <v>0.58958702003626717</v>
      </c>
      <c r="CK60" s="38">
        <f>EXP(-'Data Bonds'!AF59*AC60)</f>
        <v>0.57398844742708199</v>
      </c>
      <c r="CL60" s="38">
        <f>EXP(-'Data Bonds'!AG59*AD60)</f>
        <v>0.55879959216452202</v>
      </c>
      <c r="CM60" s="38">
        <f>EXP(-'Data Bonds'!AH59*AE60)</f>
        <v>0.54401057894878535</v>
      </c>
      <c r="CN60" s="38">
        <f>EXP(-'Data Bonds'!AI59*AF60)</f>
        <v>0.52961150773453602</v>
      </c>
      <c r="CO60" s="38">
        <f>EXP(-'Data Bonds'!AJ59*AG60)</f>
        <v>0.51559253717395914</v>
      </c>
      <c r="CP60" s="38">
        <f>EXP(-'Data Bonds'!AK59*AH60)</f>
        <v>0.50194394246170126</v>
      </c>
      <c r="CQ60" s="38">
        <f>EXP(-'Data Bonds'!AL59*AI60)</f>
        <v>0.48865615465192236</v>
      </c>
      <c r="CR60" s="38">
        <f>EXP(-'Data Bonds'!AM59*AJ60)</f>
        <v>0.4757197866682138</v>
      </c>
      <c r="CS60" s="38">
        <f>EXP(-'Data Bonds'!AN59*AK60)</f>
        <v>0.46312564982427568</v>
      </c>
      <c r="CT60" s="38">
        <f>EXP(-'Data Bonds'!AO59*AL60)</f>
        <v>0.45086476362489408</v>
      </c>
      <c r="CU60" s="38">
        <f>EXP(-'Data Bonds'!AP59*AM60)</f>
        <v>0.43892836084252473</v>
      </c>
      <c r="CV60" s="38">
        <f>EXP(-'Data Bonds'!AQ59*AN60)</f>
        <v>0.42730788929846697</v>
      </c>
      <c r="CW60" s="38">
        <f>EXP(-'Data Bonds'!AR59*AO60)</f>
        <v>0.41599501136665035</v>
      </c>
      <c r="CX60" s="38">
        <f>EXP(-'Data Bonds'!AS59*AP60)</f>
        <v>0.40498160192183524</v>
      </c>
      <c r="CY60" s="38">
        <f>EXP(-'Data Bonds'!AT59*AQ60)</f>
        <v>0.39425974524173307</v>
      </c>
      <c r="CZ60" s="38">
        <f>EXP(-'Data Bonds'!AU59*AR60)</f>
        <v>0.38382173122115876</v>
      </c>
      <c r="DA60" s="38">
        <f>EXP(-'Data Bonds'!AV59*AS60)</f>
        <v>0.37366005114884232</v>
      </c>
      <c r="DB60" s="38">
        <f>EXP(-'Data Bonds'!AW59*AT60)</f>
        <v>0.36376739322150714</v>
      </c>
      <c r="DC60" s="38">
        <f>EXP(-'Data Bonds'!AX59*AU60)</f>
        <v>0.35413663791624533</v>
      </c>
      <c r="DD60" s="38">
        <f>EXP(-'Data Bonds'!AY59*AV60)</f>
        <v>0.34476085330458445</v>
      </c>
      <c r="DE60" s="38">
        <f>EXP(-'Data Bonds'!AZ59*AW60)</f>
        <v>0.33563329036527928</v>
      </c>
      <c r="DF60" s="38">
        <f>EXP(-'Data Bonds'!BA59*AX60)</f>
        <v>0.32674737833445056</v>
      </c>
      <c r="DG60" s="38">
        <f>EXP(-'Data Bonds'!BB59*AY60)</f>
        <v>0.3180967201188713</v>
      </c>
      <c r="DH60" s="38">
        <f>EXP(-'Data Bonds'!BC59*AZ60)</f>
        <v>0.30967508778929886</v>
      </c>
      <c r="DI60" s="38">
        <f>EXP(-'Data Bonds'!BD59*BA60)</f>
        <v>0.30147641816458359</v>
      </c>
      <c r="DJ60" s="38">
        <f>EXP(-'Data Bonds'!BE59*BB60)</f>
        <v>0.29349480849303439</v>
      </c>
      <c r="DK60" s="38">
        <f>EXP(-'Data Bonds'!BF59*BC60)</f>
        <v>0.28572451223459838</v>
      </c>
      <c r="DL60" s="38">
        <f>EXP(-'Data Bonds'!BG59*BD60)</f>
        <v>0.27815993494541275</v>
      </c>
      <c r="DM60" s="38">
        <f>EXP(-'Data Bonds'!BH59*BE60)</f>
        <v>0.27079563026493014</v>
      </c>
      <c r="DN60" s="38">
        <f>EXP(-'Data Bonds'!BI59*BF60)</f>
        <v>0.26362629600490634</v>
      </c>
      <c r="DO60" s="38">
        <f>EXP(-'Data Bonds'!BJ59*BG60)</f>
        <v>0.25664677033892935</v>
      </c>
      <c r="DP60" s="38">
        <f>EXP(-'Data Bonds'!BK59*BH60)</f>
        <v>0.24985202809077425</v>
      </c>
      <c r="DQ60" s="38">
        <f>EXP(-'Data Bonds'!BL59*BI60)</f>
        <v>0.24323717711961601</v>
      </c>
      <c r="DR60" s="38">
        <f>EXP(-'Data Bonds'!BM59*BJ60)</f>
        <v>0.23679745479998102</v>
      </c>
      <c r="DS60" s="38">
        <f>EXP(-'Data Bonds'!BN59*BK60)</f>
        <v>0.23052822459423331</v>
      </c>
      <c r="DT60" s="38">
        <f>EXP(-'Data Bonds'!BO59*BL60)</f>
        <v>0.22442497271535519</v>
      </c>
      <c r="DU60" s="38">
        <f>EXP(-'Data Bonds'!BP59*BM60)</f>
        <v>0.21848330487777301</v>
      </c>
      <c r="DV60" s="38">
        <f>EXP(-'Data Bonds'!BQ59*BN60)</f>
        <v>0.21269894313399609</v>
      </c>
      <c r="DW60" s="38">
        <f>EXP(-'Data Bonds'!BR59*BO60)</f>
        <v>0.20706772279486255</v>
      </c>
      <c r="DX60" s="28">
        <f>SUMPRODUCT(BP60:DW60,'Data Bonds'!BU59:EB59)</f>
        <v>92.876261605928022</v>
      </c>
      <c r="DY60" s="28">
        <f t="shared" si="5"/>
        <v>1.912042286012019</v>
      </c>
      <c r="EA60" s="33">
        <f t="shared" si="6"/>
        <v>24.5</v>
      </c>
      <c r="EB60" s="29">
        <f t="shared" si="8"/>
        <v>5.2908342776162687E-2</v>
      </c>
      <c r="EC60" s="29">
        <f t="shared" si="9"/>
        <v>0.27355450279488425</v>
      </c>
      <c r="ED60" s="29">
        <f t="shared" si="7"/>
        <v>5.3663698304476995E-2</v>
      </c>
      <c r="EF60" s="32"/>
      <c r="EG60" s="32"/>
      <c r="EI60" s="34"/>
    </row>
    <row r="61" spans="1:139">
      <c r="A61" s="41"/>
      <c r="B61" s="46"/>
      <c r="C61" s="46"/>
      <c r="D61" s="46"/>
      <c r="E61" s="46"/>
      <c r="F61" s="47"/>
      <c r="G61" s="43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42"/>
      <c r="BB61" s="42"/>
      <c r="BC61" s="42"/>
      <c r="BD61" s="42"/>
      <c r="BE61" s="42"/>
      <c r="BF61" s="42"/>
      <c r="BG61" s="42"/>
      <c r="BH61" s="42"/>
      <c r="BI61" s="42"/>
      <c r="BJ61" s="42"/>
      <c r="BK61" s="42"/>
      <c r="BL61" s="42"/>
      <c r="BM61" s="42"/>
      <c r="BN61" s="42"/>
      <c r="BO61" s="42"/>
      <c r="BP61" s="43"/>
      <c r="BQ61" s="43"/>
      <c r="BR61" s="43"/>
      <c r="BS61" s="43"/>
      <c r="BT61" s="43"/>
      <c r="BU61" s="43"/>
      <c r="BV61" s="43"/>
      <c r="BW61" s="43"/>
      <c r="BX61" s="43"/>
      <c r="BY61" s="43"/>
      <c r="BZ61" s="43"/>
      <c r="CA61" s="43"/>
      <c r="CB61" s="43"/>
      <c r="CC61" s="43"/>
      <c r="CD61" s="43"/>
      <c r="CE61" s="43"/>
      <c r="CF61" s="43"/>
      <c r="CG61" s="43"/>
      <c r="CH61" s="43"/>
      <c r="CI61" s="43"/>
      <c r="CJ61" s="43"/>
      <c r="CK61" s="43"/>
      <c r="CL61" s="43"/>
      <c r="CM61" s="43"/>
      <c r="CN61" s="43"/>
      <c r="CO61" s="43"/>
      <c r="CP61" s="43"/>
      <c r="CQ61" s="43"/>
      <c r="CR61" s="43"/>
      <c r="CS61" s="43"/>
      <c r="CT61" s="43"/>
      <c r="CU61" s="43"/>
      <c r="CV61" s="43"/>
      <c r="CW61" s="43"/>
      <c r="CX61" s="43"/>
      <c r="CY61" s="43"/>
      <c r="CZ61" s="43"/>
      <c r="DA61" s="43"/>
      <c r="DB61" s="43"/>
      <c r="DC61" s="43"/>
      <c r="DD61" s="43"/>
      <c r="DE61" s="43"/>
      <c r="DF61" s="43"/>
      <c r="DG61" s="43"/>
      <c r="DH61" s="43"/>
      <c r="DI61" s="43"/>
      <c r="DJ61" s="43"/>
      <c r="DK61" s="43"/>
      <c r="DL61" s="43"/>
      <c r="DM61" s="43"/>
      <c r="DN61" s="43"/>
      <c r="DO61" s="43"/>
      <c r="DP61" s="43"/>
      <c r="DQ61" s="43"/>
      <c r="DR61" s="43"/>
      <c r="DS61" s="43"/>
      <c r="DT61" s="43"/>
      <c r="DU61" s="43"/>
      <c r="DV61" s="43"/>
      <c r="DW61" s="43"/>
      <c r="DX61" s="43"/>
      <c r="DY61" s="43"/>
      <c r="EA61" s="33">
        <f t="shared" si="6"/>
        <v>25</v>
      </c>
      <c r="EB61" s="29">
        <f t="shared" si="8"/>
        <v>5.2923449901685043E-2</v>
      </c>
      <c r="EC61" s="29">
        <f t="shared" si="9"/>
        <v>0.26631212721066527</v>
      </c>
      <c r="ED61" s="29">
        <f t="shared" si="7"/>
        <v>5.3663699052280356E-2</v>
      </c>
      <c r="EF61" s="32"/>
      <c r="EG61" s="32"/>
      <c r="EI61" s="34"/>
    </row>
    <row r="62" spans="1:139">
      <c r="A62" s="41"/>
      <c r="B62" s="46"/>
      <c r="C62" s="46"/>
      <c r="D62" s="46"/>
      <c r="E62" s="46"/>
      <c r="F62" s="47"/>
      <c r="G62" s="43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42"/>
      <c r="BB62" s="42"/>
      <c r="BC62" s="42"/>
      <c r="BD62" s="42"/>
      <c r="BE62" s="42"/>
      <c r="BF62" s="42"/>
      <c r="BG62" s="42"/>
      <c r="BH62" s="42"/>
      <c r="BI62" s="42"/>
      <c r="BJ62" s="42"/>
      <c r="BK62" s="42"/>
      <c r="BL62" s="42"/>
      <c r="BM62" s="42"/>
      <c r="BN62" s="42"/>
      <c r="BO62" s="42"/>
      <c r="BP62" s="43"/>
      <c r="BQ62" s="43"/>
      <c r="BR62" s="43"/>
      <c r="BS62" s="43"/>
      <c r="BT62" s="43"/>
      <c r="BU62" s="43"/>
      <c r="BV62" s="43"/>
      <c r="BW62" s="43"/>
      <c r="BX62" s="43"/>
      <c r="BY62" s="43"/>
      <c r="BZ62" s="43"/>
      <c r="CA62" s="43"/>
      <c r="CB62" s="43"/>
      <c r="CC62" s="43"/>
      <c r="CD62" s="43"/>
      <c r="CE62" s="43"/>
      <c r="CF62" s="43"/>
      <c r="CG62" s="43"/>
      <c r="CH62" s="43"/>
      <c r="CI62" s="43"/>
      <c r="CJ62" s="43"/>
      <c r="CK62" s="43"/>
      <c r="CL62" s="43"/>
      <c r="CM62" s="43"/>
      <c r="CN62" s="43"/>
      <c r="CO62" s="43"/>
      <c r="CP62" s="43"/>
      <c r="CQ62" s="43"/>
      <c r="CR62" s="43"/>
      <c r="CS62" s="43"/>
      <c r="CT62" s="43"/>
      <c r="CU62" s="43"/>
      <c r="CV62" s="43"/>
      <c r="CW62" s="43"/>
      <c r="CX62" s="43"/>
      <c r="CY62" s="43"/>
      <c r="CZ62" s="43"/>
      <c r="DA62" s="43"/>
      <c r="DB62" s="43"/>
      <c r="DC62" s="43"/>
      <c r="DD62" s="43"/>
      <c r="DE62" s="43"/>
      <c r="DF62" s="43"/>
      <c r="DG62" s="43"/>
      <c r="DH62" s="43"/>
      <c r="DI62" s="43"/>
      <c r="DJ62" s="43"/>
      <c r="DK62" s="43"/>
      <c r="DL62" s="43"/>
      <c r="DM62" s="43"/>
      <c r="DN62" s="43"/>
      <c r="DO62" s="43"/>
      <c r="DP62" s="43"/>
      <c r="DQ62" s="43"/>
      <c r="DR62" s="43"/>
      <c r="DS62" s="43"/>
      <c r="DT62" s="43"/>
      <c r="DU62" s="43"/>
      <c r="DV62" s="43"/>
      <c r="DW62" s="43"/>
      <c r="DX62" s="43"/>
      <c r="DY62" s="43"/>
      <c r="EA62" s="33">
        <f t="shared" si="6"/>
        <v>25.5</v>
      </c>
      <c r="EB62" s="29">
        <f t="shared" si="8"/>
        <v>5.2937964601168057E-2</v>
      </c>
      <c r="EC62" s="29">
        <f t="shared" si="9"/>
        <v>0.25926149398498721</v>
      </c>
      <c r="ED62" s="29">
        <f t="shared" si="7"/>
        <v>5.3663699575318975E-2</v>
      </c>
      <c r="EF62" s="32"/>
      <c r="EG62" s="32"/>
      <c r="EI62" s="34"/>
    </row>
    <row r="63" spans="1:139">
      <c r="A63" s="41"/>
      <c r="B63" s="46"/>
      <c r="C63" s="46"/>
      <c r="D63" s="46"/>
      <c r="E63" s="46"/>
      <c r="F63" s="47"/>
      <c r="G63" s="43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42"/>
      <c r="BB63" s="42"/>
      <c r="BC63" s="42"/>
      <c r="BD63" s="42"/>
      <c r="BE63" s="42"/>
      <c r="BF63" s="42"/>
      <c r="BG63" s="42"/>
      <c r="BH63" s="42"/>
      <c r="BI63" s="42"/>
      <c r="BJ63" s="42"/>
      <c r="BK63" s="42"/>
      <c r="BL63" s="42"/>
      <c r="BM63" s="42"/>
      <c r="BN63" s="42"/>
      <c r="BO63" s="42"/>
      <c r="BP63" s="43"/>
      <c r="BQ63" s="43"/>
      <c r="BR63" s="43"/>
      <c r="BS63" s="43"/>
      <c r="BT63" s="43"/>
      <c r="BU63" s="43"/>
      <c r="BV63" s="43"/>
      <c r="BW63" s="43"/>
      <c r="BX63" s="43"/>
      <c r="BY63" s="43"/>
      <c r="BZ63" s="43"/>
      <c r="CA63" s="43"/>
      <c r="CB63" s="43"/>
      <c r="CC63" s="43"/>
      <c r="CD63" s="43"/>
      <c r="CE63" s="43"/>
      <c r="CF63" s="43"/>
      <c r="CG63" s="43"/>
      <c r="CH63" s="43"/>
      <c r="CI63" s="43"/>
      <c r="CJ63" s="43"/>
      <c r="CK63" s="43"/>
      <c r="CL63" s="43"/>
      <c r="CM63" s="43"/>
      <c r="CN63" s="43"/>
      <c r="CO63" s="43"/>
      <c r="CP63" s="43"/>
      <c r="CQ63" s="43"/>
      <c r="CR63" s="43"/>
      <c r="CS63" s="43"/>
      <c r="CT63" s="43"/>
      <c r="CU63" s="43"/>
      <c r="CV63" s="43"/>
      <c r="CW63" s="43"/>
      <c r="CX63" s="43"/>
      <c r="CY63" s="43"/>
      <c r="CZ63" s="43"/>
      <c r="DA63" s="43"/>
      <c r="DB63" s="43"/>
      <c r="DC63" s="43"/>
      <c r="DD63" s="43"/>
      <c r="DE63" s="43"/>
      <c r="DF63" s="43"/>
      <c r="DG63" s="43"/>
      <c r="DH63" s="43"/>
      <c r="DI63" s="43"/>
      <c r="DJ63" s="43"/>
      <c r="DK63" s="43"/>
      <c r="DL63" s="43"/>
      <c r="DM63" s="43"/>
      <c r="DN63" s="43"/>
      <c r="DO63" s="43"/>
      <c r="DP63" s="43"/>
      <c r="DQ63" s="43"/>
      <c r="DR63" s="43"/>
      <c r="DS63" s="43"/>
      <c r="DT63" s="43"/>
      <c r="DU63" s="43"/>
      <c r="DV63" s="43"/>
      <c r="DW63" s="43"/>
      <c r="DX63" s="43"/>
      <c r="DY63" s="43"/>
      <c r="EA63" s="33">
        <f t="shared" si="6"/>
        <v>26</v>
      </c>
      <c r="EB63" s="29">
        <f t="shared" si="8"/>
        <v>5.2951921050010689E-2</v>
      </c>
      <c r="EC63" s="29">
        <f t="shared" si="9"/>
        <v>0.25239752674825344</v>
      </c>
      <c r="ED63" s="29">
        <f t="shared" si="7"/>
        <v>5.3663699940985028E-2</v>
      </c>
      <c r="EF63" s="32"/>
      <c r="EG63" s="32"/>
      <c r="EI63" s="34"/>
    </row>
    <row r="64" spans="1:139">
      <c r="A64" s="41"/>
      <c r="B64" s="46"/>
      <c r="C64" s="46"/>
      <c r="D64" s="46"/>
      <c r="E64" s="46"/>
      <c r="F64" s="47"/>
      <c r="G64" s="43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42"/>
      <c r="BB64" s="42"/>
      <c r="BC64" s="42"/>
      <c r="BD64" s="42"/>
      <c r="BE64" s="42"/>
      <c r="BF64" s="42"/>
      <c r="BG64" s="42"/>
      <c r="BH64" s="42"/>
      <c r="BI64" s="42"/>
      <c r="BJ64" s="42"/>
      <c r="BK64" s="42"/>
      <c r="BL64" s="42"/>
      <c r="BM64" s="42"/>
      <c r="BN64" s="42"/>
      <c r="BO64" s="42"/>
      <c r="BP64" s="43"/>
      <c r="BQ64" s="43"/>
      <c r="BR64" s="43"/>
      <c r="BS64" s="43"/>
      <c r="BT64" s="43"/>
      <c r="BU64" s="43"/>
      <c r="BV64" s="43"/>
      <c r="BW64" s="43"/>
      <c r="BX64" s="43"/>
      <c r="BY64" s="43"/>
      <c r="BZ64" s="43"/>
      <c r="CA64" s="43"/>
      <c r="CB64" s="43"/>
      <c r="CC64" s="43"/>
      <c r="CD64" s="43"/>
      <c r="CE64" s="43"/>
      <c r="CF64" s="43"/>
      <c r="CG64" s="43"/>
      <c r="CH64" s="43"/>
      <c r="CI64" s="43"/>
      <c r="CJ64" s="43"/>
      <c r="CK64" s="43"/>
      <c r="CL64" s="43"/>
      <c r="CM64" s="43"/>
      <c r="CN64" s="43"/>
      <c r="CO64" s="43"/>
      <c r="CP64" s="43"/>
      <c r="CQ64" s="43"/>
      <c r="CR64" s="43"/>
      <c r="CS64" s="43"/>
      <c r="CT64" s="43"/>
      <c r="CU64" s="43"/>
      <c r="CV64" s="43"/>
      <c r="CW64" s="43"/>
      <c r="CX64" s="43"/>
      <c r="CY64" s="43"/>
      <c r="CZ64" s="43"/>
      <c r="DA64" s="43"/>
      <c r="DB64" s="43"/>
      <c r="DC64" s="43"/>
      <c r="DD64" s="43"/>
      <c r="DE64" s="43"/>
      <c r="DF64" s="43"/>
      <c r="DG64" s="43"/>
      <c r="DH64" s="43"/>
      <c r="DI64" s="43"/>
      <c r="DJ64" s="43"/>
      <c r="DK64" s="43"/>
      <c r="DL64" s="43"/>
      <c r="DM64" s="43"/>
      <c r="DN64" s="43"/>
      <c r="DO64" s="43"/>
      <c r="DP64" s="43"/>
      <c r="DQ64" s="43"/>
      <c r="DR64" s="43"/>
      <c r="DS64" s="43"/>
      <c r="DT64" s="43"/>
      <c r="DU64" s="43"/>
      <c r="DV64" s="43"/>
      <c r="DW64" s="43"/>
      <c r="DX64" s="43"/>
      <c r="DY64" s="43"/>
      <c r="EA64" s="33">
        <f t="shared" si="6"/>
        <v>26.5</v>
      </c>
      <c r="EB64" s="29">
        <f t="shared" si="8"/>
        <v>5.2965350845227896E-2</v>
      </c>
      <c r="EC64" s="29">
        <f t="shared" si="9"/>
        <v>0.2457152835206016</v>
      </c>
      <c r="ED64" s="29">
        <f t="shared" si="7"/>
        <v>5.3663700196522057E-2</v>
      </c>
      <c r="EF64" s="32"/>
      <c r="EG64" s="32"/>
      <c r="EI64" s="34"/>
    </row>
    <row r="65" spans="1:139">
      <c r="A65" s="41"/>
      <c r="B65" s="46"/>
      <c r="C65" s="46"/>
      <c r="D65" s="46"/>
      <c r="E65" s="46"/>
      <c r="F65" s="47"/>
      <c r="G65" s="43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42"/>
      <c r="BB65" s="42"/>
      <c r="BC65" s="42"/>
      <c r="BD65" s="42"/>
      <c r="BE65" s="42"/>
      <c r="BF65" s="42"/>
      <c r="BG65" s="42"/>
      <c r="BH65" s="42"/>
      <c r="BI65" s="42"/>
      <c r="BJ65" s="42"/>
      <c r="BK65" s="42"/>
      <c r="BL65" s="42"/>
      <c r="BM65" s="42"/>
      <c r="BN65" s="42"/>
      <c r="BO65" s="42"/>
      <c r="BP65" s="43"/>
      <c r="BQ65" s="43"/>
      <c r="BR65" s="43"/>
      <c r="BS65" s="43"/>
      <c r="BT65" s="43"/>
      <c r="BU65" s="43"/>
      <c r="BV65" s="43"/>
      <c r="BW65" s="43"/>
      <c r="BX65" s="43"/>
      <c r="BY65" s="43"/>
      <c r="BZ65" s="43"/>
      <c r="CA65" s="43"/>
      <c r="CB65" s="43"/>
      <c r="CC65" s="43"/>
      <c r="CD65" s="43"/>
      <c r="CE65" s="43"/>
      <c r="CF65" s="43"/>
      <c r="CG65" s="43"/>
      <c r="CH65" s="43"/>
      <c r="CI65" s="43"/>
      <c r="CJ65" s="43"/>
      <c r="CK65" s="43"/>
      <c r="CL65" s="43"/>
      <c r="CM65" s="43"/>
      <c r="CN65" s="43"/>
      <c r="CO65" s="43"/>
      <c r="CP65" s="43"/>
      <c r="CQ65" s="43"/>
      <c r="CR65" s="43"/>
      <c r="CS65" s="43"/>
      <c r="CT65" s="43"/>
      <c r="CU65" s="43"/>
      <c r="CV65" s="43"/>
      <c r="CW65" s="43"/>
      <c r="CX65" s="43"/>
      <c r="CY65" s="43"/>
      <c r="CZ65" s="43"/>
      <c r="DA65" s="43"/>
      <c r="DB65" s="43"/>
      <c r="DC65" s="43"/>
      <c r="DD65" s="43"/>
      <c r="DE65" s="43"/>
      <c r="DF65" s="43"/>
      <c r="DG65" s="43"/>
      <c r="DH65" s="43"/>
      <c r="DI65" s="43"/>
      <c r="DJ65" s="43"/>
      <c r="DK65" s="43"/>
      <c r="DL65" s="43"/>
      <c r="DM65" s="43"/>
      <c r="DN65" s="43"/>
      <c r="DO65" s="43"/>
      <c r="DP65" s="43"/>
      <c r="DQ65" s="43"/>
      <c r="DR65" s="43"/>
      <c r="DS65" s="43"/>
      <c r="DT65" s="43"/>
      <c r="DU65" s="43"/>
      <c r="DV65" s="43"/>
      <c r="DW65" s="43"/>
      <c r="DX65" s="43"/>
      <c r="DY65" s="43"/>
      <c r="EA65" s="33">
        <f t="shared" si="6"/>
        <v>27</v>
      </c>
      <c r="EB65" s="29">
        <f t="shared" si="8"/>
        <v>5.2978283243927879E-2</v>
      </c>
      <c r="EC65" s="29">
        <f t="shared" si="9"/>
        <v>0.23920995315632074</v>
      </c>
      <c r="ED65" s="29">
        <f t="shared" si="7"/>
        <v>5.3663700375027212E-2</v>
      </c>
      <c r="EF65" s="32"/>
      <c r="EG65" s="32"/>
      <c r="EI65" s="34"/>
    </row>
    <row r="66" spans="1:139">
      <c r="A66" s="41"/>
      <c r="B66" s="46"/>
      <c r="C66" s="46"/>
      <c r="D66" s="46"/>
      <c r="E66" s="46"/>
      <c r="F66" s="47"/>
      <c r="G66" s="43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42"/>
      <c r="BB66" s="42"/>
      <c r="BC66" s="42"/>
      <c r="BD66" s="42"/>
      <c r="BE66" s="42"/>
      <c r="BF66" s="42"/>
      <c r="BG66" s="42"/>
      <c r="BH66" s="42"/>
      <c r="BI66" s="42"/>
      <c r="BJ66" s="42"/>
      <c r="BK66" s="42"/>
      <c r="BL66" s="42"/>
      <c r="BM66" s="42"/>
      <c r="BN66" s="42"/>
      <c r="BO66" s="42"/>
      <c r="BP66" s="43"/>
      <c r="BQ66" s="43"/>
      <c r="BR66" s="43"/>
      <c r="BS66" s="43"/>
      <c r="BT66" s="43"/>
      <c r="BU66" s="43"/>
      <c r="BV66" s="43"/>
      <c r="BW66" s="43"/>
      <c r="BX66" s="43"/>
      <c r="BY66" s="43"/>
      <c r="BZ66" s="43"/>
      <c r="CA66" s="43"/>
      <c r="CB66" s="43"/>
      <c r="CC66" s="43"/>
      <c r="CD66" s="43"/>
      <c r="CE66" s="43"/>
      <c r="CF66" s="43"/>
      <c r="CG66" s="43"/>
      <c r="CH66" s="43"/>
      <c r="CI66" s="43"/>
      <c r="CJ66" s="43"/>
      <c r="CK66" s="43"/>
      <c r="CL66" s="43"/>
      <c r="CM66" s="43"/>
      <c r="CN66" s="43"/>
      <c r="CO66" s="43"/>
      <c r="CP66" s="43"/>
      <c r="CQ66" s="43"/>
      <c r="CR66" s="43"/>
      <c r="CS66" s="43"/>
      <c r="CT66" s="43"/>
      <c r="CU66" s="43"/>
      <c r="CV66" s="43"/>
      <c r="CW66" s="43"/>
      <c r="CX66" s="43"/>
      <c r="CY66" s="43"/>
      <c r="CZ66" s="43"/>
      <c r="DA66" s="43"/>
      <c r="DB66" s="43"/>
      <c r="DC66" s="43"/>
      <c r="DD66" s="43"/>
      <c r="DE66" s="43"/>
      <c r="DF66" s="43"/>
      <c r="DG66" s="43"/>
      <c r="DH66" s="43"/>
      <c r="DI66" s="43"/>
      <c r="DJ66" s="43"/>
      <c r="DK66" s="43"/>
      <c r="DL66" s="43"/>
      <c r="DM66" s="43"/>
      <c r="DN66" s="43"/>
      <c r="DO66" s="43"/>
      <c r="DP66" s="43"/>
      <c r="DQ66" s="43"/>
      <c r="DR66" s="43"/>
      <c r="DS66" s="43"/>
      <c r="DT66" s="43"/>
      <c r="DU66" s="43"/>
      <c r="DV66" s="43"/>
      <c r="DW66" s="43"/>
      <c r="DX66" s="43"/>
      <c r="DY66" s="43"/>
      <c r="EA66" s="33">
        <f t="shared" si="6"/>
        <v>27.5</v>
      </c>
      <c r="EB66" s="29">
        <f t="shared" si="8"/>
        <v>5.2990745375850468E-2</v>
      </c>
      <c r="EC66" s="29">
        <f t="shared" si="9"/>
        <v>0.23287685188164292</v>
      </c>
      <c r="ED66" s="29">
        <f t="shared" si="7"/>
        <v>5.36637004996703E-2</v>
      </c>
      <c r="EF66" s="32"/>
      <c r="EG66" s="32"/>
      <c r="EI66" s="34"/>
    </row>
    <row r="67" spans="1:139">
      <c r="A67" s="41"/>
      <c r="B67" s="46"/>
      <c r="C67" s="46"/>
      <c r="D67" s="46"/>
      <c r="E67" s="46"/>
      <c r="F67" s="47"/>
      <c r="G67" s="43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42"/>
      <c r="BB67" s="42"/>
      <c r="BC67" s="42"/>
      <c r="BD67" s="42"/>
      <c r="BE67" s="42"/>
      <c r="BF67" s="42"/>
      <c r="BG67" s="42"/>
      <c r="BH67" s="42"/>
      <c r="BI67" s="42"/>
      <c r="BJ67" s="42"/>
      <c r="BK67" s="42"/>
      <c r="BL67" s="42"/>
      <c r="BM67" s="42"/>
      <c r="BN67" s="42"/>
      <c r="BO67" s="42"/>
      <c r="BP67" s="43"/>
      <c r="BQ67" s="43"/>
      <c r="BR67" s="43"/>
      <c r="BS67" s="43"/>
      <c r="BT67" s="43"/>
      <c r="BU67" s="43"/>
      <c r="BV67" s="43"/>
      <c r="BW67" s="43"/>
      <c r="BX67" s="43"/>
      <c r="BY67" s="43"/>
      <c r="BZ67" s="43"/>
      <c r="CA67" s="43"/>
      <c r="CB67" s="43"/>
      <c r="CC67" s="43"/>
      <c r="CD67" s="43"/>
      <c r="CE67" s="43"/>
      <c r="CF67" s="43"/>
      <c r="CG67" s="43"/>
      <c r="CH67" s="43"/>
      <c r="CI67" s="43"/>
      <c r="CJ67" s="43"/>
      <c r="CK67" s="43"/>
      <c r="CL67" s="43"/>
      <c r="CM67" s="43"/>
      <c r="CN67" s="43"/>
      <c r="CO67" s="43"/>
      <c r="CP67" s="43"/>
      <c r="CQ67" s="43"/>
      <c r="CR67" s="43"/>
      <c r="CS67" s="43"/>
      <c r="CT67" s="43"/>
      <c r="CU67" s="43"/>
      <c r="CV67" s="43"/>
      <c r="CW67" s="43"/>
      <c r="CX67" s="43"/>
      <c r="CY67" s="43"/>
      <c r="CZ67" s="43"/>
      <c r="DA67" s="43"/>
      <c r="DB67" s="43"/>
      <c r="DC67" s="43"/>
      <c r="DD67" s="43"/>
      <c r="DE67" s="43"/>
      <c r="DF67" s="43"/>
      <c r="DG67" s="43"/>
      <c r="DH67" s="43"/>
      <c r="DI67" s="43"/>
      <c r="DJ67" s="43"/>
      <c r="DK67" s="43"/>
      <c r="DL67" s="43"/>
      <c r="DM67" s="43"/>
      <c r="DN67" s="43"/>
      <c r="DO67" s="43"/>
      <c r="DP67" s="43"/>
      <c r="DQ67" s="43"/>
      <c r="DR67" s="43"/>
      <c r="DS67" s="43"/>
      <c r="DT67" s="43"/>
      <c r="DU67" s="43"/>
      <c r="DV67" s="43"/>
      <c r="DW67" s="43"/>
      <c r="DX67" s="43"/>
      <c r="DY67" s="43"/>
      <c r="EA67" s="33">
        <f t="shared" si="6"/>
        <v>28</v>
      </c>
      <c r="EB67" s="29">
        <f t="shared" si="8"/>
        <v>5.3002762433186565E-2</v>
      </c>
      <c r="EC67" s="29">
        <f t="shared" si="9"/>
        <v>0.22671141992367622</v>
      </c>
      <c r="ED67" s="29">
        <f t="shared" si="7"/>
        <v>5.366370058667147E-2</v>
      </c>
      <c r="EF67" s="32"/>
      <c r="EG67" s="32"/>
      <c r="EI67" s="34"/>
    </row>
    <row r="68" spans="1:139">
      <c r="A68" s="41"/>
      <c r="B68" s="46"/>
      <c r="C68" s="46"/>
      <c r="D68" s="46"/>
      <c r="E68" s="46"/>
      <c r="F68" s="47"/>
      <c r="G68" s="43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42"/>
      <c r="BB68" s="42"/>
      <c r="BC68" s="42"/>
      <c r="BD68" s="42"/>
      <c r="BE68" s="42"/>
      <c r="BF68" s="42"/>
      <c r="BG68" s="42"/>
      <c r="BH68" s="42"/>
      <c r="BI68" s="42"/>
      <c r="BJ68" s="42"/>
      <c r="BK68" s="42"/>
      <c r="BL68" s="42"/>
      <c r="BM68" s="42"/>
      <c r="BN68" s="42"/>
      <c r="BO68" s="42"/>
      <c r="BP68" s="43"/>
      <c r="BQ68" s="43"/>
      <c r="BR68" s="43"/>
      <c r="BS68" s="43"/>
      <c r="BT68" s="43"/>
      <c r="BU68" s="43"/>
      <c r="BV68" s="43"/>
      <c r="BW68" s="43"/>
      <c r="BX68" s="43"/>
      <c r="BY68" s="43"/>
      <c r="BZ68" s="43"/>
      <c r="CA68" s="43"/>
      <c r="CB68" s="43"/>
      <c r="CC68" s="43"/>
      <c r="CD68" s="43"/>
      <c r="CE68" s="43"/>
      <c r="CF68" s="43"/>
      <c r="CG68" s="43"/>
      <c r="CH68" s="43"/>
      <c r="CI68" s="43"/>
      <c r="CJ68" s="43"/>
      <c r="CK68" s="43"/>
      <c r="CL68" s="43"/>
      <c r="CM68" s="43"/>
      <c r="CN68" s="43"/>
      <c r="CO68" s="43"/>
      <c r="CP68" s="43"/>
      <c r="CQ68" s="43"/>
      <c r="CR68" s="43"/>
      <c r="CS68" s="43"/>
      <c r="CT68" s="43"/>
      <c r="CU68" s="43"/>
      <c r="CV68" s="43"/>
      <c r="CW68" s="43"/>
      <c r="CX68" s="43"/>
      <c r="CY68" s="43"/>
      <c r="CZ68" s="43"/>
      <c r="DA68" s="43"/>
      <c r="DB68" s="43"/>
      <c r="DC68" s="43"/>
      <c r="DD68" s="43"/>
      <c r="DE68" s="43"/>
      <c r="DF68" s="43"/>
      <c r="DG68" s="43"/>
      <c r="DH68" s="43"/>
      <c r="DI68" s="43"/>
      <c r="DJ68" s="43"/>
      <c r="DK68" s="43"/>
      <c r="DL68" s="43"/>
      <c r="DM68" s="43"/>
      <c r="DN68" s="43"/>
      <c r="DO68" s="43"/>
      <c r="DP68" s="43"/>
      <c r="DQ68" s="43"/>
      <c r="DR68" s="43"/>
      <c r="DS68" s="43"/>
      <c r="DT68" s="43"/>
      <c r="DU68" s="43"/>
      <c r="DV68" s="43"/>
      <c r="DW68" s="43"/>
      <c r="DX68" s="43"/>
      <c r="DY68" s="43"/>
      <c r="EA68" s="33">
        <f t="shared" si="6"/>
        <v>28.5</v>
      </c>
      <c r="EB68" s="29">
        <f t="shared" si="8"/>
        <v>5.3014357840453087E-2</v>
      </c>
      <c r="EC68" s="29">
        <f t="shared" si="9"/>
        <v>0.22070921822823267</v>
      </c>
      <c r="ED68" s="29">
        <f t="shared" si="7"/>
        <v>5.3663700647378527E-2</v>
      </c>
      <c r="EF68" s="32"/>
      <c r="EG68" s="32"/>
      <c r="EI68" s="34"/>
    </row>
    <row r="69" spans="1:139">
      <c r="A69" s="41"/>
      <c r="B69" s="46"/>
      <c r="C69" s="46"/>
      <c r="D69" s="46"/>
      <c r="E69" s="46"/>
      <c r="F69" s="47"/>
      <c r="G69" s="43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42"/>
      <c r="BB69" s="42"/>
      <c r="BC69" s="42"/>
      <c r="BD69" s="42"/>
      <c r="BE69" s="42"/>
      <c r="BF69" s="42"/>
      <c r="BG69" s="42"/>
      <c r="BH69" s="42"/>
      <c r="BI69" s="42"/>
      <c r="BJ69" s="42"/>
      <c r="BK69" s="42"/>
      <c r="BL69" s="42"/>
      <c r="BM69" s="42"/>
      <c r="BN69" s="42"/>
      <c r="BO69" s="42"/>
      <c r="BP69" s="43"/>
      <c r="BQ69" s="43"/>
      <c r="BR69" s="43"/>
      <c r="BS69" s="43"/>
      <c r="BT69" s="43"/>
      <c r="BU69" s="43"/>
      <c r="BV69" s="43"/>
      <c r="BW69" s="43"/>
      <c r="BX69" s="43"/>
      <c r="BY69" s="43"/>
      <c r="BZ69" s="43"/>
      <c r="CA69" s="43"/>
      <c r="CB69" s="43"/>
      <c r="CC69" s="43"/>
      <c r="CD69" s="43"/>
      <c r="CE69" s="43"/>
      <c r="CF69" s="43"/>
      <c r="CG69" s="43"/>
      <c r="CH69" s="43"/>
      <c r="CI69" s="43"/>
      <c r="CJ69" s="43"/>
      <c r="CK69" s="43"/>
      <c r="CL69" s="43"/>
      <c r="CM69" s="43"/>
      <c r="CN69" s="43"/>
      <c r="CO69" s="43"/>
      <c r="CP69" s="43"/>
      <c r="CQ69" s="43"/>
      <c r="CR69" s="43"/>
      <c r="CS69" s="43"/>
      <c r="CT69" s="43"/>
      <c r="CU69" s="43"/>
      <c r="CV69" s="43"/>
      <c r="CW69" s="43"/>
      <c r="CX69" s="43"/>
      <c r="CY69" s="43"/>
      <c r="CZ69" s="43"/>
      <c r="DA69" s="43"/>
      <c r="DB69" s="43"/>
      <c r="DC69" s="43"/>
      <c r="DD69" s="43"/>
      <c r="DE69" s="43"/>
      <c r="DF69" s="43"/>
      <c r="DG69" s="43"/>
      <c r="DH69" s="43"/>
      <c r="DI69" s="43"/>
      <c r="DJ69" s="43"/>
      <c r="DK69" s="43"/>
      <c r="DL69" s="43"/>
      <c r="DM69" s="43"/>
      <c r="DN69" s="43"/>
      <c r="DO69" s="43"/>
      <c r="DP69" s="43"/>
      <c r="DQ69" s="43"/>
      <c r="DR69" s="43"/>
      <c r="DS69" s="43"/>
      <c r="DT69" s="43"/>
      <c r="DU69" s="43"/>
      <c r="DV69" s="43"/>
      <c r="DW69" s="43"/>
      <c r="DX69" s="43"/>
      <c r="DY69" s="43"/>
      <c r="EA69" s="33">
        <f t="shared" si="6"/>
        <v>29</v>
      </c>
      <c r="EB69" s="29">
        <f t="shared" si="8"/>
        <v>5.3025553406819782E-2</v>
      </c>
      <c r="EC69" s="29">
        <f t="shared" si="9"/>
        <v>0.21486592526431045</v>
      </c>
      <c r="ED69" s="29">
        <f t="shared" si="7"/>
        <v>5.3663700689721476E-2</v>
      </c>
      <c r="EF69" s="32"/>
      <c r="EG69" s="32"/>
      <c r="EI69" s="34"/>
    </row>
    <row r="70" spans="1:139">
      <c r="A70" s="41"/>
      <c r="B70" s="46"/>
      <c r="C70" s="46"/>
      <c r="D70" s="46"/>
      <c r="E70" s="46"/>
      <c r="F70" s="47"/>
      <c r="G70" s="43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42"/>
      <c r="BB70" s="42"/>
      <c r="BC70" s="42"/>
      <c r="BD70" s="42"/>
      <c r="BE70" s="42"/>
      <c r="BF70" s="42"/>
      <c r="BG70" s="42"/>
      <c r="BH70" s="42"/>
      <c r="BI70" s="42"/>
      <c r="BJ70" s="42"/>
      <c r="BK70" s="42"/>
      <c r="BL70" s="42"/>
      <c r="BM70" s="42"/>
      <c r="BN70" s="42"/>
      <c r="BO70" s="42"/>
      <c r="BP70" s="43"/>
      <c r="BQ70" s="43"/>
      <c r="BR70" s="43"/>
      <c r="BS70" s="43"/>
      <c r="BT70" s="43"/>
      <c r="BU70" s="43"/>
      <c r="BV70" s="43"/>
      <c r="BW70" s="43"/>
      <c r="BX70" s="43"/>
      <c r="BY70" s="43"/>
      <c r="BZ70" s="43"/>
      <c r="CA70" s="43"/>
      <c r="CB70" s="43"/>
      <c r="CC70" s="43"/>
      <c r="CD70" s="43"/>
      <c r="CE70" s="43"/>
      <c r="CF70" s="43"/>
      <c r="CG70" s="43"/>
      <c r="CH70" s="43"/>
      <c r="CI70" s="43"/>
      <c r="CJ70" s="43"/>
      <c r="CK70" s="43"/>
      <c r="CL70" s="43"/>
      <c r="CM70" s="43"/>
      <c r="CN70" s="43"/>
      <c r="CO70" s="43"/>
      <c r="CP70" s="43"/>
      <c r="CQ70" s="43"/>
      <c r="CR70" s="43"/>
      <c r="CS70" s="43"/>
      <c r="CT70" s="43"/>
      <c r="CU70" s="43"/>
      <c r="CV70" s="43"/>
      <c r="CW70" s="43"/>
      <c r="CX70" s="43"/>
      <c r="CY70" s="43"/>
      <c r="CZ70" s="43"/>
      <c r="DA70" s="43"/>
      <c r="DB70" s="43"/>
      <c r="DC70" s="43"/>
      <c r="DD70" s="43"/>
      <c r="DE70" s="43"/>
      <c r="DF70" s="43"/>
      <c r="DG70" s="43"/>
      <c r="DH70" s="43"/>
      <c r="DI70" s="43"/>
      <c r="DJ70" s="43"/>
      <c r="DK70" s="43"/>
      <c r="DL70" s="43"/>
      <c r="DM70" s="43"/>
      <c r="DN70" s="43"/>
      <c r="DO70" s="43"/>
      <c r="DP70" s="43"/>
      <c r="DQ70" s="43"/>
      <c r="DR70" s="43"/>
      <c r="DS70" s="43"/>
      <c r="DT70" s="43"/>
      <c r="DU70" s="43"/>
      <c r="DV70" s="43"/>
      <c r="DW70" s="43"/>
      <c r="DX70" s="43"/>
      <c r="DY70" s="43"/>
      <c r="EA70" s="33">
        <f t="shared" si="6"/>
        <v>29.5</v>
      </c>
      <c r="EB70" s="29">
        <f t="shared" si="8"/>
        <v>5.3036369462962599E-2</v>
      </c>
      <c r="EC70" s="29">
        <f t="shared" si="9"/>
        <v>0.20917733391301133</v>
      </c>
      <c r="ED70" s="29">
        <f t="shared" si="7"/>
        <v>5.3663700719245699E-2</v>
      </c>
      <c r="EF70" s="32"/>
      <c r="EG70" s="32"/>
      <c r="EI70" s="34"/>
    </row>
    <row r="71" spans="1:139">
      <c r="A71" s="41"/>
      <c r="B71" s="46"/>
      <c r="C71" s="46"/>
      <c r="D71" s="46"/>
      <c r="E71" s="46"/>
      <c r="F71" s="47"/>
      <c r="G71" s="43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42"/>
      <c r="BB71" s="42"/>
      <c r="BC71" s="42"/>
      <c r="BD71" s="42"/>
      <c r="BE71" s="42"/>
      <c r="BF71" s="42"/>
      <c r="BG71" s="42"/>
      <c r="BH71" s="42"/>
      <c r="BI71" s="42"/>
      <c r="BJ71" s="42"/>
      <c r="BK71" s="42"/>
      <c r="BL71" s="42"/>
      <c r="BM71" s="42"/>
      <c r="BN71" s="42"/>
      <c r="BO71" s="42"/>
      <c r="BP71" s="43"/>
      <c r="BQ71" s="43"/>
      <c r="BR71" s="43"/>
      <c r="BS71" s="43"/>
      <c r="BT71" s="43"/>
      <c r="BU71" s="43"/>
      <c r="BV71" s="43"/>
      <c r="BW71" s="43"/>
      <c r="BX71" s="43"/>
      <c r="BY71" s="43"/>
      <c r="BZ71" s="43"/>
      <c r="CA71" s="43"/>
      <c r="CB71" s="43"/>
      <c r="CC71" s="43"/>
      <c r="CD71" s="43"/>
      <c r="CE71" s="43"/>
      <c r="CF71" s="43"/>
      <c r="CG71" s="43"/>
      <c r="CH71" s="43"/>
      <c r="CI71" s="43"/>
      <c r="CJ71" s="43"/>
      <c r="CK71" s="43"/>
      <c r="CL71" s="43"/>
      <c r="CM71" s="43"/>
      <c r="CN71" s="43"/>
      <c r="CO71" s="43"/>
      <c r="CP71" s="43"/>
      <c r="CQ71" s="43"/>
      <c r="CR71" s="43"/>
      <c r="CS71" s="43"/>
      <c r="CT71" s="43"/>
      <c r="CU71" s="43"/>
      <c r="CV71" s="43"/>
      <c r="CW71" s="43"/>
      <c r="CX71" s="43"/>
      <c r="CY71" s="43"/>
      <c r="CZ71" s="43"/>
      <c r="DA71" s="43"/>
      <c r="DB71" s="43"/>
      <c r="DC71" s="43"/>
      <c r="DD71" s="43"/>
      <c r="DE71" s="43"/>
      <c r="DF71" s="43"/>
      <c r="DG71" s="43"/>
      <c r="DH71" s="43"/>
      <c r="DI71" s="43"/>
      <c r="DJ71" s="43"/>
      <c r="DK71" s="43"/>
      <c r="DL71" s="43"/>
      <c r="DM71" s="43"/>
      <c r="DN71" s="43"/>
      <c r="DO71" s="43"/>
      <c r="DP71" s="43"/>
      <c r="DQ71" s="43"/>
      <c r="DR71" s="43"/>
      <c r="DS71" s="43"/>
      <c r="DT71" s="43"/>
      <c r="DU71" s="43"/>
      <c r="DV71" s="43"/>
      <c r="DW71" s="43"/>
      <c r="DX71" s="43"/>
      <c r="DY71" s="43"/>
      <c r="EA71" s="33">
        <f t="shared" si="6"/>
        <v>30</v>
      </c>
      <c r="EB71" s="29">
        <f t="shared" si="8"/>
        <v>5.3046824984243665E-2</v>
      </c>
      <c r="EC71" s="29">
        <f t="shared" si="9"/>
        <v>0.20363934843871204</v>
      </c>
      <c r="ED71" s="29">
        <f t="shared" si="7"/>
        <v>5.3663700739826778E-2</v>
      </c>
      <c r="EF71" s="32"/>
      <c r="EG71" s="32"/>
      <c r="EI71" s="34"/>
    </row>
    <row r="72" spans="1:139">
      <c r="C72" s="27"/>
      <c r="D72" s="27"/>
      <c r="E72" s="27"/>
      <c r="F72" s="40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42"/>
      <c r="BB72" s="42"/>
      <c r="BC72" s="42"/>
      <c r="BD72" s="42"/>
      <c r="BE72" s="42"/>
      <c r="BF72" s="42"/>
      <c r="BG72" s="42"/>
      <c r="BH72" s="42"/>
      <c r="BI72" s="42"/>
      <c r="BJ72" s="42"/>
      <c r="BK72" s="42"/>
      <c r="BL72" s="42"/>
      <c r="BM72" s="42"/>
      <c r="BN72" s="42"/>
      <c r="BO72" s="42"/>
      <c r="BP72" s="43"/>
      <c r="BQ72" s="43"/>
      <c r="BR72" s="43"/>
      <c r="BS72" s="43"/>
      <c r="BT72" s="43"/>
      <c r="BU72" s="43"/>
      <c r="BV72" s="43"/>
      <c r="BW72" s="43"/>
      <c r="BX72" s="43"/>
      <c r="BY72" s="43"/>
      <c r="BZ72" s="43"/>
      <c r="CA72" s="43"/>
      <c r="CB72" s="43"/>
      <c r="CC72" s="43"/>
      <c r="CD72" s="43"/>
      <c r="CE72" s="43"/>
      <c r="CF72" s="43"/>
      <c r="CG72" s="43"/>
      <c r="CH72" s="43"/>
      <c r="CI72" s="43"/>
      <c r="CJ72" s="43"/>
      <c r="CK72" s="43"/>
      <c r="CL72" s="43"/>
      <c r="CM72" s="43"/>
      <c r="CN72" s="43"/>
      <c r="CO72" s="43"/>
      <c r="CP72" s="43"/>
      <c r="CQ72" s="43"/>
      <c r="CR72" s="43"/>
      <c r="CS72" s="43"/>
      <c r="CT72" s="43"/>
      <c r="CU72" s="43"/>
      <c r="CV72" s="43"/>
      <c r="CW72" s="43"/>
      <c r="CX72" s="43"/>
      <c r="CY72" s="43"/>
      <c r="CZ72" s="43"/>
      <c r="DA72" s="43"/>
      <c r="DB72" s="43"/>
      <c r="DC72" s="43"/>
      <c r="DD72" s="43"/>
      <c r="DE72" s="43"/>
      <c r="DF72" s="43"/>
      <c r="DG72" s="43"/>
      <c r="DH72" s="43"/>
      <c r="DI72" s="43"/>
      <c r="DJ72" s="43"/>
      <c r="DK72" s="43"/>
      <c r="DL72" s="43"/>
      <c r="DM72" s="43"/>
      <c r="DN72" s="43"/>
      <c r="DO72" s="43"/>
      <c r="DP72" s="43"/>
      <c r="DQ72" s="43"/>
      <c r="DR72" s="43"/>
      <c r="DS72" s="43"/>
      <c r="DT72" s="43"/>
      <c r="DU72" s="43"/>
      <c r="DV72" s="43"/>
      <c r="DW72" s="43"/>
      <c r="DX72" s="28"/>
      <c r="DY72" s="28"/>
      <c r="EA72" s="33"/>
      <c r="EB72" s="29"/>
      <c r="EC72" s="29"/>
      <c r="ED72" s="29"/>
    </row>
    <row r="73" spans="1:139">
      <c r="C73" s="27"/>
      <c r="D73" s="27"/>
      <c r="E73" s="27"/>
      <c r="F73" s="40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42"/>
      <c r="BB73" s="42"/>
      <c r="BC73" s="42"/>
      <c r="BD73" s="42"/>
      <c r="BE73" s="42"/>
      <c r="BF73" s="42"/>
      <c r="BG73" s="42"/>
      <c r="BH73" s="42"/>
      <c r="BI73" s="42"/>
      <c r="BJ73" s="42"/>
      <c r="BK73" s="42"/>
      <c r="BL73" s="42"/>
      <c r="BM73" s="42"/>
      <c r="BN73" s="42"/>
      <c r="BO73" s="42"/>
      <c r="BP73" s="43"/>
      <c r="BQ73" s="43"/>
      <c r="BR73" s="43"/>
      <c r="BS73" s="43"/>
      <c r="BT73" s="43"/>
      <c r="BU73" s="43"/>
      <c r="BV73" s="43"/>
      <c r="BW73" s="43"/>
      <c r="BX73" s="43"/>
      <c r="BY73" s="43"/>
      <c r="BZ73" s="43"/>
      <c r="CA73" s="43"/>
      <c r="CB73" s="43"/>
      <c r="CC73" s="43"/>
      <c r="CD73" s="43"/>
      <c r="CE73" s="43"/>
      <c r="CF73" s="43"/>
      <c r="CG73" s="43"/>
      <c r="CH73" s="43"/>
      <c r="CI73" s="43"/>
      <c r="CJ73" s="43"/>
      <c r="CK73" s="43"/>
      <c r="CL73" s="43"/>
      <c r="CM73" s="43"/>
      <c r="CN73" s="43"/>
      <c r="CO73" s="43"/>
      <c r="CP73" s="43"/>
      <c r="CQ73" s="43"/>
      <c r="CR73" s="43"/>
      <c r="CS73" s="43"/>
      <c r="CT73" s="43"/>
      <c r="CU73" s="43"/>
      <c r="CV73" s="43"/>
      <c r="CW73" s="43"/>
      <c r="CX73" s="43"/>
      <c r="CY73" s="43"/>
      <c r="CZ73" s="43"/>
      <c r="DA73" s="43"/>
      <c r="DB73" s="43"/>
      <c r="DC73" s="43"/>
      <c r="DD73" s="43"/>
      <c r="DE73" s="43"/>
      <c r="DF73" s="43"/>
      <c r="DG73" s="43"/>
      <c r="DH73" s="43"/>
      <c r="DI73" s="43"/>
      <c r="DJ73" s="43"/>
      <c r="DK73" s="43"/>
      <c r="DL73" s="43"/>
      <c r="DM73" s="43"/>
      <c r="DN73" s="43"/>
      <c r="DO73" s="43"/>
      <c r="DP73" s="43"/>
      <c r="DQ73" s="43"/>
      <c r="DR73" s="43"/>
      <c r="DS73" s="43"/>
      <c r="DT73" s="43"/>
      <c r="DU73" s="43"/>
      <c r="DV73" s="43"/>
      <c r="DW73" s="43"/>
      <c r="DX73" s="28"/>
      <c r="DY73" s="28"/>
      <c r="EA73" s="33"/>
      <c r="EB73" s="29"/>
      <c r="EC73" s="29"/>
      <c r="ED73" s="29"/>
    </row>
    <row r="74" spans="1:139">
      <c r="C74" s="27"/>
      <c r="D74" s="27"/>
      <c r="E74" s="27"/>
      <c r="F74" s="40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42"/>
      <c r="BB74" s="42"/>
      <c r="BC74" s="42"/>
      <c r="BD74" s="42"/>
      <c r="BE74" s="42"/>
      <c r="BF74" s="42"/>
      <c r="BG74" s="42"/>
      <c r="BH74" s="42"/>
      <c r="BI74" s="42"/>
      <c r="BJ74" s="42"/>
      <c r="BK74" s="42"/>
      <c r="BL74" s="42"/>
      <c r="BM74" s="42"/>
      <c r="BN74" s="42"/>
      <c r="BO74" s="42"/>
      <c r="BP74" s="43"/>
      <c r="BQ74" s="43"/>
      <c r="BR74" s="43"/>
      <c r="BS74" s="43"/>
      <c r="BT74" s="43"/>
      <c r="BU74" s="43"/>
      <c r="BV74" s="43"/>
      <c r="BW74" s="43"/>
      <c r="BX74" s="43"/>
      <c r="BY74" s="43"/>
      <c r="BZ74" s="43"/>
      <c r="CA74" s="43"/>
      <c r="CB74" s="43"/>
      <c r="CC74" s="43"/>
      <c r="CD74" s="43"/>
      <c r="CE74" s="43"/>
      <c r="CF74" s="43"/>
      <c r="CG74" s="43"/>
      <c r="CH74" s="43"/>
      <c r="CI74" s="43"/>
      <c r="CJ74" s="43"/>
      <c r="CK74" s="43"/>
      <c r="CL74" s="43"/>
      <c r="CM74" s="43"/>
      <c r="CN74" s="43"/>
      <c r="CO74" s="43"/>
      <c r="CP74" s="43"/>
      <c r="CQ74" s="43"/>
      <c r="CR74" s="43"/>
      <c r="CS74" s="43"/>
      <c r="CT74" s="43"/>
      <c r="CU74" s="43"/>
      <c r="CV74" s="43"/>
      <c r="CW74" s="43"/>
      <c r="CX74" s="43"/>
      <c r="CY74" s="43"/>
      <c r="CZ74" s="43"/>
      <c r="DA74" s="43"/>
      <c r="DB74" s="43"/>
      <c r="DC74" s="43"/>
      <c r="DD74" s="43"/>
      <c r="DE74" s="43"/>
      <c r="DF74" s="43"/>
      <c r="DG74" s="43"/>
      <c r="DH74" s="43"/>
      <c r="DI74" s="43"/>
      <c r="DJ74" s="43"/>
      <c r="DK74" s="43"/>
      <c r="DL74" s="43"/>
      <c r="DM74" s="43"/>
      <c r="DN74" s="43"/>
      <c r="DO74" s="43"/>
      <c r="DP74" s="43"/>
      <c r="DQ74" s="43"/>
      <c r="DR74" s="43"/>
      <c r="DS74" s="43"/>
      <c r="DT74" s="43"/>
      <c r="DU74" s="43"/>
      <c r="DV74" s="43"/>
      <c r="DW74" s="43"/>
      <c r="DX74" s="28"/>
      <c r="DY74" s="28"/>
      <c r="EA74" s="33"/>
      <c r="EB74" s="29"/>
      <c r="EC74" s="29"/>
      <c r="ED74" s="29"/>
    </row>
    <row r="75" spans="1:139">
      <c r="C75" s="27"/>
      <c r="D75" s="27"/>
      <c r="E75" s="27"/>
      <c r="F75" s="40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42"/>
      <c r="BB75" s="42"/>
      <c r="BC75" s="42"/>
      <c r="BD75" s="42"/>
      <c r="BE75" s="42"/>
      <c r="BF75" s="42"/>
      <c r="BG75" s="42"/>
      <c r="BH75" s="42"/>
      <c r="BI75" s="42"/>
      <c r="BJ75" s="42"/>
      <c r="BK75" s="42"/>
      <c r="BL75" s="42"/>
      <c r="BM75" s="42"/>
      <c r="BN75" s="42"/>
      <c r="BO75" s="42"/>
      <c r="BP75" s="43"/>
      <c r="BQ75" s="43"/>
      <c r="BR75" s="43"/>
      <c r="BS75" s="43"/>
      <c r="BT75" s="43"/>
      <c r="BU75" s="43"/>
      <c r="BV75" s="43"/>
      <c r="BW75" s="43"/>
      <c r="BX75" s="43"/>
      <c r="BY75" s="43"/>
      <c r="BZ75" s="43"/>
      <c r="CA75" s="43"/>
      <c r="CB75" s="43"/>
      <c r="CC75" s="43"/>
      <c r="CD75" s="43"/>
      <c r="CE75" s="43"/>
      <c r="CF75" s="43"/>
      <c r="CG75" s="43"/>
      <c r="CH75" s="43"/>
      <c r="CI75" s="43"/>
      <c r="CJ75" s="43"/>
      <c r="CK75" s="43"/>
      <c r="CL75" s="43"/>
      <c r="CM75" s="43"/>
      <c r="CN75" s="43"/>
      <c r="CO75" s="43"/>
      <c r="CP75" s="43"/>
      <c r="CQ75" s="43"/>
      <c r="CR75" s="43"/>
      <c r="CS75" s="43"/>
      <c r="CT75" s="43"/>
      <c r="CU75" s="43"/>
      <c r="CV75" s="43"/>
      <c r="CW75" s="43"/>
      <c r="CX75" s="43"/>
      <c r="CY75" s="43"/>
      <c r="CZ75" s="43"/>
      <c r="DA75" s="43"/>
      <c r="DB75" s="43"/>
      <c r="DC75" s="43"/>
      <c r="DD75" s="43"/>
      <c r="DE75" s="43"/>
      <c r="DF75" s="43"/>
      <c r="DG75" s="43"/>
      <c r="DH75" s="43"/>
      <c r="DI75" s="43"/>
      <c r="DJ75" s="43"/>
      <c r="DK75" s="43"/>
      <c r="DL75" s="43"/>
      <c r="DM75" s="43"/>
      <c r="DN75" s="43"/>
      <c r="DO75" s="43"/>
      <c r="DP75" s="43"/>
      <c r="DQ75" s="43"/>
      <c r="DR75" s="43"/>
      <c r="DS75" s="43"/>
      <c r="DT75" s="43"/>
      <c r="DU75" s="43"/>
      <c r="DV75" s="43"/>
      <c r="DW75" s="43"/>
      <c r="DX75" s="28"/>
      <c r="DY75" s="28"/>
      <c r="EA75" s="33"/>
      <c r="EB75" s="29"/>
      <c r="EC75" s="29"/>
      <c r="ED75" s="29"/>
    </row>
    <row r="76" spans="1:139">
      <c r="C76" s="27"/>
      <c r="D76" s="27"/>
      <c r="E76" s="27"/>
      <c r="F76" s="40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42"/>
      <c r="BB76" s="42"/>
      <c r="BC76" s="42"/>
      <c r="BD76" s="42"/>
      <c r="BE76" s="42"/>
      <c r="BF76" s="42"/>
      <c r="BG76" s="42"/>
      <c r="BH76" s="42"/>
      <c r="BI76" s="42"/>
      <c r="BJ76" s="42"/>
      <c r="BK76" s="42"/>
      <c r="BL76" s="42"/>
      <c r="BM76" s="42"/>
      <c r="BN76" s="42"/>
      <c r="BO76" s="42"/>
      <c r="BP76" s="43"/>
      <c r="BQ76" s="43"/>
      <c r="BR76" s="43"/>
      <c r="BS76" s="43"/>
      <c r="BT76" s="43"/>
      <c r="BU76" s="43"/>
      <c r="BV76" s="43"/>
      <c r="BW76" s="43"/>
      <c r="BX76" s="43"/>
      <c r="BY76" s="43"/>
      <c r="BZ76" s="43"/>
      <c r="CA76" s="43"/>
      <c r="CB76" s="43"/>
      <c r="CC76" s="43"/>
      <c r="CD76" s="43"/>
      <c r="CE76" s="43"/>
      <c r="CF76" s="43"/>
      <c r="CG76" s="43"/>
      <c r="CH76" s="43"/>
      <c r="CI76" s="43"/>
      <c r="CJ76" s="43"/>
      <c r="CK76" s="43"/>
      <c r="CL76" s="43"/>
      <c r="CM76" s="43"/>
      <c r="CN76" s="43"/>
      <c r="CO76" s="43"/>
      <c r="CP76" s="43"/>
      <c r="CQ76" s="43"/>
      <c r="CR76" s="43"/>
      <c r="CS76" s="43"/>
      <c r="CT76" s="43"/>
      <c r="CU76" s="43"/>
      <c r="CV76" s="43"/>
      <c r="CW76" s="43"/>
      <c r="CX76" s="43"/>
      <c r="CY76" s="43"/>
      <c r="CZ76" s="43"/>
      <c r="DA76" s="43"/>
      <c r="DB76" s="43"/>
      <c r="DC76" s="43"/>
      <c r="DD76" s="43"/>
      <c r="DE76" s="43"/>
      <c r="DF76" s="43"/>
      <c r="DG76" s="43"/>
      <c r="DH76" s="43"/>
      <c r="DI76" s="43"/>
      <c r="DJ76" s="43"/>
      <c r="DK76" s="43"/>
      <c r="DL76" s="43"/>
      <c r="DM76" s="43"/>
      <c r="DN76" s="43"/>
      <c r="DO76" s="43"/>
      <c r="DP76" s="43"/>
      <c r="DQ76" s="43"/>
      <c r="DR76" s="43"/>
      <c r="DS76" s="43"/>
      <c r="DT76" s="43"/>
      <c r="DU76" s="43"/>
      <c r="DV76" s="43"/>
      <c r="DW76" s="43"/>
      <c r="DX76" s="28"/>
      <c r="DY76" s="28"/>
      <c r="EA76" s="33"/>
      <c r="EB76" s="29"/>
      <c r="EC76" s="29"/>
      <c r="ED76" s="29"/>
    </row>
    <row r="77" spans="1:139">
      <c r="C77" s="27"/>
      <c r="D77" s="27"/>
      <c r="E77" s="27"/>
      <c r="F77" s="40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42"/>
      <c r="BB77" s="42"/>
      <c r="BC77" s="42"/>
      <c r="BD77" s="42"/>
      <c r="BE77" s="42"/>
      <c r="BF77" s="42"/>
      <c r="BG77" s="42"/>
      <c r="BH77" s="42"/>
      <c r="BI77" s="42"/>
      <c r="BJ77" s="42"/>
      <c r="BK77" s="42"/>
      <c r="BL77" s="42"/>
      <c r="BM77" s="42"/>
      <c r="BN77" s="42"/>
      <c r="BO77" s="42"/>
      <c r="BP77" s="43"/>
      <c r="BQ77" s="43"/>
      <c r="BR77" s="43"/>
      <c r="BS77" s="43"/>
      <c r="BT77" s="43"/>
      <c r="BU77" s="43"/>
      <c r="BV77" s="43"/>
      <c r="BW77" s="43"/>
      <c r="BX77" s="43"/>
      <c r="BY77" s="43"/>
      <c r="BZ77" s="43"/>
      <c r="CA77" s="43"/>
      <c r="CB77" s="43"/>
      <c r="CC77" s="43"/>
      <c r="CD77" s="43"/>
      <c r="CE77" s="43"/>
      <c r="CF77" s="43"/>
      <c r="CG77" s="43"/>
      <c r="CH77" s="43"/>
      <c r="CI77" s="43"/>
      <c r="CJ77" s="43"/>
      <c r="CK77" s="43"/>
      <c r="CL77" s="43"/>
      <c r="CM77" s="43"/>
      <c r="CN77" s="43"/>
      <c r="CO77" s="43"/>
      <c r="CP77" s="43"/>
      <c r="CQ77" s="43"/>
      <c r="CR77" s="43"/>
      <c r="CS77" s="43"/>
      <c r="CT77" s="43"/>
      <c r="CU77" s="43"/>
      <c r="CV77" s="43"/>
      <c r="CW77" s="43"/>
      <c r="CX77" s="43"/>
      <c r="CY77" s="43"/>
      <c r="CZ77" s="43"/>
      <c r="DA77" s="43"/>
      <c r="DB77" s="43"/>
      <c r="DC77" s="43"/>
      <c r="DD77" s="43"/>
      <c r="DE77" s="43"/>
      <c r="DF77" s="43"/>
      <c r="DG77" s="43"/>
      <c r="DH77" s="43"/>
      <c r="DI77" s="43"/>
      <c r="DJ77" s="43"/>
      <c r="DK77" s="43"/>
      <c r="DL77" s="43"/>
      <c r="DM77" s="43"/>
      <c r="DN77" s="43"/>
      <c r="DO77" s="43"/>
      <c r="DP77" s="43"/>
      <c r="DQ77" s="43"/>
      <c r="DR77" s="43"/>
      <c r="DS77" s="43"/>
      <c r="DT77" s="43"/>
      <c r="DU77" s="43"/>
      <c r="DV77" s="43"/>
      <c r="DW77" s="43"/>
      <c r="DX77" s="28"/>
      <c r="DY77" s="28"/>
      <c r="EA77" s="33"/>
      <c r="EB77" s="29"/>
      <c r="EC77" s="29"/>
      <c r="ED77" s="29"/>
    </row>
    <row r="78" spans="1:139">
      <c r="C78" s="27"/>
      <c r="D78" s="27"/>
      <c r="E78" s="27"/>
      <c r="F78" s="40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42"/>
      <c r="BB78" s="42"/>
      <c r="BC78" s="42"/>
      <c r="BD78" s="42"/>
      <c r="BE78" s="42"/>
      <c r="BF78" s="42"/>
      <c r="BG78" s="42"/>
      <c r="BH78" s="42"/>
      <c r="BI78" s="42"/>
      <c r="BJ78" s="42"/>
      <c r="BK78" s="42"/>
      <c r="BL78" s="42"/>
      <c r="BM78" s="42"/>
      <c r="BN78" s="42"/>
      <c r="BO78" s="42"/>
      <c r="BP78" s="43"/>
      <c r="BQ78" s="43"/>
      <c r="BR78" s="43"/>
      <c r="BS78" s="43"/>
      <c r="BT78" s="43"/>
      <c r="BU78" s="43"/>
      <c r="BV78" s="43"/>
      <c r="BW78" s="43"/>
      <c r="BX78" s="43"/>
      <c r="BY78" s="43"/>
      <c r="BZ78" s="43"/>
      <c r="CA78" s="43"/>
      <c r="CB78" s="43"/>
      <c r="CC78" s="43"/>
      <c r="CD78" s="43"/>
      <c r="CE78" s="43"/>
      <c r="CF78" s="43"/>
      <c r="CG78" s="43"/>
      <c r="CH78" s="43"/>
      <c r="CI78" s="43"/>
      <c r="CJ78" s="43"/>
      <c r="CK78" s="43"/>
      <c r="CL78" s="43"/>
      <c r="CM78" s="43"/>
      <c r="CN78" s="43"/>
      <c r="CO78" s="43"/>
      <c r="CP78" s="43"/>
      <c r="CQ78" s="43"/>
      <c r="CR78" s="43"/>
      <c r="CS78" s="43"/>
      <c r="CT78" s="43"/>
      <c r="CU78" s="43"/>
      <c r="CV78" s="43"/>
      <c r="CW78" s="43"/>
      <c r="CX78" s="43"/>
      <c r="CY78" s="43"/>
      <c r="CZ78" s="43"/>
      <c r="DA78" s="43"/>
      <c r="DB78" s="43"/>
      <c r="DC78" s="43"/>
      <c r="DD78" s="43"/>
      <c r="DE78" s="43"/>
      <c r="DF78" s="43"/>
      <c r="DG78" s="43"/>
      <c r="DH78" s="43"/>
      <c r="DI78" s="43"/>
      <c r="DJ78" s="43"/>
      <c r="DK78" s="43"/>
      <c r="DL78" s="43"/>
      <c r="DM78" s="43"/>
      <c r="DN78" s="43"/>
      <c r="DO78" s="43"/>
      <c r="DP78" s="43"/>
      <c r="DQ78" s="43"/>
      <c r="DR78" s="43"/>
      <c r="DS78" s="43"/>
      <c r="DT78" s="43"/>
      <c r="DU78" s="43"/>
      <c r="DV78" s="43"/>
      <c r="DW78" s="43"/>
      <c r="DX78" s="28"/>
      <c r="DY78" s="28"/>
      <c r="EA78" s="33"/>
      <c r="EB78" s="29"/>
      <c r="EC78" s="29"/>
      <c r="ED78" s="29"/>
    </row>
    <row r="79" spans="1:139">
      <c r="C79" s="27"/>
      <c r="D79" s="27"/>
      <c r="E79" s="27"/>
      <c r="F79" s="40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42"/>
      <c r="BB79" s="42"/>
      <c r="BC79" s="42"/>
      <c r="BD79" s="42"/>
      <c r="BE79" s="42"/>
      <c r="BF79" s="42"/>
      <c r="BG79" s="42"/>
      <c r="BH79" s="42"/>
      <c r="BI79" s="42"/>
      <c r="BJ79" s="42"/>
      <c r="BK79" s="42"/>
      <c r="BL79" s="42"/>
      <c r="BM79" s="42"/>
      <c r="BN79" s="42"/>
      <c r="BO79" s="42"/>
      <c r="BP79" s="43"/>
      <c r="BQ79" s="43"/>
      <c r="BR79" s="43"/>
      <c r="BS79" s="43"/>
      <c r="BT79" s="43"/>
      <c r="BU79" s="43"/>
      <c r="BV79" s="43"/>
      <c r="BW79" s="43"/>
      <c r="BX79" s="43"/>
      <c r="BY79" s="43"/>
      <c r="BZ79" s="43"/>
      <c r="CA79" s="43"/>
      <c r="CB79" s="43"/>
      <c r="CC79" s="43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  <c r="CQ79" s="43"/>
      <c r="CR79" s="43"/>
      <c r="CS79" s="43"/>
      <c r="CT79" s="43"/>
      <c r="CU79" s="43"/>
      <c r="CV79" s="43"/>
      <c r="CW79" s="43"/>
      <c r="CX79" s="43"/>
      <c r="CY79" s="43"/>
      <c r="CZ79" s="43"/>
      <c r="DA79" s="43"/>
      <c r="DB79" s="43"/>
      <c r="DC79" s="43"/>
      <c r="DD79" s="43"/>
      <c r="DE79" s="43"/>
      <c r="DF79" s="43"/>
      <c r="DG79" s="43"/>
      <c r="DH79" s="43"/>
      <c r="DI79" s="43"/>
      <c r="DJ79" s="43"/>
      <c r="DK79" s="43"/>
      <c r="DL79" s="43"/>
      <c r="DM79" s="43"/>
      <c r="DN79" s="43"/>
      <c r="DO79" s="43"/>
      <c r="DP79" s="43"/>
      <c r="DQ79" s="43"/>
      <c r="DR79" s="43"/>
      <c r="DS79" s="43"/>
      <c r="DT79" s="43"/>
      <c r="DU79" s="43"/>
      <c r="DV79" s="43"/>
      <c r="DW79" s="43"/>
      <c r="DX79" s="28"/>
      <c r="DY79" s="28"/>
      <c r="EA79" s="33"/>
      <c r="EB79" s="29"/>
      <c r="EC79" s="29"/>
      <c r="ED79" s="29"/>
    </row>
  </sheetData>
  <mergeCells count="2">
    <mergeCell ref="H10:BO10"/>
    <mergeCell ref="BP10:DW10"/>
  </mergeCells>
  <pageMargins left="0.7" right="0.7" top="0.75" bottom="0.75" header="0.3" footer="0.3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00B050"/>
  </sheetPr>
  <dimension ref="B1:ED9"/>
  <sheetViews>
    <sheetView workbookViewId="0">
      <selection activeCell="B6" sqref="B6"/>
    </sheetView>
  </sheetViews>
  <sheetFormatPr baseColWidth="10" defaultColWidth="8.83203125" defaultRowHeight="13"/>
  <sheetData>
    <row r="1" spans="2:134" s="89" customFormat="1" ht="15">
      <c r="B1" s="90" t="s">
        <v>687</v>
      </c>
      <c r="O1" s="91"/>
      <c r="P1" s="92"/>
      <c r="Q1" s="93"/>
      <c r="R1" s="94"/>
      <c r="S1" s="92"/>
      <c r="T1" s="92"/>
      <c r="U1" s="92"/>
      <c r="V1" s="92"/>
      <c r="W1" s="92"/>
      <c r="X1" s="92"/>
      <c r="Y1" s="92"/>
      <c r="Z1" s="92"/>
      <c r="AA1" s="92"/>
      <c r="AB1" s="92"/>
      <c r="AD1" s="95"/>
    </row>
    <row r="2" spans="2:134" s="89" customFormat="1" ht="15">
      <c r="B2" s="96" t="s">
        <v>677</v>
      </c>
      <c r="O2" s="91"/>
      <c r="P2" s="92"/>
      <c r="Q2" s="93"/>
      <c r="R2" s="94"/>
      <c r="S2" s="92"/>
      <c r="T2" s="92"/>
      <c r="U2" s="92"/>
      <c r="V2" s="92"/>
      <c r="W2" s="92"/>
      <c r="X2" s="92"/>
      <c r="Y2" s="92"/>
      <c r="Z2" s="92"/>
      <c r="AA2" s="92"/>
      <c r="AB2" s="92"/>
      <c r="AD2" s="95"/>
    </row>
    <row r="3" spans="2:134" s="89" customFormat="1" ht="15">
      <c r="B3" s="96" t="s">
        <v>678</v>
      </c>
      <c r="O3" s="91"/>
      <c r="P3" s="92"/>
      <c r="Q3" s="93"/>
      <c r="R3" s="94"/>
      <c r="S3" s="92"/>
      <c r="T3" s="92"/>
      <c r="U3" s="92"/>
      <c r="V3" s="92"/>
      <c r="W3" s="92"/>
      <c r="X3" s="92"/>
      <c r="Y3" s="92"/>
      <c r="Z3" s="92"/>
      <c r="AA3" s="92"/>
      <c r="AB3" s="92"/>
      <c r="AD3" s="95"/>
    </row>
    <row r="4" spans="2:134" ht="15">
      <c r="B4" s="96" t="s">
        <v>679</v>
      </c>
    </row>
    <row r="5" spans="2:134" s="23" customFormat="1" ht="15">
      <c r="B5" s="96" t="s">
        <v>680</v>
      </c>
      <c r="C5" s="28"/>
      <c r="D5" s="28"/>
      <c r="E5" s="28"/>
      <c r="F5" s="28"/>
      <c r="G5" s="28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1"/>
      <c r="BO5" s="41"/>
      <c r="BP5" s="41"/>
      <c r="BQ5" s="41"/>
      <c r="BR5" s="41"/>
      <c r="BS5" s="41"/>
      <c r="BT5" s="41"/>
      <c r="BU5" s="41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1"/>
      <c r="CJ5" s="41"/>
      <c r="CK5" s="41"/>
      <c r="CL5" s="41"/>
      <c r="CM5" s="41"/>
      <c r="CN5" s="41"/>
      <c r="CO5" s="41"/>
      <c r="CP5" s="41"/>
      <c r="CQ5" s="41"/>
      <c r="CR5" s="41"/>
      <c r="CS5" s="41"/>
      <c r="CT5" s="41"/>
      <c r="CU5" s="41"/>
      <c r="CV5" s="41"/>
      <c r="CW5" s="41"/>
      <c r="CX5" s="41"/>
      <c r="CY5" s="41"/>
      <c r="CZ5" s="41"/>
      <c r="DA5" s="41"/>
      <c r="DB5" s="41"/>
      <c r="DC5" s="41"/>
      <c r="DD5" s="41"/>
      <c r="DE5" s="41"/>
      <c r="DF5" s="41"/>
      <c r="DG5" s="41"/>
      <c r="DH5" s="41"/>
      <c r="DI5" s="41"/>
      <c r="DJ5" s="41"/>
      <c r="DK5" s="41"/>
      <c r="DL5" s="41"/>
      <c r="DM5" s="41"/>
      <c r="DN5" s="41"/>
      <c r="DO5" s="41"/>
      <c r="DP5" s="41"/>
      <c r="DQ5" s="41"/>
      <c r="DR5" s="41"/>
      <c r="DS5" s="41"/>
      <c r="DT5" s="41"/>
      <c r="DU5" s="41"/>
      <c r="DV5" s="41"/>
      <c r="DW5" s="41"/>
      <c r="EB5" s="28"/>
      <c r="ED5" s="28"/>
    </row>
    <row r="6" spans="2:134" ht="15">
      <c r="B6" s="96" t="s">
        <v>681</v>
      </c>
    </row>
    <row r="9" spans="2:134" s="98" customFormat="1" ht="15">
      <c r="D9" s="59"/>
      <c r="E9" s="59"/>
      <c r="F9" s="59"/>
      <c r="G9" s="59"/>
      <c r="I9" s="59"/>
      <c r="J9" s="59"/>
      <c r="K9" s="99"/>
      <c r="L9" s="100"/>
      <c r="M9" s="100"/>
      <c r="N9" s="101"/>
      <c r="O9" s="101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99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1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00B050"/>
    <outlinePr summaryBelow="0" summaryRight="0"/>
  </sheetPr>
  <dimension ref="A1:DL142"/>
  <sheetViews>
    <sheetView workbookViewId="0">
      <selection activeCell="A10" sqref="A10"/>
    </sheetView>
  </sheetViews>
  <sheetFormatPr baseColWidth="10" defaultColWidth="8.83203125" defaultRowHeight="13" outlineLevelRow="1"/>
  <cols>
    <col min="1" max="1" width="9.33203125" bestFit="1" customWidth="1"/>
    <col min="2" max="2" width="11.83203125" customWidth="1"/>
    <col min="3" max="3" width="11.1640625" customWidth="1"/>
    <col min="4" max="5" width="10.6640625" bestFit="1" customWidth="1"/>
    <col min="6" max="6" width="11.33203125" bestFit="1" customWidth="1"/>
    <col min="7" max="7" width="10.6640625" customWidth="1"/>
    <col min="8" max="11" width="10.6640625" bestFit="1" customWidth="1"/>
    <col min="12" max="12" width="10.33203125" customWidth="1"/>
    <col min="13" max="14" width="10.6640625" bestFit="1" customWidth="1"/>
    <col min="15" max="15" width="12.33203125" bestFit="1" customWidth="1"/>
    <col min="16" max="71" width="10.6640625" bestFit="1" customWidth="1"/>
  </cols>
  <sheetData>
    <row r="1" spans="1:64">
      <c r="A1" s="7" t="str">
        <f>IF(HoLee.BDT=1,"HO-LEE BINOMIAL TREE MODEL","BDT BINOMIAL TREE MODEL")</f>
        <v>HO-LEE BINOMIAL TREE MODEL</v>
      </c>
      <c r="E1" s="78"/>
      <c r="F1" s="81">
        <v>1</v>
      </c>
      <c r="G1" s="82" t="s">
        <v>671</v>
      </c>
      <c r="H1" s="83"/>
      <c r="I1" s="12"/>
      <c r="N1" s="7" t="s">
        <v>27</v>
      </c>
      <c r="O1" s="7" t="s">
        <v>28</v>
      </c>
    </row>
    <row r="2" spans="1:64">
      <c r="B2" s="7" t="s">
        <v>10</v>
      </c>
      <c r="E2" s="7" t="s">
        <v>9</v>
      </c>
      <c r="I2" s="7" t="s">
        <v>2</v>
      </c>
      <c r="K2" s="8"/>
    </row>
    <row r="3" spans="1:64">
      <c r="B3" s="10" t="s">
        <v>0</v>
      </c>
      <c r="C3" s="80">
        <f>IF(HoLee.BDT=1,HW6_FRB_H15!H596,HW6_FRB_H15!J596)</f>
        <v>0</v>
      </c>
      <c r="E3" s="10" t="s">
        <v>1</v>
      </c>
      <c r="F3" s="20">
        <v>30</v>
      </c>
      <c r="H3" s="10" t="s">
        <v>3</v>
      </c>
      <c r="I3" s="4">
        <v>0.5</v>
      </c>
      <c r="K3" s="9" t="s">
        <v>6</v>
      </c>
      <c r="L3" s="5">
        <f>'Q2 - IRTree'!B82</f>
        <v>0.21861028846311084</v>
      </c>
      <c r="N3" s="18" t="s">
        <v>29</v>
      </c>
      <c r="O3" s="16">
        <v>1.1536854860727216E-3</v>
      </c>
      <c r="P3" s="18" t="s">
        <v>30</v>
      </c>
      <c r="Q3" s="4">
        <v>0</v>
      </c>
    </row>
    <row r="4" spans="1:64">
      <c r="B4" s="10" t="s">
        <v>7</v>
      </c>
      <c r="C4" s="80">
        <f>-LN(S0)/h</f>
        <v>5.0682154636656651E-2</v>
      </c>
      <c r="E4" s="10" t="s">
        <v>8</v>
      </c>
      <c r="F4" s="4">
        <v>0</v>
      </c>
      <c r="N4" s="18" t="s">
        <v>11</v>
      </c>
      <c r="O4" s="6">
        <f>MAX(D9:BJ9)</f>
        <v>2.2412904521414609E-4</v>
      </c>
      <c r="P4" t="s">
        <v>26</v>
      </c>
      <c r="Q4" s="67">
        <v>60</v>
      </c>
    </row>
    <row r="5" spans="1:64">
      <c r="C5" t="s">
        <v>13</v>
      </c>
    </row>
    <row r="6" spans="1:64">
      <c r="A6" s="4"/>
      <c r="B6" s="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</row>
    <row r="7" spans="1:64" s="4" customFormat="1">
      <c r="A7" s="4" t="s">
        <v>14</v>
      </c>
      <c r="C7" s="15">
        <f t="shared" ref="C7:AH7" si="0">VLOOKUP(C12,data.NelsonSiegel,3,FALSE)</f>
        <v>0.97497731266327314</v>
      </c>
      <c r="D7" s="15">
        <f t="shared" si="0"/>
        <v>0.95143614271468302</v>
      </c>
      <c r="E7" s="15">
        <f t="shared" si="0"/>
        <v>0.92863435870434374</v>
      </c>
      <c r="F7" s="15">
        <f t="shared" si="0"/>
        <v>0.90622537248910606</v>
      </c>
      <c r="G7" s="15">
        <f t="shared" si="0"/>
        <v>0.88407549928439599</v>
      </c>
      <c r="H7" s="15">
        <f t="shared" si="0"/>
        <v>0.86215941784202366</v>
      </c>
      <c r="I7" s="15">
        <f t="shared" si="0"/>
        <v>0.84050152277086543</v>
      </c>
      <c r="J7" s="15">
        <f t="shared" si="0"/>
        <v>0.81914418591615434</v>
      </c>
      <c r="K7" s="15">
        <f t="shared" si="0"/>
        <v>0.79813157389944989</v>
      </c>
      <c r="L7" s="15">
        <f t="shared" si="0"/>
        <v>0.77750223426618181</v>
      </c>
      <c r="M7" s="15">
        <f t="shared" si="0"/>
        <v>0.75728643576744492</v>
      </c>
      <c r="N7" s="15">
        <f t="shared" si="0"/>
        <v>0.73750593360439642</v>
      </c>
      <c r="O7" s="15">
        <f t="shared" si="0"/>
        <v>0.71817484555370059</v>
      </c>
      <c r="P7" s="15">
        <f t="shared" si="0"/>
        <v>0.69930092679498346</v>
      </c>
      <c r="Q7" s="15">
        <f t="shared" si="0"/>
        <v>0.68088688049079849</v>
      </c>
      <c r="R7" s="15">
        <f t="shared" si="0"/>
        <v>0.66293153797680204</v>
      </c>
      <c r="S7" s="15">
        <f t="shared" si="0"/>
        <v>0.64543084891760771</v>
      </c>
      <c r="T7" s="15">
        <f t="shared" si="0"/>
        <v>0.62837867597465535</v>
      </c>
      <c r="U7" s="15">
        <f t="shared" si="0"/>
        <v>0.61176741330540596</v>
      </c>
      <c r="V7" s="15">
        <f t="shared" si="0"/>
        <v>0.59558845709853192</v>
      </c>
      <c r="W7" s="15">
        <f t="shared" si="0"/>
        <v>0.57983255716522275</v>
      </c>
      <c r="X7" s="15">
        <f t="shared" si="0"/>
        <v>0.56449007573912113</v>
      </c>
      <c r="Y7" s="15">
        <f t="shared" si="0"/>
        <v>0.54955117545126075</v>
      </c>
      <c r="Z7" s="15">
        <f t="shared" si="0"/>
        <v>0.53500595414058216</v>
      </c>
      <c r="AA7" s="15">
        <f t="shared" si="0"/>
        <v>0.52084454028137162</v>
      </c>
      <c r="AB7" s="15">
        <f t="shared" si="0"/>
        <v>0.5070571595513691</v>
      </c>
      <c r="AC7" s="15">
        <f t="shared" si="0"/>
        <v>0.49363418044560009</v>
      </c>
      <c r="AD7" s="15">
        <f t="shared" si="0"/>
        <v>0.48056614479766563</v>
      </c>
      <c r="AE7" s="15">
        <f t="shared" si="0"/>
        <v>0.46784378750992545</v>
      </c>
      <c r="AF7" s="15">
        <f t="shared" si="0"/>
        <v>0.4554580486219032</v>
      </c>
      <c r="AG7" s="15">
        <f t="shared" si="0"/>
        <v>0.44340007997701147</v>
      </c>
      <c r="AH7" s="15">
        <f t="shared" si="0"/>
        <v>0.43166124810971279</v>
      </c>
      <c r="AI7" s="15">
        <f t="shared" ref="AI7:BJ7" si="1">VLOOKUP(AI12,data.NelsonSiegel,3,FALSE)</f>
        <v>0.4202331345109469</v>
      </c>
      <c r="AJ7" s="15">
        <f t="shared" si="1"/>
        <v>0.4091075340941982</v>
      </c>
      <c r="AK7" s="15">
        <f t="shared" si="1"/>
        <v>0.39827645244365489</v>
      </c>
      <c r="AL7" s="15">
        <f t="shared" si="1"/>
        <v>0.38773210225380256</v>
      </c>
      <c r="AM7" s="15">
        <f t="shared" si="1"/>
        <v>0.37746689924740068</v>
      </c>
      <c r="AN7" s="15">
        <f t="shared" si="1"/>
        <v>0.36747345777210588</v>
      </c>
      <c r="AO7" s="15">
        <f t="shared" si="1"/>
        <v>0.35774458621483479</v>
      </c>
      <c r="AP7" s="15">
        <f t="shared" si="1"/>
        <v>0.34827328232993632</v>
      </c>
      <c r="AQ7" s="15">
        <f t="shared" si="1"/>
        <v>0.3390527285470748</v>
      </c>
      <c r="AR7" s="15">
        <f t="shared" si="1"/>
        <v>0.33007628730363625</v>
      </c>
      <c r="AS7" s="15">
        <f t="shared" si="1"/>
        <v>0.32133749643176268</v>
      </c>
      <c r="AT7" s="15">
        <f t="shared" si="1"/>
        <v>0.31283006461989971</v>
      </c>
      <c r="AU7" s="15">
        <f t="shared" si="1"/>
        <v>0.30454786696165514</v>
      </c>
      <c r="AV7" s="15">
        <f t="shared" si="1"/>
        <v>0.29648494059987068</v>
      </c>
      <c r="AW7" s="15">
        <f t="shared" si="1"/>
        <v>0.28863548047044202</v>
      </c>
      <c r="AX7" s="15">
        <f t="shared" si="1"/>
        <v>0.28099383514811122</v>
      </c>
      <c r="AY7" s="15">
        <f t="shared" si="1"/>
        <v>0.27355450279488425</v>
      </c>
      <c r="AZ7" s="15">
        <f t="shared" si="1"/>
        <v>0.26631212721066527</v>
      </c>
      <c r="BA7" s="15">
        <f t="shared" si="1"/>
        <v>0.25926149398498721</v>
      </c>
      <c r="BB7" s="15">
        <f t="shared" si="1"/>
        <v>0.25239752674825344</v>
      </c>
      <c r="BC7" s="15">
        <f t="shared" si="1"/>
        <v>0.2457152835206016</v>
      </c>
      <c r="BD7" s="15">
        <f t="shared" si="1"/>
        <v>0.23920995315632074</v>
      </c>
      <c r="BE7" s="15">
        <f t="shared" si="1"/>
        <v>0.23287685188164292</v>
      </c>
      <c r="BF7" s="15">
        <f t="shared" si="1"/>
        <v>0.22671141992367622</v>
      </c>
      <c r="BG7" s="15">
        <f t="shared" si="1"/>
        <v>0.22070921822823267</v>
      </c>
      <c r="BH7" s="15">
        <f t="shared" si="1"/>
        <v>0.21486592526431045</v>
      </c>
      <c r="BI7" s="15">
        <f t="shared" si="1"/>
        <v>0.20917733391301133</v>
      </c>
      <c r="BJ7" s="15">
        <f t="shared" si="1"/>
        <v>0.20363934843871204</v>
      </c>
    </row>
    <row r="8" spans="1:64" s="4" customFormat="1">
      <c r="A8" s="5" t="s">
        <v>12</v>
      </c>
      <c r="B8" s="5"/>
      <c r="C8" s="16" t="str">
        <f t="shared" ref="C8:AH8" si="2">IF(T=C12,$L$3,"")</f>
        <v/>
      </c>
      <c r="D8" s="16" t="str">
        <f t="shared" si="2"/>
        <v/>
      </c>
      <c r="E8" s="16" t="str">
        <f t="shared" si="2"/>
        <v/>
      </c>
      <c r="F8" s="16" t="str">
        <f t="shared" si="2"/>
        <v/>
      </c>
      <c r="G8" s="16" t="str">
        <f t="shared" si="2"/>
        <v/>
      </c>
      <c r="H8" s="16" t="str">
        <f t="shared" si="2"/>
        <v/>
      </c>
      <c r="I8" s="16" t="str">
        <f t="shared" si="2"/>
        <v/>
      </c>
      <c r="J8" s="16" t="str">
        <f t="shared" si="2"/>
        <v/>
      </c>
      <c r="K8" s="16" t="str">
        <f t="shared" si="2"/>
        <v/>
      </c>
      <c r="L8" s="16" t="str">
        <f t="shared" si="2"/>
        <v/>
      </c>
      <c r="M8" s="16" t="str">
        <f t="shared" si="2"/>
        <v/>
      </c>
      <c r="N8" s="5" t="str">
        <f t="shared" si="2"/>
        <v/>
      </c>
      <c r="O8" s="5" t="str">
        <f t="shared" si="2"/>
        <v/>
      </c>
      <c r="P8" s="5" t="str">
        <f t="shared" si="2"/>
        <v/>
      </c>
      <c r="Q8" s="5" t="str">
        <f t="shared" si="2"/>
        <v/>
      </c>
      <c r="R8" s="5" t="str">
        <f t="shared" si="2"/>
        <v/>
      </c>
      <c r="S8" s="5" t="str">
        <f t="shared" si="2"/>
        <v/>
      </c>
      <c r="T8" s="5" t="str">
        <f t="shared" si="2"/>
        <v/>
      </c>
      <c r="U8" s="5" t="str">
        <f t="shared" si="2"/>
        <v/>
      </c>
      <c r="V8" s="5" t="str">
        <f t="shared" si="2"/>
        <v/>
      </c>
      <c r="W8" s="5" t="str">
        <f t="shared" si="2"/>
        <v/>
      </c>
      <c r="X8" s="5" t="str">
        <f t="shared" si="2"/>
        <v/>
      </c>
      <c r="Y8" s="5" t="str">
        <f t="shared" si="2"/>
        <v/>
      </c>
      <c r="Z8" s="5" t="str">
        <f t="shared" si="2"/>
        <v/>
      </c>
      <c r="AA8" s="5" t="str">
        <f t="shared" si="2"/>
        <v/>
      </c>
      <c r="AB8" s="5" t="str">
        <f t="shared" si="2"/>
        <v/>
      </c>
      <c r="AC8" s="5" t="str">
        <f t="shared" si="2"/>
        <v/>
      </c>
      <c r="AD8" s="5" t="str">
        <f t="shared" si="2"/>
        <v/>
      </c>
      <c r="AE8" s="5" t="str">
        <f t="shared" si="2"/>
        <v/>
      </c>
      <c r="AF8" s="5" t="str">
        <f t="shared" si="2"/>
        <v/>
      </c>
      <c r="AG8" s="5" t="str">
        <f t="shared" si="2"/>
        <v/>
      </c>
      <c r="AH8" s="5" t="str">
        <f t="shared" si="2"/>
        <v/>
      </c>
      <c r="AI8" s="5" t="str">
        <f t="shared" ref="AI8:BL8" si="3">IF(T=AI12,$L$3,"")</f>
        <v/>
      </c>
      <c r="AJ8" s="5" t="str">
        <f t="shared" si="3"/>
        <v/>
      </c>
      <c r="AK8" s="5" t="str">
        <f t="shared" si="3"/>
        <v/>
      </c>
      <c r="AL8" s="5" t="str">
        <f t="shared" si="3"/>
        <v/>
      </c>
      <c r="AM8" s="5" t="str">
        <f t="shared" si="3"/>
        <v/>
      </c>
      <c r="AN8" s="5" t="str">
        <f t="shared" si="3"/>
        <v/>
      </c>
      <c r="AO8" s="5" t="str">
        <f t="shared" si="3"/>
        <v/>
      </c>
      <c r="AP8" s="5" t="str">
        <f t="shared" si="3"/>
        <v/>
      </c>
      <c r="AQ8" s="5" t="str">
        <f t="shared" si="3"/>
        <v/>
      </c>
      <c r="AR8" s="5" t="str">
        <f t="shared" si="3"/>
        <v/>
      </c>
      <c r="AS8" s="5" t="str">
        <f t="shared" si="3"/>
        <v/>
      </c>
      <c r="AT8" s="5" t="str">
        <f t="shared" si="3"/>
        <v/>
      </c>
      <c r="AU8" s="5" t="str">
        <f t="shared" si="3"/>
        <v/>
      </c>
      <c r="AV8" s="5" t="str">
        <f t="shared" si="3"/>
        <v/>
      </c>
      <c r="AW8" s="5" t="str">
        <f t="shared" si="3"/>
        <v/>
      </c>
      <c r="AX8" s="5" t="str">
        <f t="shared" si="3"/>
        <v/>
      </c>
      <c r="AY8" s="5" t="str">
        <f t="shared" si="3"/>
        <v/>
      </c>
      <c r="AZ8" s="5" t="str">
        <f t="shared" si="3"/>
        <v/>
      </c>
      <c r="BA8" s="5" t="str">
        <f t="shared" si="3"/>
        <v/>
      </c>
      <c r="BB8" s="5" t="str">
        <f t="shared" si="3"/>
        <v/>
      </c>
      <c r="BC8" s="5" t="str">
        <f t="shared" si="3"/>
        <v/>
      </c>
      <c r="BD8" s="5" t="str">
        <f t="shared" si="3"/>
        <v/>
      </c>
      <c r="BE8" s="5" t="str">
        <f t="shared" si="3"/>
        <v/>
      </c>
      <c r="BF8" s="5" t="str">
        <f t="shared" si="3"/>
        <v/>
      </c>
      <c r="BG8" s="5" t="str">
        <f t="shared" si="3"/>
        <v/>
      </c>
      <c r="BH8" s="5" t="str">
        <f t="shared" si="3"/>
        <v/>
      </c>
      <c r="BI8" s="5" t="str">
        <f t="shared" si="3"/>
        <v/>
      </c>
      <c r="BJ8" s="5">
        <f t="shared" si="3"/>
        <v>0.21861028846311084</v>
      </c>
      <c r="BK8" s="5" t="str">
        <f t="shared" si="3"/>
        <v/>
      </c>
      <c r="BL8" s="5" t="str">
        <f t="shared" si="3"/>
        <v/>
      </c>
    </row>
    <row r="9" spans="1:64" s="5" customFormat="1">
      <c r="A9" s="6" t="s">
        <v>15</v>
      </c>
      <c r="B9" s="6"/>
      <c r="C9" s="6" t="str">
        <f t="shared" ref="C9:AH9" si="4">IF(T=C12,(C7-C8)^2,"")</f>
        <v/>
      </c>
      <c r="D9" s="6" t="str">
        <f t="shared" si="4"/>
        <v/>
      </c>
      <c r="E9" s="6" t="str">
        <f t="shared" si="4"/>
        <v/>
      </c>
      <c r="F9" s="6" t="str">
        <f t="shared" si="4"/>
        <v/>
      </c>
      <c r="G9" s="6" t="str">
        <f t="shared" si="4"/>
        <v/>
      </c>
      <c r="H9" s="6" t="str">
        <f t="shared" si="4"/>
        <v/>
      </c>
      <c r="I9" s="6" t="str">
        <f t="shared" si="4"/>
        <v/>
      </c>
      <c r="J9" s="6" t="str">
        <f t="shared" si="4"/>
        <v/>
      </c>
      <c r="K9" s="6" t="str">
        <f t="shared" si="4"/>
        <v/>
      </c>
      <c r="L9" s="6" t="str">
        <f t="shared" si="4"/>
        <v/>
      </c>
      <c r="M9" s="6" t="str">
        <f t="shared" si="4"/>
        <v/>
      </c>
      <c r="N9" s="6" t="str">
        <f t="shared" si="4"/>
        <v/>
      </c>
      <c r="O9" s="6" t="str">
        <f t="shared" si="4"/>
        <v/>
      </c>
      <c r="P9" s="6" t="str">
        <f t="shared" si="4"/>
        <v/>
      </c>
      <c r="Q9" s="6" t="str">
        <f t="shared" si="4"/>
        <v/>
      </c>
      <c r="R9" s="6" t="str">
        <f t="shared" si="4"/>
        <v/>
      </c>
      <c r="S9" s="6" t="str">
        <f t="shared" si="4"/>
        <v/>
      </c>
      <c r="T9" s="6" t="str">
        <f t="shared" si="4"/>
        <v/>
      </c>
      <c r="U9" s="6" t="str">
        <f t="shared" si="4"/>
        <v/>
      </c>
      <c r="V9" s="6" t="str">
        <f t="shared" si="4"/>
        <v/>
      </c>
      <c r="W9" s="6" t="str">
        <f t="shared" si="4"/>
        <v/>
      </c>
      <c r="X9" s="6" t="str">
        <f t="shared" si="4"/>
        <v/>
      </c>
      <c r="Y9" s="6" t="str">
        <f t="shared" si="4"/>
        <v/>
      </c>
      <c r="Z9" s="6" t="str">
        <f t="shared" si="4"/>
        <v/>
      </c>
      <c r="AA9" s="6" t="str">
        <f t="shared" si="4"/>
        <v/>
      </c>
      <c r="AB9" s="6" t="str">
        <f t="shared" si="4"/>
        <v/>
      </c>
      <c r="AC9" s="6" t="str">
        <f t="shared" si="4"/>
        <v/>
      </c>
      <c r="AD9" s="6" t="str">
        <f t="shared" si="4"/>
        <v/>
      </c>
      <c r="AE9" s="6" t="str">
        <f t="shared" si="4"/>
        <v/>
      </c>
      <c r="AF9" s="6" t="str">
        <f t="shared" si="4"/>
        <v/>
      </c>
      <c r="AG9" s="6" t="str">
        <f t="shared" si="4"/>
        <v/>
      </c>
      <c r="AH9" s="6" t="str">
        <f t="shared" si="4"/>
        <v/>
      </c>
      <c r="AI9" s="6" t="str">
        <f t="shared" ref="AI9:BL9" si="5">IF(T=AI12,(AI7-AI8)^2,"")</f>
        <v/>
      </c>
      <c r="AJ9" s="6" t="str">
        <f t="shared" si="5"/>
        <v/>
      </c>
      <c r="AK9" s="6" t="str">
        <f t="shared" si="5"/>
        <v/>
      </c>
      <c r="AL9" s="6" t="str">
        <f t="shared" si="5"/>
        <v/>
      </c>
      <c r="AM9" s="6" t="str">
        <f t="shared" si="5"/>
        <v/>
      </c>
      <c r="AN9" s="6" t="str">
        <f t="shared" si="5"/>
        <v/>
      </c>
      <c r="AO9" s="6" t="str">
        <f t="shared" si="5"/>
        <v/>
      </c>
      <c r="AP9" s="6" t="str">
        <f t="shared" si="5"/>
        <v/>
      </c>
      <c r="AQ9" s="6" t="str">
        <f t="shared" si="5"/>
        <v/>
      </c>
      <c r="AR9" s="6" t="str">
        <f t="shared" si="5"/>
        <v/>
      </c>
      <c r="AS9" s="6" t="str">
        <f t="shared" si="5"/>
        <v/>
      </c>
      <c r="AT9" s="6" t="str">
        <f t="shared" si="5"/>
        <v/>
      </c>
      <c r="AU9" s="6" t="str">
        <f t="shared" si="5"/>
        <v/>
      </c>
      <c r="AV9" s="6" t="str">
        <f t="shared" si="5"/>
        <v/>
      </c>
      <c r="AW9" s="6" t="str">
        <f t="shared" si="5"/>
        <v/>
      </c>
      <c r="AX9" s="6" t="str">
        <f t="shared" si="5"/>
        <v/>
      </c>
      <c r="AY9" s="6" t="str">
        <f t="shared" si="5"/>
        <v/>
      </c>
      <c r="AZ9" s="6" t="str">
        <f t="shared" si="5"/>
        <v/>
      </c>
      <c r="BA9" s="6" t="str">
        <f t="shared" si="5"/>
        <v/>
      </c>
      <c r="BB9" s="6" t="str">
        <f t="shared" si="5"/>
        <v/>
      </c>
      <c r="BC9" s="6" t="str">
        <f t="shared" si="5"/>
        <v/>
      </c>
      <c r="BD9" s="6" t="str">
        <f t="shared" si="5"/>
        <v/>
      </c>
      <c r="BE9" s="6" t="str">
        <f t="shared" si="5"/>
        <v/>
      </c>
      <c r="BF9" s="6" t="str">
        <f t="shared" si="5"/>
        <v/>
      </c>
      <c r="BG9" s="6" t="str">
        <f t="shared" si="5"/>
        <v/>
      </c>
      <c r="BH9" s="6" t="str">
        <f t="shared" si="5"/>
        <v/>
      </c>
      <c r="BI9" s="6" t="str">
        <f t="shared" si="5"/>
        <v/>
      </c>
      <c r="BJ9" s="6">
        <f t="shared" si="5"/>
        <v>2.2412904521414609E-4</v>
      </c>
      <c r="BK9" s="6" t="str">
        <f t="shared" si="5"/>
        <v/>
      </c>
      <c r="BL9" s="6" t="str">
        <f t="shared" si="5"/>
        <v/>
      </c>
    </row>
    <row r="10" spans="1:64" s="6" customFormat="1">
      <c r="A10" t="s">
        <v>16</v>
      </c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4"/>
      <c r="BJ10" s="4"/>
      <c r="BK10" s="4"/>
      <c r="BL10" s="4"/>
    </row>
    <row r="12" spans="1:64">
      <c r="A12" t="s">
        <v>5</v>
      </c>
      <c r="B12">
        <f t="shared" ref="B12:AG12" si="6">B13*h</f>
        <v>0</v>
      </c>
      <c r="C12">
        <f t="shared" si="6"/>
        <v>0.5</v>
      </c>
      <c r="D12">
        <f t="shared" si="6"/>
        <v>1</v>
      </c>
      <c r="E12">
        <f t="shared" si="6"/>
        <v>1.5</v>
      </c>
      <c r="F12">
        <f t="shared" si="6"/>
        <v>2</v>
      </c>
      <c r="G12">
        <f t="shared" si="6"/>
        <v>2.5</v>
      </c>
      <c r="H12">
        <f t="shared" si="6"/>
        <v>3</v>
      </c>
      <c r="I12">
        <f t="shared" si="6"/>
        <v>3.5</v>
      </c>
      <c r="J12">
        <f t="shared" si="6"/>
        <v>4</v>
      </c>
      <c r="K12">
        <f t="shared" si="6"/>
        <v>4.5</v>
      </c>
      <c r="L12">
        <f t="shared" si="6"/>
        <v>5</v>
      </c>
      <c r="M12">
        <f t="shared" si="6"/>
        <v>5.5</v>
      </c>
      <c r="N12">
        <f t="shared" si="6"/>
        <v>6</v>
      </c>
      <c r="O12">
        <f t="shared" si="6"/>
        <v>6.5</v>
      </c>
      <c r="P12">
        <f t="shared" si="6"/>
        <v>7</v>
      </c>
      <c r="Q12">
        <f t="shared" si="6"/>
        <v>7.5</v>
      </c>
      <c r="R12">
        <f t="shared" si="6"/>
        <v>8</v>
      </c>
      <c r="S12">
        <f t="shared" si="6"/>
        <v>8.5</v>
      </c>
      <c r="T12">
        <f t="shared" si="6"/>
        <v>9</v>
      </c>
      <c r="U12">
        <f t="shared" si="6"/>
        <v>9.5</v>
      </c>
      <c r="V12">
        <f t="shared" si="6"/>
        <v>10</v>
      </c>
      <c r="W12">
        <f t="shared" si="6"/>
        <v>10.5</v>
      </c>
      <c r="X12">
        <f t="shared" si="6"/>
        <v>11</v>
      </c>
      <c r="Y12">
        <f t="shared" si="6"/>
        <v>11.5</v>
      </c>
      <c r="Z12">
        <f t="shared" si="6"/>
        <v>12</v>
      </c>
      <c r="AA12">
        <f t="shared" si="6"/>
        <v>12.5</v>
      </c>
      <c r="AB12">
        <f t="shared" si="6"/>
        <v>13</v>
      </c>
      <c r="AC12">
        <f t="shared" si="6"/>
        <v>13.5</v>
      </c>
      <c r="AD12">
        <f t="shared" si="6"/>
        <v>14</v>
      </c>
      <c r="AE12">
        <f t="shared" si="6"/>
        <v>14.5</v>
      </c>
      <c r="AF12">
        <f t="shared" si="6"/>
        <v>15</v>
      </c>
      <c r="AG12">
        <f t="shared" si="6"/>
        <v>15.5</v>
      </c>
      <c r="AH12">
        <f t="shared" ref="AH12:BJ12" si="7">AH13*h</f>
        <v>16</v>
      </c>
      <c r="AI12">
        <f t="shared" si="7"/>
        <v>16.5</v>
      </c>
      <c r="AJ12">
        <f t="shared" si="7"/>
        <v>17</v>
      </c>
      <c r="AK12">
        <f t="shared" si="7"/>
        <v>17.5</v>
      </c>
      <c r="AL12">
        <f t="shared" si="7"/>
        <v>18</v>
      </c>
      <c r="AM12">
        <f t="shared" si="7"/>
        <v>18.5</v>
      </c>
      <c r="AN12">
        <f t="shared" si="7"/>
        <v>19</v>
      </c>
      <c r="AO12">
        <f t="shared" si="7"/>
        <v>19.5</v>
      </c>
      <c r="AP12">
        <f t="shared" si="7"/>
        <v>20</v>
      </c>
      <c r="AQ12">
        <f t="shared" si="7"/>
        <v>20.5</v>
      </c>
      <c r="AR12">
        <f t="shared" si="7"/>
        <v>21</v>
      </c>
      <c r="AS12">
        <f t="shared" si="7"/>
        <v>21.5</v>
      </c>
      <c r="AT12">
        <f t="shared" si="7"/>
        <v>22</v>
      </c>
      <c r="AU12">
        <f t="shared" si="7"/>
        <v>22.5</v>
      </c>
      <c r="AV12">
        <f t="shared" si="7"/>
        <v>23</v>
      </c>
      <c r="AW12">
        <f t="shared" si="7"/>
        <v>23.5</v>
      </c>
      <c r="AX12">
        <f t="shared" si="7"/>
        <v>24</v>
      </c>
      <c r="AY12">
        <f t="shared" si="7"/>
        <v>24.5</v>
      </c>
      <c r="AZ12">
        <f t="shared" si="7"/>
        <v>25</v>
      </c>
      <c r="BA12">
        <f t="shared" si="7"/>
        <v>25.5</v>
      </c>
      <c r="BB12">
        <f t="shared" si="7"/>
        <v>26</v>
      </c>
      <c r="BC12">
        <f t="shared" si="7"/>
        <v>26.5</v>
      </c>
      <c r="BD12">
        <f t="shared" si="7"/>
        <v>27</v>
      </c>
      <c r="BE12">
        <f t="shared" si="7"/>
        <v>27.5</v>
      </c>
      <c r="BF12">
        <f t="shared" si="7"/>
        <v>28</v>
      </c>
      <c r="BG12">
        <f t="shared" si="7"/>
        <v>28.5</v>
      </c>
      <c r="BH12">
        <f t="shared" si="7"/>
        <v>29</v>
      </c>
      <c r="BI12">
        <f t="shared" si="7"/>
        <v>29.5</v>
      </c>
      <c r="BJ12">
        <f t="shared" si="7"/>
        <v>30</v>
      </c>
    </row>
    <row r="13" spans="1:64">
      <c r="A13" s="58" t="s">
        <v>4</v>
      </c>
      <c r="B13" s="1">
        <v>0</v>
      </c>
      <c r="C13" s="1">
        <f t="shared" ref="C13:AH13" si="8">B13+1</f>
        <v>1</v>
      </c>
      <c r="D13" s="1">
        <f t="shared" si="8"/>
        <v>2</v>
      </c>
      <c r="E13" s="1">
        <f t="shared" si="8"/>
        <v>3</v>
      </c>
      <c r="F13" s="1">
        <f t="shared" si="8"/>
        <v>4</v>
      </c>
      <c r="G13" s="1">
        <f t="shared" si="8"/>
        <v>5</v>
      </c>
      <c r="H13" s="1">
        <f t="shared" si="8"/>
        <v>6</v>
      </c>
      <c r="I13" s="1">
        <f t="shared" si="8"/>
        <v>7</v>
      </c>
      <c r="J13" s="1">
        <f t="shared" si="8"/>
        <v>8</v>
      </c>
      <c r="K13" s="1">
        <f t="shared" si="8"/>
        <v>9</v>
      </c>
      <c r="L13" s="1">
        <f t="shared" si="8"/>
        <v>10</v>
      </c>
      <c r="M13" s="1">
        <f t="shared" si="8"/>
        <v>11</v>
      </c>
      <c r="N13" s="1">
        <f t="shared" si="8"/>
        <v>12</v>
      </c>
      <c r="O13" s="1">
        <f t="shared" si="8"/>
        <v>13</v>
      </c>
      <c r="P13" s="1">
        <f t="shared" si="8"/>
        <v>14</v>
      </c>
      <c r="Q13" s="1">
        <f t="shared" si="8"/>
        <v>15</v>
      </c>
      <c r="R13" s="1">
        <f t="shared" si="8"/>
        <v>16</v>
      </c>
      <c r="S13" s="1">
        <f t="shared" si="8"/>
        <v>17</v>
      </c>
      <c r="T13" s="1">
        <f t="shared" si="8"/>
        <v>18</v>
      </c>
      <c r="U13" s="1">
        <f t="shared" si="8"/>
        <v>19</v>
      </c>
      <c r="V13" s="1">
        <f t="shared" si="8"/>
        <v>20</v>
      </c>
      <c r="W13" s="1">
        <f t="shared" si="8"/>
        <v>21</v>
      </c>
      <c r="X13" s="1">
        <f t="shared" si="8"/>
        <v>22</v>
      </c>
      <c r="Y13" s="1">
        <f t="shared" si="8"/>
        <v>23</v>
      </c>
      <c r="Z13" s="1">
        <f t="shared" si="8"/>
        <v>24</v>
      </c>
      <c r="AA13" s="1">
        <f t="shared" si="8"/>
        <v>25</v>
      </c>
      <c r="AB13" s="1">
        <f t="shared" si="8"/>
        <v>26</v>
      </c>
      <c r="AC13" s="1">
        <f t="shared" si="8"/>
        <v>27</v>
      </c>
      <c r="AD13" s="1">
        <f t="shared" si="8"/>
        <v>28</v>
      </c>
      <c r="AE13" s="1">
        <f t="shared" si="8"/>
        <v>29</v>
      </c>
      <c r="AF13" s="1">
        <f t="shared" si="8"/>
        <v>30</v>
      </c>
      <c r="AG13" s="1">
        <f t="shared" si="8"/>
        <v>31</v>
      </c>
      <c r="AH13" s="1">
        <f t="shared" si="8"/>
        <v>32</v>
      </c>
      <c r="AI13" s="1">
        <f t="shared" ref="AI13:BJ13" si="9">AH13+1</f>
        <v>33</v>
      </c>
      <c r="AJ13" s="1">
        <f t="shared" si="9"/>
        <v>34</v>
      </c>
      <c r="AK13" s="1">
        <f t="shared" si="9"/>
        <v>35</v>
      </c>
      <c r="AL13" s="1">
        <f t="shared" si="9"/>
        <v>36</v>
      </c>
      <c r="AM13" s="1">
        <f t="shared" si="9"/>
        <v>37</v>
      </c>
      <c r="AN13" s="1">
        <f t="shared" si="9"/>
        <v>38</v>
      </c>
      <c r="AO13" s="1">
        <f t="shared" si="9"/>
        <v>39</v>
      </c>
      <c r="AP13" s="1">
        <f t="shared" si="9"/>
        <v>40</v>
      </c>
      <c r="AQ13" s="1">
        <f t="shared" si="9"/>
        <v>41</v>
      </c>
      <c r="AR13" s="1">
        <f t="shared" si="9"/>
        <v>42</v>
      </c>
      <c r="AS13" s="1">
        <f t="shared" si="9"/>
        <v>43</v>
      </c>
      <c r="AT13" s="1">
        <f t="shared" si="9"/>
        <v>44</v>
      </c>
      <c r="AU13" s="1">
        <f t="shared" si="9"/>
        <v>45</v>
      </c>
      <c r="AV13" s="1">
        <f t="shared" si="9"/>
        <v>46</v>
      </c>
      <c r="AW13" s="1">
        <f t="shared" si="9"/>
        <v>47</v>
      </c>
      <c r="AX13" s="1">
        <f t="shared" si="9"/>
        <v>48</v>
      </c>
      <c r="AY13" s="1">
        <f t="shared" si="9"/>
        <v>49</v>
      </c>
      <c r="AZ13" s="1">
        <f t="shared" si="9"/>
        <v>50</v>
      </c>
      <c r="BA13" s="1">
        <f t="shared" si="9"/>
        <v>51</v>
      </c>
      <c r="BB13" s="1">
        <f t="shared" si="9"/>
        <v>52</v>
      </c>
      <c r="BC13" s="1">
        <f t="shared" si="9"/>
        <v>53</v>
      </c>
      <c r="BD13" s="1">
        <f t="shared" si="9"/>
        <v>54</v>
      </c>
      <c r="BE13" s="1">
        <f t="shared" si="9"/>
        <v>55</v>
      </c>
      <c r="BF13" s="1">
        <f t="shared" si="9"/>
        <v>56</v>
      </c>
      <c r="BG13" s="1">
        <f t="shared" si="9"/>
        <v>57</v>
      </c>
      <c r="BH13" s="1">
        <f t="shared" si="9"/>
        <v>58</v>
      </c>
      <c r="BI13" s="1">
        <f t="shared" si="9"/>
        <v>59</v>
      </c>
      <c r="BJ13" s="1">
        <f t="shared" si="9"/>
        <v>60</v>
      </c>
    </row>
    <row r="14" spans="1:64">
      <c r="A14" s="11">
        <v>0</v>
      </c>
      <c r="B14" s="17">
        <f>rr</f>
        <v>5.0682154636656651E-2</v>
      </c>
      <c r="C14" s="17">
        <f t="shared" ref="C14:AH14" si="10">IF(C12&gt;=T,"",
  IF(HoLee.BDT=1,
                                   IF(T&gt;D12*$Q$3,B14+(B$10*h+sig*SQRT(h)),B14+($O$3*h+sig*SQRT(h))),
                                   IF(T&gt;D12*$Q$3,B14*EXP(B$10*h+sig*SQRT(h)),B14*EXP($O$3*h+sig*SQRT(h)))
  ))</f>
        <v>5.0682154636656651E-2</v>
      </c>
      <c r="D14" s="17">
        <f t="shared" si="10"/>
        <v>5.0682154636656651E-2</v>
      </c>
      <c r="E14" s="17">
        <f t="shared" si="10"/>
        <v>5.0682154636656651E-2</v>
      </c>
      <c r="F14" s="17">
        <f t="shared" si="10"/>
        <v>5.0682154636656651E-2</v>
      </c>
      <c r="G14" s="17">
        <f t="shared" si="10"/>
        <v>5.0682154636656651E-2</v>
      </c>
      <c r="H14" s="17">
        <f t="shared" si="10"/>
        <v>5.0682154636656651E-2</v>
      </c>
      <c r="I14" s="17">
        <f t="shared" si="10"/>
        <v>5.0682154636656651E-2</v>
      </c>
      <c r="J14" s="17">
        <f t="shared" si="10"/>
        <v>5.0682154636656651E-2</v>
      </c>
      <c r="K14" s="17">
        <f t="shared" si="10"/>
        <v>5.0682154636656651E-2</v>
      </c>
      <c r="L14" s="17">
        <f t="shared" si="10"/>
        <v>5.0682154636656651E-2</v>
      </c>
      <c r="M14" s="17">
        <f t="shared" si="10"/>
        <v>5.0682154636656651E-2</v>
      </c>
      <c r="N14" s="17">
        <f t="shared" si="10"/>
        <v>5.0682154636656651E-2</v>
      </c>
      <c r="O14" s="17">
        <f t="shared" si="10"/>
        <v>5.0682154636656651E-2</v>
      </c>
      <c r="P14" s="17">
        <f t="shared" si="10"/>
        <v>5.0682154636656651E-2</v>
      </c>
      <c r="Q14" s="17">
        <f t="shared" si="10"/>
        <v>5.0682154636656651E-2</v>
      </c>
      <c r="R14" s="17">
        <f t="shared" si="10"/>
        <v>5.0682154636656651E-2</v>
      </c>
      <c r="S14" s="17">
        <f t="shared" si="10"/>
        <v>5.0682154636656651E-2</v>
      </c>
      <c r="T14" s="17">
        <f t="shared" si="10"/>
        <v>5.0682154636656651E-2</v>
      </c>
      <c r="U14" s="17">
        <f t="shared" si="10"/>
        <v>5.0682154636656651E-2</v>
      </c>
      <c r="V14" s="17">
        <f t="shared" si="10"/>
        <v>5.0682154636656651E-2</v>
      </c>
      <c r="W14" s="17">
        <f t="shared" si="10"/>
        <v>5.0682154636656651E-2</v>
      </c>
      <c r="X14" s="17">
        <f t="shared" si="10"/>
        <v>5.0682154636656651E-2</v>
      </c>
      <c r="Y14" s="17">
        <f t="shared" si="10"/>
        <v>5.0682154636656651E-2</v>
      </c>
      <c r="Z14" s="17">
        <f t="shared" si="10"/>
        <v>5.0682154636656651E-2</v>
      </c>
      <c r="AA14" s="17">
        <f t="shared" si="10"/>
        <v>5.0682154636656651E-2</v>
      </c>
      <c r="AB14" s="17">
        <f t="shared" si="10"/>
        <v>5.0682154636656651E-2</v>
      </c>
      <c r="AC14" s="17">
        <f t="shared" si="10"/>
        <v>5.0682154636656651E-2</v>
      </c>
      <c r="AD14" s="17">
        <f t="shared" si="10"/>
        <v>5.0682154636656651E-2</v>
      </c>
      <c r="AE14" s="17">
        <f t="shared" si="10"/>
        <v>5.0682154636656651E-2</v>
      </c>
      <c r="AF14" s="17">
        <f t="shared" si="10"/>
        <v>5.0682154636656651E-2</v>
      </c>
      <c r="AG14" s="17">
        <f t="shared" si="10"/>
        <v>5.0682154636656651E-2</v>
      </c>
      <c r="AH14" s="17">
        <f t="shared" si="10"/>
        <v>5.0682154636656651E-2</v>
      </c>
      <c r="AI14" s="17">
        <f t="shared" ref="AI14:BJ14" si="11">IF(AI12&gt;=T,"",
  IF(HoLee.BDT=1,
                                   IF(T&gt;AJ12*$Q$3,AH14+(AH$10*h+sig*SQRT(h)),AH14+($O$3*h+sig*SQRT(h))),
                                   IF(T&gt;AJ12*$Q$3,AH14*EXP(AH$10*h+sig*SQRT(h)),AH14*EXP($O$3*h+sig*SQRT(h)))
  ))</f>
        <v>5.0682154636656651E-2</v>
      </c>
      <c r="AJ14" s="17">
        <f t="shared" si="11"/>
        <v>5.0682154636656651E-2</v>
      </c>
      <c r="AK14" s="17">
        <f t="shared" si="11"/>
        <v>5.0682154636656651E-2</v>
      </c>
      <c r="AL14" s="17">
        <f t="shared" si="11"/>
        <v>5.0682154636656651E-2</v>
      </c>
      <c r="AM14" s="17">
        <f t="shared" si="11"/>
        <v>5.0682154636656651E-2</v>
      </c>
      <c r="AN14" s="17">
        <f t="shared" si="11"/>
        <v>5.0682154636656651E-2</v>
      </c>
      <c r="AO14" s="17">
        <f t="shared" si="11"/>
        <v>5.0682154636656651E-2</v>
      </c>
      <c r="AP14" s="17">
        <f t="shared" si="11"/>
        <v>5.0682154636656651E-2</v>
      </c>
      <c r="AQ14" s="17">
        <f t="shared" si="11"/>
        <v>5.0682154636656651E-2</v>
      </c>
      <c r="AR14" s="17">
        <f t="shared" si="11"/>
        <v>5.0682154636656651E-2</v>
      </c>
      <c r="AS14" s="17">
        <f t="shared" si="11"/>
        <v>5.0682154636656651E-2</v>
      </c>
      <c r="AT14" s="17">
        <f t="shared" si="11"/>
        <v>5.0682154636656651E-2</v>
      </c>
      <c r="AU14" s="17">
        <f t="shared" si="11"/>
        <v>5.0682154636656651E-2</v>
      </c>
      <c r="AV14" s="17">
        <f t="shared" si="11"/>
        <v>5.0682154636656651E-2</v>
      </c>
      <c r="AW14" s="17">
        <f t="shared" si="11"/>
        <v>5.0682154636656651E-2</v>
      </c>
      <c r="AX14" s="17">
        <f t="shared" si="11"/>
        <v>5.0682154636656651E-2</v>
      </c>
      <c r="AY14" s="17">
        <f t="shared" si="11"/>
        <v>5.0682154636656651E-2</v>
      </c>
      <c r="AZ14" s="17">
        <f t="shared" si="11"/>
        <v>5.0682154636656651E-2</v>
      </c>
      <c r="BA14" s="17">
        <f t="shared" si="11"/>
        <v>5.0682154636656651E-2</v>
      </c>
      <c r="BB14" s="17">
        <f t="shared" si="11"/>
        <v>5.0682154636656651E-2</v>
      </c>
      <c r="BC14" s="17">
        <f t="shared" si="11"/>
        <v>5.0682154636656651E-2</v>
      </c>
      <c r="BD14" s="17">
        <f t="shared" si="11"/>
        <v>5.0682154636656651E-2</v>
      </c>
      <c r="BE14" s="17">
        <f t="shared" si="11"/>
        <v>5.0682154636656651E-2</v>
      </c>
      <c r="BF14" s="17">
        <f t="shared" si="11"/>
        <v>5.0682154636656651E-2</v>
      </c>
      <c r="BG14" s="17">
        <f t="shared" si="11"/>
        <v>5.0682154636656651E-2</v>
      </c>
      <c r="BH14" s="17">
        <f t="shared" si="11"/>
        <v>5.0682154636656651E-2</v>
      </c>
      <c r="BI14" s="79">
        <f t="shared" si="11"/>
        <v>5.0682154636656651E-2</v>
      </c>
      <c r="BJ14" s="17" t="str">
        <f t="shared" si="11"/>
        <v/>
      </c>
      <c r="BL14" s="39"/>
    </row>
    <row r="15" spans="1:64">
      <c r="A15" s="11">
        <f t="shared" ref="A15:A46" si="12">A14+1</f>
        <v>1</v>
      </c>
      <c r="B15" s="17" t="str">
        <f t="shared" ref="B15:AG15" si="13">IF(B$12&gt;=T,"",
  IF($A15&gt;B$13,"",
  IF(HoLee.BDT=1,
                                IF(C$12*$Q$3&lt;T,A14+(A$10*h-sig*SQRT(h)),A14+($O$3*h-sig*SQRT(h))),
                                IF(C$12*$Q$3&lt;T,A14*EXP(A$10*h-sig*SQRT(h)),A14*EXP($O$3*h-sig*SQRT(h)))
 )))</f>
        <v/>
      </c>
      <c r="C15" s="17">
        <f t="shared" si="13"/>
        <v>5.0682154636656651E-2</v>
      </c>
      <c r="D15" s="17">
        <f t="shared" si="13"/>
        <v>5.0682154636656651E-2</v>
      </c>
      <c r="E15" s="17">
        <f t="shared" si="13"/>
        <v>5.0682154636656651E-2</v>
      </c>
      <c r="F15" s="17">
        <f t="shared" si="13"/>
        <v>5.0682154636656651E-2</v>
      </c>
      <c r="G15" s="17">
        <f t="shared" si="13"/>
        <v>5.0682154636656651E-2</v>
      </c>
      <c r="H15" s="17">
        <f t="shared" si="13"/>
        <v>5.0682154636656651E-2</v>
      </c>
      <c r="I15" s="17">
        <f t="shared" si="13"/>
        <v>5.0682154636656651E-2</v>
      </c>
      <c r="J15" s="17">
        <f t="shared" si="13"/>
        <v>5.0682154636656651E-2</v>
      </c>
      <c r="K15" s="17">
        <f t="shared" si="13"/>
        <v>5.0682154636656651E-2</v>
      </c>
      <c r="L15" s="17">
        <f t="shared" si="13"/>
        <v>5.0682154636656651E-2</v>
      </c>
      <c r="M15" s="17">
        <f t="shared" si="13"/>
        <v>5.0682154636656651E-2</v>
      </c>
      <c r="N15" s="17">
        <f t="shared" si="13"/>
        <v>5.0682154636656651E-2</v>
      </c>
      <c r="O15" s="17">
        <f t="shared" si="13"/>
        <v>5.0682154636656651E-2</v>
      </c>
      <c r="P15" s="17">
        <f t="shared" si="13"/>
        <v>5.0682154636656651E-2</v>
      </c>
      <c r="Q15" s="17">
        <f t="shared" si="13"/>
        <v>5.0682154636656651E-2</v>
      </c>
      <c r="R15" s="17">
        <f t="shared" si="13"/>
        <v>5.0682154636656651E-2</v>
      </c>
      <c r="S15" s="17">
        <f t="shared" si="13"/>
        <v>5.0682154636656651E-2</v>
      </c>
      <c r="T15" s="17">
        <f t="shared" si="13"/>
        <v>5.0682154636656651E-2</v>
      </c>
      <c r="U15" s="17">
        <f t="shared" si="13"/>
        <v>5.0682154636656651E-2</v>
      </c>
      <c r="V15" s="17">
        <f t="shared" si="13"/>
        <v>5.0682154636656651E-2</v>
      </c>
      <c r="W15" s="17">
        <f t="shared" si="13"/>
        <v>5.0682154636656651E-2</v>
      </c>
      <c r="X15" s="17">
        <f t="shared" si="13"/>
        <v>5.0682154636656651E-2</v>
      </c>
      <c r="Y15" s="17">
        <f t="shared" si="13"/>
        <v>5.0682154636656651E-2</v>
      </c>
      <c r="Z15" s="17">
        <f t="shared" si="13"/>
        <v>5.0682154636656651E-2</v>
      </c>
      <c r="AA15" s="17">
        <f t="shared" si="13"/>
        <v>5.0682154636656651E-2</v>
      </c>
      <c r="AB15" s="17">
        <f t="shared" si="13"/>
        <v>5.0682154636656651E-2</v>
      </c>
      <c r="AC15" s="17">
        <f t="shared" si="13"/>
        <v>5.0682154636656651E-2</v>
      </c>
      <c r="AD15" s="17">
        <f t="shared" si="13"/>
        <v>5.0682154636656651E-2</v>
      </c>
      <c r="AE15" s="17">
        <f t="shared" si="13"/>
        <v>5.0682154636656651E-2</v>
      </c>
      <c r="AF15" s="17">
        <f t="shared" si="13"/>
        <v>5.0682154636656651E-2</v>
      </c>
      <c r="AG15" s="17">
        <f t="shared" si="13"/>
        <v>5.0682154636656651E-2</v>
      </c>
      <c r="AH15" s="17">
        <f t="shared" ref="AH15:BJ15" si="14">IF(AH$12&gt;=T,"",
  IF($A15&gt;AH$13,"",
  IF(HoLee.BDT=1,
                                IF(AI$12*$Q$3&lt;T,AG14+(AG$10*h-sig*SQRT(h)),AG14+($O$3*h-sig*SQRT(h))),
                                IF(AI$12*$Q$3&lt;T,AG14*EXP(AG$10*h-sig*SQRT(h)),AG14*EXP($O$3*h-sig*SQRT(h)))
 )))</f>
        <v>5.0682154636656651E-2</v>
      </c>
      <c r="AI15" s="17">
        <f t="shared" si="14"/>
        <v>5.0682154636656651E-2</v>
      </c>
      <c r="AJ15" s="17">
        <f t="shared" si="14"/>
        <v>5.0682154636656651E-2</v>
      </c>
      <c r="AK15" s="17">
        <f t="shared" si="14"/>
        <v>5.0682154636656651E-2</v>
      </c>
      <c r="AL15" s="17">
        <f t="shared" si="14"/>
        <v>5.0682154636656651E-2</v>
      </c>
      <c r="AM15" s="17">
        <f t="shared" si="14"/>
        <v>5.0682154636656651E-2</v>
      </c>
      <c r="AN15" s="17">
        <f t="shared" si="14"/>
        <v>5.0682154636656651E-2</v>
      </c>
      <c r="AO15" s="17">
        <f t="shared" si="14"/>
        <v>5.0682154636656651E-2</v>
      </c>
      <c r="AP15" s="17">
        <f t="shared" si="14"/>
        <v>5.0682154636656651E-2</v>
      </c>
      <c r="AQ15" s="17">
        <f t="shared" si="14"/>
        <v>5.0682154636656651E-2</v>
      </c>
      <c r="AR15" s="17">
        <f t="shared" si="14"/>
        <v>5.0682154636656651E-2</v>
      </c>
      <c r="AS15" s="17">
        <f t="shared" si="14"/>
        <v>5.0682154636656651E-2</v>
      </c>
      <c r="AT15" s="17">
        <f t="shared" si="14"/>
        <v>5.0682154636656651E-2</v>
      </c>
      <c r="AU15" s="17">
        <f t="shared" si="14"/>
        <v>5.0682154636656651E-2</v>
      </c>
      <c r="AV15" s="17">
        <f t="shared" si="14"/>
        <v>5.0682154636656651E-2</v>
      </c>
      <c r="AW15" s="17">
        <f t="shared" si="14"/>
        <v>5.0682154636656651E-2</v>
      </c>
      <c r="AX15" s="17">
        <f t="shared" si="14"/>
        <v>5.0682154636656651E-2</v>
      </c>
      <c r="AY15" s="17">
        <f t="shared" si="14"/>
        <v>5.0682154636656651E-2</v>
      </c>
      <c r="AZ15" s="17">
        <f t="shared" si="14"/>
        <v>5.0682154636656651E-2</v>
      </c>
      <c r="BA15" s="17">
        <f t="shared" si="14"/>
        <v>5.0682154636656651E-2</v>
      </c>
      <c r="BB15" s="17">
        <f t="shared" si="14"/>
        <v>5.0682154636656651E-2</v>
      </c>
      <c r="BC15" s="17">
        <f t="shared" si="14"/>
        <v>5.0682154636656651E-2</v>
      </c>
      <c r="BD15" s="17">
        <f t="shared" si="14"/>
        <v>5.0682154636656651E-2</v>
      </c>
      <c r="BE15" s="17">
        <f t="shared" si="14"/>
        <v>5.0682154636656651E-2</v>
      </c>
      <c r="BF15" s="17">
        <f t="shared" si="14"/>
        <v>5.0682154636656651E-2</v>
      </c>
      <c r="BG15" s="17">
        <f t="shared" si="14"/>
        <v>5.0682154636656651E-2</v>
      </c>
      <c r="BH15" s="17">
        <f t="shared" si="14"/>
        <v>5.0682154636656651E-2</v>
      </c>
      <c r="BI15" s="17">
        <f t="shared" si="14"/>
        <v>5.0682154636656651E-2</v>
      </c>
      <c r="BJ15" s="17" t="str">
        <f t="shared" si="14"/>
        <v/>
      </c>
    </row>
    <row r="16" spans="1:64">
      <c r="A16" s="11">
        <f t="shared" si="12"/>
        <v>2</v>
      </c>
      <c r="B16" s="17" t="str">
        <f t="shared" ref="B16:AG16" si="15">IF(B$12&gt;=T,"",
  IF($A16&gt;B$13,"",
  IF(HoLee.BDT=1,
                                IF(C$12*$Q$3&lt;T,A15+(A$10*h-sig*SQRT(h)),A15+($O$3*h-sig*SQRT(h))),
                                IF(C$12*$Q$3&lt;T,A15*EXP(A$10*h-sig*SQRT(h)),A15*EXP($O$3*h-sig*SQRT(h)))
 )))</f>
        <v/>
      </c>
      <c r="C16" s="17" t="str">
        <f t="shared" si="15"/>
        <v/>
      </c>
      <c r="D16" s="17">
        <f t="shared" si="15"/>
        <v>5.0682154636656651E-2</v>
      </c>
      <c r="E16" s="17">
        <f t="shared" si="15"/>
        <v>5.0682154636656651E-2</v>
      </c>
      <c r="F16" s="17">
        <f t="shared" si="15"/>
        <v>5.0682154636656651E-2</v>
      </c>
      <c r="G16" s="17">
        <f t="shared" si="15"/>
        <v>5.0682154636656651E-2</v>
      </c>
      <c r="H16" s="17">
        <f t="shared" si="15"/>
        <v>5.0682154636656651E-2</v>
      </c>
      <c r="I16" s="17">
        <f t="shared" si="15"/>
        <v>5.0682154636656651E-2</v>
      </c>
      <c r="J16" s="17">
        <f t="shared" si="15"/>
        <v>5.0682154636656651E-2</v>
      </c>
      <c r="K16" s="17">
        <f t="shared" si="15"/>
        <v>5.0682154636656651E-2</v>
      </c>
      <c r="L16" s="17">
        <f t="shared" si="15"/>
        <v>5.0682154636656651E-2</v>
      </c>
      <c r="M16" s="17">
        <f t="shared" si="15"/>
        <v>5.0682154636656651E-2</v>
      </c>
      <c r="N16" s="17">
        <f t="shared" si="15"/>
        <v>5.0682154636656651E-2</v>
      </c>
      <c r="O16" s="17">
        <f t="shared" si="15"/>
        <v>5.0682154636656651E-2</v>
      </c>
      <c r="P16" s="17">
        <f t="shared" si="15"/>
        <v>5.0682154636656651E-2</v>
      </c>
      <c r="Q16" s="17">
        <f t="shared" si="15"/>
        <v>5.0682154636656651E-2</v>
      </c>
      <c r="R16" s="17">
        <f t="shared" si="15"/>
        <v>5.0682154636656651E-2</v>
      </c>
      <c r="S16" s="17">
        <f t="shared" si="15"/>
        <v>5.0682154636656651E-2</v>
      </c>
      <c r="T16" s="17">
        <f t="shared" si="15"/>
        <v>5.0682154636656651E-2</v>
      </c>
      <c r="U16" s="17">
        <f t="shared" si="15"/>
        <v>5.0682154636656651E-2</v>
      </c>
      <c r="V16" s="17">
        <f t="shared" si="15"/>
        <v>5.0682154636656651E-2</v>
      </c>
      <c r="W16" s="17">
        <f t="shared" si="15"/>
        <v>5.0682154636656651E-2</v>
      </c>
      <c r="X16" s="17">
        <f t="shared" si="15"/>
        <v>5.0682154636656651E-2</v>
      </c>
      <c r="Y16" s="17">
        <f t="shared" si="15"/>
        <v>5.0682154636656651E-2</v>
      </c>
      <c r="Z16" s="17">
        <f t="shared" si="15"/>
        <v>5.0682154636656651E-2</v>
      </c>
      <c r="AA16" s="17">
        <f t="shared" si="15"/>
        <v>5.0682154636656651E-2</v>
      </c>
      <c r="AB16" s="17">
        <f t="shared" si="15"/>
        <v>5.0682154636656651E-2</v>
      </c>
      <c r="AC16" s="17">
        <f t="shared" si="15"/>
        <v>5.0682154636656651E-2</v>
      </c>
      <c r="AD16" s="17">
        <f t="shared" si="15"/>
        <v>5.0682154636656651E-2</v>
      </c>
      <c r="AE16" s="17">
        <f t="shared" si="15"/>
        <v>5.0682154636656651E-2</v>
      </c>
      <c r="AF16" s="17">
        <f t="shared" si="15"/>
        <v>5.0682154636656651E-2</v>
      </c>
      <c r="AG16" s="17">
        <f t="shared" si="15"/>
        <v>5.0682154636656651E-2</v>
      </c>
      <c r="AH16" s="17">
        <f t="shared" ref="AH16:BJ16" si="16">IF(AH$12&gt;=T,"",
  IF($A16&gt;AH$13,"",
  IF(HoLee.BDT=1,
                                IF(AI$12*$Q$3&lt;T,AG15+(AG$10*h-sig*SQRT(h)),AG15+($O$3*h-sig*SQRT(h))),
                                IF(AI$12*$Q$3&lt;T,AG15*EXP(AG$10*h-sig*SQRT(h)),AG15*EXP($O$3*h-sig*SQRT(h)))
 )))</f>
        <v>5.0682154636656651E-2</v>
      </c>
      <c r="AI16" s="17">
        <f t="shared" si="16"/>
        <v>5.0682154636656651E-2</v>
      </c>
      <c r="AJ16" s="17">
        <f t="shared" si="16"/>
        <v>5.0682154636656651E-2</v>
      </c>
      <c r="AK16" s="17">
        <f t="shared" si="16"/>
        <v>5.0682154636656651E-2</v>
      </c>
      <c r="AL16" s="17">
        <f t="shared" si="16"/>
        <v>5.0682154636656651E-2</v>
      </c>
      <c r="AM16" s="17">
        <f t="shared" si="16"/>
        <v>5.0682154636656651E-2</v>
      </c>
      <c r="AN16" s="17">
        <f t="shared" si="16"/>
        <v>5.0682154636656651E-2</v>
      </c>
      <c r="AO16" s="17">
        <f t="shared" si="16"/>
        <v>5.0682154636656651E-2</v>
      </c>
      <c r="AP16" s="17">
        <f t="shared" si="16"/>
        <v>5.0682154636656651E-2</v>
      </c>
      <c r="AQ16" s="17">
        <f t="shared" si="16"/>
        <v>5.0682154636656651E-2</v>
      </c>
      <c r="AR16" s="17">
        <f t="shared" si="16"/>
        <v>5.0682154636656651E-2</v>
      </c>
      <c r="AS16" s="17">
        <f t="shared" si="16"/>
        <v>5.0682154636656651E-2</v>
      </c>
      <c r="AT16" s="17">
        <f t="shared" si="16"/>
        <v>5.0682154636656651E-2</v>
      </c>
      <c r="AU16" s="17">
        <f t="shared" si="16"/>
        <v>5.0682154636656651E-2</v>
      </c>
      <c r="AV16" s="17">
        <f t="shared" si="16"/>
        <v>5.0682154636656651E-2</v>
      </c>
      <c r="AW16" s="17">
        <f t="shared" si="16"/>
        <v>5.0682154636656651E-2</v>
      </c>
      <c r="AX16" s="17">
        <f t="shared" si="16"/>
        <v>5.0682154636656651E-2</v>
      </c>
      <c r="AY16" s="17">
        <f t="shared" si="16"/>
        <v>5.0682154636656651E-2</v>
      </c>
      <c r="AZ16" s="17">
        <f t="shared" si="16"/>
        <v>5.0682154636656651E-2</v>
      </c>
      <c r="BA16" s="17">
        <f t="shared" si="16"/>
        <v>5.0682154636656651E-2</v>
      </c>
      <c r="BB16" s="17">
        <f t="shared" si="16"/>
        <v>5.0682154636656651E-2</v>
      </c>
      <c r="BC16" s="17">
        <f t="shared" si="16"/>
        <v>5.0682154636656651E-2</v>
      </c>
      <c r="BD16" s="17">
        <f t="shared" si="16"/>
        <v>5.0682154636656651E-2</v>
      </c>
      <c r="BE16" s="17">
        <f t="shared" si="16"/>
        <v>5.0682154636656651E-2</v>
      </c>
      <c r="BF16" s="17">
        <f t="shared" si="16"/>
        <v>5.0682154636656651E-2</v>
      </c>
      <c r="BG16" s="17">
        <f t="shared" si="16"/>
        <v>5.0682154636656651E-2</v>
      </c>
      <c r="BH16" s="17">
        <f t="shared" si="16"/>
        <v>5.0682154636656651E-2</v>
      </c>
      <c r="BI16" s="17">
        <f t="shared" si="16"/>
        <v>5.0682154636656651E-2</v>
      </c>
      <c r="BJ16" s="17" t="str">
        <f t="shared" si="16"/>
        <v/>
      </c>
    </row>
    <row r="17" spans="1:78" outlineLevel="1">
      <c r="A17" s="11">
        <f t="shared" si="12"/>
        <v>3</v>
      </c>
      <c r="B17" s="17" t="str">
        <f t="shared" ref="B17:AG17" si="17">IF(B$12&gt;=T,"",
  IF($A17&gt;B$13,"",
  IF(HoLee.BDT=1,
                                IF(C$12*$Q$3&lt;T,A16+(A$10*h-sig*SQRT(h)),A16+($O$3*h-sig*SQRT(h))),
                                IF(C$12*$Q$3&lt;T,A16*EXP(A$10*h-sig*SQRT(h)),A16*EXP($O$3*h-sig*SQRT(h)))
 )))</f>
        <v/>
      </c>
      <c r="C17" s="17" t="str">
        <f t="shared" si="17"/>
        <v/>
      </c>
      <c r="D17" s="17" t="str">
        <f t="shared" si="17"/>
        <v/>
      </c>
      <c r="E17" s="17">
        <f t="shared" si="17"/>
        <v>5.0682154636656651E-2</v>
      </c>
      <c r="F17" s="17">
        <f t="shared" si="17"/>
        <v>5.0682154636656651E-2</v>
      </c>
      <c r="G17" s="17">
        <f t="shared" si="17"/>
        <v>5.0682154636656651E-2</v>
      </c>
      <c r="H17" s="17">
        <f t="shared" si="17"/>
        <v>5.0682154636656651E-2</v>
      </c>
      <c r="I17" s="17">
        <f t="shared" si="17"/>
        <v>5.0682154636656651E-2</v>
      </c>
      <c r="J17" s="17">
        <f t="shared" si="17"/>
        <v>5.0682154636656651E-2</v>
      </c>
      <c r="K17" s="17">
        <f t="shared" si="17"/>
        <v>5.0682154636656651E-2</v>
      </c>
      <c r="L17" s="17">
        <f t="shared" si="17"/>
        <v>5.0682154636656651E-2</v>
      </c>
      <c r="M17" s="17">
        <f t="shared" si="17"/>
        <v>5.0682154636656651E-2</v>
      </c>
      <c r="N17" s="17">
        <f t="shared" si="17"/>
        <v>5.0682154636656651E-2</v>
      </c>
      <c r="O17" s="17">
        <f t="shared" si="17"/>
        <v>5.0682154636656651E-2</v>
      </c>
      <c r="P17" s="17">
        <f t="shared" si="17"/>
        <v>5.0682154636656651E-2</v>
      </c>
      <c r="Q17" s="17">
        <f t="shared" si="17"/>
        <v>5.0682154636656651E-2</v>
      </c>
      <c r="R17" s="17">
        <f t="shared" si="17"/>
        <v>5.0682154636656651E-2</v>
      </c>
      <c r="S17" s="17">
        <f t="shared" si="17"/>
        <v>5.0682154636656651E-2</v>
      </c>
      <c r="T17" s="17">
        <f t="shared" si="17"/>
        <v>5.0682154636656651E-2</v>
      </c>
      <c r="U17" s="17">
        <f t="shared" si="17"/>
        <v>5.0682154636656651E-2</v>
      </c>
      <c r="V17" s="17">
        <f t="shared" si="17"/>
        <v>5.0682154636656651E-2</v>
      </c>
      <c r="W17" s="17">
        <f t="shared" si="17"/>
        <v>5.0682154636656651E-2</v>
      </c>
      <c r="X17" s="17">
        <f t="shared" si="17"/>
        <v>5.0682154636656651E-2</v>
      </c>
      <c r="Y17" s="17">
        <f t="shared" si="17"/>
        <v>5.0682154636656651E-2</v>
      </c>
      <c r="Z17" s="17">
        <f t="shared" si="17"/>
        <v>5.0682154636656651E-2</v>
      </c>
      <c r="AA17" s="17">
        <f t="shared" si="17"/>
        <v>5.0682154636656651E-2</v>
      </c>
      <c r="AB17" s="17">
        <f t="shared" si="17"/>
        <v>5.0682154636656651E-2</v>
      </c>
      <c r="AC17" s="17">
        <f t="shared" si="17"/>
        <v>5.0682154636656651E-2</v>
      </c>
      <c r="AD17" s="17">
        <f t="shared" si="17"/>
        <v>5.0682154636656651E-2</v>
      </c>
      <c r="AE17" s="17">
        <f t="shared" si="17"/>
        <v>5.0682154636656651E-2</v>
      </c>
      <c r="AF17" s="17">
        <f t="shared" si="17"/>
        <v>5.0682154636656651E-2</v>
      </c>
      <c r="AG17" s="17">
        <f t="shared" si="17"/>
        <v>5.0682154636656651E-2</v>
      </c>
      <c r="AH17" s="17">
        <f t="shared" ref="AH17:BJ17" si="18">IF(AH$12&gt;=T,"",
  IF($A17&gt;AH$13,"",
  IF(HoLee.BDT=1,
                                IF(AI$12*$Q$3&lt;T,AG16+(AG$10*h-sig*SQRT(h)),AG16+($O$3*h-sig*SQRT(h))),
                                IF(AI$12*$Q$3&lt;T,AG16*EXP(AG$10*h-sig*SQRT(h)),AG16*EXP($O$3*h-sig*SQRT(h)))
 )))</f>
        <v>5.0682154636656651E-2</v>
      </c>
      <c r="AI17" s="17">
        <f t="shared" si="18"/>
        <v>5.0682154636656651E-2</v>
      </c>
      <c r="AJ17" s="17">
        <f t="shared" si="18"/>
        <v>5.0682154636656651E-2</v>
      </c>
      <c r="AK17" s="17">
        <f t="shared" si="18"/>
        <v>5.0682154636656651E-2</v>
      </c>
      <c r="AL17" s="17">
        <f t="shared" si="18"/>
        <v>5.0682154636656651E-2</v>
      </c>
      <c r="AM17" s="17">
        <f t="shared" si="18"/>
        <v>5.0682154636656651E-2</v>
      </c>
      <c r="AN17" s="17">
        <f t="shared" si="18"/>
        <v>5.0682154636656651E-2</v>
      </c>
      <c r="AO17" s="17">
        <f t="shared" si="18"/>
        <v>5.0682154636656651E-2</v>
      </c>
      <c r="AP17" s="17">
        <f t="shared" si="18"/>
        <v>5.0682154636656651E-2</v>
      </c>
      <c r="AQ17" s="17">
        <f t="shared" si="18"/>
        <v>5.0682154636656651E-2</v>
      </c>
      <c r="AR17" s="17">
        <f t="shared" si="18"/>
        <v>5.0682154636656651E-2</v>
      </c>
      <c r="AS17" s="17">
        <f t="shared" si="18"/>
        <v>5.0682154636656651E-2</v>
      </c>
      <c r="AT17" s="17">
        <f t="shared" si="18"/>
        <v>5.0682154636656651E-2</v>
      </c>
      <c r="AU17" s="17">
        <f t="shared" si="18"/>
        <v>5.0682154636656651E-2</v>
      </c>
      <c r="AV17" s="17">
        <f t="shared" si="18"/>
        <v>5.0682154636656651E-2</v>
      </c>
      <c r="AW17" s="17">
        <f t="shared" si="18"/>
        <v>5.0682154636656651E-2</v>
      </c>
      <c r="AX17" s="17">
        <f t="shared" si="18"/>
        <v>5.0682154636656651E-2</v>
      </c>
      <c r="AY17" s="17">
        <f t="shared" si="18"/>
        <v>5.0682154636656651E-2</v>
      </c>
      <c r="AZ17" s="17">
        <f t="shared" si="18"/>
        <v>5.0682154636656651E-2</v>
      </c>
      <c r="BA17" s="17">
        <f t="shared" si="18"/>
        <v>5.0682154636656651E-2</v>
      </c>
      <c r="BB17" s="17">
        <f t="shared" si="18"/>
        <v>5.0682154636656651E-2</v>
      </c>
      <c r="BC17" s="17">
        <f t="shared" si="18"/>
        <v>5.0682154636656651E-2</v>
      </c>
      <c r="BD17" s="17">
        <f t="shared" si="18"/>
        <v>5.0682154636656651E-2</v>
      </c>
      <c r="BE17" s="17">
        <f t="shared" si="18"/>
        <v>5.0682154636656651E-2</v>
      </c>
      <c r="BF17" s="17">
        <f t="shared" si="18"/>
        <v>5.0682154636656651E-2</v>
      </c>
      <c r="BG17" s="17">
        <f t="shared" si="18"/>
        <v>5.0682154636656651E-2</v>
      </c>
      <c r="BH17" s="17">
        <f t="shared" si="18"/>
        <v>5.0682154636656651E-2</v>
      </c>
      <c r="BI17" s="17">
        <f t="shared" si="18"/>
        <v>5.0682154636656651E-2</v>
      </c>
      <c r="BJ17" s="17" t="str">
        <f t="shared" si="18"/>
        <v/>
      </c>
      <c r="BK17" s="17"/>
    </row>
    <row r="18" spans="1:78" outlineLevel="1">
      <c r="A18" s="84">
        <f t="shared" si="12"/>
        <v>4</v>
      </c>
      <c r="B18" s="17" t="str">
        <f t="shared" ref="B18:AG18" si="19">IF(B$12&gt;=T,"",
  IF($A18&gt;B$13,"",
  IF(HoLee.BDT=1,
                                IF(C$12*$Q$3&lt;T,A17+(A$10*h-sig*SQRT(h)),A17+($O$3*h-sig*SQRT(h))),
                                IF(C$12*$Q$3&lt;T,A17*EXP(A$10*h-sig*SQRT(h)),A17*EXP($O$3*h-sig*SQRT(h)))
 )))</f>
        <v/>
      </c>
      <c r="C18" s="17" t="str">
        <f t="shared" si="19"/>
        <v/>
      </c>
      <c r="D18" s="17" t="str">
        <f t="shared" si="19"/>
        <v/>
      </c>
      <c r="E18" s="17" t="str">
        <f t="shared" si="19"/>
        <v/>
      </c>
      <c r="F18" s="17">
        <f t="shared" si="19"/>
        <v>5.0682154636656651E-2</v>
      </c>
      <c r="G18" s="17">
        <f t="shared" si="19"/>
        <v>5.0682154636656651E-2</v>
      </c>
      <c r="H18" s="17">
        <f t="shared" si="19"/>
        <v>5.0682154636656651E-2</v>
      </c>
      <c r="I18" s="17">
        <f t="shared" si="19"/>
        <v>5.0682154636656651E-2</v>
      </c>
      <c r="J18" s="17">
        <f t="shared" si="19"/>
        <v>5.0682154636656651E-2</v>
      </c>
      <c r="K18" s="17">
        <f t="shared" si="19"/>
        <v>5.0682154636656651E-2</v>
      </c>
      <c r="L18" s="17">
        <f t="shared" si="19"/>
        <v>5.0682154636656651E-2</v>
      </c>
      <c r="M18" s="17">
        <f t="shared" si="19"/>
        <v>5.0682154636656651E-2</v>
      </c>
      <c r="N18" s="17">
        <f t="shared" si="19"/>
        <v>5.0682154636656651E-2</v>
      </c>
      <c r="O18" s="17">
        <f t="shared" si="19"/>
        <v>5.0682154636656651E-2</v>
      </c>
      <c r="P18" s="17">
        <f t="shared" si="19"/>
        <v>5.0682154636656651E-2</v>
      </c>
      <c r="Q18" s="17">
        <f t="shared" si="19"/>
        <v>5.0682154636656651E-2</v>
      </c>
      <c r="R18" s="17">
        <f t="shared" si="19"/>
        <v>5.0682154636656651E-2</v>
      </c>
      <c r="S18" s="17">
        <f t="shared" si="19"/>
        <v>5.0682154636656651E-2</v>
      </c>
      <c r="T18" s="17">
        <f t="shared" si="19"/>
        <v>5.0682154636656651E-2</v>
      </c>
      <c r="U18" s="17">
        <f t="shared" si="19"/>
        <v>5.0682154636656651E-2</v>
      </c>
      <c r="V18" s="17">
        <f t="shared" si="19"/>
        <v>5.0682154636656651E-2</v>
      </c>
      <c r="W18" s="17">
        <f t="shared" si="19"/>
        <v>5.0682154636656651E-2</v>
      </c>
      <c r="X18" s="17">
        <f t="shared" si="19"/>
        <v>5.0682154636656651E-2</v>
      </c>
      <c r="Y18" s="17">
        <f t="shared" si="19"/>
        <v>5.0682154636656651E-2</v>
      </c>
      <c r="Z18" s="17">
        <f t="shared" si="19"/>
        <v>5.0682154636656651E-2</v>
      </c>
      <c r="AA18" s="17">
        <f t="shared" si="19"/>
        <v>5.0682154636656651E-2</v>
      </c>
      <c r="AB18" s="17">
        <f t="shared" si="19"/>
        <v>5.0682154636656651E-2</v>
      </c>
      <c r="AC18" s="17">
        <f t="shared" si="19"/>
        <v>5.0682154636656651E-2</v>
      </c>
      <c r="AD18" s="17">
        <f t="shared" si="19"/>
        <v>5.0682154636656651E-2</v>
      </c>
      <c r="AE18" s="17">
        <f t="shared" si="19"/>
        <v>5.0682154636656651E-2</v>
      </c>
      <c r="AF18" s="17">
        <f t="shared" si="19"/>
        <v>5.0682154636656651E-2</v>
      </c>
      <c r="AG18" s="17">
        <f t="shared" si="19"/>
        <v>5.0682154636656651E-2</v>
      </c>
      <c r="AH18" s="17">
        <f t="shared" ref="AH18:BJ18" si="20">IF(AH$12&gt;=T,"",
  IF($A18&gt;AH$13,"",
  IF(HoLee.BDT=1,
                                IF(AI$12*$Q$3&lt;T,AG17+(AG$10*h-sig*SQRT(h)),AG17+($O$3*h-sig*SQRT(h))),
                                IF(AI$12*$Q$3&lt;T,AG17*EXP(AG$10*h-sig*SQRT(h)),AG17*EXP($O$3*h-sig*SQRT(h)))
 )))</f>
        <v>5.0682154636656651E-2</v>
      </c>
      <c r="AI18" s="17">
        <f t="shared" si="20"/>
        <v>5.0682154636656651E-2</v>
      </c>
      <c r="AJ18" s="17">
        <f t="shared" si="20"/>
        <v>5.0682154636656651E-2</v>
      </c>
      <c r="AK18" s="17">
        <f t="shared" si="20"/>
        <v>5.0682154636656651E-2</v>
      </c>
      <c r="AL18" s="17">
        <f t="shared" si="20"/>
        <v>5.0682154636656651E-2</v>
      </c>
      <c r="AM18" s="17">
        <f t="shared" si="20"/>
        <v>5.0682154636656651E-2</v>
      </c>
      <c r="AN18" s="17">
        <f t="shared" si="20"/>
        <v>5.0682154636656651E-2</v>
      </c>
      <c r="AO18" s="17">
        <f t="shared" si="20"/>
        <v>5.0682154636656651E-2</v>
      </c>
      <c r="AP18" s="17">
        <f t="shared" si="20"/>
        <v>5.0682154636656651E-2</v>
      </c>
      <c r="AQ18" s="17">
        <f t="shared" si="20"/>
        <v>5.0682154636656651E-2</v>
      </c>
      <c r="AR18" s="17">
        <f t="shared" si="20"/>
        <v>5.0682154636656651E-2</v>
      </c>
      <c r="AS18" s="17">
        <f t="shared" si="20"/>
        <v>5.0682154636656651E-2</v>
      </c>
      <c r="AT18" s="17">
        <f t="shared" si="20"/>
        <v>5.0682154636656651E-2</v>
      </c>
      <c r="AU18" s="17">
        <f t="shared" si="20"/>
        <v>5.0682154636656651E-2</v>
      </c>
      <c r="AV18" s="17">
        <f t="shared" si="20"/>
        <v>5.0682154636656651E-2</v>
      </c>
      <c r="AW18" s="17">
        <f t="shared" si="20"/>
        <v>5.0682154636656651E-2</v>
      </c>
      <c r="AX18" s="17">
        <f t="shared" si="20"/>
        <v>5.0682154636656651E-2</v>
      </c>
      <c r="AY18" s="17">
        <f t="shared" si="20"/>
        <v>5.0682154636656651E-2</v>
      </c>
      <c r="AZ18" s="17">
        <f t="shared" si="20"/>
        <v>5.0682154636656651E-2</v>
      </c>
      <c r="BA18" s="17">
        <f t="shared" si="20"/>
        <v>5.0682154636656651E-2</v>
      </c>
      <c r="BB18" s="17">
        <f t="shared" si="20"/>
        <v>5.0682154636656651E-2</v>
      </c>
      <c r="BC18" s="17">
        <f t="shared" si="20"/>
        <v>5.0682154636656651E-2</v>
      </c>
      <c r="BD18" s="17">
        <f t="shared" si="20"/>
        <v>5.0682154636656651E-2</v>
      </c>
      <c r="BE18" s="17">
        <f t="shared" si="20"/>
        <v>5.0682154636656651E-2</v>
      </c>
      <c r="BF18" s="17">
        <f t="shared" si="20"/>
        <v>5.0682154636656651E-2</v>
      </c>
      <c r="BG18" s="17">
        <f t="shared" si="20"/>
        <v>5.0682154636656651E-2</v>
      </c>
      <c r="BH18" s="17">
        <f t="shared" si="20"/>
        <v>5.0682154636656651E-2</v>
      </c>
      <c r="BI18" s="17">
        <f t="shared" si="20"/>
        <v>5.0682154636656651E-2</v>
      </c>
      <c r="BJ18" s="17" t="str">
        <f t="shared" si="20"/>
        <v/>
      </c>
      <c r="BK18" s="17"/>
      <c r="BL18" s="17"/>
    </row>
    <row r="19" spans="1:78" outlineLevel="1">
      <c r="A19" s="11">
        <f t="shared" si="12"/>
        <v>5</v>
      </c>
      <c r="B19" s="17" t="str">
        <f t="shared" ref="B19:AG19" si="21">IF(B$12&gt;=T,"",
  IF($A19&gt;B$13,"",
  IF(HoLee.BDT=1,
                                IF(C$12*$Q$3&lt;T,A18+(A$10*h-sig*SQRT(h)),A18+($O$3*h-sig*SQRT(h))),
                                IF(C$12*$Q$3&lt;T,A18*EXP(A$10*h-sig*SQRT(h)),A18*EXP($O$3*h-sig*SQRT(h)))
 )))</f>
        <v/>
      </c>
      <c r="C19" s="17" t="str">
        <f t="shared" si="21"/>
        <v/>
      </c>
      <c r="D19" s="17" t="str">
        <f t="shared" si="21"/>
        <v/>
      </c>
      <c r="E19" s="17" t="str">
        <f t="shared" si="21"/>
        <v/>
      </c>
      <c r="F19" s="17" t="str">
        <f t="shared" si="21"/>
        <v/>
      </c>
      <c r="G19" s="17">
        <f t="shared" si="21"/>
        <v>5.0682154636656651E-2</v>
      </c>
      <c r="H19" s="17">
        <f t="shared" si="21"/>
        <v>5.0682154636656651E-2</v>
      </c>
      <c r="I19" s="17">
        <f t="shared" si="21"/>
        <v>5.0682154636656651E-2</v>
      </c>
      <c r="J19" s="17">
        <f t="shared" si="21"/>
        <v>5.0682154636656651E-2</v>
      </c>
      <c r="K19" s="17">
        <f t="shared" si="21"/>
        <v>5.0682154636656651E-2</v>
      </c>
      <c r="L19" s="17">
        <f t="shared" si="21"/>
        <v>5.0682154636656651E-2</v>
      </c>
      <c r="M19" s="17">
        <f t="shared" si="21"/>
        <v>5.0682154636656651E-2</v>
      </c>
      <c r="N19" s="17">
        <f t="shared" si="21"/>
        <v>5.0682154636656651E-2</v>
      </c>
      <c r="O19" s="17">
        <f t="shared" si="21"/>
        <v>5.0682154636656651E-2</v>
      </c>
      <c r="P19" s="17">
        <f t="shared" si="21"/>
        <v>5.0682154636656651E-2</v>
      </c>
      <c r="Q19" s="17">
        <f t="shared" si="21"/>
        <v>5.0682154636656651E-2</v>
      </c>
      <c r="R19" s="17">
        <f t="shared" si="21"/>
        <v>5.0682154636656651E-2</v>
      </c>
      <c r="S19" s="17">
        <f t="shared" si="21"/>
        <v>5.0682154636656651E-2</v>
      </c>
      <c r="T19" s="17">
        <f t="shared" si="21"/>
        <v>5.0682154636656651E-2</v>
      </c>
      <c r="U19" s="17">
        <f t="shared" si="21"/>
        <v>5.0682154636656651E-2</v>
      </c>
      <c r="V19" s="17">
        <f t="shared" si="21"/>
        <v>5.0682154636656651E-2</v>
      </c>
      <c r="W19" s="17">
        <f t="shared" si="21"/>
        <v>5.0682154636656651E-2</v>
      </c>
      <c r="X19" s="17">
        <f t="shared" si="21"/>
        <v>5.0682154636656651E-2</v>
      </c>
      <c r="Y19" s="17">
        <f t="shared" si="21"/>
        <v>5.0682154636656651E-2</v>
      </c>
      <c r="Z19" s="17">
        <f t="shared" si="21"/>
        <v>5.0682154636656651E-2</v>
      </c>
      <c r="AA19" s="17">
        <f t="shared" si="21"/>
        <v>5.0682154636656651E-2</v>
      </c>
      <c r="AB19" s="17">
        <f t="shared" si="21"/>
        <v>5.0682154636656651E-2</v>
      </c>
      <c r="AC19" s="17">
        <f t="shared" si="21"/>
        <v>5.0682154636656651E-2</v>
      </c>
      <c r="AD19" s="17">
        <f t="shared" si="21"/>
        <v>5.0682154636656651E-2</v>
      </c>
      <c r="AE19" s="17">
        <f t="shared" si="21"/>
        <v>5.0682154636656651E-2</v>
      </c>
      <c r="AF19" s="17">
        <f t="shared" si="21"/>
        <v>5.0682154636656651E-2</v>
      </c>
      <c r="AG19" s="17">
        <f t="shared" si="21"/>
        <v>5.0682154636656651E-2</v>
      </c>
      <c r="AH19" s="17">
        <f t="shared" ref="AH19:BJ19" si="22">IF(AH$12&gt;=T,"",
  IF($A19&gt;AH$13,"",
  IF(HoLee.BDT=1,
                                IF(AI$12*$Q$3&lt;T,AG18+(AG$10*h-sig*SQRT(h)),AG18+($O$3*h-sig*SQRT(h))),
                                IF(AI$12*$Q$3&lt;T,AG18*EXP(AG$10*h-sig*SQRT(h)),AG18*EXP($O$3*h-sig*SQRT(h)))
 )))</f>
        <v>5.0682154636656651E-2</v>
      </c>
      <c r="AI19" s="17">
        <f t="shared" si="22"/>
        <v>5.0682154636656651E-2</v>
      </c>
      <c r="AJ19" s="17">
        <f t="shared" si="22"/>
        <v>5.0682154636656651E-2</v>
      </c>
      <c r="AK19" s="17">
        <f t="shared" si="22"/>
        <v>5.0682154636656651E-2</v>
      </c>
      <c r="AL19" s="17">
        <f t="shared" si="22"/>
        <v>5.0682154636656651E-2</v>
      </c>
      <c r="AM19" s="17">
        <f t="shared" si="22"/>
        <v>5.0682154636656651E-2</v>
      </c>
      <c r="AN19" s="17">
        <f t="shared" si="22"/>
        <v>5.0682154636656651E-2</v>
      </c>
      <c r="AO19" s="17">
        <f t="shared" si="22"/>
        <v>5.0682154636656651E-2</v>
      </c>
      <c r="AP19" s="17">
        <f t="shared" si="22"/>
        <v>5.0682154636656651E-2</v>
      </c>
      <c r="AQ19" s="17">
        <f t="shared" si="22"/>
        <v>5.0682154636656651E-2</v>
      </c>
      <c r="AR19" s="17">
        <f t="shared" si="22"/>
        <v>5.0682154636656651E-2</v>
      </c>
      <c r="AS19" s="17">
        <f t="shared" si="22"/>
        <v>5.0682154636656651E-2</v>
      </c>
      <c r="AT19" s="17">
        <f t="shared" si="22"/>
        <v>5.0682154636656651E-2</v>
      </c>
      <c r="AU19" s="17">
        <f t="shared" si="22"/>
        <v>5.0682154636656651E-2</v>
      </c>
      <c r="AV19" s="17">
        <f t="shared" si="22"/>
        <v>5.0682154636656651E-2</v>
      </c>
      <c r="AW19" s="17">
        <f t="shared" si="22"/>
        <v>5.0682154636656651E-2</v>
      </c>
      <c r="AX19" s="17">
        <f t="shared" si="22"/>
        <v>5.0682154636656651E-2</v>
      </c>
      <c r="AY19" s="17">
        <f t="shared" si="22"/>
        <v>5.0682154636656651E-2</v>
      </c>
      <c r="AZ19" s="17">
        <f t="shared" si="22"/>
        <v>5.0682154636656651E-2</v>
      </c>
      <c r="BA19" s="17">
        <f t="shared" si="22"/>
        <v>5.0682154636656651E-2</v>
      </c>
      <c r="BB19" s="17">
        <f t="shared" si="22"/>
        <v>5.0682154636656651E-2</v>
      </c>
      <c r="BC19" s="17">
        <f t="shared" si="22"/>
        <v>5.0682154636656651E-2</v>
      </c>
      <c r="BD19" s="17">
        <f t="shared" si="22"/>
        <v>5.0682154636656651E-2</v>
      </c>
      <c r="BE19" s="17">
        <f t="shared" si="22"/>
        <v>5.0682154636656651E-2</v>
      </c>
      <c r="BF19" s="17">
        <f t="shared" si="22"/>
        <v>5.0682154636656651E-2</v>
      </c>
      <c r="BG19" s="17">
        <f t="shared" si="22"/>
        <v>5.0682154636656651E-2</v>
      </c>
      <c r="BH19" s="17">
        <f t="shared" si="22"/>
        <v>5.0682154636656651E-2</v>
      </c>
      <c r="BI19" s="17">
        <f t="shared" si="22"/>
        <v>5.0682154636656651E-2</v>
      </c>
      <c r="BJ19" s="17" t="str">
        <f t="shared" si="22"/>
        <v/>
      </c>
      <c r="BK19" s="17"/>
      <c r="BL19" s="17"/>
      <c r="BM19" s="17"/>
    </row>
    <row r="20" spans="1:78" outlineLevel="1">
      <c r="A20" s="11">
        <f t="shared" si="12"/>
        <v>6</v>
      </c>
      <c r="B20" s="17" t="str">
        <f t="shared" ref="B20:AG20" si="23">IF(B$12&gt;=T,"",
  IF($A20&gt;B$13,"",
  IF(HoLee.BDT=1,
                                IF(C$12*$Q$3&lt;T,A19+(A$10*h-sig*SQRT(h)),A19+($O$3*h-sig*SQRT(h))),
                                IF(C$12*$Q$3&lt;T,A19*EXP(A$10*h-sig*SQRT(h)),A19*EXP($O$3*h-sig*SQRT(h)))
 )))</f>
        <v/>
      </c>
      <c r="C20" s="17" t="str">
        <f t="shared" si="23"/>
        <v/>
      </c>
      <c r="D20" s="17" t="str">
        <f t="shared" si="23"/>
        <v/>
      </c>
      <c r="E20" s="17" t="str">
        <f t="shared" si="23"/>
        <v/>
      </c>
      <c r="F20" s="17" t="str">
        <f t="shared" si="23"/>
        <v/>
      </c>
      <c r="G20" s="17" t="str">
        <f t="shared" si="23"/>
        <v/>
      </c>
      <c r="H20" s="17">
        <f t="shared" si="23"/>
        <v>5.0682154636656651E-2</v>
      </c>
      <c r="I20" s="17">
        <f t="shared" si="23"/>
        <v>5.0682154636656651E-2</v>
      </c>
      <c r="J20" s="17">
        <f t="shared" si="23"/>
        <v>5.0682154636656651E-2</v>
      </c>
      <c r="K20" s="17">
        <f t="shared" si="23"/>
        <v>5.0682154636656651E-2</v>
      </c>
      <c r="L20" s="17">
        <f t="shared" si="23"/>
        <v>5.0682154636656651E-2</v>
      </c>
      <c r="M20" s="17">
        <f t="shared" si="23"/>
        <v>5.0682154636656651E-2</v>
      </c>
      <c r="N20" s="17">
        <f t="shared" si="23"/>
        <v>5.0682154636656651E-2</v>
      </c>
      <c r="O20" s="17">
        <f t="shared" si="23"/>
        <v>5.0682154636656651E-2</v>
      </c>
      <c r="P20" s="17">
        <f t="shared" si="23"/>
        <v>5.0682154636656651E-2</v>
      </c>
      <c r="Q20" s="17">
        <f t="shared" si="23"/>
        <v>5.0682154636656651E-2</v>
      </c>
      <c r="R20" s="17">
        <f t="shared" si="23"/>
        <v>5.0682154636656651E-2</v>
      </c>
      <c r="S20" s="17">
        <f t="shared" si="23"/>
        <v>5.0682154636656651E-2</v>
      </c>
      <c r="T20" s="17">
        <f t="shared" si="23"/>
        <v>5.0682154636656651E-2</v>
      </c>
      <c r="U20" s="17">
        <f t="shared" si="23"/>
        <v>5.0682154636656651E-2</v>
      </c>
      <c r="V20" s="17">
        <f t="shared" si="23"/>
        <v>5.0682154636656651E-2</v>
      </c>
      <c r="W20" s="17">
        <f t="shared" si="23"/>
        <v>5.0682154636656651E-2</v>
      </c>
      <c r="X20" s="17">
        <f t="shared" si="23"/>
        <v>5.0682154636656651E-2</v>
      </c>
      <c r="Y20" s="17">
        <f t="shared" si="23"/>
        <v>5.0682154636656651E-2</v>
      </c>
      <c r="Z20" s="17">
        <f t="shared" si="23"/>
        <v>5.0682154636656651E-2</v>
      </c>
      <c r="AA20" s="17">
        <f t="shared" si="23"/>
        <v>5.0682154636656651E-2</v>
      </c>
      <c r="AB20" s="17">
        <f t="shared" si="23"/>
        <v>5.0682154636656651E-2</v>
      </c>
      <c r="AC20" s="17">
        <f t="shared" si="23"/>
        <v>5.0682154636656651E-2</v>
      </c>
      <c r="AD20" s="17">
        <f t="shared" si="23"/>
        <v>5.0682154636656651E-2</v>
      </c>
      <c r="AE20" s="17">
        <f t="shared" si="23"/>
        <v>5.0682154636656651E-2</v>
      </c>
      <c r="AF20" s="17">
        <f t="shared" si="23"/>
        <v>5.0682154636656651E-2</v>
      </c>
      <c r="AG20" s="17">
        <f t="shared" si="23"/>
        <v>5.0682154636656651E-2</v>
      </c>
      <c r="AH20" s="17">
        <f t="shared" ref="AH20:BJ20" si="24">IF(AH$12&gt;=T,"",
  IF($A20&gt;AH$13,"",
  IF(HoLee.BDT=1,
                                IF(AI$12*$Q$3&lt;T,AG19+(AG$10*h-sig*SQRT(h)),AG19+($O$3*h-sig*SQRT(h))),
                                IF(AI$12*$Q$3&lt;T,AG19*EXP(AG$10*h-sig*SQRT(h)),AG19*EXP($O$3*h-sig*SQRT(h)))
 )))</f>
        <v>5.0682154636656651E-2</v>
      </c>
      <c r="AI20" s="17">
        <f t="shared" si="24"/>
        <v>5.0682154636656651E-2</v>
      </c>
      <c r="AJ20" s="17">
        <f t="shared" si="24"/>
        <v>5.0682154636656651E-2</v>
      </c>
      <c r="AK20" s="17">
        <f t="shared" si="24"/>
        <v>5.0682154636656651E-2</v>
      </c>
      <c r="AL20" s="17">
        <f t="shared" si="24"/>
        <v>5.0682154636656651E-2</v>
      </c>
      <c r="AM20" s="17">
        <f t="shared" si="24"/>
        <v>5.0682154636656651E-2</v>
      </c>
      <c r="AN20" s="17">
        <f t="shared" si="24"/>
        <v>5.0682154636656651E-2</v>
      </c>
      <c r="AO20" s="17">
        <f t="shared" si="24"/>
        <v>5.0682154636656651E-2</v>
      </c>
      <c r="AP20" s="17">
        <f t="shared" si="24"/>
        <v>5.0682154636656651E-2</v>
      </c>
      <c r="AQ20" s="17">
        <f t="shared" si="24"/>
        <v>5.0682154636656651E-2</v>
      </c>
      <c r="AR20" s="17">
        <f t="shared" si="24"/>
        <v>5.0682154636656651E-2</v>
      </c>
      <c r="AS20" s="17">
        <f t="shared" si="24"/>
        <v>5.0682154636656651E-2</v>
      </c>
      <c r="AT20" s="17">
        <f t="shared" si="24"/>
        <v>5.0682154636656651E-2</v>
      </c>
      <c r="AU20" s="17">
        <f t="shared" si="24"/>
        <v>5.0682154636656651E-2</v>
      </c>
      <c r="AV20" s="17">
        <f t="shared" si="24"/>
        <v>5.0682154636656651E-2</v>
      </c>
      <c r="AW20" s="17">
        <f t="shared" si="24"/>
        <v>5.0682154636656651E-2</v>
      </c>
      <c r="AX20" s="17">
        <f t="shared" si="24"/>
        <v>5.0682154636656651E-2</v>
      </c>
      <c r="AY20" s="17">
        <f t="shared" si="24"/>
        <v>5.0682154636656651E-2</v>
      </c>
      <c r="AZ20" s="17">
        <f t="shared" si="24"/>
        <v>5.0682154636656651E-2</v>
      </c>
      <c r="BA20" s="17">
        <f t="shared" si="24"/>
        <v>5.0682154636656651E-2</v>
      </c>
      <c r="BB20" s="17">
        <f t="shared" si="24"/>
        <v>5.0682154636656651E-2</v>
      </c>
      <c r="BC20" s="17">
        <f t="shared" si="24"/>
        <v>5.0682154636656651E-2</v>
      </c>
      <c r="BD20" s="17">
        <f t="shared" si="24"/>
        <v>5.0682154636656651E-2</v>
      </c>
      <c r="BE20" s="17">
        <f t="shared" si="24"/>
        <v>5.0682154636656651E-2</v>
      </c>
      <c r="BF20" s="17">
        <f t="shared" si="24"/>
        <v>5.0682154636656651E-2</v>
      </c>
      <c r="BG20" s="17">
        <f t="shared" si="24"/>
        <v>5.0682154636656651E-2</v>
      </c>
      <c r="BH20" s="17">
        <f t="shared" si="24"/>
        <v>5.0682154636656651E-2</v>
      </c>
      <c r="BI20" s="17">
        <f t="shared" si="24"/>
        <v>5.0682154636656651E-2</v>
      </c>
      <c r="BJ20" s="17" t="str">
        <f t="shared" si="24"/>
        <v/>
      </c>
      <c r="BK20" s="17"/>
      <c r="BL20" s="17"/>
      <c r="BM20" s="17"/>
      <c r="BN20" s="17"/>
    </row>
    <row r="21" spans="1:78" outlineLevel="1">
      <c r="A21" s="11">
        <f t="shared" si="12"/>
        <v>7</v>
      </c>
      <c r="B21" s="17" t="str">
        <f t="shared" ref="B21:AG21" si="25">IF(B$12&gt;=T,"",
  IF($A21&gt;B$13,"",
  IF(HoLee.BDT=1,
                                IF(C$12*$Q$3&lt;T,A20+(A$10*h-sig*SQRT(h)),A20+($O$3*h-sig*SQRT(h))),
                                IF(C$12*$Q$3&lt;T,A20*EXP(A$10*h-sig*SQRT(h)),A20*EXP($O$3*h-sig*SQRT(h)))
 )))</f>
        <v/>
      </c>
      <c r="C21" s="17" t="str">
        <f t="shared" si="25"/>
        <v/>
      </c>
      <c r="D21" s="17" t="str">
        <f t="shared" si="25"/>
        <v/>
      </c>
      <c r="E21" s="17" t="str">
        <f t="shared" si="25"/>
        <v/>
      </c>
      <c r="F21" s="17" t="str">
        <f t="shared" si="25"/>
        <v/>
      </c>
      <c r="G21" s="17" t="str">
        <f t="shared" si="25"/>
        <v/>
      </c>
      <c r="H21" s="17" t="str">
        <f t="shared" si="25"/>
        <v/>
      </c>
      <c r="I21" s="17">
        <f t="shared" si="25"/>
        <v>5.0682154636656651E-2</v>
      </c>
      <c r="J21" s="17">
        <f t="shared" si="25"/>
        <v>5.0682154636656651E-2</v>
      </c>
      <c r="K21" s="17">
        <f t="shared" si="25"/>
        <v>5.0682154636656651E-2</v>
      </c>
      <c r="L21" s="17">
        <f t="shared" si="25"/>
        <v>5.0682154636656651E-2</v>
      </c>
      <c r="M21" s="17">
        <f t="shared" si="25"/>
        <v>5.0682154636656651E-2</v>
      </c>
      <c r="N21" s="17">
        <f t="shared" si="25"/>
        <v>5.0682154636656651E-2</v>
      </c>
      <c r="O21" s="17">
        <f t="shared" si="25"/>
        <v>5.0682154636656651E-2</v>
      </c>
      <c r="P21" s="17">
        <f t="shared" si="25"/>
        <v>5.0682154636656651E-2</v>
      </c>
      <c r="Q21" s="17">
        <f t="shared" si="25"/>
        <v>5.0682154636656651E-2</v>
      </c>
      <c r="R21" s="17">
        <f t="shared" si="25"/>
        <v>5.0682154636656651E-2</v>
      </c>
      <c r="S21" s="17">
        <f t="shared" si="25"/>
        <v>5.0682154636656651E-2</v>
      </c>
      <c r="T21" s="17">
        <f t="shared" si="25"/>
        <v>5.0682154636656651E-2</v>
      </c>
      <c r="U21" s="17">
        <f t="shared" si="25"/>
        <v>5.0682154636656651E-2</v>
      </c>
      <c r="V21" s="17">
        <f t="shared" si="25"/>
        <v>5.0682154636656651E-2</v>
      </c>
      <c r="W21" s="17">
        <f t="shared" si="25"/>
        <v>5.0682154636656651E-2</v>
      </c>
      <c r="X21" s="17">
        <f t="shared" si="25"/>
        <v>5.0682154636656651E-2</v>
      </c>
      <c r="Y21" s="17">
        <f t="shared" si="25"/>
        <v>5.0682154636656651E-2</v>
      </c>
      <c r="Z21" s="17">
        <f t="shared" si="25"/>
        <v>5.0682154636656651E-2</v>
      </c>
      <c r="AA21" s="17">
        <f t="shared" si="25"/>
        <v>5.0682154636656651E-2</v>
      </c>
      <c r="AB21" s="17">
        <f t="shared" si="25"/>
        <v>5.0682154636656651E-2</v>
      </c>
      <c r="AC21" s="17">
        <f t="shared" si="25"/>
        <v>5.0682154636656651E-2</v>
      </c>
      <c r="AD21" s="17">
        <f t="shared" si="25"/>
        <v>5.0682154636656651E-2</v>
      </c>
      <c r="AE21" s="17">
        <f t="shared" si="25"/>
        <v>5.0682154636656651E-2</v>
      </c>
      <c r="AF21" s="17">
        <f t="shared" si="25"/>
        <v>5.0682154636656651E-2</v>
      </c>
      <c r="AG21" s="17">
        <f t="shared" si="25"/>
        <v>5.0682154636656651E-2</v>
      </c>
      <c r="AH21" s="17">
        <f t="shared" ref="AH21:BJ21" si="26">IF(AH$12&gt;=T,"",
  IF($A21&gt;AH$13,"",
  IF(HoLee.BDT=1,
                                IF(AI$12*$Q$3&lt;T,AG20+(AG$10*h-sig*SQRT(h)),AG20+($O$3*h-sig*SQRT(h))),
                                IF(AI$12*$Q$3&lt;T,AG20*EXP(AG$10*h-sig*SQRT(h)),AG20*EXP($O$3*h-sig*SQRT(h)))
 )))</f>
        <v>5.0682154636656651E-2</v>
      </c>
      <c r="AI21" s="17">
        <f t="shared" si="26"/>
        <v>5.0682154636656651E-2</v>
      </c>
      <c r="AJ21" s="17">
        <f t="shared" si="26"/>
        <v>5.0682154636656651E-2</v>
      </c>
      <c r="AK21" s="17">
        <f t="shared" si="26"/>
        <v>5.0682154636656651E-2</v>
      </c>
      <c r="AL21" s="17">
        <f t="shared" si="26"/>
        <v>5.0682154636656651E-2</v>
      </c>
      <c r="AM21" s="17">
        <f t="shared" si="26"/>
        <v>5.0682154636656651E-2</v>
      </c>
      <c r="AN21" s="17">
        <f t="shared" si="26"/>
        <v>5.0682154636656651E-2</v>
      </c>
      <c r="AO21" s="17">
        <f t="shared" si="26"/>
        <v>5.0682154636656651E-2</v>
      </c>
      <c r="AP21" s="17">
        <f t="shared" si="26"/>
        <v>5.0682154636656651E-2</v>
      </c>
      <c r="AQ21" s="17">
        <f t="shared" si="26"/>
        <v>5.0682154636656651E-2</v>
      </c>
      <c r="AR21" s="17">
        <f t="shared" si="26"/>
        <v>5.0682154636656651E-2</v>
      </c>
      <c r="AS21" s="17">
        <f t="shared" si="26"/>
        <v>5.0682154636656651E-2</v>
      </c>
      <c r="AT21" s="17">
        <f t="shared" si="26"/>
        <v>5.0682154636656651E-2</v>
      </c>
      <c r="AU21" s="17">
        <f t="shared" si="26"/>
        <v>5.0682154636656651E-2</v>
      </c>
      <c r="AV21" s="17">
        <f t="shared" si="26"/>
        <v>5.0682154636656651E-2</v>
      </c>
      <c r="AW21" s="17">
        <f t="shared" si="26"/>
        <v>5.0682154636656651E-2</v>
      </c>
      <c r="AX21" s="17">
        <f t="shared" si="26"/>
        <v>5.0682154636656651E-2</v>
      </c>
      <c r="AY21" s="17">
        <f t="shared" si="26"/>
        <v>5.0682154636656651E-2</v>
      </c>
      <c r="AZ21" s="17">
        <f t="shared" si="26"/>
        <v>5.0682154636656651E-2</v>
      </c>
      <c r="BA21" s="17">
        <f t="shared" si="26"/>
        <v>5.0682154636656651E-2</v>
      </c>
      <c r="BB21" s="17">
        <f t="shared" si="26"/>
        <v>5.0682154636656651E-2</v>
      </c>
      <c r="BC21" s="17">
        <f t="shared" si="26"/>
        <v>5.0682154636656651E-2</v>
      </c>
      <c r="BD21" s="17">
        <f t="shared" si="26"/>
        <v>5.0682154636656651E-2</v>
      </c>
      <c r="BE21" s="17">
        <f t="shared" si="26"/>
        <v>5.0682154636656651E-2</v>
      </c>
      <c r="BF21" s="17">
        <f t="shared" si="26"/>
        <v>5.0682154636656651E-2</v>
      </c>
      <c r="BG21" s="17">
        <f t="shared" si="26"/>
        <v>5.0682154636656651E-2</v>
      </c>
      <c r="BH21" s="17">
        <f t="shared" si="26"/>
        <v>5.0682154636656651E-2</v>
      </c>
      <c r="BI21" s="17">
        <f t="shared" si="26"/>
        <v>5.0682154636656651E-2</v>
      </c>
      <c r="BJ21" s="17" t="str">
        <f t="shared" si="26"/>
        <v/>
      </c>
      <c r="BK21" s="17"/>
      <c r="BL21" s="17"/>
      <c r="BM21" s="17"/>
      <c r="BN21" s="17"/>
      <c r="BO21" s="17"/>
    </row>
    <row r="22" spans="1:78" outlineLevel="1">
      <c r="A22" s="11">
        <f t="shared" si="12"/>
        <v>8</v>
      </c>
      <c r="B22" s="17" t="str">
        <f t="shared" ref="B22:AG22" si="27">IF(B$12&gt;=T,"",
  IF($A22&gt;B$13,"",
  IF(HoLee.BDT=1,
                                IF(C$12*$Q$3&lt;T,A21+(A$10*h-sig*SQRT(h)),A21+($O$3*h-sig*SQRT(h))),
                                IF(C$12*$Q$3&lt;T,A21*EXP(A$10*h-sig*SQRT(h)),A21*EXP($O$3*h-sig*SQRT(h)))
 )))</f>
        <v/>
      </c>
      <c r="C22" s="17" t="str">
        <f t="shared" si="27"/>
        <v/>
      </c>
      <c r="D22" s="17" t="str">
        <f t="shared" si="27"/>
        <v/>
      </c>
      <c r="E22" s="17" t="str">
        <f t="shared" si="27"/>
        <v/>
      </c>
      <c r="F22" s="17" t="str">
        <f t="shared" si="27"/>
        <v/>
      </c>
      <c r="G22" s="17" t="str">
        <f t="shared" si="27"/>
        <v/>
      </c>
      <c r="H22" s="17" t="str">
        <f t="shared" si="27"/>
        <v/>
      </c>
      <c r="I22" s="17" t="str">
        <f t="shared" si="27"/>
        <v/>
      </c>
      <c r="J22" s="17">
        <f t="shared" si="27"/>
        <v>5.0682154636656651E-2</v>
      </c>
      <c r="K22" s="17">
        <f t="shared" si="27"/>
        <v>5.0682154636656651E-2</v>
      </c>
      <c r="L22" s="17">
        <f t="shared" si="27"/>
        <v>5.0682154636656651E-2</v>
      </c>
      <c r="M22" s="17">
        <f t="shared" si="27"/>
        <v>5.0682154636656651E-2</v>
      </c>
      <c r="N22" s="17">
        <f t="shared" si="27"/>
        <v>5.0682154636656651E-2</v>
      </c>
      <c r="O22" s="17">
        <f t="shared" si="27"/>
        <v>5.0682154636656651E-2</v>
      </c>
      <c r="P22" s="17">
        <f t="shared" si="27"/>
        <v>5.0682154636656651E-2</v>
      </c>
      <c r="Q22" s="17">
        <f t="shared" si="27"/>
        <v>5.0682154636656651E-2</v>
      </c>
      <c r="R22" s="17">
        <f t="shared" si="27"/>
        <v>5.0682154636656651E-2</v>
      </c>
      <c r="S22" s="17">
        <f t="shared" si="27"/>
        <v>5.0682154636656651E-2</v>
      </c>
      <c r="T22" s="17">
        <f t="shared" si="27"/>
        <v>5.0682154636656651E-2</v>
      </c>
      <c r="U22" s="17">
        <f t="shared" si="27"/>
        <v>5.0682154636656651E-2</v>
      </c>
      <c r="V22" s="17">
        <f t="shared" si="27"/>
        <v>5.0682154636656651E-2</v>
      </c>
      <c r="W22" s="17">
        <f t="shared" si="27"/>
        <v>5.0682154636656651E-2</v>
      </c>
      <c r="X22" s="17">
        <f t="shared" si="27"/>
        <v>5.0682154636656651E-2</v>
      </c>
      <c r="Y22" s="17">
        <f t="shared" si="27"/>
        <v>5.0682154636656651E-2</v>
      </c>
      <c r="Z22" s="17">
        <f t="shared" si="27"/>
        <v>5.0682154636656651E-2</v>
      </c>
      <c r="AA22" s="17">
        <f t="shared" si="27"/>
        <v>5.0682154636656651E-2</v>
      </c>
      <c r="AB22" s="17">
        <f t="shared" si="27"/>
        <v>5.0682154636656651E-2</v>
      </c>
      <c r="AC22" s="17">
        <f t="shared" si="27"/>
        <v>5.0682154636656651E-2</v>
      </c>
      <c r="AD22" s="17">
        <f t="shared" si="27"/>
        <v>5.0682154636656651E-2</v>
      </c>
      <c r="AE22" s="17">
        <f t="shared" si="27"/>
        <v>5.0682154636656651E-2</v>
      </c>
      <c r="AF22" s="17">
        <f t="shared" si="27"/>
        <v>5.0682154636656651E-2</v>
      </c>
      <c r="AG22" s="17">
        <f t="shared" si="27"/>
        <v>5.0682154636656651E-2</v>
      </c>
      <c r="AH22" s="17">
        <f t="shared" ref="AH22:BJ22" si="28">IF(AH$12&gt;=T,"",
  IF($A22&gt;AH$13,"",
  IF(HoLee.BDT=1,
                                IF(AI$12*$Q$3&lt;T,AG21+(AG$10*h-sig*SQRT(h)),AG21+($O$3*h-sig*SQRT(h))),
                                IF(AI$12*$Q$3&lt;T,AG21*EXP(AG$10*h-sig*SQRT(h)),AG21*EXP($O$3*h-sig*SQRT(h)))
 )))</f>
        <v>5.0682154636656651E-2</v>
      </c>
      <c r="AI22" s="17">
        <f t="shared" si="28"/>
        <v>5.0682154636656651E-2</v>
      </c>
      <c r="AJ22" s="17">
        <f t="shared" si="28"/>
        <v>5.0682154636656651E-2</v>
      </c>
      <c r="AK22" s="17">
        <f t="shared" si="28"/>
        <v>5.0682154636656651E-2</v>
      </c>
      <c r="AL22" s="17">
        <f t="shared" si="28"/>
        <v>5.0682154636656651E-2</v>
      </c>
      <c r="AM22" s="17">
        <f t="shared" si="28"/>
        <v>5.0682154636656651E-2</v>
      </c>
      <c r="AN22" s="17">
        <f t="shared" si="28"/>
        <v>5.0682154636656651E-2</v>
      </c>
      <c r="AO22" s="17">
        <f t="shared" si="28"/>
        <v>5.0682154636656651E-2</v>
      </c>
      <c r="AP22" s="17">
        <f t="shared" si="28"/>
        <v>5.0682154636656651E-2</v>
      </c>
      <c r="AQ22" s="17">
        <f t="shared" si="28"/>
        <v>5.0682154636656651E-2</v>
      </c>
      <c r="AR22" s="17">
        <f t="shared" si="28"/>
        <v>5.0682154636656651E-2</v>
      </c>
      <c r="AS22" s="17">
        <f t="shared" si="28"/>
        <v>5.0682154636656651E-2</v>
      </c>
      <c r="AT22" s="17">
        <f t="shared" si="28"/>
        <v>5.0682154636656651E-2</v>
      </c>
      <c r="AU22" s="17">
        <f t="shared" si="28"/>
        <v>5.0682154636656651E-2</v>
      </c>
      <c r="AV22" s="17">
        <f t="shared" si="28"/>
        <v>5.0682154636656651E-2</v>
      </c>
      <c r="AW22" s="17">
        <f t="shared" si="28"/>
        <v>5.0682154636656651E-2</v>
      </c>
      <c r="AX22" s="17">
        <f t="shared" si="28"/>
        <v>5.0682154636656651E-2</v>
      </c>
      <c r="AY22" s="17">
        <f t="shared" si="28"/>
        <v>5.0682154636656651E-2</v>
      </c>
      <c r="AZ22" s="17">
        <f t="shared" si="28"/>
        <v>5.0682154636656651E-2</v>
      </c>
      <c r="BA22" s="17">
        <f t="shared" si="28"/>
        <v>5.0682154636656651E-2</v>
      </c>
      <c r="BB22" s="17">
        <f t="shared" si="28"/>
        <v>5.0682154636656651E-2</v>
      </c>
      <c r="BC22" s="17">
        <f t="shared" si="28"/>
        <v>5.0682154636656651E-2</v>
      </c>
      <c r="BD22" s="17">
        <f t="shared" si="28"/>
        <v>5.0682154636656651E-2</v>
      </c>
      <c r="BE22" s="17">
        <f t="shared" si="28"/>
        <v>5.0682154636656651E-2</v>
      </c>
      <c r="BF22" s="17">
        <f t="shared" si="28"/>
        <v>5.0682154636656651E-2</v>
      </c>
      <c r="BG22" s="17">
        <f t="shared" si="28"/>
        <v>5.0682154636656651E-2</v>
      </c>
      <c r="BH22" s="17">
        <f t="shared" si="28"/>
        <v>5.0682154636656651E-2</v>
      </c>
      <c r="BI22" s="17">
        <f t="shared" si="28"/>
        <v>5.0682154636656651E-2</v>
      </c>
      <c r="BJ22" s="17" t="str">
        <f t="shared" si="28"/>
        <v/>
      </c>
      <c r="BK22" s="17"/>
      <c r="BL22" s="17"/>
      <c r="BM22" s="17"/>
      <c r="BN22" s="17"/>
      <c r="BO22" s="17"/>
      <c r="BP22" s="17"/>
    </row>
    <row r="23" spans="1:78" outlineLevel="1">
      <c r="A23" s="11">
        <f t="shared" si="12"/>
        <v>9</v>
      </c>
      <c r="B23" s="17" t="str">
        <f t="shared" ref="B23:AG23" si="29">IF(B$12&gt;=T,"",
  IF($A23&gt;B$13,"",
  IF(HoLee.BDT=1,
                                IF(C$12*$Q$3&lt;T,A22+(A$10*h-sig*SQRT(h)),A22+($O$3*h-sig*SQRT(h))),
                                IF(C$12*$Q$3&lt;T,A22*EXP(A$10*h-sig*SQRT(h)),A22*EXP($O$3*h-sig*SQRT(h)))
 )))</f>
        <v/>
      </c>
      <c r="C23" s="17" t="str">
        <f t="shared" si="29"/>
        <v/>
      </c>
      <c r="D23" s="17" t="str">
        <f t="shared" si="29"/>
        <v/>
      </c>
      <c r="E23" s="17" t="str">
        <f t="shared" si="29"/>
        <v/>
      </c>
      <c r="F23" s="17" t="str">
        <f t="shared" si="29"/>
        <v/>
      </c>
      <c r="G23" s="17" t="str">
        <f t="shared" si="29"/>
        <v/>
      </c>
      <c r="H23" s="17" t="str">
        <f t="shared" si="29"/>
        <v/>
      </c>
      <c r="I23" s="17" t="str">
        <f t="shared" si="29"/>
        <v/>
      </c>
      <c r="J23" s="17" t="str">
        <f t="shared" si="29"/>
        <v/>
      </c>
      <c r="K23" s="17">
        <f t="shared" si="29"/>
        <v>5.0682154636656651E-2</v>
      </c>
      <c r="L23" s="17">
        <f t="shared" si="29"/>
        <v>5.0682154636656651E-2</v>
      </c>
      <c r="M23" s="17">
        <f t="shared" si="29"/>
        <v>5.0682154636656651E-2</v>
      </c>
      <c r="N23" s="17">
        <f t="shared" si="29"/>
        <v>5.0682154636656651E-2</v>
      </c>
      <c r="O23" s="17">
        <f t="shared" si="29"/>
        <v>5.0682154636656651E-2</v>
      </c>
      <c r="P23" s="17">
        <f t="shared" si="29"/>
        <v>5.0682154636656651E-2</v>
      </c>
      <c r="Q23" s="17">
        <f t="shared" si="29"/>
        <v>5.0682154636656651E-2</v>
      </c>
      <c r="R23" s="17">
        <f t="shared" si="29"/>
        <v>5.0682154636656651E-2</v>
      </c>
      <c r="S23" s="17">
        <f t="shared" si="29"/>
        <v>5.0682154636656651E-2</v>
      </c>
      <c r="T23" s="17">
        <f t="shared" si="29"/>
        <v>5.0682154636656651E-2</v>
      </c>
      <c r="U23" s="17">
        <f t="shared" si="29"/>
        <v>5.0682154636656651E-2</v>
      </c>
      <c r="V23" s="17">
        <f t="shared" si="29"/>
        <v>5.0682154636656651E-2</v>
      </c>
      <c r="W23" s="17">
        <f t="shared" si="29"/>
        <v>5.0682154636656651E-2</v>
      </c>
      <c r="X23" s="17">
        <f t="shared" si="29"/>
        <v>5.0682154636656651E-2</v>
      </c>
      <c r="Y23" s="17">
        <f t="shared" si="29"/>
        <v>5.0682154636656651E-2</v>
      </c>
      <c r="Z23" s="17">
        <f t="shared" si="29"/>
        <v>5.0682154636656651E-2</v>
      </c>
      <c r="AA23" s="17">
        <f t="shared" si="29"/>
        <v>5.0682154636656651E-2</v>
      </c>
      <c r="AB23" s="17">
        <f t="shared" si="29"/>
        <v>5.0682154636656651E-2</v>
      </c>
      <c r="AC23" s="17">
        <f t="shared" si="29"/>
        <v>5.0682154636656651E-2</v>
      </c>
      <c r="AD23" s="17">
        <f t="shared" si="29"/>
        <v>5.0682154636656651E-2</v>
      </c>
      <c r="AE23" s="17">
        <f t="shared" si="29"/>
        <v>5.0682154636656651E-2</v>
      </c>
      <c r="AF23" s="17">
        <f t="shared" si="29"/>
        <v>5.0682154636656651E-2</v>
      </c>
      <c r="AG23" s="17">
        <f t="shared" si="29"/>
        <v>5.0682154636656651E-2</v>
      </c>
      <c r="AH23" s="17">
        <f t="shared" ref="AH23:BJ23" si="30">IF(AH$12&gt;=T,"",
  IF($A23&gt;AH$13,"",
  IF(HoLee.BDT=1,
                                IF(AI$12*$Q$3&lt;T,AG22+(AG$10*h-sig*SQRT(h)),AG22+($O$3*h-sig*SQRT(h))),
                                IF(AI$12*$Q$3&lt;T,AG22*EXP(AG$10*h-sig*SQRT(h)),AG22*EXP($O$3*h-sig*SQRT(h)))
 )))</f>
        <v>5.0682154636656651E-2</v>
      </c>
      <c r="AI23" s="17">
        <f t="shared" si="30"/>
        <v>5.0682154636656651E-2</v>
      </c>
      <c r="AJ23" s="17">
        <f t="shared" si="30"/>
        <v>5.0682154636656651E-2</v>
      </c>
      <c r="AK23" s="17">
        <f t="shared" si="30"/>
        <v>5.0682154636656651E-2</v>
      </c>
      <c r="AL23" s="17">
        <f t="shared" si="30"/>
        <v>5.0682154636656651E-2</v>
      </c>
      <c r="AM23" s="17">
        <f t="shared" si="30"/>
        <v>5.0682154636656651E-2</v>
      </c>
      <c r="AN23" s="17">
        <f t="shared" si="30"/>
        <v>5.0682154636656651E-2</v>
      </c>
      <c r="AO23" s="17">
        <f t="shared" si="30"/>
        <v>5.0682154636656651E-2</v>
      </c>
      <c r="AP23" s="17">
        <f t="shared" si="30"/>
        <v>5.0682154636656651E-2</v>
      </c>
      <c r="AQ23" s="17">
        <f t="shared" si="30"/>
        <v>5.0682154636656651E-2</v>
      </c>
      <c r="AR23" s="17">
        <f t="shared" si="30"/>
        <v>5.0682154636656651E-2</v>
      </c>
      <c r="AS23" s="17">
        <f t="shared" si="30"/>
        <v>5.0682154636656651E-2</v>
      </c>
      <c r="AT23" s="17">
        <f t="shared" si="30"/>
        <v>5.0682154636656651E-2</v>
      </c>
      <c r="AU23" s="17">
        <f t="shared" si="30"/>
        <v>5.0682154636656651E-2</v>
      </c>
      <c r="AV23" s="17">
        <f t="shared" si="30"/>
        <v>5.0682154636656651E-2</v>
      </c>
      <c r="AW23" s="17">
        <f t="shared" si="30"/>
        <v>5.0682154636656651E-2</v>
      </c>
      <c r="AX23" s="17">
        <f t="shared" si="30"/>
        <v>5.0682154636656651E-2</v>
      </c>
      <c r="AY23" s="17">
        <f t="shared" si="30"/>
        <v>5.0682154636656651E-2</v>
      </c>
      <c r="AZ23" s="17">
        <f t="shared" si="30"/>
        <v>5.0682154636656651E-2</v>
      </c>
      <c r="BA23" s="17">
        <f t="shared" si="30"/>
        <v>5.0682154636656651E-2</v>
      </c>
      <c r="BB23" s="17">
        <f t="shared" si="30"/>
        <v>5.0682154636656651E-2</v>
      </c>
      <c r="BC23" s="17">
        <f t="shared" si="30"/>
        <v>5.0682154636656651E-2</v>
      </c>
      <c r="BD23" s="17">
        <f t="shared" si="30"/>
        <v>5.0682154636656651E-2</v>
      </c>
      <c r="BE23" s="17">
        <f t="shared" si="30"/>
        <v>5.0682154636656651E-2</v>
      </c>
      <c r="BF23" s="17">
        <f t="shared" si="30"/>
        <v>5.0682154636656651E-2</v>
      </c>
      <c r="BG23" s="17">
        <f t="shared" si="30"/>
        <v>5.0682154636656651E-2</v>
      </c>
      <c r="BH23" s="17">
        <f t="shared" si="30"/>
        <v>5.0682154636656651E-2</v>
      </c>
      <c r="BI23" s="17">
        <f t="shared" si="30"/>
        <v>5.0682154636656651E-2</v>
      </c>
      <c r="BJ23" s="17" t="str">
        <f t="shared" si="30"/>
        <v/>
      </c>
      <c r="BK23" s="17"/>
      <c r="BL23" s="17"/>
      <c r="BM23" s="17"/>
      <c r="BN23" s="17"/>
      <c r="BO23" s="17"/>
      <c r="BP23" s="17"/>
      <c r="BQ23" s="17"/>
    </row>
    <row r="24" spans="1:78" outlineLevel="1">
      <c r="A24" s="11">
        <f t="shared" si="12"/>
        <v>10</v>
      </c>
      <c r="B24" s="17" t="str">
        <f t="shared" ref="B24:AG24" si="31">IF(B$12&gt;=T,"",
  IF($A24&gt;B$13,"",
  IF(HoLee.BDT=1,
                                IF(C$12*$Q$3&lt;T,A23+(A$10*h-sig*SQRT(h)),A23+($O$3*h-sig*SQRT(h))),
                                IF(C$12*$Q$3&lt;T,A23*EXP(A$10*h-sig*SQRT(h)),A23*EXP($O$3*h-sig*SQRT(h)))
 )))</f>
        <v/>
      </c>
      <c r="C24" s="17" t="str">
        <f t="shared" si="31"/>
        <v/>
      </c>
      <c r="D24" s="17" t="str">
        <f t="shared" si="31"/>
        <v/>
      </c>
      <c r="E24" s="17" t="str">
        <f t="shared" si="31"/>
        <v/>
      </c>
      <c r="F24" s="17" t="str">
        <f t="shared" si="31"/>
        <v/>
      </c>
      <c r="G24" s="17" t="str">
        <f t="shared" si="31"/>
        <v/>
      </c>
      <c r="H24" s="17" t="str">
        <f t="shared" si="31"/>
        <v/>
      </c>
      <c r="I24" s="17" t="str">
        <f t="shared" si="31"/>
        <v/>
      </c>
      <c r="J24" s="17" t="str">
        <f t="shared" si="31"/>
        <v/>
      </c>
      <c r="K24" s="17" t="str">
        <f t="shared" si="31"/>
        <v/>
      </c>
      <c r="L24" s="17">
        <f t="shared" si="31"/>
        <v>5.0682154636656651E-2</v>
      </c>
      <c r="M24" s="17">
        <f t="shared" si="31"/>
        <v>5.0682154636656651E-2</v>
      </c>
      <c r="N24" s="17">
        <f t="shared" si="31"/>
        <v>5.0682154636656651E-2</v>
      </c>
      <c r="O24" s="17">
        <f t="shared" si="31"/>
        <v>5.0682154636656651E-2</v>
      </c>
      <c r="P24" s="17">
        <f t="shared" si="31"/>
        <v>5.0682154636656651E-2</v>
      </c>
      <c r="Q24" s="17">
        <f t="shared" si="31"/>
        <v>5.0682154636656651E-2</v>
      </c>
      <c r="R24" s="17">
        <f t="shared" si="31"/>
        <v>5.0682154636656651E-2</v>
      </c>
      <c r="S24" s="17">
        <f t="shared" si="31"/>
        <v>5.0682154636656651E-2</v>
      </c>
      <c r="T24" s="17">
        <f t="shared" si="31"/>
        <v>5.0682154636656651E-2</v>
      </c>
      <c r="U24" s="17">
        <f t="shared" si="31"/>
        <v>5.0682154636656651E-2</v>
      </c>
      <c r="V24" s="17">
        <f t="shared" si="31"/>
        <v>5.0682154636656651E-2</v>
      </c>
      <c r="W24" s="17">
        <f t="shared" si="31"/>
        <v>5.0682154636656651E-2</v>
      </c>
      <c r="X24" s="17">
        <f t="shared" si="31"/>
        <v>5.0682154636656651E-2</v>
      </c>
      <c r="Y24" s="17">
        <f t="shared" si="31"/>
        <v>5.0682154636656651E-2</v>
      </c>
      <c r="Z24" s="17">
        <f t="shared" si="31"/>
        <v>5.0682154636656651E-2</v>
      </c>
      <c r="AA24" s="17">
        <f t="shared" si="31"/>
        <v>5.0682154636656651E-2</v>
      </c>
      <c r="AB24" s="17">
        <f t="shared" si="31"/>
        <v>5.0682154636656651E-2</v>
      </c>
      <c r="AC24" s="17">
        <f t="shared" si="31"/>
        <v>5.0682154636656651E-2</v>
      </c>
      <c r="AD24" s="17">
        <f t="shared" si="31"/>
        <v>5.0682154636656651E-2</v>
      </c>
      <c r="AE24" s="17">
        <f t="shared" si="31"/>
        <v>5.0682154636656651E-2</v>
      </c>
      <c r="AF24" s="17">
        <f t="shared" si="31"/>
        <v>5.0682154636656651E-2</v>
      </c>
      <c r="AG24" s="17">
        <f t="shared" si="31"/>
        <v>5.0682154636656651E-2</v>
      </c>
      <c r="AH24" s="17">
        <f t="shared" ref="AH24:BJ24" si="32">IF(AH$12&gt;=T,"",
  IF($A24&gt;AH$13,"",
  IF(HoLee.BDT=1,
                                IF(AI$12*$Q$3&lt;T,AG23+(AG$10*h-sig*SQRT(h)),AG23+($O$3*h-sig*SQRT(h))),
                                IF(AI$12*$Q$3&lt;T,AG23*EXP(AG$10*h-sig*SQRT(h)),AG23*EXP($O$3*h-sig*SQRT(h)))
 )))</f>
        <v>5.0682154636656651E-2</v>
      </c>
      <c r="AI24" s="17">
        <f t="shared" si="32"/>
        <v>5.0682154636656651E-2</v>
      </c>
      <c r="AJ24" s="17">
        <f t="shared" si="32"/>
        <v>5.0682154636656651E-2</v>
      </c>
      <c r="AK24" s="17">
        <f t="shared" si="32"/>
        <v>5.0682154636656651E-2</v>
      </c>
      <c r="AL24" s="17">
        <f t="shared" si="32"/>
        <v>5.0682154636656651E-2</v>
      </c>
      <c r="AM24" s="17">
        <f t="shared" si="32"/>
        <v>5.0682154636656651E-2</v>
      </c>
      <c r="AN24" s="17">
        <f t="shared" si="32"/>
        <v>5.0682154636656651E-2</v>
      </c>
      <c r="AO24" s="17">
        <f t="shared" si="32"/>
        <v>5.0682154636656651E-2</v>
      </c>
      <c r="AP24" s="17">
        <f t="shared" si="32"/>
        <v>5.0682154636656651E-2</v>
      </c>
      <c r="AQ24" s="17">
        <f t="shared" si="32"/>
        <v>5.0682154636656651E-2</v>
      </c>
      <c r="AR24" s="17">
        <f t="shared" si="32"/>
        <v>5.0682154636656651E-2</v>
      </c>
      <c r="AS24" s="17">
        <f t="shared" si="32"/>
        <v>5.0682154636656651E-2</v>
      </c>
      <c r="AT24" s="17">
        <f t="shared" si="32"/>
        <v>5.0682154636656651E-2</v>
      </c>
      <c r="AU24" s="17">
        <f t="shared" si="32"/>
        <v>5.0682154636656651E-2</v>
      </c>
      <c r="AV24" s="17">
        <f t="shared" si="32"/>
        <v>5.0682154636656651E-2</v>
      </c>
      <c r="AW24" s="17">
        <f t="shared" si="32"/>
        <v>5.0682154636656651E-2</v>
      </c>
      <c r="AX24" s="17">
        <f t="shared" si="32"/>
        <v>5.0682154636656651E-2</v>
      </c>
      <c r="AY24" s="17">
        <f t="shared" si="32"/>
        <v>5.0682154636656651E-2</v>
      </c>
      <c r="AZ24" s="17">
        <f t="shared" si="32"/>
        <v>5.0682154636656651E-2</v>
      </c>
      <c r="BA24" s="17">
        <f t="shared" si="32"/>
        <v>5.0682154636656651E-2</v>
      </c>
      <c r="BB24" s="17">
        <f t="shared" si="32"/>
        <v>5.0682154636656651E-2</v>
      </c>
      <c r="BC24" s="17">
        <f t="shared" si="32"/>
        <v>5.0682154636656651E-2</v>
      </c>
      <c r="BD24" s="17">
        <f t="shared" si="32"/>
        <v>5.0682154636656651E-2</v>
      </c>
      <c r="BE24" s="17">
        <f t="shared" si="32"/>
        <v>5.0682154636656651E-2</v>
      </c>
      <c r="BF24" s="17">
        <f t="shared" si="32"/>
        <v>5.0682154636656651E-2</v>
      </c>
      <c r="BG24" s="17">
        <f t="shared" si="32"/>
        <v>5.0682154636656651E-2</v>
      </c>
      <c r="BH24" s="17">
        <f t="shared" si="32"/>
        <v>5.0682154636656651E-2</v>
      </c>
      <c r="BI24" s="17">
        <f t="shared" si="32"/>
        <v>5.0682154636656651E-2</v>
      </c>
      <c r="BJ24" s="17" t="str">
        <f t="shared" si="32"/>
        <v/>
      </c>
      <c r="BK24" s="17"/>
      <c r="BL24" s="17"/>
      <c r="BM24" s="17"/>
      <c r="BN24" s="17"/>
      <c r="BO24" s="17"/>
      <c r="BP24" s="17"/>
      <c r="BQ24" s="17"/>
      <c r="BR24" s="17"/>
    </row>
    <row r="25" spans="1:78" outlineLevel="1">
      <c r="A25" s="11">
        <f t="shared" si="12"/>
        <v>11</v>
      </c>
      <c r="B25" s="17" t="str">
        <f t="shared" ref="B25:AG25" si="33">IF(B$12&gt;=T,"",
  IF($A25&gt;B$13,"",
  IF(HoLee.BDT=1,
                                IF(C$12*$Q$3&lt;T,A24+(A$10*h-sig*SQRT(h)),A24+($O$3*h-sig*SQRT(h))),
                                IF(C$12*$Q$3&lt;T,A24*EXP(A$10*h-sig*SQRT(h)),A24*EXP($O$3*h-sig*SQRT(h)))
 )))</f>
        <v/>
      </c>
      <c r="C25" s="17" t="str">
        <f t="shared" si="33"/>
        <v/>
      </c>
      <c r="D25" s="17" t="str">
        <f t="shared" si="33"/>
        <v/>
      </c>
      <c r="E25" s="17" t="str">
        <f t="shared" si="33"/>
        <v/>
      </c>
      <c r="F25" s="17" t="str">
        <f t="shared" si="33"/>
        <v/>
      </c>
      <c r="G25" s="17" t="str">
        <f t="shared" si="33"/>
        <v/>
      </c>
      <c r="H25" s="17" t="str">
        <f t="shared" si="33"/>
        <v/>
      </c>
      <c r="I25" s="17" t="str">
        <f t="shared" si="33"/>
        <v/>
      </c>
      <c r="J25" s="17" t="str">
        <f t="shared" si="33"/>
        <v/>
      </c>
      <c r="K25" s="17" t="str">
        <f t="shared" si="33"/>
        <v/>
      </c>
      <c r="L25" s="17" t="str">
        <f t="shared" si="33"/>
        <v/>
      </c>
      <c r="M25" s="17">
        <f t="shared" si="33"/>
        <v>5.0682154636656651E-2</v>
      </c>
      <c r="N25" s="17">
        <f t="shared" si="33"/>
        <v>5.0682154636656651E-2</v>
      </c>
      <c r="O25" s="17">
        <f t="shared" si="33"/>
        <v>5.0682154636656651E-2</v>
      </c>
      <c r="P25" s="17">
        <f t="shared" si="33"/>
        <v>5.0682154636656651E-2</v>
      </c>
      <c r="Q25" s="17">
        <f t="shared" si="33"/>
        <v>5.0682154636656651E-2</v>
      </c>
      <c r="R25" s="17">
        <f t="shared" si="33"/>
        <v>5.0682154636656651E-2</v>
      </c>
      <c r="S25" s="17">
        <f t="shared" si="33"/>
        <v>5.0682154636656651E-2</v>
      </c>
      <c r="T25" s="17">
        <f t="shared" si="33"/>
        <v>5.0682154636656651E-2</v>
      </c>
      <c r="U25" s="17">
        <f t="shared" si="33"/>
        <v>5.0682154636656651E-2</v>
      </c>
      <c r="V25" s="17">
        <f t="shared" si="33"/>
        <v>5.0682154636656651E-2</v>
      </c>
      <c r="W25" s="17">
        <f t="shared" si="33"/>
        <v>5.0682154636656651E-2</v>
      </c>
      <c r="X25" s="17">
        <f t="shared" si="33"/>
        <v>5.0682154636656651E-2</v>
      </c>
      <c r="Y25" s="17">
        <f t="shared" si="33"/>
        <v>5.0682154636656651E-2</v>
      </c>
      <c r="Z25" s="17">
        <f t="shared" si="33"/>
        <v>5.0682154636656651E-2</v>
      </c>
      <c r="AA25" s="17">
        <f t="shared" si="33"/>
        <v>5.0682154636656651E-2</v>
      </c>
      <c r="AB25" s="17">
        <f t="shared" si="33"/>
        <v>5.0682154636656651E-2</v>
      </c>
      <c r="AC25" s="17">
        <f t="shared" si="33"/>
        <v>5.0682154636656651E-2</v>
      </c>
      <c r="AD25" s="17">
        <f t="shared" si="33"/>
        <v>5.0682154636656651E-2</v>
      </c>
      <c r="AE25" s="17">
        <f t="shared" si="33"/>
        <v>5.0682154636656651E-2</v>
      </c>
      <c r="AF25" s="17">
        <f t="shared" si="33"/>
        <v>5.0682154636656651E-2</v>
      </c>
      <c r="AG25" s="17">
        <f t="shared" si="33"/>
        <v>5.0682154636656651E-2</v>
      </c>
      <c r="AH25" s="17">
        <f t="shared" ref="AH25:BJ25" si="34">IF(AH$12&gt;=T,"",
  IF($A25&gt;AH$13,"",
  IF(HoLee.BDT=1,
                                IF(AI$12*$Q$3&lt;T,AG24+(AG$10*h-sig*SQRT(h)),AG24+($O$3*h-sig*SQRT(h))),
                                IF(AI$12*$Q$3&lt;T,AG24*EXP(AG$10*h-sig*SQRT(h)),AG24*EXP($O$3*h-sig*SQRT(h)))
 )))</f>
        <v>5.0682154636656651E-2</v>
      </c>
      <c r="AI25" s="17">
        <f t="shared" si="34"/>
        <v>5.0682154636656651E-2</v>
      </c>
      <c r="AJ25" s="17">
        <f t="shared" si="34"/>
        <v>5.0682154636656651E-2</v>
      </c>
      <c r="AK25" s="17">
        <f t="shared" si="34"/>
        <v>5.0682154636656651E-2</v>
      </c>
      <c r="AL25" s="17">
        <f t="shared" si="34"/>
        <v>5.0682154636656651E-2</v>
      </c>
      <c r="AM25" s="17">
        <f t="shared" si="34"/>
        <v>5.0682154636656651E-2</v>
      </c>
      <c r="AN25" s="17">
        <f t="shared" si="34"/>
        <v>5.0682154636656651E-2</v>
      </c>
      <c r="AO25" s="17">
        <f t="shared" si="34"/>
        <v>5.0682154636656651E-2</v>
      </c>
      <c r="AP25" s="17">
        <f t="shared" si="34"/>
        <v>5.0682154636656651E-2</v>
      </c>
      <c r="AQ25" s="17">
        <f t="shared" si="34"/>
        <v>5.0682154636656651E-2</v>
      </c>
      <c r="AR25" s="17">
        <f t="shared" si="34"/>
        <v>5.0682154636656651E-2</v>
      </c>
      <c r="AS25" s="17">
        <f t="shared" si="34"/>
        <v>5.0682154636656651E-2</v>
      </c>
      <c r="AT25" s="17">
        <f t="shared" si="34"/>
        <v>5.0682154636656651E-2</v>
      </c>
      <c r="AU25" s="17">
        <f t="shared" si="34"/>
        <v>5.0682154636656651E-2</v>
      </c>
      <c r="AV25" s="17">
        <f t="shared" si="34"/>
        <v>5.0682154636656651E-2</v>
      </c>
      <c r="AW25" s="17">
        <f t="shared" si="34"/>
        <v>5.0682154636656651E-2</v>
      </c>
      <c r="AX25" s="17">
        <f t="shared" si="34"/>
        <v>5.0682154636656651E-2</v>
      </c>
      <c r="AY25" s="17">
        <f t="shared" si="34"/>
        <v>5.0682154636656651E-2</v>
      </c>
      <c r="AZ25" s="17">
        <f t="shared" si="34"/>
        <v>5.0682154636656651E-2</v>
      </c>
      <c r="BA25" s="17">
        <f t="shared" si="34"/>
        <v>5.0682154636656651E-2</v>
      </c>
      <c r="BB25" s="17">
        <f t="shared" si="34"/>
        <v>5.0682154636656651E-2</v>
      </c>
      <c r="BC25" s="17">
        <f t="shared" si="34"/>
        <v>5.0682154636656651E-2</v>
      </c>
      <c r="BD25" s="17">
        <f t="shared" si="34"/>
        <v>5.0682154636656651E-2</v>
      </c>
      <c r="BE25" s="17">
        <f t="shared" si="34"/>
        <v>5.0682154636656651E-2</v>
      </c>
      <c r="BF25" s="17">
        <f t="shared" si="34"/>
        <v>5.0682154636656651E-2</v>
      </c>
      <c r="BG25" s="17">
        <f t="shared" si="34"/>
        <v>5.0682154636656651E-2</v>
      </c>
      <c r="BH25" s="17">
        <f t="shared" si="34"/>
        <v>5.0682154636656651E-2</v>
      </c>
      <c r="BI25" s="17">
        <f t="shared" si="34"/>
        <v>5.0682154636656651E-2</v>
      </c>
      <c r="BJ25" s="17" t="str">
        <f t="shared" si="34"/>
        <v/>
      </c>
      <c r="BK25" s="17"/>
      <c r="BL25" s="17"/>
      <c r="BM25" s="17"/>
      <c r="BN25" s="17"/>
      <c r="BO25" s="17"/>
      <c r="BP25" s="17"/>
      <c r="BQ25" s="17"/>
      <c r="BR25" s="17"/>
      <c r="BS25" s="17"/>
    </row>
    <row r="26" spans="1:78" outlineLevel="1">
      <c r="A26" s="11">
        <f t="shared" si="12"/>
        <v>12</v>
      </c>
      <c r="B26" s="17" t="str">
        <f t="shared" ref="B26:AG26" si="35">IF(B$12&gt;=T,"",
  IF($A26&gt;B$13,"",
  IF(HoLee.BDT=1,
                                IF(C$12*$Q$3&lt;T,A25+(A$10*h-sig*SQRT(h)),A25+($O$3*h-sig*SQRT(h))),
                                IF(C$12*$Q$3&lt;T,A25*EXP(A$10*h-sig*SQRT(h)),A25*EXP($O$3*h-sig*SQRT(h)))
 )))</f>
        <v/>
      </c>
      <c r="C26" s="17" t="str">
        <f t="shared" si="35"/>
        <v/>
      </c>
      <c r="D26" s="17" t="str">
        <f t="shared" si="35"/>
        <v/>
      </c>
      <c r="E26" s="17" t="str">
        <f t="shared" si="35"/>
        <v/>
      </c>
      <c r="F26" s="17" t="str">
        <f t="shared" si="35"/>
        <v/>
      </c>
      <c r="G26" s="17" t="str">
        <f t="shared" si="35"/>
        <v/>
      </c>
      <c r="H26" s="17" t="str">
        <f t="shared" si="35"/>
        <v/>
      </c>
      <c r="I26" s="17" t="str">
        <f t="shared" si="35"/>
        <v/>
      </c>
      <c r="J26" s="17" t="str">
        <f t="shared" si="35"/>
        <v/>
      </c>
      <c r="K26" s="17" t="str">
        <f t="shared" si="35"/>
        <v/>
      </c>
      <c r="L26" s="17" t="str">
        <f t="shared" si="35"/>
        <v/>
      </c>
      <c r="M26" s="17" t="str">
        <f t="shared" si="35"/>
        <v/>
      </c>
      <c r="N26" s="17">
        <f t="shared" si="35"/>
        <v>5.0682154636656651E-2</v>
      </c>
      <c r="O26" s="17">
        <f t="shared" si="35"/>
        <v>5.0682154636656651E-2</v>
      </c>
      <c r="P26" s="17">
        <f t="shared" si="35"/>
        <v>5.0682154636656651E-2</v>
      </c>
      <c r="Q26" s="17">
        <f t="shared" si="35"/>
        <v>5.0682154636656651E-2</v>
      </c>
      <c r="R26" s="17">
        <f t="shared" si="35"/>
        <v>5.0682154636656651E-2</v>
      </c>
      <c r="S26" s="17">
        <f t="shared" si="35"/>
        <v>5.0682154636656651E-2</v>
      </c>
      <c r="T26" s="17">
        <f t="shared" si="35"/>
        <v>5.0682154636656651E-2</v>
      </c>
      <c r="U26" s="17">
        <f t="shared" si="35"/>
        <v>5.0682154636656651E-2</v>
      </c>
      <c r="V26" s="17">
        <f t="shared" si="35"/>
        <v>5.0682154636656651E-2</v>
      </c>
      <c r="W26" s="17">
        <f t="shared" si="35"/>
        <v>5.0682154636656651E-2</v>
      </c>
      <c r="X26" s="17">
        <f t="shared" si="35"/>
        <v>5.0682154636656651E-2</v>
      </c>
      <c r="Y26" s="17">
        <f t="shared" si="35"/>
        <v>5.0682154636656651E-2</v>
      </c>
      <c r="Z26" s="17">
        <f t="shared" si="35"/>
        <v>5.0682154636656651E-2</v>
      </c>
      <c r="AA26" s="17">
        <f t="shared" si="35"/>
        <v>5.0682154636656651E-2</v>
      </c>
      <c r="AB26" s="17">
        <f t="shared" si="35"/>
        <v>5.0682154636656651E-2</v>
      </c>
      <c r="AC26" s="17">
        <f t="shared" si="35"/>
        <v>5.0682154636656651E-2</v>
      </c>
      <c r="AD26" s="17">
        <f t="shared" si="35"/>
        <v>5.0682154636656651E-2</v>
      </c>
      <c r="AE26" s="17">
        <f t="shared" si="35"/>
        <v>5.0682154636656651E-2</v>
      </c>
      <c r="AF26" s="17">
        <f t="shared" si="35"/>
        <v>5.0682154636656651E-2</v>
      </c>
      <c r="AG26" s="17">
        <f t="shared" si="35"/>
        <v>5.0682154636656651E-2</v>
      </c>
      <c r="AH26" s="17">
        <f t="shared" ref="AH26:BJ26" si="36">IF(AH$12&gt;=T,"",
  IF($A26&gt;AH$13,"",
  IF(HoLee.BDT=1,
                                IF(AI$12*$Q$3&lt;T,AG25+(AG$10*h-sig*SQRT(h)),AG25+($O$3*h-sig*SQRT(h))),
                                IF(AI$12*$Q$3&lt;T,AG25*EXP(AG$10*h-sig*SQRT(h)),AG25*EXP($O$3*h-sig*SQRT(h)))
 )))</f>
        <v>5.0682154636656651E-2</v>
      </c>
      <c r="AI26" s="17">
        <f t="shared" si="36"/>
        <v>5.0682154636656651E-2</v>
      </c>
      <c r="AJ26" s="17">
        <f t="shared" si="36"/>
        <v>5.0682154636656651E-2</v>
      </c>
      <c r="AK26" s="17">
        <f t="shared" si="36"/>
        <v>5.0682154636656651E-2</v>
      </c>
      <c r="AL26" s="17">
        <f t="shared" si="36"/>
        <v>5.0682154636656651E-2</v>
      </c>
      <c r="AM26" s="17">
        <f t="shared" si="36"/>
        <v>5.0682154636656651E-2</v>
      </c>
      <c r="AN26" s="17">
        <f t="shared" si="36"/>
        <v>5.0682154636656651E-2</v>
      </c>
      <c r="AO26" s="17">
        <f t="shared" si="36"/>
        <v>5.0682154636656651E-2</v>
      </c>
      <c r="AP26" s="17">
        <f t="shared" si="36"/>
        <v>5.0682154636656651E-2</v>
      </c>
      <c r="AQ26" s="17">
        <f t="shared" si="36"/>
        <v>5.0682154636656651E-2</v>
      </c>
      <c r="AR26" s="17">
        <f t="shared" si="36"/>
        <v>5.0682154636656651E-2</v>
      </c>
      <c r="AS26" s="17">
        <f t="shared" si="36"/>
        <v>5.0682154636656651E-2</v>
      </c>
      <c r="AT26" s="17">
        <f t="shared" si="36"/>
        <v>5.0682154636656651E-2</v>
      </c>
      <c r="AU26" s="17">
        <f t="shared" si="36"/>
        <v>5.0682154636656651E-2</v>
      </c>
      <c r="AV26" s="17">
        <f t="shared" si="36"/>
        <v>5.0682154636656651E-2</v>
      </c>
      <c r="AW26" s="17">
        <f t="shared" si="36"/>
        <v>5.0682154636656651E-2</v>
      </c>
      <c r="AX26" s="17">
        <f t="shared" si="36"/>
        <v>5.0682154636656651E-2</v>
      </c>
      <c r="AY26" s="17">
        <f t="shared" si="36"/>
        <v>5.0682154636656651E-2</v>
      </c>
      <c r="AZ26" s="17">
        <f t="shared" si="36"/>
        <v>5.0682154636656651E-2</v>
      </c>
      <c r="BA26" s="17">
        <f t="shared" si="36"/>
        <v>5.0682154636656651E-2</v>
      </c>
      <c r="BB26" s="17">
        <f t="shared" si="36"/>
        <v>5.0682154636656651E-2</v>
      </c>
      <c r="BC26" s="17">
        <f t="shared" si="36"/>
        <v>5.0682154636656651E-2</v>
      </c>
      <c r="BD26" s="17">
        <f t="shared" si="36"/>
        <v>5.0682154636656651E-2</v>
      </c>
      <c r="BE26" s="17">
        <f t="shared" si="36"/>
        <v>5.0682154636656651E-2</v>
      </c>
      <c r="BF26" s="17">
        <f t="shared" si="36"/>
        <v>5.0682154636656651E-2</v>
      </c>
      <c r="BG26" s="17">
        <f t="shared" si="36"/>
        <v>5.0682154636656651E-2</v>
      </c>
      <c r="BH26" s="17">
        <f t="shared" si="36"/>
        <v>5.0682154636656651E-2</v>
      </c>
      <c r="BI26" s="17">
        <f t="shared" si="36"/>
        <v>5.0682154636656651E-2</v>
      </c>
      <c r="BJ26" s="17" t="str">
        <f t="shared" si="36"/>
        <v/>
      </c>
      <c r="BK26" s="17"/>
      <c r="BL26" s="17"/>
      <c r="BM26" s="17"/>
      <c r="BN26" s="17"/>
      <c r="BO26" s="17"/>
      <c r="BP26" s="17"/>
      <c r="BQ26" s="17"/>
      <c r="BR26" s="17"/>
      <c r="BS26" s="17"/>
      <c r="BT26" s="17"/>
    </row>
    <row r="27" spans="1:78" outlineLevel="1">
      <c r="A27" s="11">
        <f t="shared" si="12"/>
        <v>13</v>
      </c>
      <c r="B27" s="17" t="str">
        <f t="shared" ref="B27:AG27" si="37">IF(B$12&gt;=T,"",
  IF($A27&gt;B$13,"",
  IF(HoLee.BDT=1,
                                IF(C$12*$Q$3&lt;T,A26+(A$10*h-sig*SQRT(h)),A26+($O$3*h-sig*SQRT(h))),
                                IF(C$12*$Q$3&lt;T,A26*EXP(A$10*h-sig*SQRT(h)),A26*EXP($O$3*h-sig*SQRT(h)))
 )))</f>
        <v/>
      </c>
      <c r="C27" s="17" t="str">
        <f t="shared" si="37"/>
        <v/>
      </c>
      <c r="D27" s="17" t="str">
        <f t="shared" si="37"/>
        <v/>
      </c>
      <c r="E27" s="17" t="str">
        <f t="shared" si="37"/>
        <v/>
      </c>
      <c r="F27" s="17" t="str">
        <f t="shared" si="37"/>
        <v/>
      </c>
      <c r="G27" s="17" t="str">
        <f t="shared" si="37"/>
        <v/>
      </c>
      <c r="H27" s="17" t="str">
        <f t="shared" si="37"/>
        <v/>
      </c>
      <c r="I27" s="17" t="str">
        <f t="shared" si="37"/>
        <v/>
      </c>
      <c r="J27" s="17" t="str">
        <f t="shared" si="37"/>
        <v/>
      </c>
      <c r="K27" s="17" t="str">
        <f t="shared" si="37"/>
        <v/>
      </c>
      <c r="L27" s="17" t="str">
        <f t="shared" si="37"/>
        <v/>
      </c>
      <c r="M27" s="17" t="str">
        <f t="shared" si="37"/>
        <v/>
      </c>
      <c r="N27" s="17" t="str">
        <f t="shared" si="37"/>
        <v/>
      </c>
      <c r="O27" s="17">
        <f t="shared" si="37"/>
        <v>5.0682154636656651E-2</v>
      </c>
      <c r="P27" s="17">
        <f t="shared" si="37"/>
        <v>5.0682154636656651E-2</v>
      </c>
      <c r="Q27" s="17">
        <f t="shared" si="37"/>
        <v>5.0682154636656651E-2</v>
      </c>
      <c r="R27" s="17">
        <f t="shared" si="37"/>
        <v>5.0682154636656651E-2</v>
      </c>
      <c r="S27" s="17">
        <f t="shared" si="37"/>
        <v>5.0682154636656651E-2</v>
      </c>
      <c r="T27" s="17">
        <f t="shared" si="37"/>
        <v>5.0682154636656651E-2</v>
      </c>
      <c r="U27" s="17">
        <f t="shared" si="37"/>
        <v>5.0682154636656651E-2</v>
      </c>
      <c r="V27" s="17">
        <f t="shared" si="37"/>
        <v>5.0682154636656651E-2</v>
      </c>
      <c r="W27" s="17">
        <f t="shared" si="37"/>
        <v>5.0682154636656651E-2</v>
      </c>
      <c r="X27" s="17">
        <f t="shared" si="37"/>
        <v>5.0682154636656651E-2</v>
      </c>
      <c r="Y27" s="17">
        <f t="shared" si="37"/>
        <v>5.0682154636656651E-2</v>
      </c>
      <c r="Z27" s="17">
        <f t="shared" si="37"/>
        <v>5.0682154636656651E-2</v>
      </c>
      <c r="AA27" s="17">
        <f t="shared" si="37"/>
        <v>5.0682154636656651E-2</v>
      </c>
      <c r="AB27" s="17">
        <f t="shared" si="37"/>
        <v>5.0682154636656651E-2</v>
      </c>
      <c r="AC27" s="17">
        <f t="shared" si="37"/>
        <v>5.0682154636656651E-2</v>
      </c>
      <c r="AD27" s="17">
        <f t="shared" si="37"/>
        <v>5.0682154636656651E-2</v>
      </c>
      <c r="AE27" s="17">
        <f t="shared" si="37"/>
        <v>5.0682154636656651E-2</v>
      </c>
      <c r="AF27" s="17">
        <f t="shared" si="37"/>
        <v>5.0682154636656651E-2</v>
      </c>
      <c r="AG27" s="17">
        <f t="shared" si="37"/>
        <v>5.0682154636656651E-2</v>
      </c>
      <c r="AH27" s="17">
        <f t="shared" ref="AH27:BJ27" si="38">IF(AH$12&gt;=T,"",
  IF($A27&gt;AH$13,"",
  IF(HoLee.BDT=1,
                                IF(AI$12*$Q$3&lt;T,AG26+(AG$10*h-sig*SQRT(h)),AG26+($O$3*h-sig*SQRT(h))),
                                IF(AI$12*$Q$3&lt;T,AG26*EXP(AG$10*h-sig*SQRT(h)),AG26*EXP($O$3*h-sig*SQRT(h)))
 )))</f>
        <v>5.0682154636656651E-2</v>
      </c>
      <c r="AI27" s="17">
        <f t="shared" si="38"/>
        <v>5.0682154636656651E-2</v>
      </c>
      <c r="AJ27" s="17">
        <f t="shared" si="38"/>
        <v>5.0682154636656651E-2</v>
      </c>
      <c r="AK27" s="17">
        <f t="shared" si="38"/>
        <v>5.0682154636656651E-2</v>
      </c>
      <c r="AL27" s="17">
        <f t="shared" si="38"/>
        <v>5.0682154636656651E-2</v>
      </c>
      <c r="AM27" s="17">
        <f t="shared" si="38"/>
        <v>5.0682154636656651E-2</v>
      </c>
      <c r="AN27" s="17">
        <f t="shared" si="38"/>
        <v>5.0682154636656651E-2</v>
      </c>
      <c r="AO27" s="17">
        <f t="shared" si="38"/>
        <v>5.0682154636656651E-2</v>
      </c>
      <c r="AP27" s="17">
        <f t="shared" si="38"/>
        <v>5.0682154636656651E-2</v>
      </c>
      <c r="AQ27" s="17">
        <f t="shared" si="38"/>
        <v>5.0682154636656651E-2</v>
      </c>
      <c r="AR27" s="17">
        <f t="shared" si="38"/>
        <v>5.0682154636656651E-2</v>
      </c>
      <c r="AS27" s="17">
        <f t="shared" si="38"/>
        <v>5.0682154636656651E-2</v>
      </c>
      <c r="AT27" s="17">
        <f t="shared" si="38"/>
        <v>5.0682154636656651E-2</v>
      </c>
      <c r="AU27" s="17">
        <f t="shared" si="38"/>
        <v>5.0682154636656651E-2</v>
      </c>
      <c r="AV27" s="17">
        <f t="shared" si="38"/>
        <v>5.0682154636656651E-2</v>
      </c>
      <c r="AW27" s="17">
        <f t="shared" si="38"/>
        <v>5.0682154636656651E-2</v>
      </c>
      <c r="AX27" s="17">
        <f t="shared" si="38"/>
        <v>5.0682154636656651E-2</v>
      </c>
      <c r="AY27" s="17">
        <f t="shared" si="38"/>
        <v>5.0682154636656651E-2</v>
      </c>
      <c r="AZ27" s="17">
        <f t="shared" si="38"/>
        <v>5.0682154636656651E-2</v>
      </c>
      <c r="BA27" s="17">
        <f t="shared" si="38"/>
        <v>5.0682154636656651E-2</v>
      </c>
      <c r="BB27" s="17">
        <f t="shared" si="38"/>
        <v>5.0682154636656651E-2</v>
      </c>
      <c r="BC27" s="17">
        <f t="shared" si="38"/>
        <v>5.0682154636656651E-2</v>
      </c>
      <c r="BD27" s="17">
        <f t="shared" si="38"/>
        <v>5.0682154636656651E-2</v>
      </c>
      <c r="BE27" s="17">
        <f t="shared" si="38"/>
        <v>5.0682154636656651E-2</v>
      </c>
      <c r="BF27" s="17">
        <f t="shared" si="38"/>
        <v>5.0682154636656651E-2</v>
      </c>
      <c r="BG27" s="17">
        <f t="shared" si="38"/>
        <v>5.0682154636656651E-2</v>
      </c>
      <c r="BH27" s="17">
        <f t="shared" si="38"/>
        <v>5.0682154636656651E-2</v>
      </c>
      <c r="BI27" s="17">
        <f t="shared" si="38"/>
        <v>5.0682154636656651E-2</v>
      </c>
      <c r="BJ27" s="17" t="str">
        <f t="shared" si="38"/>
        <v/>
      </c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</row>
    <row r="28" spans="1:78" outlineLevel="1">
      <c r="A28" s="11">
        <f t="shared" si="12"/>
        <v>14</v>
      </c>
      <c r="B28" s="17" t="str">
        <f t="shared" ref="B28:AG28" si="39">IF(B$12&gt;=T,"",
  IF($A28&gt;B$13,"",
  IF(HoLee.BDT=1,
                                IF(C$12*$Q$3&lt;T,A27+(A$10*h-sig*SQRT(h)),A27+($O$3*h-sig*SQRT(h))),
                                IF(C$12*$Q$3&lt;T,A27*EXP(A$10*h-sig*SQRT(h)),A27*EXP($O$3*h-sig*SQRT(h)))
 )))</f>
        <v/>
      </c>
      <c r="C28" s="17" t="str">
        <f t="shared" si="39"/>
        <v/>
      </c>
      <c r="D28" s="17" t="str">
        <f t="shared" si="39"/>
        <v/>
      </c>
      <c r="E28" s="17" t="str">
        <f t="shared" si="39"/>
        <v/>
      </c>
      <c r="F28" s="17" t="str">
        <f t="shared" si="39"/>
        <v/>
      </c>
      <c r="G28" s="17" t="str">
        <f t="shared" si="39"/>
        <v/>
      </c>
      <c r="H28" s="17" t="str">
        <f t="shared" si="39"/>
        <v/>
      </c>
      <c r="I28" s="17" t="str">
        <f t="shared" si="39"/>
        <v/>
      </c>
      <c r="J28" s="17" t="str">
        <f t="shared" si="39"/>
        <v/>
      </c>
      <c r="K28" s="17" t="str">
        <f t="shared" si="39"/>
        <v/>
      </c>
      <c r="L28" s="17" t="str">
        <f t="shared" si="39"/>
        <v/>
      </c>
      <c r="M28" s="17" t="str">
        <f t="shared" si="39"/>
        <v/>
      </c>
      <c r="N28" s="17" t="str">
        <f t="shared" si="39"/>
        <v/>
      </c>
      <c r="O28" s="17" t="str">
        <f t="shared" si="39"/>
        <v/>
      </c>
      <c r="P28" s="17">
        <f t="shared" si="39"/>
        <v>5.0682154636656651E-2</v>
      </c>
      <c r="Q28" s="17">
        <f t="shared" si="39"/>
        <v>5.0682154636656651E-2</v>
      </c>
      <c r="R28" s="17">
        <f t="shared" si="39"/>
        <v>5.0682154636656651E-2</v>
      </c>
      <c r="S28" s="17">
        <f t="shared" si="39"/>
        <v>5.0682154636656651E-2</v>
      </c>
      <c r="T28" s="17">
        <f t="shared" si="39"/>
        <v>5.0682154636656651E-2</v>
      </c>
      <c r="U28" s="17">
        <f t="shared" si="39"/>
        <v>5.0682154636656651E-2</v>
      </c>
      <c r="V28" s="17">
        <f t="shared" si="39"/>
        <v>5.0682154636656651E-2</v>
      </c>
      <c r="W28" s="17">
        <f t="shared" si="39"/>
        <v>5.0682154636656651E-2</v>
      </c>
      <c r="X28" s="17">
        <f t="shared" si="39"/>
        <v>5.0682154636656651E-2</v>
      </c>
      <c r="Y28" s="17">
        <f t="shared" si="39"/>
        <v>5.0682154636656651E-2</v>
      </c>
      <c r="Z28" s="17">
        <f t="shared" si="39"/>
        <v>5.0682154636656651E-2</v>
      </c>
      <c r="AA28" s="17">
        <f t="shared" si="39"/>
        <v>5.0682154636656651E-2</v>
      </c>
      <c r="AB28" s="17">
        <f t="shared" si="39"/>
        <v>5.0682154636656651E-2</v>
      </c>
      <c r="AC28" s="17">
        <f t="shared" si="39"/>
        <v>5.0682154636656651E-2</v>
      </c>
      <c r="AD28" s="17">
        <f t="shared" si="39"/>
        <v>5.0682154636656651E-2</v>
      </c>
      <c r="AE28" s="17">
        <f t="shared" si="39"/>
        <v>5.0682154636656651E-2</v>
      </c>
      <c r="AF28" s="17">
        <f t="shared" si="39"/>
        <v>5.0682154636656651E-2</v>
      </c>
      <c r="AG28" s="17">
        <f t="shared" si="39"/>
        <v>5.0682154636656651E-2</v>
      </c>
      <c r="AH28" s="17">
        <f t="shared" ref="AH28:BJ28" si="40">IF(AH$12&gt;=T,"",
  IF($A28&gt;AH$13,"",
  IF(HoLee.BDT=1,
                                IF(AI$12*$Q$3&lt;T,AG27+(AG$10*h-sig*SQRT(h)),AG27+($O$3*h-sig*SQRT(h))),
                                IF(AI$12*$Q$3&lt;T,AG27*EXP(AG$10*h-sig*SQRT(h)),AG27*EXP($O$3*h-sig*SQRT(h)))
 )))</f>
        <v>5.0682154636656651E-2</v>
      </c>
      <c r="AI28" s="17">
        <f t="shared" si="40"/>
        <v>5.0682154636656651E-2</v>
      </c>
      <c r="AJ28" s="17">
        <f t="shared" si="40"/>
        <v>5.0682154636656651E-2</v>
      </c>
      <c r="AK28" s="17">
        <f t="shared" si="40"/>
        <v>5.0682154636656651E-2</v>
      </c>
      <c r="AL28" s="17">
        <f t="shared" si="40"/>
        <v>5.0682154636656651E-2</v>
      </c>
      <c r="AM28" s="17">
        <f t="shared" si="40"/>
        <v>5.0682154636656651E-2</v>
      </c>
      <c r="AN28" s="17">
        <f t="shared" si="40"/>
        <v>5.0682154636656651E-2</v>
      </c>
      <c r="AO28" s="17">
        <f t="shared" si="40"/>
        <v>5.0682154636656651E-2</v>
      </c>
      <c r="AP28" s="17">
        <f t="shared" si="40"/>
        <v>5.0682154636656651E-2</v>
      </c>
      <c r="AQ28" s="17">
        <f t="shared" si="40"/>
        <v>5.0682154636656651E-2</v>
      </c>
      <c r="AR28" s="17">
        <f t="shared" si="40"/>
        <v>5.0682154636656651E-2</v>
      </c>
      <c r="AS28" s="17">
        <f t="shared" si="40"/>
        <v>5.0682154636656651E-2</v>
      </c>
      <c r="AT28" s="17">
        <f t="shared" si="40"/>
        <v>5.0682154636656651E-2</v>
      </c>
      <c r="AU28" s="17">
        <f t="shared" si="40"/>
        <v>5.0682154636656651E-2</v>
      </c>
      <c r="AV28" s="17">
        <f t="shared" si="40"/>
        <v>5.0682154636656651E-2</v>
      </c>
      <c r="AW28" s="17">
        <f t="shared" si="40"/>
        <v>5.0682154636656651E-2</v>
      </c>
      <c r="AX28" s="17">
        <f t="shared" si="40"/>
        <v>5.0682154636656651E-2</v>
      </c>
      <c r="AY28" s="17">
        <f t="shared" si="40"/>
        <v>5.0682154636656651E-2</v>
      </c>
      <c r="AZ28" s="17">
        <f t="shared" si="40"/>
        <v>5.0682154636656651E-2</v>
      </c>
      <c r="BA28" s="17">
        <f t="shared" si="40"/>
        <v>5.0682154636656651E-2</v>
      </c>
      <c r="BB28" s="17">
        <f t="shared" si="40"/>
        <v>5.0682154636656651E-2</v>
      </c>
      <c r="BC28" s="17">
        <f t="shared" si="40"/>
        <v>5.0682154636656651E-2</v>
      </c>
      <c r="BD28" s="17">
        <f t="shared" si="40"/>
        <v>5.0682154636656651E-2</v>
      </c>
      <c r="BE28" s="17">
        <f t="shared" si="40"/>
        <v>5.0682154636656651E-2</v>
      </c>
      <c r="BF28" s="17">
        <f t="shared" si="40"/>
        <v>5.0682154636656651E-2</v>
      </c>
      <c r="BG28" s="17">
        <f t="shared" si="40"/>
        <v>5.0682154636656651E-2</v>
      </c>
      <c r="BH28" s="17">
        <f t="shared" si="40"/>
        <v>5.0682154636656651E-2</v>
      </c>
      <c r="BI28" s="17">
        <f t="shared" si="40"/>
        <v>5.0682154636656651E-2</v>
      </c>
      <c r="BJ28" s="17" t="str">
        <f t="shared" si="40"/>
        <v/>
      </c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</row>
    <row r="29" spans="1:78" outlineLevel="1">
      <c r="A29" s="11">
        <f t="shared" si="12"/>
        <v>15</v>
      </c>
      <c r="B29" s="17" t="str">
        <f t="shared" ref="B29:AG29" si="41">IF(B$12&gt;=T,"",
  IF($A29&gt;B$13,"",
  IF(HoLee.BDT=1,
                                IF(C$12*$Q$3&lt;T,A28+(A$10*h-sig*SQRT(h)),A28+($O$3*h-sig*SQRT(h))),
                                IF(C$12*$Q$3&lt;T,A28*EXP(A$10*h-sig*SQRT(h)),A28*EXP($O$3*h-sig*SQRT(h)))
 )))</f>
        <v/>
      </c>
      <c r="C29" s="17" t="str">
        <f t="shared" si="41"/>
        <v/>
      </c>
      <c r="D29" s="17" t="str">
        <f t="shared" si="41"/>
        <v/>
      </c>
      <c r="E29" s="17" t="str">
        <f t="shared" si="41"/>
        <v/>
      </c>
      <c r="F29" s="17" t="str">
        <f t="shared" si="41"/>
        <v/>
      </c>
      <c r="G29" s="17" t="str">
        <f t="shared" si="41"/>
        <v/>
      </c>
      <c r="H29" s="17" t="str">
        <f t="shared" si="41"/>
        <v/>
      </c>
      <c r="I29" s="17" t="str">
        <f t="shared" si="41"/>
        <v/>
      </c>
      <c r="J29" s="17" t="str">
        <f t="shared" si="41"/>
        <v/>
      </c>
      <c r="K29" s="17" t="str">
        <f t="shared" si="41"/>
        <v/>
      </c>
      <c r="L29" s="17" t="str">
        <f t="shared" si="41"/>
        <v/>
      </c>
      <c r="M29" s="17" t="str">
        <f t="shared" si="41"/>
        <v/>
      </c>
      <c r="N29" s="17" t="str">
        <f t="shared" si="41"/>
        <v/>
      </c>
      <c r="O29" s="17" t="str">
        <f t="shared" si="41"/>
        <v/>
      </c>
      <c r="P29" s="17" t="str">
        <f t="shared" si="41"/>
        <v/>
      </c>
      <c r="Q29" s="17">
        <f t="shared" si="41"/>
        <v>5.0682154636656651E-2</v>
      </c>
      <c r="R29" s="17">
        <f t="shared" si="41"/>
        <v>5.0682154636656651E-2</v>
      </c>
      <c r="S29" s="17">
        <f t="shared" si="41"/>
        <v>5.0682154636656651E-2</v>
      </c>
      <c r="T29" s="17">
        <f t="shared" si="41"/>
        <v>5.0682154636656651E-2</v>
      </c>
      <c r="U29" s="17">
        <f t="shared" si="41"/>
        <v>5.0682154636656651E-2</v>
      </c>
      <c r="V29" s="17">
        <f t="shared" si="41"/>
        <v>5.0682154636656651E-2</v>
      </c>
      <c r="W29" s="17">
        <f t="shared" si="41"/>
        <v>5.0682154636656651E-2</v>
      </c>
      <c r="X29" s="17">
        <f t="shared" si="41"/>
        <v>5.0682154636656651E-2</v>
      </c>
      <c r="Y29" s="17">
        <f t="shared" si="41"/>
        <v>5.0682154636656651E-2</v>
      </c>
      <c r="Z29" s="17">
        <f t="shared" si="41"/>
        <v>5.0682154636656651E-2</v>
      </c>
      <c r="AA29" s="17">
        <f t="shared" si="41"/>
        <v>5.0682154636656651E-2</v>
      </c>
      <c r="AB29" s="17">
        <f t="shared" si="41"/>
        <v>5.0682154636656651E-2</v>
      </c>
      <c r="AC29" s="17">
        <f t="shared" si="41"/>
        <v>5.0682154636656651E-2</v>
      </c>
      <c r="AD29" s="17">
        <f t="shared" si="41"/>
        <v>5.0682154636656651E-2</v>
      </c>
      <c r="AE29" s="17">
        <f t="shared" si="41"/>
        <v>5.0682154636656651E-2</v>
      </c>
      <c r="AF29" s="17">
        <f t="shared" si="41"/>
        <v>5.0682154636656651E-2</v>
      </c>
      <c r="AG29" s="17">
        <f t="shared" si="41"/>
        <v>5.0682154636656651E-2</v>
      </c>
      <c r="AH29" s="17">
        <f t="shared" ref="AH29:BJ29" si="42">IF(AH$12&gt;=T,"",
  IF($A29&gt;AH$13,"",
  IF(HoLee.BDT=1,
                                IF(AI$12*$Q$3&lt;T,AG28+(AG$10*h-sig*SQRT(h)),AG28+($O$3*h-sig*SQRT(h))),
                                IF(AI$12*$Q$3&lt;T,AG28*EXP(AG$10*h-sig*SQRT(h)),AG28*EXP($O$3*h-sig*SQRT(h)))
 )))</f>
        <v>5.0682154636656651E-2</v>
      </c>
      <c r="AI29" s="17">
        <f t="shared" si="42"/>
        <v>5.0682154636656651E-2</v>
      </c>
      <c r="AJ29" s="17">
        <f t="shared" si="42"/>
        <v>5.0682154636656651E-2</v>
      </c>
      <c r="AK29" s="17">
        <f t="shared" si="42"/>
        <v>5.0682154636656651E-2</v>
      </c>
      <c r="AL29" s="17">
        <f t="shared" si="42"/>
        <v>5.0682154636656651E-2</v>
      </c>
      <c r="AM29" s="17">
        <f t="shared" si="42"/>
        <v>5.0682154636656651E-2</v>
      </c>
      <c r="AN29" s="17">
        <f t="shared" si="42"/>
        <v>5.0682154636656651E-2</v>
      </c>
      <c r="AO29" s="17">
        <f t="shared" si="42"/>
        <v>5.0682154636656651E-2</v>
      </c>
      <c r="AP29" s="17">
        <f t="shared" si="42"/>
        <v>5.0682154636656651E-2</v>
      </c>
      <c r="AQ29" s="17">
        <f t="shared" si="42"/>
        <v>5.0682154636656651E-2</v>
      </c>
      <c r="AR29" s="17">
        <f t="shared" si="42"/>
        <v>5.0682154636656651E-2</v>
      </c>
      <c r="AS29" s="17">
        <f t="shared" si="42"/>
        <v>5.0682154636656651E-2</v>
      </c>
      <c r="AT29" s="17">
        <f t="shared" si="42"/>
        <v>5.0682154636656651E-2</v>
      </c>
      <c r="AU29" s="17">
        <f t="shared" si="42"/>
        <v>5.0682154636656651E-2</v>
      </c>
      <c r="AV29" s="17">
        <f t="shared" si="42"/>
        <v>5.0682154636656651E-2</v>
      </c>
      <c r="AW29" s="17">
        <f t="shared" si="42"/>
        <v>5.0682154636656651E-2</v>
      </c>
      <c r="AX29" s="17">
        <f t="shared" si="42"/>
        <v>5.0682154636656651E-2</v>
      </c>
      <c r="AY29" s="17">
        <f t="shared" si="42"/>
        <v>5.0682154636656651E-2</v>
      </c>
      <c r="AZ29" s="17">
        <f t="shared" si="42"/>
        <v>5.0682154636656651E-2</v>
      </c>
      <c r="BA29" s="17">
        <f t="shared" si="42"/>
        <v>5.0682154636656651E-2</v>
      </c>
      <c r="BB29" s="17">
        <f t="shared" si="42"/>
        <v>5.0682154636656651E-2</v>
      </c>
      <c r="BC29" s="17">
        <f t="shared" si="42"/>
        <v>5.0682154636656651E-2</v>
      </c>
      <c r="BD29" s="17">
        <f t="shared" si="42"/>
        <v>5.0682154636656651E-2</v>
      </c>
      <c r="BE29" s="17">
        <f t="shared" si="42"/>
        <v>5.0682154636656651E-2</v>
      </c>
      <c r="BF29" s="17">
        <f t="shared" si="42"/>
        <v>5.0682154636656651E-2</v>
      </c>
      <c r="BG29" s="17">
        <f t="shared" si="42"/>
        <v>5.0682154636656651E-2</v>
      </c>
      <c r="BH29" s="17">
        <f t="shared" si="42"/>
        <v>5.0682154636656651E-2</v>
      </c>
      <c r="BI29" s="17">
        <f t="shared" si="42"/>
        <v>5.0682154636656651E-2</v>
      </c>
      <c r="BJ29" s="17" t="str">
        <f t="shared" si="42"/>
        <v/>
      </c>
      <c r="BK29" s="17"/>
      <c r="BL29" s="17"/>
      <c r="BM29" s="17"/>
      <c r="BN29" s="17"/>
      <c r="BO29" s="17"/>
      <c r="BP29" s="17"/>
      <c r="BQ29" s="17"/>
      <c r="BR29" s="17"/>
      <c r="BS29" s="17"/>
      <c r="BT29" s="17"/>
      <c r="BU29" s="17"/>
      <c r="BV29" s="17"/>
      <c r="BW29" s="17"/>
    </row>
    <row r="30" spans="1:78" outlineLevel="1">
      <c r="A30" s="11">
        <f t="shared" si="12"/>
        <v>16</v>
      </c>
      <c r="B30" s="17" t="str">
        <f t="shared" ref="B30:AG30" si="43">IF(B$12&gt;=T,"",
  IF($A30&gt;B$13,"",
  IF(HoLee.BDT=1,
                                IF(C$12*$Q$3&lt;T,A29+(A$10*h-sig*SQRT(h)),A29+($O$3*h-sig*SQRT(h))),
                                IF(C$12*$Q$3&lt;T,A29*EXP(A$10*h-sig*SQRT(h)),A29*EXP($O$3*h-sig*SQRT(h)))
 )))</f>
        <v/>
      </c>
      <c r="C30" s="17" t="str">
        <f t="shared" si="43"/>
        <v/>
      </c>
      <c r="D30" s="17" t="str">
        <f t="shared" si="43"/>
        <v/>
      </c>
      <c r="E30" s="17" t="str">
        <f t="shared" si="43"/>
        <v/>
      </c>
      <c r="F30" s="17" t="str">
        <f t="shared" si="43"/>
        <v/>
      </c>
      <c r="G30" s="17" t="str">
        <f t="shared" si="43"/>
        <v/>
      </c>
      <c r="H30" s="17" t="str">
        <f t="shared" si="43"/>
        <v/>
      </c>
      <c r="I30" s="17" t="str">
        <f t="shared" si="43"/>
        <v/>
      </c>
      <c r="J30" s="17" t="str">
        <f t="shared" si="43"/>
        <v/>
      </c>
      <c r="K30" s="17" t="str">
        <f t="shared" si="43"/>
        <v/>
      </c>
      <c r="L30" s="17" t="str">
        <f t="shared" si="43"/>
        <v/>
      </c>
      <c r="M30" s="17" t="str">
        <f t="shared" si="43"/>
        <v/>
      </c>
      <c r="N30" s="17" t="str">
        <f t="shared" si="43"/>
        <v/>
      </c>
      <c r="O30" s="17" t="str">
        <f t="shared" si="43"/>
        <v/>
      </c>
      <c r="P30" s="17" t="str">
        <f t="shared" si="43"/>
        <v/>
      </c>
      <c r="Q30" s="17" t="str">
        <f t="shared" si="43"/>
        <v/>
      </c>
      <c r="R30" s="17">
        <f t="shared" si="43"/>
        <v>5.0682154636656651E-2</v>
      </c>
      <c r="S30" s="17">
        <f t="shared" si="43"/>
        <v>5.0682154636656651E-2</v>
      </c>
      <c r="T30" s="17">
        <f t="shared" si="43"/>
        <v>5.0682154636656651E-2</v>
      </c>
      <c r="U30" s="17">
        <f t="shared" si="43"/>
        <v>5.0682154636656651E-2</v>
      </c>
      <c r="V30" s="17">
        <f t="shared" si="43"/>
        <v>5.0682154636656651E-2</v>
      </c>
      <c r="W30" s="17">
        <f t="shared" si="43"/>
        <v>5.0682154636656651E-2</v>
      </c>
      <c r="X30" s="17">
        <f t="shared" si="43"/>
        <v>5.0682154636656651E-2</v>
      </c>
      <c r="Y30" s="17">
        <f t="shared" si="43"/>
        <v>5.0682154636656651E-2</v>
      </c>
      <c r="Z30" s="17">
        <f t="shared" si="43"/>
        <v>5.0682154636656651E-2</v>
      </c>
      <c r="AA30" s="17">
        <f t="shared" si="43"/>
        <v>5.0682154636656651E-2</v>
      </c>
      <c r="AB30" s="17">
        <f t="shared" si="43"/>
        <v>5.0682154636656651E-2</v>
      </c>
      <c r="AC30" s="17">
        <f t="shared" si="43"/>
        <v>5.0682154636656651E-2</v>
      </c>
      <c r="AD30" s="17">
        <f t="shared" si="43"/>
        <v>5.0682154636656651E-2</v>
      </c>
      <c r="AE30" s="17">
        <f t="shared" si="43"/>
        <v>5.0682154636656651E-2</v>
      </c>
      <c r="AF30" s="17">
        <f t="shared" si="43"/>
        <v>5.0682154636656651E-2</v>
      </c>
      <c r="AG30" s="17">
        <f t="shared" si="43"/>
        <v>5.0682154636656651E-2</v>
      </c>
      <c r="AH30" s="17">
        <f t="shared" ref="AH30:BJ30" si="44">IF(AH$12&gt;=T,"",
  IF($A30&gt;AH$13,"",
  IF(HoLee.BDT=1,
                                IF(AI$12*$Q$3&lt;T,AG29+(AG$10*h-sig*SQRT(h)),AG29+($O$3*h-sig*SQRT(h))),
                                IF(AI$12*$Q$3&lt;T,AG29*EXP(AG$10*h-sig*SQRT(h)),AG29*EXP($O$3*h-sig*SQRT(h)))
 )))</f>
        <v>5.0682154636656651E-2</v>
      </c>
      <c r="AI30" s="17">
        <f t="shared" si="44"/>
        <v>5.0682154636656651E-2</v>
      </c>
      <c r="AJ30" s="17">
        <f t="shared" si="44"/>
        <v>5.0682154636656651E-2</v>
      </c>
      <c r="AK30" s="17">
        <f t="shared" si="44"/>
        <v>5.0682154636656651E-2</v>
      </c>
      <c r="AL30" s="17">
        <f t="shared" si="44"/>
        <v>5.0682154636656651E-2</v>
      </c>
      <c r="AM30" s="17">
        <f t="shared" si="44"/>
        <v>5.0682154636656651E-2</v>
      </c>
      <c r="AN30" s="17">
        <f t="shared" si="44"/>
        <v>5.0682154636656651E-2</v>
      </c>
      <c r="AO30" s="17">
        <f t="shared" si="44"/>
        <v>5.0682154636656651E-2</v>
      </c>
      <c r="AP30" s="17">
        <f t="shared" si="44"/>
        <v>5.0682154636656651E-2</v>
      </c>
      <c r="AQ30" s="17">
        <f t="shared" si="44"/>
        <v>5.0682154636656651E-2</v>
      </c>
      <c r="AR30" s="17">
        <f t="shared" si="44"/>
        <v>5.0682154636656651E-2</v>
      </c>
      <c r="AS30" s="17">
        <f t="shared" si="44"/>
        <v>5.0682154636656651E-2</v>
      </c>
      <c r="AT30" s="17">
        <f t="shared" si="44"/>
        <v>5.0682154636656651E-2</v>
      </c>
      <c r="AU30" s="17">
        <f t="shared" si="44"/>
        <v>5.0682154636656651E-2</v>
      </c>
      <c r="AV30" s="17">
        <f t="shared" si="44"/>
        <v>5.0682154636656651E-2</v>
      </c>
      <c r="AW30" s="17">
        <f t="shared" si="44"/>
        <v>5.0682154636656651E-2</v>
      </c>
      <c r="AX30" s="17">
        <f t="shared" si="44"/>
        <v>5.0682154636656651E-2</v>
      </c>
      <c r="AY30" s="17">
        <f t="shared" si="44"/>
        <v>5.0682154636656651E-2</v>
      </c>
      <c r="AZ30" s="17">
        <f t="shared" si="44"/>
        <v>5.0682154636656651E-2</v>
      </c>
      <c r="BA30" s="17">
        <f t="shared" si="44"/>
        <v>5.0682154636656651E-2</v>
      </c>
      <c r="BB30" s="17">
        <f t="shared" si="44"/>
        <v>5.0682154636656651E-2</v>
      </c>
      <c r="BC30" s="17">
        <f t="shared" si="44"/>
        <v>5.0682154636656651E-2</v>
      </c>
      <c r="BD30" s="17">
        <f t="shared" si="44"/>
        <v>5.0682154636656651E-2</v>
      </c>
      <c r="BE30" s="17">
        <f t="shared" si="44"/>
        <v>5.0682154636656651E-2</v>
      </c>
      <c r="BF30" s="17">
        <f t="shared" si="44"/>
        <v>5.0682154636656651E-2</v>
      </c>
      <c r="BG30" s="17">
        <f t="shared" si="44"/>
        <v>5.0682154636656651E-2</v>
      </c>
      <c r="BH30" s="17">
        <f t="shared" si="44"/>
        <v>5.0682154636656651E-2</v>
      </c>
      <c r="BI30" s="17">
        <f t="shared" si="44"/>
        <v>5.0682154636656651E-2</v>
      </c>
      <c r="BJ30" s="17" t="str">
        <f t="shared" si="44"/>
        <v/>
      </c>
      <c r="BK30" s="17"/>
      <c r="BL30" s="17"/>
      <c r="BM30" s="17"/>
      <c r="BN30" s="17"/>
      <c r="BO30" s="17"/>
      <c r="BP30" s="17"/>
      <c r="BQ30" s="17"/>
      <c r="BR30" s="17"/>
      <c r="BS30" s="17"/>
      <c r="BT30" s="17"/>
      <c r="BU30" s="17"/>
      <c r="BV30" s="17"/>
      <c r="BW30" s="17"/>
      <c r="BX30" s="17"/>
    </row>
    <row r="31" spans="1:78" outlineLevel="1">
      <c r="A31" s="11">
        <f t="shared" si="12"/>
        <v>17</v>
      </c>
      <c r="B31" s="17" t="str">
        <f t="shared" ref="B31:AG31" si="45">IF(B$12&gt;=T,"",
  IF($A31&gt;B$13,"",
  IF(HoLee.BDT=1,
                                IF(C$12*$Q$3&lt;T,A30+(A$10*h-sig*SQRT(h)),A30+($O$3*h-sig*SQRT(h))),
                                IF(C$12*$Q$3&lt;T,A30*EXP(A$10*h-sig*SQRT(h)),A30*EXP($O$3*h-sig*SQRT(h)))
 )))</f>
        <v/>
      </c>
      <c r="C31" s="17" t="str">
        <f t="shared" si="45"/>
        <v/>
      </c>
      <c r="D31" s="17" t="str">
        <f t="shared" si="45"/>
        <v/>
      </c>
      <c r="E31" s="17" t="str">
        <f t="shared" si="45"/>
        <v/>
      </c>
      <c r="F31" s="17" t="str">
        <f t="shared" si="45"/>
        <v/>
      </c>
      <c r="G31" s="17" t="str">
        <f t="shared" si="45"/>
        <v/>
      </c>
      <c r="H31" s="17" t="str">
        <f t="shared" si="45"/>
        <v/>
      </c>
      <c r="I31" s="17" t="str">
        <f t="shared" si="45"/>
        <v/>
      </c>
      <c r="J31" s="17" t="str">
        <f t="shared" si="45"/>
        <v/>
      </c>
      <c r="K31" s="17" t="str">
        <f t="shared" si="45"/>
        <v/>
      </c>
      <c r="L31" s="17" t="str">
        <f t="shared" si="45"/>
        <v/>
      </c>
      <c r="M31" s="17" t="str">
        <f t="shared" si="45"/>
        <v/>
      </c>
      <c r="N31" s="17" t="str">
        <f t="shared" si="45"/>
        <v/>
      </c>
      <c r="O31" s="17" t="str">
        <f t="shared" si="45"/>
        <v/>
      </c>
      <c r="P31" s="17" t="str">
        <f t="shared" si="45"/>
        <v/>
      </c>
      <c r="Q31" s="17" t="str">
        <f t="shared" si="45"/>
        <v/>
      </c>
      <c r="R31" s="17" t="str">
        <f t="shared" si="45"/>
        <v/>
      </c>
      <c r="S31" s="17">
        <f t="shared" si="45"/>
        <v>5.0682154636656651E-2</v>
      </c>
      <c r="T31" s="17">
        <f t="shared" si="45"/>
        <v>5.0682154636656651E-2</v>
      </c>
      <c r="U31" s="17">
        <f t="shared" si="45"/>
        <v>5.0682154636656651E-2</v>
      </c>
      <c r="V31" s="17">
        <f t="shared" si="45"/>
        <v>5.0682154636656651E-2</v>
      </c>
      <c r="W31" s="17">
        <f t="shared" si="45"/>
        <v>5.0682154636656651E-2</v>
      </c>
      <c r="X31" s="17">
        <f t="shared" si="45"/>
        <v>5.0682154636656651E-2</v>
      </c>
      <c r="Y31" s="17">
        <f t="shared" si="45"/>
        <v>5.0682154636656651E-2</v>
      </c>
      <c r="Z31" s="17">
        <f t="shared" si="45"/>
        <v>5.0682154636656651E-2</v>
      </c>
      <c r="AA31" s="17">
        <f t="shared" si="45"/>
        <v>5.0682154636656651E-2</v>
      </c>
      <c r="AB31" s="17">
        <f t="shared" si="45"/>
        <v>5.0682154636656651E-2</v>
      </c>
      <c r="AC31" s="17">
        <f t="shared" si="45"/>
        <v>5.0682154636656651E-2</v>
      </c>
      <c r="AD31" s="17">
        <f t="shared" si="45"/>
        <v>5.0682154636656651E-2</v>
      </c>
      <c r="AE31" s="17">
        <f t="shared" si="45"/>
        <v>5.0682154636656651E-2</v>
      </c>
      <c r="AF31" s="17">
        <f t="shared" si="45"/>
        <v>5.0682154636656651E-2</v>
      </c>
      <c r="AG31" s="17">
        <f t="shared" si="45"/>
        <v>5.0682154636656651E-2</v>
      </c>
      <c r="AH31" s="17">
        <f t="shared" ref="AH31:BJ31" si="46">IF(AH$12&gt;=T,"",
  IF($A31&gt;AH$13,"",
  IF(HoLee.BDT=1,
                                IF(AI$12*$Q$3&lt;T,AG30+(AG$10*h-sig*SQRT(h)),AG30+($O$3*h-sig*SQRT(h))),
                                IF(AI$12*$Q$3&lt;T,AG30*EXP(AG$10*h-sig*SQRT(h)),AG30*EXP($O$3*h-sig*SQRT(h)))
 )))</f>
        <v>5.0682154636656651E-2</v>
      </c>
      <c r="AI31" s="17">
        <f t="shared" si="46"/>
        <v>5.0682154636656651E-2</v>
      </c>
      <c r="AJ31" s="17">
        <f t="shared" si="46"/>
        <v>5.0682154636656651E-2</v>
      </c>
      <c r="AK31" s="17">
        <f t="shared" si="46"/>
        <v>5.0682154636656651E-2</v>
      </c>
      <c r="AL31" s="17">
        <f t="shared" si="46"/>
        <v>5.0682154636656651E-2</v>
      </c>
      <c r="AM31" s="17">
        <f t="shared" si="46"/>
        <v>5.0682154636656651E-2</v>
      </c>
      <c r="AN31" s="17">
        <f t="shared" si="46"/>
        <v>5.0682154636656651E-2</v>
      </c>
      <c r="AO31" s="17">
        <f t="shared" si="46"/>
        <v>5.0682154636656651E-2</v>
      </c>
      <c r="AP31" s="17">
        <f t="shared" si="46"/>
        <v>5.0682154636656651E-2</v>
      </c>
      <c r="AQ31" s="17">
        <f t="shared" si="46"/>
        <v>5.0682154636656651E-2</v>
      </c>
      <c r="AR31" s="17">
        <f t="shared" si="46"/>
        <v>5.0682154636656651E-2</v>
      </c>
      <c r="AS31" s="17">
        <f t="shared" si="46"/>
        <v>5.0682154636656651E-2</v>
      </c>
      <c r="AT31" s="17">
        <f t="shared" si="46"/>
        <v>5.0682154636656651E-2</v>
      </c>
      <c r="AU31" s="17">
        <f t="shared" si="46"/>
        <v>5.0682154636656651E-2</v>
      </c>
      <c r="AV31" s="17">
        <f t="shared" si="46"/>
        <v>5.0682154636656651E-2</v>
      </c>
      <c r="AW31" s="17">
        <f t="shared" si="46"/>
        <v>5.0682154636656651E-2</v>
      </c>
      <c r="AX31" s="17">
        <f t="shared" si="46"/>
        <v>5.0682154636656651E-2</v>
      </c>
      <c r="AY31" s="17">
        <f t="shared" si="46"/>
        <v>5.0682154636656651E-2</v>
      </c>
      <c r="AZ31" s="17">
        <f t="shared" si="46"/>
        <v>5.0682154636656651E-2</v>
      </c>
      <c r="BA31" s="17">
        <f t="shared" si="46"/>
        <v>5.0682154636656651E-2</v>
      </c>
      <c r="BB31" s="17">
        <f t="shared" si="46"/>
        <v>5.0682154636656651E-2</v>
      </c>
      <c r="BC31" s="17">
        <f t="shared" si="46"/>
        <v>5.0682154636656651E-2</v>
      </c>
      <c r="BD31" s="17">
        <f t="shared" si="46"/>
        <v>5.0682154636656651E-2</v>
      </c>
      <c r="BE31" s="17">
        <f t="shared" si="46"/>
        <v>5.0682154636656651E-2</v>
      </c>
      <c r="BF31" s="17">
        <f t="shared" si="46"/>
        <v>5.0682154636656651E-2</v>
      </c>
      <c r="BG31" s="17">
        <f t="shared" si="46"/>
        <v>5.0682154636656651E-2</v>
      </c>
      <c r="BH31" s="17">
        <f t="shared" si="46"/>
        <v>5.0682154636656651E-2</v>
      </c>
      <c r="BI31" s="17">
        <f t="shared" si="46"/>
        <v>5.0682154636656651E-2</v>
      </c>
      <c r="BJ31" s="17" t="str">
        <f t="shared" si="46"/>
        <v/>
      </c>
      <c r="BK31" s="17"/>
      <c r="BL31" s="17"/>
      <c r="BM31" s="17"/>
      <c r="BN31" s="17"/>
      <c r="BO31" s="17"/>
      <c r="BP31" s="17"/>
      <c r="BQ31" s="17"/>
      <c r="BR31" s="17"/>
      <c r="BS31" s="17"/>
      <c r="BT31" s="17"/>
      <c r="BU31" s="17"/>
      <c r="BV31" s="17"/>
      <c r="BW31" s="17"/>
      <c r="BX31" s="17"/>
      <c r="BY31" s="17"/>
    </row>
    <row r="32" spans="1:78" outlineLevel="1">
      <c r="A32" s="11">
        <f t="shared" si="12"/>
        <v>18</v>
      </c>
      <c r="B32" s="17" t="str">
        <f t="shared" ref="B32:AG32" si="47">IF(B$12&gt;=T,"",
  IF($A32&gt;B$13,"",
  IF(HoLee.BDT=1,
                                IF(C$12*$Q$3&lt;T,A31+(A$10*h-sig*SQRT(h)),A31+($O$3*h-sig*SQRT(h))),
                                IF(C$12*$Q$3&lt;T,A31*EXP(A$10*h-sig*SQRT(h)),A31*EXP($O$3*h-sig*SQRT(h)))
 )))</f>
        <v/>
      </c>
      <c r="C32" s="17" t="str">
        <f t="shared" si="47"/>
        <v/>
      </c>
      <c r="D32" s="17" t="str">
        <f t="shared" si="47"/>
        <v/>
      </c>
      <c r="E32" s="17" t="str">
        <f t="shared" si="47"/>
        <v/>
      </c>
      <c r="F32" s="17" t="str">
        <f t="shared" si="47"/>
        <v/>
      </c>
      <c r="G32" s="17" t="str">
        <f t="shared" si="47"/>
        <v/>
      </c>
      <c r="H32" s="17" t="str">
        <f t="shared" si="47"/>
        <v/>
      </c>
      <c r="I32" s="17" t="str">
        <f t="shared" si="47"/>
        <v/>
      </c>
      <c r="J32" s="17" t="str">
        <f t="shared" si="47"/>
        <v/>
      </c>
      <c r="K32" s="17" t="str">
        <f t="shared" si="47"/>
        <v/>
      </c>
      <c r="L32" s="17" t="str">
        <f t="shared" si="47"/>
        <v/>
      </c>
      <c r="M32" s="17" t="str">
        <f t="shared" si="47"/>
        <v/>
      </c>
      <c r="N32" s="17" t="str">
        <f t="shared" si="47"/>
        <v/>
      </c>
      <c r="O32" s="17" t="str">
        <f t="shared" si="47"/>
        <v/>
      </c>
      <c r="P32" s="17" t="str">
        <f t="shared" si="47"/>
        <v/>
      </c>
      <c r="Q32" s="17" t="str">
        <f t="shared" si="47"/>
        <v/>
      </c>
      <c r="R32" s="17" t="str">
        <f t="shared" si="47"/>
        <v/>
      </c>
      <c r="S32" s="17" t="str">
        <f t="shared" si="47"/>
        <v/>
      </c>
      <c r="T32" s="17">
        <f t="shared" si="47"/>
        <v>5.0682154636656651E-2</v>
      </c>
      <c r="U32" s="17">
        <f t="shared" si="47"/>
        <v>5.0682154636656651E-2</v>
      </c>
      <c r="V32" s="17">
        <f t="shared" si="47"/>
        <v>5.0682154636656651E-2</v>
      </c>
      <c r="W32" s="17">
        <f t="shared" si="47"/>
        <v>5.0682154636656651E-2</v>
      </c>
      <c r="X32" s="17">
        <f t="shared" si="47"/>
        <v>5.0682154636656651E-2</v>
      </c>
      <c r="Y32" s="17">
        <f t="shared" si="47"/>
        <v>5.0682154636656651E-2</v>
      </c>
      <c r="Z32" s="17">
        <f t="shared" si="47"/>
        <v>5.0682154636656651E-2</v>
      </c>
      <c r="AA32" s="17">
        <f t="shared" si="47"/>
        <v>5.0682154636656651E-2</v>
      </c>
      <c r="AB32" s="17">
        <f t="shared" si="47"/>
        <v>5.0682154636656651E-2</v>
      </c>
      <c r="AC32" s="17">
        <f t="shared" si="47"/>
        <v>5.0682154636656651E-2</v>
      </c>
      <c r="AD32" s="17">
        <f t="shared" si="47"/>
        <v>5.0682154636656651E-2</v>
      </c>
      <c r="AE32" s="17">
        <f t="shared" si="47"/>
        <v>5.0682154636656651E-2</v>
      </c>
      <c r="AF32" s="17">
        <f t="shared" si="47"/>
        <v>5.0682154636656651E-2</v>
      </c>
      <c r="AG32" s="17">
        <f t="shared" si="47"/>
        <v>5.0682154636656651E-2</v>
      </c>
      <c r="AH32" s="17">
        <f t="shared" ref="AH32:BJ32" si="48">IF(AH$12&gt;=T,"",
  IF($A32&gt;AH$13,"",
  IF(HoLee.BDT=1,
                                IF(AI$12*$Q$3&lt;T,AG31+(AG$10*h-sig*SQRT(h)),AG31+($O$3*h-sig*SQRT(h))),
                                IF(AI$12*$Q$3&lt;T,AG31*EXP(AG$10*h-sig*SQRT(h)),AG31*EXP($O$3*h-sig*SQRT(h)))
 )))</f>
        <v>5.0682154636656651E-2</v>
      </c>
      <c r="AI32" s="17">
        <f t="shared" si="48"/>
        <v>5.0682154636656651E-2</v>
      </c>
      <c r="AJ32" s="17">
        <f t="shared" si="48"/>
        <v>5.0682154636656651E-2</v>
      </c>
      <c r="AK32" s="17">
        <f t="shared" si="48"/>
        <v>5.0682154636656651E-2</v>
      </c>
      <c r="AL32" s="17">
        <f t="shared" si="48"/>
        <v>5.0682154636656651E-2</v>
      </c>
      <c r="AM32" s="17">
        <f t="shared" si="48"/>
        <v>5.0682154636656651E-2</v>
      </c>
      <c r="AN32" s="17">
        <f t="shared" si="48"/>
        <v>5.0682154636656651E-2</v>
      </c>
      <c r="AO32" s="17">
        <f t="shared" si="48"/>
        <v>5.0682154636656651E-2</v>
      </c>
      <c r="AP32" s="17">
        <f t="shared" si="48"/>
        <v>5.0682154636656651E-2</v>
      </c>
      <c r="AQ32" s="17">
        <f t="shared" si="48"/>
        <v>5.0682154636656651E-2</v>
      </c>
      <c r="AR32" s="17">
        <f t="shared" si="48"/>
        <v>5.0682154636656651E-2</v>
      </c>
      <c r="AS32" s="17">
        <f t="shared" si="48"/>
        <v>5.0682154636656651E-2</v>
      </c>
      <c r="AT32" s="17">
        <f t="shared" si="48"/>
        <v>5.0682154636656651E-2</v>
      </c>
      <c r="AU32" s="17">
        <f t="shared" si="48"/>
        <v>5.0682154636656651E-2</v>
      </c>
      <c r="AV32" s="17">
        <f t="shared" si="48"/>
        <v>5.0682154636656651E-2</v>
      </c>
      <c r="AW32" s="17">
        <f t="shared" si="48"/>
        <v>5.0682154636656651E-2</v>
      </c>
      <c r="AX32" s="17">
        <f t="shared" si="48"/>
        <v>5.0682154636656651E-2</v>
      </c>
      <c r="AY32" s="17">
        <f t="shared" si="48"/>
        <v>5.0682154636656651E-2</v>
      </c>
      <c r="AZ32" s="17">
        <f t="shared" si="48"/>
        <v>5.0682154636656651E-2</v>
      </c>
      <c r="BA32" s="17">
        <f t="shared" si="48"/>
        <v>5.0682154636656651E-2</v>
      </c>
      <c r="BB32" s="17">
        <f t="shared" si="48"/>
        <v>5.0682154636656651E-2</v>
      </c>
      <c r="BC32" s="17">
        <f t="shared" si="48"/>
        <v>5.0682154636656651E-2</v>
      </c>
      <c r="BD32" s="17">
        <f t="shared" si="48"/>
        <v>5.0682154636656651E-2</v>
      </c>
      <c r="BE32" s="17">
        <f t="shared" si="48"/>
        <v>5.0682154636656651E-2</v>
      </c>
      <c r="BF32" s="17">
        <f t="shared" si="48"/>
        <v>5.0682154636656651E-2</v>
      </c>
      <c r="BG32" s="17">
        <f t="shared" si="48"/>
        <v>5.0682154636656651E-2</v>
      </c>
      <c r="BH32" s="17">
        <f t="shared" si="48"/>
        <v>5.0682154636656651E-2</v>
      </c>
      <c r="BI32" s="17">
        <f t="shared" si="48"/>
        <v>5.0682154636656651E-2</v>
      </c>
      <c r="BJ32" s="17" t="str">
        <f t="shared" si="48"/>
        <v/>
      </c>
      <c r="BK32" s="17"/>
      <c r="BL32" s="17"/>
      <c r="BM32" s="17"/>
      <c r="BN32" s="17"/>
      <c r="BO32" s="17"/>
      <c r="BP32" s="17"/>
      <c r="BQ32" s="17"/>
      <c r="BR32" s="17"/>
      <c r="BS32" s="17"/>
      <c r="BT32" s="17"/>
      <c r="BU32" s="17"/>
      <c r="BV32" s="17"/>
      <c r="BW32" s="17"/>
      <c r="BX32" s="17"/>
      <c r="BY32" s="17"/>
      <c r="BZ32" s="17"/>
    </row>
    <row r="33" spans="1:94" outlineLevel="1">
      <c r="A33" s="11">
        <f t="shared" si="12"/>
        <v>19</v>
      </c>
      <c r="B33" s="17" t="str">
        <f t="shared" ref="B33:AG33" si="49">IF(B$12&gt;=T,"",
  IF($A33&gt;B$13,"",
  IF(HoLee.BDT=1,
                                IF(C$12*$Q$3&lt;T,A32+(A$10*h-sig*SQRT(h)),A32+($O$3*h-sig*SQRT(h))),
                                IF(C$12*$Q$3&lt;T,A32*EXP(A$10*h-sig*SQRT(h)),A32*EXP($O$3*h-sig*SQRT(h)))
 )))</f>
        <v/>
      </c>
      <c r="C33" s="17" t="str">
        <f t="shared" si="49"/>
        <v/>
      </c>
      <c r="D33" s="17" t="str">
        <f t="shared" si="49"/>
        <v/>
      </c>
      <c r="E33" s="17" t="str">
        <f t="shared" si="49"/>
        <v/>
      </c>
      <c r="F33" s="17" t="str">
        <f t="shared" si="49"/>
        <v/>
      </c>
      <c r="G33" s="17" t="str">
        <f t="shared" si="49"/>
        <v/>
      </c>
      <c r="H33" s="17" t="str">
        <f t="shared" si="49"/>
        <v/>
      </c>
      <c r="I33" s="17" t="str">
        <f t="shared" si="49"/>
        <v/>
      </c>
      <c r="J33" s="17" t="str">
        <f t="shared" si="49"/>
        <v/>
      </c>
      <c r="K33" s="17" t="str">
        <f t="shared" si="49"/>
        <v/>
      </c>
      <c r="L33" s="17" t="str">
        <f t="shared" si="49"/>
        <v/>
      </c>
      <c r="M33" s="17" t="str">
        <f t="shared" si="49"/>
        <v/>
      </c>
      <c r="N33" s="17" t="str">
        <f t="shared" si="49"/>
        <v/>
      </c>
      <c r="O33" s="17" t="str">
        <f t="shared" si="49"/>
        <v/>
      </c>
      <c r="P33" s="17" t="str">
        <f t="shared" si="49"/>
        <v/>
      </c>
      <c r="Q33" s="17" t="str">
        <f t="shared" si="49"/>
        <v/>
      </c>
      <c r="R33" s="17" t="str">
        <f t="shared" si="49"/>
        <v/>
      </c>
      <c r="S33" s="17" t="str">
        <f t="shared" si="49"/>
        <v/>
      </c>
      <c r="T33" s="17" t="str">
        <f t="shared" si="49"/>
        <v/>
      </c>
      <c r="U33" s="17">
        <f t="shared" si="49"/>
        <v>5.0682154636656651E-2</v>
      </c>
      <c r="V33" s="17">
        <f t="shared" si="49"/>
        <v>5.0682154636656651E-2</v>
      </c>
      <c r="W33" s="17">
        <f t="shared" si="49"/>
        <v>5.0682154636656651E-2</v>
      </c>
      <c r="X33" s="17">
        <f t="shared" si="49"/>
        <v>5.0682154636656651E-2</v>
      </c>
      <c r="Y33" s="17">
        <f t="shared" si="49"/>
        <v>5.0682154636656651E-2</v>
      </c>
      <c r="Z33" s="17">
        <f t="shared" si="49"/>
        <v>5.0682154636656651E-2</v>
      </c>
      <c r="AA33" s="17">
        <f t="shared" si="49"/>
        <v>5.0682154636656651E-2</v>
      </c>
      <c r="AB33" s="17">
        <f t="shared" si="49"/>
        <v>5.0682154636656651E-2</v>
      </c>
      <c r="AC33" s="17">
        <f t="shared" si="49"/>
        <v>5.0682154636656651E-2</v>
      </c>
      <c r="AD33" s="17">
        <f t="shared" si="49"/>
        <v>5.0682154636656651E-2</v>
      </c>
      <c r="AE33" s="17">
        <f t="shared" si="49"/>
        <v>5.0682154636656651E-2</v>
      </c>
      <c r="AF33" s="17">
        <f t="shared" si="49"/>
        <v>5.0682154636656651E-2</v>
      </c>
      <c r="AG33" s="17">
        <f t="shared" si="49"/>
        <v>5.0682154636656651E-2</v>
      </c>
      <c r="AH33" s="17">
        <f t="shared" ref="AH33:BJ33" si="50">IF(AH$12&gt;=T,"",
  IF($A33&gt;AH$13,"",
  IF(HoLee.BDT=1,
                                IF(AI$12*$Q$3&lt;T,AG32+(AG$10*h-sig*SQRT(h)),AG32+($O$3*h-sig*SQRT(h))),
                                IF(AI$12*$Q$3&lt;T,AG32*EXP(AG$10*h-sig*SQRT(h)),AG32*EXP($O$3*h-sig*SQRT(h)))
 )))</f>
        <v>5.0682154636656651E-2</v>
      </c>
      <c r="AI33" s="17">
        <f t="shared" si="50"/>
        <v>5.0682154636656651E-2</v>
      </c>
      <c r="AJ33" s="17">
        <f t="shared" si="50"/>
        <v>5.0682154636656651E-2</v>
      </c>
      <c r="AK33" s="17">
        <f t="shared" si="50"/>
        <v>5.0682154636656651E-2</v>
      </c>
      <c r="AL33" s="17">
        <f t="shared" si="50"/>
        <v>5.0682154636656651E-2</v>
      </c>
      <c r="AM33" s="17">
        <f t="shared" si="50"/>
        <v>5.0682154636656651E-2</v>
      </c>
      <c r="AN33" s="17">
        <f t="shared" si="50"/>
        <v>5.0682154636656651E-2</v>
      </c>
      <c r="AO33" s="17">
        <f t="shared" si="50"/>
        <v>5.0682154636656651E-2</v>
      </c>
      <c r="AP33" s="17">
        <f t="shared" si="50"/>
        <v>5.0682154636656651E-2</v>
      </c>
      <c r="AQ33" s="17">
        <f t="shared" si="50"/>
        <v>5.0682154636656651E-2</v>
      </c>
      <c r="AR33" s="17">
        <f t="shared" si="50"/>
        <v>5.0682154636656651E-2</v>
      </c>
      <c r="AS33" s="17">
        <f t="shared" si="50"/>
        <v>5.0682154636656651E-2</v>
      </c>
      <c r="AT33" s="17">
        <f t="shared" si="50"/>
        <v>5.0682154636656651E-2</v>
      </c>
      <c r="AU33" s="17">
        <f t="shared" si="50"/>
        <v>5.0682154636656651E-2</v>
      </c>
      <c r="AV33" s="17">
        <f t="shared" si="50"/>
        <v>5.0682154636656651E-2</v>
      </c>
      <c r="AW33" s="17">
        <f t="shared" si="50"/>
        <v>5.0682154636656651E-2</v>
      </c>
      <c r="AX33" s="17">
        <f t="shared" si="50"/>
        <v>5.0682154636656651E-2</v>
      </c>
      <c r="AY33" s="17">
        <f t="shared" si="50"/>
        <v>5.0682154636656651E-2</v>
      </c>
      <c r="AZ33" s="17">
        <f t="shared" si="50"/>
        <v>5.0682154636656651E-2</v>
      </c>
      <c r="BA33" s="17">
        <f t="shared" si="50"/>
        <v>5.0682154636656651E-2</v>
      </c>
      <c r="BB33" s="17">
        <f t="shared" si="50"/>
        <v>5.0682154636656651E-2</v>
      </c>
      <c r="BC33" s="17">
        <f t="shared" si="50"/>
        <v>5.0682154636656651E-2</v>
      </c>
      <c r="BD33" s="17">
        <f t="shared" si="50"/>
        <v>5.0682154636656651E-2</v>
      </c>
      <c r="BE33" s="17">
        <f t="shared" si="50"/>
        <v>5.0682154636656651E-2</v>
      </c>
      <c r="BF33" s="17">
        <f t="shared" si="50"/>
        <v>5.0682154636656651E-2</v>
      </c>
      <c r="BG33" s="17">
        <f t="shared" si="50"/>
        <v>5.0682154636656651E-2</v>
      </c>
      <c r="BH33" s="17">
        <f t="shared" si="50"/>
        <v>5.0682154636656651E-2</v>
      </c>
      <c r="BI33" s="17">
        <f t="shared" si="50"/>
        <v>5.0682154636656651E-2</v>
      </c>
      <c r="BJ33" s="17" t="str">
        <f t="shared" si="50"/>
        <v/>
      </c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17"/>
      <c r="BZ33" s="17"/>
      <c r="CA33" s="17"/>
    </row>
    <row r="34" spans="1:94" outlineLevel="1">
      <c r="A34" s="11">
        <f t="shared" si="12"/>
        <v>20</v>
      </c>
      <c r="B34" s="17" t="str">
        <f t="shared" ref="B34:AG34" si="51">IF(B$12&gt;=T,"",
  IF($A34&gt;B$13,"",
  IF(HoLee.BDT=1,
                                IF(C$12*$Q$3&lt;T,A33+(A$10*h-sig*SQRT(h)),A33+($O$3*h-sig*SQRT(h))),
                                IF(C$12*$Q$3&lt;T,A33*EXP(A$10*h-sig*SQRT(h)),A33*EXP($O$3*h-sig*SQRT(h)))
 )))</f>
        <v/>
      </c>
      <c r="C34" s="17" t="str">
        <f t="shared" si="51"/>
        <v/>
      </c>
      <c r="D34" s="17" t="str">
        <f t="shared" si="51"/>
        <v/>
      </c>
      <c r="E34" s="17" t="str">
        <f t="shared" si="51"/>
        <v/>
      </c>
      <c r="F34" s="17" t="str">
        <f t="shared" si="51"/>
        <v/>
      </c>
      <c r="G34" s="17" t="str">
        <f t="shared" si="51"/>
        <v/>
      </c>
      <c r="H34" s="17" t="str">
        <f t="shared" si="51"/>
        <v/>
      </c>
      <c r="I34" s="17" t="str">
        <f t="shared" si="51"/>
        <v/>
      </c>
      <c r="J34" s="17" t="str">
        <f t="shared" si="51"/>
        <v/>
      </c>
      <c r="K34" s="17" t="str">
        <f t="shared" si="51"/>
        <v/>
      </c>
      <c r="L34" s="17" t="str">
        <f t="shared" si="51"/>
        <v/>
      </c>
      <c r="M34" s="17" t="str">
        <f t="shared" si="51"/>
        <v/>
      </c>
      <c r="N34" s="17" t="str">
        <f t="shared" si="51"/>
        <v/>
      </c>
      <c r="O34" s="17" t="str">
        <f t="shared" si="51"/>
        <v/>
      </c>
      <c r="P34" s="17" t="str">
        <f t="shared" si="51"/>
        <v/>
      </c>
      <c r="Q34" s="17" t="str">
        <f t="shared" si="51"/>
        <v/>
      </c>
      <c r="R34" s="17" t="str">
        <f t="shared" si="51"/>
        <v/>
      </c>
      <c r="S34" s="17" t="str">
        <f t="shared" si="51"/>
        <v/>
      </c>
      <c r="T34" s="17" t="str">
        <f t="shared" si="51"/>
        <v/>
      </c>
      <c r="U34" s="17" t="str">
        <f t="shared" si="51"/>
        <v/>
      </c>
      <c r="V34" s="17">
        <f t="shared" si="51"/>
        <v>5.0682154636656651E-2</v>
      </c>
      <c r="W34" s="17">
        <f t="shared" si="51"/>
        <v>5.0682154636656651E-2</v>
      </c>
      <c r="X34" s="17">
        <f t="shared" si="51"/>
        <v>5.0682154636656651E-2</v>
      </c>
      <c r="Y34" s="17">
        <f t="shared" si="51"/>
        <v>5.0682154636656651E-2</v>
      </c>
      <c r="Z34" s="17">
        <f t="shared" si="51"/>
        <v>5.0682154636656651E-2</v>
      </c>
      <c r="AA34" s="17">
        <f t="shared" si="51"/>
        <v>5.0682154636656651E-2</v>
      </c>
      <c r="AB34" s="17">
        <f t="shared" si="51"/>
        <v>5.0682154636656651E-2</v>
      </c>
      <c r="AC34" s="17">
        <f t="shared" si="51"/>
        <v>5.0682154636656651E-2</v>
      </c>
      <c r="AD34" s="17">
        <f t="shared" si="51"/>
        <v>5.0682154636656651E-2</v>
      </c>
      <c r="AE34" s="17">
        <f t="shared" si="51"/>
        <v>5.0682154636656651E-2</v>
      </c>
      <c r="AF34" s="17">
        <f t="shared" si="51"/>
        <v>5.0682154636656651E-2</v>
      </c>
      <c r="AG34" s="17">
        <f t="shared" si="51"/>
        <v>5.0682154636656651E-2</v>
      </c>
      <c r="AH34" s="17">
        <f t="shared" ref="AH34:BJ34" si="52">IF(AH$12&gt;=T,"",
  IF($A34&gt;AH$13,"",
  IF(HoLee.BDT=1,
                                IF(AI$12*$Q$3&lt;T,AG33+(AG$10*h-sig*SQRT(h)),AG33+($O$3*h-sig*SQRT(h))),
                                IF(AI$12*$Q$3&lt;T,AG33*EXP(AG$10*h-sig*SQRT(h)),AG33*EXP($O$3*h-sig*SQRT(h)))
 )))</f>
        <v>5.0682154636656651E-2</v>
      </c>
      <c r="AI34" s="17">
        <f t="shared" si="52"/>
        <v>5.0682154636656651E-2</v>
      </c>
      <c r="AJ34" s="17">
        <f t="shared" si="52"/>
        <v>5.0682154636656651E-2</v>
      </c>
      <c r="AK34" s="17">
        <f t="shared" si="52"/>
        <v>5.0682154636656651E-2</v>
      </c>
      <c r="AL34" s="17">
        <f t="shared" si="52"/>
        <v>5.0682154636656651E-2</v>
      </c>
      <c r="AM34" s="17">
        <f t="shared" si="52"/>
        <v>5.0682154636656651E-2</v>
      </c>
      <c r="AN34" s="17">
        <f t="shared" si="52"/>
        <v>5.0682154636656651E-2</v>
      </c>
      <c r="AO34" s="17">
        <f t="shared" si="52"/>
        <v>5.0682154636656651E-2</v>
      </c>
      <c r="AP34" s="17">
        <f t="shared" si="52"/>
        <v>5.0682154636656651E-2</v>
      </c>
      <c r="AQ34" s="17">
        <f t="shared" si="52"/>
        <v>5.0682154636656651E-2</v>
      </c>
      <c r="AR34" s="17">
        <f t="shared" si="52"/>
        <v>5.0682154636656651E-2</v>
      </c>
      <c r="AS34" s="17">
        <f t="shared" si="52"/>
        <v>5.0682154636656651E-2</v>
      </c>
      <c r="AT34" s="17">
        <f t="shared" si="52"/>
        <v>5.0682154636656651E-2</v>
      </c>
      <c r="AU34" s="17">
        <f t="shared" si="52"/>
        <v>5.0682154636656651E-2</v>
      </c>
      <c r="AV34" s="17">
        <f t="shared" si="52"/>
        <v>5.0682154636656651E-2</v>
      </c>
      <c r="AW34" s="17">
        <f t="shared" si="52"/>
        <v>5.0682154636656651E-2</v>
      </c>
      <c r="AX34" s="17">
        <f t="shared" si="52"/>
        <v>5.0682154636656651E-2</v>
      </c>
      <c r="AY34" s="17">
        <f t="shared" si="52"/>
        <v>5.0682154636656651E-2</v>
      </c>
      <c r="AZ34" s="17">
        <f t="shared" si="52"/>
        <v>5.0682154636656651E-2</v>
      </c>
      <c r="BA34" s="17">
        <f t="shared" si="52"/>
        <v>5.0682154636656651E-2</v>
      </c>
      <c r="BB34" s="17">
        <f t="shared" si="52"/>
        <v>5.0682154636656651E-2</v>
      </c>
      <c r="BC34" s="17">
        <f t="shared" si="52"/>
        <v>5.0682154636656651E-2</v>
      </c>
      <c r="BD34" s="17">
        <f t="shared" si="52"/>
        <v>5.0682154636656651E-2</v>
      </c>
      <c r="BE34" s="17">
        <f t="shared" si="52"/>
        <v>5.0682154636656651E-2</v>
      </c>
      <c r="BF34" s="17">
        <f t="shared" si="52"/>
        <v>5.0682154636656651E-2</v>
      </c>
      <c r="BG34" s="17">
        <f t="shared" si="52"/>
        <v>5.0682154636656651E-2</v>
      </c>
      <c r="BH34" s="17">
        <f t="shared" si="52"/>
        <v>5.0682154636656651E-2</v>
      </c>
      <c r="BI34" s="17">
        <f t="shared" si="52"/>
        <v>5.0682154636656651E-2</v>
      </c>
      <c r="BJ34" s="17" t="str">
        <f t="shared" si="52"/>
        <v/>
      </c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A34" s="17"/>
      <c r="CB34" s="17"/>
    </row>
    <row r="35" spans="1:94" outlineLevel="1">
      <c r="A35" s="11">
        <f t="shared" si="12"/>
        <v>21</v>
      </c>
      <c r="B35" s="17" t="str">
        <f t="shared" ref="B35:AG35" si="53">IF(B$12&gt;=T,"",
  IF($A35&gt;B$13,"",
  IF(HoLee.BDT=1,
                                IF(C$12*$Q$3&lt;T,A34+(A$10*h-sig*SQRT(h)),A34+($O$3*h-sig*SQRT(h))),
                                IF(C$12*$Q$3&lt;T,A34*EXP(A$10*h-sig*SQRT(h)),A34*EXP($O$3*h-sig*SQRT(h)))
 )))</f>
        <v/>
      </c>
      <c r="C35" s="17" t="str">
        <f t="shared" si="53"/>
        <v/>
      </c>
      <c r="D35" s="17" t="str">
        <f t="shared" si="53"/>
        <v/>
      </c>
      <c r="E35" s="17" t="str">
        <f t="shared" si="53"/>
        <v/>
      </c>
      <c r="F35" s="17" t="str">
        <f t="shared" si="53"/>
        <v/>
      </c>
      <c r="G35" s="17" t="str">
        <f t="shared" si="53"/>
        <v/>
      </c>
      <c r="H35" s="17" t="str">
        <f t="shared" si="53"/>
        <v/>
      </c>
      <c r="I35" s="17" t="str">
        <f t="shared" si="53"/>
        <v/>
      </c>
      <c r="J35" s="17" t="str">
        <f t="shared" si="53"/>
        <v/>
      </c>
      <c r="K35" s="17" t="str">
        <f t="shared" si="53"/>
        <v/>
      </c>
      <c r="L35" s="17" t="str">
        <f t="shared" si="53"/>
        <v/>
      </c>
      <c r="M35" s="17" t="str">
        <f t="shared" si="53"/>
        <v/>
      </c>
      <c r="N35" s="17" t="str">
        <f t="shared" si="53"/>
        <v/>
      </c>
      <c r="O35" s="17" t="str">
        <f t="shared" si="53"/>
        <v/>
      </c>
      <c r="P35" s="17" t="str">
        <f t="shared" si="53"/>
        <v/>
      </c>
      <c r="Q35" s="17" t="str">
        <f t="shared" si="53"/>
        <v/>
      </c>
      <c r="R35" s="17" t="str">
        <f t="shared" si="53"/>
        <v/>
      </c>
      <c r="S35" s="17" t="str">
        <f t="shared" si="53"/>
        <v/>
      </c>
      <c r="T35" s="17" t="str">
        <f t="shared" si="53"/>
        <v/>
      </c>
      <c r="U35" s="17" t="str">
        <f t="shared" si="53"/>
        <v/>
      </c>
      <c r="V35" s="17" t="str">
        <f t="shared" si="53"/>
        <v/>
      </c>
      <c r="W35" s="17">
        <f t="shared" si="53"/>
        <v>5.0682154636656651E-2</v>
      </c>
      <c r="X35" s="17">
        <f t="shared" si="53"/>
        <v>5.0682154636656651E-2</v>
      </c>
      <c r="Y35" s="17">
        <f t="shared" si="53"/>
        <v>5.0682154636656651E-2</v>
      </c>
      <c r="Z35" s="17">
        <f t="shared" si="53"/>
        <v>5.0682154636656651E-2</v>
      </c>
      <c r="AA35" s="17">
        <f t="shared" si="53"/>
        <v>5.0682154636656651E-2</v>
      </c>
      <c r="AB35" s="17">
        <f t="shared" si="53"/>
        <v>5.0682154636656651E-2</v>
      </c>
      <c r="AC35" s="17">
        <f t="shared" si="53"/>
        <v>5.0682154636656651E-2</v>
      </c>
      <c r="AD35" s="17">
        <f t="shared" si="53"/>
        <v>5.0682154636656651E-2</v>
      </c>
      <c r="AE35" s="17">
        <f t="shared" si="53"/>
        <v>5.0682154636656651E-2</v>
      </c>
      <c r="AF35" s="17">
        <f t="shared" si="53"/>
        <v>5.0682154636656651E-2</v>
      </c>
      <c r="AG35" s="17">
        <f t="shared" si="53"/>
        <v>5.0682154636656651E-2</v>
      </c>
      <c r="AH35" s="17">
        <f t="shared" ref="AH35:BJ35" si="54">IF(AH$12&gt;=T,"",
  IF($A35&gt;AH$13,"",
  IF(HoLee.BDT=1,
                                IF(AI$12*$Q$3&lt;T,AG34+(AG$10*h-sig*SQRT(h)),AG34+($O$3*h-sig*SQRT(h))),
                                IF(AI$12*$Q$3&lt;T,AG34*EXP(AG$10*h-sig*SQRT(h)),AG34*EXP($O$3*h-sig*SQRT(h)))
 )))</f>
        <v>5.0682154636656651E-2</v>
      </c>
      <c r="AI35" s="17">
        <f t="shared" si="54"/>
        <v>5.0682154636656651E-2</v>
      </c>
      <c r="AJ35" s="17">
        <f t="shared" si="54"/>
        <v>5.0682154636656651E-2</v>
      </c>
      <c r="AK35" s="17">
        <f t="shared" si="54"/>
        <v>5.0682154636656651E-2</v>
      </c>
      <c r="AL35" s="17">
        <f t="shared" si="54"/>
        <v>5.0682154636656651E-2</v>
      </c>
      <c r="AM35" s="17">
        <f t="shared" si="54"/>
        <v>5.0682154636656651E-2</v>
      </c>
      <c r="AN35" s="17">
        <f t="shared" si="54"/>
        <v>5.0682154636656651E-2</v>
      </c>
      <c r="AO35" s="17">
        <f t="shared" si="54"/>
        <v>5.0682154636656651E-2</v>
      </c>
      <c r="AP35" s="17">
        <f t="shared" si="54"/>
        <v>5.0682154636656651E-2</v>
      </c>
      <c r="AQ35" s="17">
        <f t="shared" si="54"/>
        <v>5.0682154636656651E-2</v>
      </c>
      <c r="AR35" s="17">
        <f t="shared" si="54"/>
        <v>5.0682154636656651E-2</v>
      </c>
      <c r="AS35" s="17">
        <f t="shared" si="54"/>
        <v>5.0682154636656651E-2</v>
      </c>
      <c r="AT35" s="17">
        <f t="shared" si="54"/>
        <v>5.0682154636656651E-2</v>
      </c>
      <c r="AU35" s="17">
        <f t="shared" si="54"/>
        <v>5.0682154636656651E-2</v>
      </c>
      <c r="AV35" s="17">
        <f t="shared" si="54"/>
        <v>5.0682154636656651E-2</v>
      </c>
      <c r="AW35" s="17">
        <f t="shared" si="54"/>
        <v>5.0682154636656651E-2</v>
      </c>
      <c r="AX35" s="17">
        <f t="shared" si="54"/>
        <v>5.0682154636656651E-2</v>
      </c>
      <c r="AY35" s="17">
        <f t="shared" si="54"/>
        <v>5.0682154636656651E-2</v>
      </c>
      <c r="AZ35" s="17">
        <f t="shared" si="54"/>
        <v>5.0682154636656651E-2</v>
      </c>
      <c r="BA35" s="17">
        <f t="shared" si="54"/>
        <v>5.0682154636656651E-2</v>
      </c>
      <c r="BB35" s="17">
        <f t="shared" si="54"/>
        <v>5.0682154636656651E-2</v>
      </c>
      <c r="BC35" s="17">
        <f t="shared" si="54"/>
        <v>5.0682154636656651E-2</v>
      </c>
      <c r="BD35" s="17">
        <f t="shared" si="54"/>
        <v>5.0682154636656651E-2</v>
      </c>
      <c r="BE35" s="17">
        <f t="shared" si="54"/>
        <v>5.0682154636656651E-2</v>
      </c>
      <c r="BF35" s="17">
        <f t="shared" si="54"/>
        <v>5.0682154636656651E-2</v>
      </c>
      <c r="BG35" s="17">
        <f t="shared" si="54"/>
        <v>5.0682154636656651E-2</v>
      </c>
      <c r="BH35" s="17">
        <f t="shared" si="54"/>
        <v>5.0682154636656651E-2</v>
      </c>
      <c r="BI35" s="17">
        <f t="shared" si="54"/>
        <v>5.0682154636656651E-2</v>
      </c>
      <c r="BJ35" s="17" t="str">
        <f t="shared" si="54"/>
        <v/>
      </c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</row>
    <row r="36" spans="1:94" outlineLevel="1">
      <c r="A36" s="11">
        <f t="shared" si="12"/>
        <v>22</v>
      </c>
      <c r="B36" s="17" t="str">
        <f t="shared" ref="B36:AG36" si="55">IF(B$12&gt;=T,"",
  IF($A36&gt;B$13,"",
  IF(HoLee.BDT=1,
                                IF(C$12*$Q$3&lt;T,A35+(A$10*h-sig*SQRT(h)),A35+($O$3*h-sig*SQRT(h))),
                                IF(C$12*$Q$3&lt;T,A35*EXP(A$10*h-sig*SQRT(h)),A35*EXP($O$3*h-sig*SQRT(h)))
 )))</f>
        <v/>
      </c>
      <c r="C36" s="17" t="str">
        <f t="shared" si="55"/>
        <v/>
      </c>
      <c r="D36" s="17" t="str">
        <f t="shared" si="55"/>
        <v/>
      </c>
      <c r="E36" s="17" t="str">
        <f t="shared" si="55"/>
        <v/>
      </c>
      <c r="F36" s="17" t="str">
        <f t="shared" si="55"/>
        <v/>
      </c>
      <c r="G36" s="17" t="str">
        <f t="shared" si="55"/>
        <v/>
      </c>
      <c r="H36" s="17" t="str">
        <f t="shared" si="55"/>
        <v/>
      </c>
      <c r="I36" s="17" t="str">
        <f t="shared" si="55"/>
        <v/>
      </c>
      <c r="J36" s="17" t="str">
        <f t="shared" si="55"/>
        <v/>
      </c>
      <c r="K36" s="17" t="str">
        <f t="shared" si="55"/>
        <v/>
      </c>
      <c r="L36" s="17" t="str">
        <f t="shared" si="55"/>
        <v/>
      </c>
      <c r="M36" s="17" t="str">
        <f t="shared" si="55"/>
        <v/>
      </c>
      <c r="N36" s="17" t="str">
        <f t="shared" si="55"/>
        <v/>
      </c>
      <c r="O36" s="17" t="str">
        <f t="shared" si="55"/>
        <v/>
      </c>
      <c r="P36" s="17" t="str">
        <f t="shared" si="55"/>
        <v/>
      </c>
      <c r="Q36" s="17" t="str">
        <f t="shared" si="55"/>
        <v/>
      </c>
      <c r="R36" s="17" t="str">
        <f t="shared" si="55"/>
        <v/>
      </c>
      <c r="S36" s="17" t="str">
        <f t="shared" si="55"/>
        <v/>
      </c>
      <c r="T36" s="17" t="str">
        <f t="shared" si="55"/>
        <v/>
      </c>
      <c r="U36" s="17" t="str">
        <f t="shared" si="55"/>
        <v/>
      </c>
      <c r="V36" s="17" t="str">
        <f t="shared" si="55"/>
        <v/>
      </c>
      <c r="W36" s="17" t="str">
        <f t="shared" si="55"/>
        <v/>
      </c>
      <c r="X36" s="17">
        <f t="shared" si="55"/>
        <v>5.0682154636656651E-2</v>
      </c>
      <c r="Y36" s="17">
        <f t="shared" si="55"/>
        <v>5.0682154636656651E-2</v>
      </c>
      <c r="Z36" s="17">
        <f t="shared" si="55"/>
        <v>5.0682154636656651E-2</v>
      </c>
      <c r="AA36" s="17">
        <f t="shared" si="55"/>
        <v>5.0682154636656651E-2</v>
      </c>
      <c r="AB36" s="17">
        <f t="shared" si="55"/>
        <v>5.0682154636656651E-2</v>
      </c>
      <c r="AC36" s="17">
        <f t="shared" si="55"/>
        <v>5.0682154636656651E-2</v>
      </c>
      <c r="AD36" s="17">
        <f t="shared" si="55"/>
        <v>5.0682154636656651E-2</v>
      </c>
      <c r="AE36" s="17">
        <f t="shared" si="55"/>
        <v>5.0682154636656651E-2</v>
      </c>
      <c r="AF36" s="17">
        <f t="shared" si="55"/>
        <v>5.0682154636656651E-2</v>
      </c>
      <c r="AG36" s="17">
        <f t="shared" si="55"/>
        <v>5.0682154636656651E-2</v>
      </c>
      <c r="AH36" s="17">
        <f t="shared" ref="AH36:BJ36" si="56">IF(AH$12&gt;=T,"",
  IF($A36&gt;AH$13,"",
  IF(HoLee.BDT=1,
                                IF(AI$12*$Q$3&lt;T,AG35+(AG$10*h-sig*SQRT(h)),AG35+($O$3*h-sig*SQRT(h))),
                                IF(AI$12*$Q$3&lt;T,AG35*EXP(AG$10*h-sig*SQRT(h)),AG35*EXP($O$3*h-sig*SQRT(h)))
 )))</f>
        <v>5.0682154636656651E-2</v>
      </c>
      <c r="AI36" s="17">
        <f t="shared" si="56"/>
        <v>5.0682154636656651E-2</v>
      </c>
      <c r="AJ36" s="17">
        <f t="shared" si="56"/>
        <v>5.0682154636656651E-2</v>
      </c>
      <c r="AK36" s="17">
        <f t="shared" si="56"/>
        <v>5.0682154636656651E-2</v>
      </c>
      <c r="AL36" s="17">
        <f t="shared" si="56"/>
        <v>5.0682154636656651E-2</v>
      </c>
      <c r="AM36" s="17">
        <f t="shared" si="56"/>
        <v>5.0682154636656651E-2</v>
      </c>
      <c r="AN36" s="17">
        <f t="shared" si="56"/>
        <v>5.0682154636656651E-2</v>
      </c>
      <c r="AO36" s="17">
        <f t="shared" si="56"/>
        <v>5.0682154636656651E-2</v>
      </c>
      <c r="AP36" s="17">
        <f t="shared" si="56"/>
        <v>5.0682154636656651E-2</v>
      </c>
      <c r="AQ36" s="17">
        <f t="shared" si="56"/>
        <v>5.0682154636656651E-2</v>
      </c>
      <c r="AR36" s="17">
        <f t="shared" si="56"/>
        <v>5.0682154636656651E-2</v>
      </c>
      <c r="AS36" s="17">
        <f t="shared" si="56"/>
        <v>5.0682154636656651E-2</v>
      </c>
      <c r="AT36" s="17">
        <f t="shared" si="56"/>
        <v>5.0682154636656651E-2</v>
      </c>
      <c r="AU36" s="17">
        <f t="shared" si="56"/>
        <v>5.0682154636656651E-2</v>
      </c>
      <c r="AV36" s="17">
        <f t="shared" si="56"/>
        <v>5.0682154636656651E-2</v>
      </c>
      <c r="AW36" s="17">
        <f t="shared" si="56"/>
        <v>5.0682154636656651E-2</v>
      </c>
      <c r="AX36" s="17">
        <f t="shared" si="56"/>
        <v>5.0682154636656651E-2</v>
      </c>
      <c r="AY36" s="17">
        <f t="shared" si="56"/>
        <v>5.0682154636656651E-2</v>
      </c>
      <c r="AZ36" s="17">
        <f t="shared" si="56"/>
        <v>5.0682154636656651E-2</v>
      </c>
      <c r="BA36" s="17">
        <f t="shared" si="56"/>
        <v>5.0682154636656651E-2</v>
      </c>
      <c r="BB36" s="17">
        <f t="shared" si="56"/>
        <v>5.0682154636656651E-2</v>
      </c>
      <c r="BC36" s="17">
        <f t="shared" si="56"/>
        <v>5.0682154636656651E-2</v>
      </c>
      <c r="BD36" s="17">
        <f t="shared" si="56"/>
        <v>5.0682154636656651E-2</v>
      </c>
      <c r="BE36" s="17">
        <f t="shared" si="56"/>
        <v>5.0682154636656651E-2</v>
      </c>
      <c r="BF36" s="17">
        <f t="shared" si="56"/>
        <v>5.0682154636656651E-2</v>
      </c>
      <c r="BG36" s="17">
        <f t="shared" si="56"/>
        <v>5.0682154636656651E-2</v>
      </c>
      <c r="BH36" s="17">
        <f t="shared" si="56"/>
        <v>5.0682154636656651E-2</v>
      </c>
      <c r="BI36" s="17">
        <f t="shared" si="56"/>
        <v>5.0682154636656651E-2</v>
      </c>
      <c r="BJ36" s="17" t="str">
        <f t="shared" si="56"/>
        <v/>
      </c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</row>
    <row r="37" spans="1:94" outlineLevel="1">
      <c r="A37" s="11">
        <f t="shared" si="12"/>
        <v>23</v>
      </c>
      <c r="B37" s="17" t="str">
        <f t="shared" ref="B37:AG37" si="57">IF(B$12&gt;=T,"",
  IF($A37&gt;B$13,"",
  IF(HoLee.BDT=1,
                                IF(C$12*$Q$3&lt;T,A36+(A$10*h-sig*SQRT(h)),A36+($O$3*h-sig*SQRT(h))),
                                IF(C$12*$Q$3&lt;T,A36*EXP(A$10*h-sig*SQRT(h)),A36*EXP($O$3*h-sig*SQRT(h)))
 )))</f>
        <v/>
      </c>
      <c r="C37" s="17" t="str">
        <f t="shared" si="57"/>
        <v/>
      </c>
      <c r="D37" s="17" t="str">
        <f t="shared" si="57"/>
        <v/>
      </c>
      <c r="E37" s="17" t="str">
        <f t="shared" si="57"/>
        <v/>
      </c>
      <c r="F37" s="17" t="str">
        <f t="shared" si="57"/>
        <v/>
      </c>
      <c r="G37" s="17" t="str">
        <f t="shared" si="57"/>
        <v/>
      </c>
      <c r="H37" s="17" t="str">
        <f t="shared" si="57"/>
        <v/>
      </c>
      <c r="I37" s="17" t="str">
        <f t="shared" si="57"/>
        <v/>
      </c>
      <c r="J37" s="17" t="str">
        <f t="shared" si="57"/>
        <v/>
      </c>
      <c r="K37" s="17" t="str">
        <f t="shared" si="57"/>
        <v/>
      </c>
      <c r="L37" s="17" t="str">
        <f t="shared" si="57"/>
        <v/>
      </c>
      <c r="M37" s="17" t="str">
        <f t="shared" si="57"/>
        <v/>
      </c>
      <c r="N37" s="17" t="str">
        <f t="shared" si="57"/>
        <v/>
      </c>
      <c r="O37" s="17" t="str">
        <f t="shared" si="57"/>
        <v/>
      </c>
      <c r="P37" s="17" t="str">
        <f t="shared" si="57"/>
        <v/>
      </c>
      <c r="Q37" s="17" t="str">
        <f t="shared" si="57"/>
        <v/>
      </c>
      <c r="R37" s="17" t="str">
        <f t="shared" si="57"/>
        <v/>
      </c>
      <c r="S37" s="17" t="str">
        <f t="shared" si="57"/>
        <v/>
      </c>
      <c r="T37" s="17" t="str">
        <f t="shared" si="57"/>
        <v/>
      </c>
      <c r="U37" s="17" t="str">
        <f t="shared" si="57"/>
        <v/>
      </c>
      <c r="V37" s="17" t="str">
        <f t="shared" si="57"/>
        <v/>
      </c>
      <c r="W37" s="17" t="str">
        <f t="shared" si="57"/>
        <v/>
      </c>
      <c r="X37" s="17" t="str">
        <f t="shared" si="57"/>
        <v/>
      </c>
      <c r="Y37" s="17">
        <f t="shared" si="57"/>
        <v>5.0682154636656651E-2</v>
      </c>
      <c r="Z37" s="17">
        <f t="shared" si="57"/>
        <v>5.0682154636656651E-2</v>
      </c>
      <c r="AA37" s="17">
        <f t="shared" si="57"/>
        <v>5.0682154636656651E-2</v>
      </c>
      <c r="AB37" s="17">
        <f t="shared" si="57"/>
        <v>5.0682154636656651E-2</v>
      </c>
      <c r="AC37" s="17">
        <f t="shared" si="57"/>
        <v>5.0682154636656651E-2</v>
      </c>
      <c r="AD37" s="17">
        <f t="shared" si="57"/>
        <v>5.0682154636656651E-2</v>
      </c>
      <c r="AE37" s="17">
        <f t="shared" si="57"/>
        <v>5.0682154636656651E-2</v>
      </c>
      <c r="AF37" s="17">
        <f t="shared" si="57"/>
        <v>5.0682154636656651E-2</v>
      </c>
      <c r="AG37" s="17">
        <f t="shared" si="57"/>
        <v>5.0682154636656651E-2</v>
      </c>
      <c r="AH37" s="17">
        <f t="shared" ref="AH37:BJ37" si="58">IF(AH$12&gt;=T,"",
  IF($A37&gt;AH$13,"",
  IF(HoLee.BDT=1,
                                IF(AI$12*$Q$3&lt;T,AG36+(AG$10*h-sig*SQRT(h)),AG36+($O$3*h-sig*SQRT(h))),
                                IF(AI$12*$Q$3&lt;T,AG36*EXP(AG$10*h-sig*SQRT(h)),AG36*EXP($O$3*h-sig*SQRT(h)))
 )))</f>
        <v>5.0682154636656651E-2</v>
      </c>
      <c r="AI37" s="17">
        <f t="shared" si="58"/>
        <v>5.0682154636656651E-2</v>
      </c>
      <c r="AJ37" s="17">
        <f t="shared" si="58"/>
        <v>5.0682154636656651E-2</v>
      </c>
      <c r="AK37" s="17">
        <f t="shared" si="58"/>
        <v>5.0682154636656651E-2</v>
      </c>
      <c r="AL37" s="17">
        <f t="shared" si="58"/>
        <v>5.0682154636656651E-2</v>
      </c>
      <c r="AM37" s="17">
        <f t="shared" si="58"/>
        <v>5.0682154636656651E-2</v>
      </c>
      <c r="AN37" s="17">
        <f t="shared" si="58"/>
        <v>5.0682154636656651E-2</v>
      </c>
      <c r="AO37" s="17">
        <f t="shared" si="58"/>
        <v>5.0682154636656651E-2</v>
      </c>
      <c r="AP37" s="17">
        <f t="shared" si="58"/>
        <v>5.0682154636656651E-2</v>
      </c>
      <c r="AQ37" s="17">
        <f t="shared" si="58"/>
        <v>5.0682154636656651E-2</v>
      </c>
      <c r="AR37" s="17">
        <f t="shared" si="58"/>
        <v>5.0682154636656651E-2</v>
      </c>
      <c r="AS37" s="17">
        <f t="shared" si="58"/>
        <v>5.0682154636656651E-2</v>
      </c>
      <c r="AT37" s="17">
        <f t="shared" si="58"/>
        <v>5.0682154636656651E-2</v>
      </c>
      <c r="AU37" s="17">
        <f t="shared" si="58"/>
        <v>5.0682154636656651E-2</v>
      </c>
      <c r="AV37" s="17">
        <f t="shared" si="58"/>
        <v>5.0682154636656651E-2</v>
      </c>
      <c r="AW37" s="17">
        <f t="shared" si="58"/>
        <v>5.0682154636656651E-2</v>
      </c>
      <c r="AX37" s="17">
        <f t="shared" si="58"/>
        <v>5.0682154636656651E-2</v>
      </c>
      <c r="AY37" s="17">
        <f t="shared" si="58"/>
        <v>5.0682154636656651E-2</v>
      </c>
      <c r="AZ37" s="17">
        <f t="shared" si="58"/>
        <v>5.0682154636656651E-2</v>
      </c>
      <c r="BA37" s="17">
        <f t="shared" si="58"/>
        <v>5.0682154636656651E-2</v>
      </c>
      <c r="BB37" s="17">
        <f t="shared" si="58"/>
        <v>5.0682154636656651E-2</v>
      </c>
      <c r="BC37" s="17">
        <f t="shared" si="58"/>
        <v>5.0682154636656651E-2</v>
      </c>
      <c r="BD37" s="17">
        <f t="shared" si="58"/>
        <v>5.0682154636656651E-2</v>
      </c>
      <c r="BE37" s="17">
        <f t="shared" si="58"/>
        <v>5.0682154636656651E-2</v>
      </c>
      <c r="BF37" s="17">
        <f t="shared" si="58"/>
        <v>5.0682154636656651E-2</v>
      </c>
      <c r="BG37" s="17">
        <f t="shared" si="58"/>
        <v>5.0682154636656651E-2</v>
      </c>
      <c r="BH37" s="17">
        <f t="shared" si="58"/>
        <v>5.0682154636656651E-2</v>
      </c>
      <c r="BI37" s="17">
        <f t="shared" si="58"/>
        <v>5.0682154636656651E-2</v>
      </c>
      <c r="BJ37" s="17" t="str">
        <f t="shared" si="58"/>
        <v/>
      </c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</row>
    <row r="38" spans="1:94" outlineLevel="1">
      <c r="A38" s="11">
        <f t="shared" si="12"/>
        <v>24</v>
      </c>
      <c r="B38" s="17" t="str">
        <f t="shared" ref="B38:AG38" si="59">IF(B$12&gt;=T,"",
  IF($A38&gt;B$13,"",
  IF(HoLee.BDT=1,
                                IF(C$12*$Q$3&lt;T,A37+(A$10*h-sig*SQRT(h)),A37+($O$3*h-sig*SQRT(h))),
                                IF(C$12*$Q$3&lt;T,A37*EXP(A$10*h-sig*SQRT(h)),A37*EXP($O$3*h-sig*SQRT(h)))
 )))</f>
        <v/>
      </c>
      <c r="C38" s="17" t="str">
        <f t="shared" si="59"/>
        <v/>
      </c>
      <c r="D38" s="17" t="str">
        <f t="shared" si="59"/>
        <v/>
      </c>
      <c r="E38" s="17" t="str">
        <f t="shared" si="59"/>
        <v/>
      </c>
      <c r="F38" s="17" t="str">
        <f t="shared" si="59"/>
        <v/>
      </c>
      <c r="G38" s="17" t="str">
        <f t="shared" si="59"/>
        <v/>
      </c>
      <c r="H38" s="17" t="str">
        <f t="shared" si="59"/>
        <v/>
      </c>
      <c r="I38" s="17" t="str">
        <f t="shared" si="59"/>
        <v/>
      </c>
      <c r="J38" s="17" t="str">
        <f t="shared" si="59"/>
        <v/>
      </c>
      <c r="K38" s="17" t="str">
        <f t="shared" si="59"/>
        <v/>
      </c>
      <c r="L38" s="17" t="str">
        <f t="shared" si="59"/>
        <v/>
      </c>
      <c r="M38" s="17" t="str">
        <f t="shared" si="59"/>
        <v/>
      </c>
      <c r="N38" s="17" t="str">
        <f t="shared" si="59"/>
        <v/>
      </c>
      <c r="O38" s="17" t="str">
        <f t="shared" si="59"/>
        <v/>
      </c>
      <c r="P38" s="17" t="str">
        <f t="shared" si="59"/>
        <v/>
      </c>
      <c r="Q38" s="17" t="str">
        <f t="shared" si="59"/>
        <v/>
      </c>
      <c r="R38" s="17" t="str">
        <f t="shared" si="59"/>
        <v/>
      </c>
      <c r="S38" s="17" t="str">
        <f t="shared" si="59"/>
        <v/>
      </c>
      <c r="T38" s="17" t="str">
        <f t="shared" si="59"/>
        <v/>
      </c>
      <c r="U38" s="17" t="str">
        <f t="shared" si="59"/>
        <v/>
      </c>
      <c r="V38" s="17" t="str">
        <f t="shared" si="59"/>
        <v/>
      </c>
      <c r="W38" s="17" t="str">
        <f t="shared" si="59"/>
        <v/>
      </c>
      <c r="X38" s="17" t="str">
        <f t="shared" si="59"/>
        <v/>
      </c>
      <c r="Y38" s="17" t="str">
        <f t="shared" si="59"/>
        <v/>
      </c>
      <c r="Z38" s="17">
        <f t="shared" si="59"/>
        <v>5.0682154636656651E-2</v>
      </c>
      <c r="AA38" s="17">
        <f t="shared" si="59"/>
        <v>5.0682154636656651E-2</v>
      </c>
      <c r="AB38" s="17">
        <f t="shared" si="59"/>
        <v>5.0682154636656651E-2</v>
      </c>
      <c r="AC38" s="17">
        <f t="shared" si="59"/>
        <v>5.0682154636656651E-2</v>
      </c>
      <c r="AD38" s="17">
        <f t="shared" si="59"/>
        <v>5.0682154636656651E-2</v>
      </c>
      <c r="AE38" s="17">
        <f t="shared" si="59"/>
        <v>5.0682154636656651E-2</v>
      </c>
      <c r="AF38" s="17">
        <f t="shared" si="59"/>
        <v>5.0682154636656651E-2</v>
      </c>
      <c r="AG38" s="17">
        <f t="shared" si="59"/>
        <v>5.0682154636656651E-2</v>
      </c>
      <c r="AH38" s="17">
        <f t="shared" ref="AH38:BJ38" si="60">IF(AH$12&gt;=T,"",
  IF($A38&gt;AH$13,"",
  IF(HoLee.BDT=1,
                                IF(AI$12*$Q$3&lt;T,AG37+(AG$10*h-sig*SQRT(h)),AG37+($O$3*h-sig*SQRT(h))),
                                IF(AI$12*$Q$3&lt;T,AG37*EXP(AG$10*h-sig*SQRT(h)),AG37*EXP($O$3*h-sig*SQRT(h)))
 )))</f>
        <v>5.0682154636656651E-2</v>
      </c>
      <c r="AI38" s="17">
        <f t="shared" si="60"/>
        <v>5.0682154636656651E-2</v>
      </c>
      <c r="AJ38" s="17">
        <f t="shared" si="60"/>
        <v>5.0682154636656651E-2</v>
      </c>
      <c r="AK38" s="17">
        <f t="shared" si="60"/>
        <v>5.0682154636656651E-2</v>
      </c>
      <c r="AL38" s="17">
        <f t="shared" si="60"/>
        <v>5.0682154636656651E-2</v>
      </c>
      <c r="AM38" s="17">
        <f t="shared" si="60"/>
        <v>5.0682154636656651E-2</v>
      </c>
      <c r="AN38" s="17">
        <f t="shared" si="60"/>
        <v>5.0682154636656651E-2</v>
      </c>
      <c r="AO38" s="17">
        <f t="shared" si="60"/>
        <v>5.0682154636656651E-2</v>
      </c>
      <c r="AP38" s="17">
        <f t="shared" si="60"/>
        <v>5.0682154636656651E-2</v>
      </c>
      <c r="AQ38" s="17">
        <f t="shared" si="60"/>
        <v>5.0682154636656651E-2</v>
      </c>
      <c r="AR38" s="17">
        <f t="shared" si="60"/>
        <v>5.0682154636656651E-2</v>
      </c>
      <c r="AS38" s="17">
        <f t="shared" si="60"/>
        <v>5.0682154636656651E-2</v>
      </c>
      <c r="AT38" s="17">
        <f t="shared" si="60"/>
        <v>5.0682154636656651E-2</v>
      </c>
      <c r="AU38" s="17">
        <f t="shared" si="60"/>
        <v>5.0682154636656651E-2</v>
      </c>
      <c r="AV38" s="17">
        <f t="shared" si="60"/>
        <v>5.0682154636656651E-2</v>
      </c>
      <c r="AW38" s="17">
        <f t="shared" si="60"/>
        <v>5.0682154636656651E-2</v>
      </c>
      <c r="AX38" s="17">
        <f t="shared" si="60"/>
        <v>5.0682154636656651E-2</v>
      </c>
      <c r="AY38" s="17">
        <f t="shared" si="60"/>
        <v>5.0682154636656651E-2</v>
      </c>
      <c r="AZ38" s="17">
        <f t="shared" si="60"/>
        <v>5.0682154636656651E-2</v>
      </c>
      <c r="BA38" s="17">
        <f t="shared" si="60"/>
        <v>5.0682154636656651E-2</v>
      </c>
      <c r="BB38" s="17">
        <f t="shared" si="60"/>
        <v>5.0682154636656651E-2</v>
      </c>
      <c r="BC38" s="17">
        <f t="shared" si="60"/>
        <v>5.0682154636656651E-2</v>
      </c>
      <c r="BD38" s="17">
        <f t="shared" si="60"/>
        <v>5.0682154636656651E-2</v>
      </c>
      <c r="BE38" s="17">
        <f t="shared" si="60"/>
        <v>5.0682154636656651E-2</v>
      </c>
      <c r="BF38" s="17">
        <f t="shared" si="60"/>
        <v>5.0682154636656651E-2</v>
      </c>
      <c r="BG38" s="17">
        <f t="shared" si="60"/>
        <v>5.0682154636656651E-2</v>
      </c>
      <c r="BH38" s="17">
        <f t="shared" si="60"/>
        <v>5.0682154636656651E-2</v>
      </c>
      <c r="BI38" s="17">
        <f t="shared" si="60"/>
        <v>5.0682154636656651E-2</v>
      </c>
      <c r="BJ38" s="17" t="str">
        <f t="shared" si="60"/>
        <v/>
      </c>
      <c r="BK38" s="17"/>
      <c r="BL38" s="17"/>
      <c r="BM38" s="17"/>
      <c r="BN38" s="17"/>
      <c r="BO38" s="17"/>
      <c r="BP38" s="17"/>
      <c r="BQ38" s="17"/>
      <c r="BR38" s="17"/>
      <c r="BS38" s="17"/>
      <c r="BT38" s="17"/>
      <c r="BU38" s="17"/>
      <c r="BV38" s="17"/>
      <c r="BW38" s="17"/>
      <c r="BX38" s="17"/>
      <c r="BY38" s="17"/>
      <c r="BZ38" s="17"/>
      <c r="CA38" s="17"/>
      <c r="CB38" s="17"/>
      <c r="CC38" s="17"/>
      <c r="CD38" s="17"/>
      <c r="CE38" s="17"/>
      <c r="CF38" s="17"/>
    </row>
    <row r="39" spans="1:94" outlineLevel="1">
      <c r="A39" s="11">
        <f t="shared" si="12"/>
        <v>25</v>
      </c>
      <c r="B39" s="17" t="str">
        <f t="shared" ref="B39:AG39" si="61">IF(B$12&gt;=T,"",
  IF($A39&gt;B$13,"",
  IF(HoLee.BDT=1,
                                IF(C$12*$Q$3&lt;T,A38+(A$10*h-sig*SQRT(h)),A38+($O$3*h-sig*SQRT(h))),
                                IF(C$12*$Q$3&lt;T,A38*EXP(A$10*h-sig*SQRT(h)),A38*EXP($O$3*h-sig*SQRT(h)))
 )))</f>
        <v/>
      </c>
      <c r="C39" s="17" t="str">
        <f t="shared" si="61"/>
        <v/>
      </c>
      <c r="D39" s="17" t="str">
        <f t="shared" si="61"/>
        <v/>
      </c>
      <c r="E39" s="17" t="str">
        <f t="shared" si="61"/>
        <v/>
      </c>
      <c r="F39" s="17" t="str">
        <f t="shared" si="61"/>
        <v/>
      </c>
      <c r="G39" s="17" t="str">
        <f t="shared" si="61"/>
        <v/>
      </c>
      <c r="H39" s="17" t="str">
        <f t="shared" si="61"/>
        <v/>
      </c>
      <c r="I39" s="17" t="str">
        <f t="shared" si="61"/>
        <v/>
      </c>
      <c r="J39" s="17" t="str">
        <f t="shared" si="61"/>
        <v/>
      </c>
      <c r="K39" s="17" t="str">
        <f t="shared" si="61"/>
        <v/>
      </c>
      <c r="L39" s="17" t="str">
        <f t="shared" si="61"/>
        <v/>
      </c>
      <c r="M39" s="17" t="str">
        <f t="shared" si="61"/>
        <v/>
      </c>
      <c r="N39" s="17" t="str">
        <f t="shared" si="61"/>
        <v/>
      </c>
      <c r="O39" s="17" t="str">
        <f t="shared" si="61"/>
        <v/>
      </c>
      <c r="P39" s="17" t="str">
        <f t="shared" si="61"/>
        <v/>
      </c>
      <c r="Q39" s="17" t="str">
        <f t="shared" si="61"/>
        <v/>
      </c>
      <c r="R39" s="17" t="str">
        <f t="shared" si="61"/>
        <v/>
      </c>
      <c r="S39" s="17" t="str">
        <f t="shared" si="61"/>
        <v/>
      </c>
      <c r="T39" s="17" t="str">
        <f t="shared" si="61"/>
        <v/>
      </c>
      <c r="U39" s="17" t="str">
        <f t="shared" si="61"/>
        <v/>
      </c>
      <c r="V39" s="17" t="str">
        <f t="shared" si="61"/>
        <v/>
      </c>
      <c r="W39" s="17" t="str">
        <f t="shared" si="61"/>
        <v/>
      </c>
      <c r="X39" s="17" t="str">
        <f t="shared" si="61"/>
        <v/>
      </c>
      <c r="Y39" s="17" t="str">
        <f t="shared" si="61"/>
        <v/>
      </c>
      <c r="Z39" s="17" t="str">
        <f t="shared" si="61"/>
        <v/>
      </c>
      <c r="AA39" s="17">
        <f t="shared" si="61"/>
        <v>5.0682154636656651E-2</v>
      </c>
      <c r="AB39" s="17">
        <f t="shared" si="61"/>
        <v>5.0682154636656651E-2</v>
      </c>
      <c r="AC39" s="17">
        <f t="shared" si="61"/>
        <v>5.0682154636656651E-2</v>
      </c>
      <c r="AD39" s="17">
        <f t="shared" si="61"/>
        <v>5.0682154636656651E-2</v>
      </c>
      <c r="AE39" s="17">
        <f t="shared" si="61"/>
        <v>5.0682154636656651E-2</v>
      </c>
      <c r="AF39" s="17">
        <f t="shared" si="61"/>
        <v>5.0682154636656651E-2</v>
      </c>
      <c r="AG39" s="17">
        <f t="shared" si="61"/>
        <v>5.0682154636656651E-2</v>
      </c>
      <c r="AH39" s="17">
        <f t="shared" ref="AH39:BJ39" si="62">IF(AH$12&gt;=T,"",
  IF($A39&gt;AH$13,"",
  IF(HoLee.BDT=1,
                                IF(AI$12*$Q$3&lt;T,AG38+(AG$10*h-sig*SQRT(h)),AG38+($O$3*h-sig*SQRT(h))),
                                IF(AI$12*$Q$3&lt;T,AG38*EXP(AG$10*h-sig*SQRT(h)),AG38*EXP($O$3*h-sig*SQRT(h)))
 )))</f>
        <v>5.0682154636656651E-2</v>
      </c>
      <c r="AI39" s="17">
        <f t="shared" si="62"/>
        <v>5.0682154636656651E-2</v>
      </c>
      <c r="AJ39" s="17">
        <f t="shared" si="62"/>
        <v>5.0682154636656651E-2</v>
      </c>
      <c r="AK39" s="17">
        <f t="shared" si="62"/>
        <v>5.0682154636656651E-2</v>
      </c>
      <c r="AL39" s="17">
        <f t="shared" si="62"/>
        <v>5.0682154636656651E-2</v>
      </c>
      <c r="AM39" s="17">
        <f t="shared" si="62"/>
        <v>5.0682154636656651E-2</v>
      </c>
      <c r="AN39" s="17">
        <f t="shared" si="62"/>
        <v>5.0682154636656651E-2</v>
      </c>
      <c r="AO39" s="17">
        <f t="shared" si="62"/>
        <v>5.0682154636656651E-2</v>
      </c>
      <c r="AP39" s="17">
        <f t="shared" si="62"/>
        <v>5.0682154636656651E-2</v>
      </c>
      <c r="AQ39" s="17">
        <f t="shared" si="62"/>
        <v>5.0682154636656651E-2</v>
      </c>
      <c r="AR39" s="17">
        <f t="shared" si="62"/>
        <v>5.0682154636656651E-2</v>
      </c>
      <c r="AS39" s="17">
        <f t="shared" si="62"/>
        <v>5.0682154636656651E-2</v>
      </c>
      <c r="AT39" s="17">
        <f t="shared" si="62"/>
        <v>5.0682154636656651E-2</v>
      </c>
      <c r="AU39" s="17">
        <f t="shared" si="62"/>
        <v>5.0682154636656651E-2</v>
      </c>
      <c r="AV39" s="17">
        <f t="shared" si="62"/>
        <v>5.0682154636656651E-2</v>
      </c>
      <c r="AW39" s="17">
        <f t="shared" si="62"/>
        <v>5.0682154636656651E-2</v>
      </c>
      <c r="AX39" s="17">
        <f t="shared" si="62"/>
        <v>5.0682154636656651E-2</v>
      </c>
      <c r="AY39" s="17">
        <f t="shared" si="62"/>
        <v>5.0682154636656651E-2</v>
      </c>
      <c r="AZ39" s="17">
        <f t="shared" si="62"/>
        <v>5.0682154636656651E-2</v>
      </c>
      <c r="BA39" s="17">
        <f t="shared" si="62"/>
        <v>5.0682154636656651E-2</v>
      </c>
      <c r="BB39" s="17">
        <f t="shared" si="62"/>
        <v>5.0682154636656651E-2</v>
      </c>
      <c r="BC39" s="17">
        <f t="shared" si="62"/>
        <v>5.0682154636656651E-2</v>
      </c>
      <c r="BD39" s="17">
        <f t="shared" si="62"/>
        <v>5.0682154636656651E-2</v>
      </c>
      <c r="BE39" s="17">
        <f t="shared" si="62"/>
        <v>5.0682154636656651E-2</v>
      </c>
      <c r="BF39" s="17">
        <f t="shared" si="62"/>
        <v>5.0682154636656651E-2</v>
      </c>
      <c r="BG39" s="17">
        <f t="shared" si="62"/>
        <v>5.0682154636656651E-2</v>
      </c>
      <c r="BH39" s="17">
        <f t="shared" si="62"/>
        <v>5.0682154636656651E-2</v>
      </c>
      <c r="BI39" s="17">
        <f t="shared" si="62"/>
        <v>5.0682154636656651E-2</v>
      </c>
      <c r="BJ39" s="17" t="str">
        <f t="shared" si="62"/>
        <v/>
      </c>
      <c r="BK39" s="17"/>
      <c r="BL39" s="17"/>
      <c r="BM39" s="17"/>
      <c r="BN39" s="17"/>
      <c r="BO39" s="17"/>
      <c r="BP39" s="17"/>
      <c r="BQ39" s="17"/>
      <c r="BR39" s="17"/>
      <c r="BS39" s="17"/>
      <c r="BT39" s="17"/>
      <c r="BU39" s="17"/>
      <c r="BV39" s="17"/>
      <c r="BW39" s="17"/>
      <c r="BX39" s="17"/>
      <c r="BY39" s="17"/>
      <c r="BZ39" s="17"/>
      <c r="CA39" s="17"/>
      <c r="CB39" s="17"/>
      <c r="CC39" s="17"/>
      <c r="CD39" s="17"/>
      <c r="CE39" s="17"/>
      <c r="CF39" s="17"/>
      <c r="CG39" s="17"/>
    </row>
    <row r="40" spans="1:94" outlineLevel="1">
      <c r="A40" s="11">
        <f t="shared" si="12"/>
        <v>26</v>
      </c>
      <c r="B40" s="17" t="str">
        <f t="shared" ref="B40:AG40" si="63">IF(B$12&gt;=T,"",
  IF($A40&gt;B$13,"",
  IF(HoLee.BDT=1,
                                IF(C$12*$Q$3&lt;T,A39+(A$10*h-sig*SQRT(h)),A39+($O$3*h-sig*SQRT(h))),
                                IF(C$12*$Q$3&lt;T,A39*EXP(A$10*h-sig*SQRT(h)),A39*EXP($O$3*h-sig*SQRT(h)))
 )))</f>
        <v/>
      </c>
      <c r="C40" s="17" t="str">
        <f t="shared" si="63"/>
        <v/>
      </c>
      <c r="D40" s="17" t="str">
        <f t="shared" si="63"/>
        <v/>
      </c>
      <c r="E40" s="17" t="str">
        <f t="shared" si="63"/>
        <v/>
      </c>
      <c r="F40" s="17" t="str">
        <f t="shared" si="63"/>
        <v/>
      </c>
      <c r="G40" s="17" t="str">
        <f t="shared" si="63"/>
        <v/>
      </c>
      <c r="H40" s="17" t="str">
        <f t="shared" si="63"/>
        <v/>
      </c>
      <c r="I40" s="17" t="str">
        <f t="shared" si="63"/>
        <v/>
      </c>
      <c r="J40" s="17" t="str">
        <f t="shared" si="63"/>
        <v/>
      </c>
      <c r="K40" s="17" t="str">
        <f t="shared" si="63"/>
        <v/>
      </c>
      <c r="L40" s="17" t="str">
        <f t="shared" si="63"/>
        <v/>
      </c>
      <c r="M40" s="17" t="str">
        <f t="shared" si="63"/>
        <v/>
      </c>
      <c r="N40" s="17" t="str">
        <f t="shared" si="63"/>
        <v/>
      </c>
      <c r="O40" s="17" t="str">
        <f t="shared" si="63"/>
        <v/>
      </c>
      <c r="P40" s="17" t="str">
        <f t="shared" si="63"/>
        <v/>
      </c>
      <c r="Q40" s="17" t="str">
        <f t="shared" si="63"/>
        <v/>
      </c>
      <c r="R40" s="17" t="str">
        <f t="shared" si="63"/>
        <v/>
      </c>
      <c r="S40" s="17" t="str">
        <f t="shared" si="63"/>
        <v/>
      </c>
      <c r="T40" s="17" t="str">
        <f t="shared" si="63"/>
        <v/>
      </c>
      <c r="U40" s="17" t="str">
        <f t="shared" si="63"/>
        <v/>
      </c>
      <c r="V40" s="17" t="str">
        <f t="shared" si="63"/>
        <v/>
      </c>
      <c r="W40" s="17" t="str">
        <f t="shared" si="63"/>
        <v/>
      </c>
      <c r="X40" s="17" t="str">
        <f t="shared" si="63"/>
        <v/>
      </c>
      <c r="Y40" s="17" t="str">
        <f t="shared" si="63"/>
        <v/>
      </c>
      <c r="Z40" s="17" t="str">
        <f t="shared" si="63"/>
        <v/>
      </c>
      <c r="AA40" s="17" t="str">
        <f t="shared" si="63"/>
        <v/>
      </c>
      <c r="AB40" s="17">
        <f t="shared" si="63"/>
        <v>5.0682154636656651E-2</v>
      </c>
      <c r="AC40" s="17">
        <f t="shared" si="63"/>
        <v>5.0682154636656651E-2</v>
      </c>
      <c r="AD40" s="17">
        <f t="shared" si="63"/>
        <v>5.0682154636656651E-2</v>
      </c>
      <c r="AE40" s="17">
        <f t="shared" si="63"/>
        <v>5.0682154636656651E-2</v>
      </c>
      <c r="AF40" s="17">
        <f t="shared" si="63"/>
        <v>5.0682154636656651E-2</v>
      </c>
      <c r="AG40" s="17">
        <f t="shared" si="63"/>
        <v>5.0682154636656651E-2</v>
      </c>
      <c r="AH40" s="17">
        <f t="shared" ref="AH40:BJ40" si="64">IF(AH$12&gt;=T,"",
  IF($A40&gt;AH$13,"",
  IF(HoLee.BDT=1,
                                IF(AI$12*$Q$3&lt;T,AG39+(AG$10*h-sig*SQRT(h)),AG39+($O$3*h-sig*SQRT(h))),
                                IF(AI$12*$Q$3&lt;T,AG39*EXP(AG$10*h-sig*SQRT(h)),AG39*EXP($O$3*h-sig*SQRT(h)))
 )))</f>
        <v>5.0682154636656651E-2</v>
      </c>
      <c r="AI40" s="17">
        <f t="shared" si="64"/>
        <v>5.0682154636656651E-2</v>
      </c>
      <c r="AJ40" s="17">
        <f t="shared" si="64"/>
        <v>5.0682154636656651E-2</v>
      </c>
      <c r="AK40" s="17">
        <f t="shared" si="64"/>
        <v>5.0682154636656651E-2</v>
      </c>
      <c r="AL40" s="17">
        <f t="shared" si="64"/>
        <v>5.0682154636656651E-2</v>
      </c>
      <c r="AM40" s="17">
        <f t="shared" si="64"/>
        <v>5.0682154636656651E-2</v>
      </c>
      <c r="AN40" s="17">
        <f t="shared" si="64"/>
        <v>5.0682154636656651E-2</v>
      </c>
      <c r="AO40" s="17">
        <f t="shared" si="64"/>
        <v>5.0682154636656651E-2</v>
      </c>
      <c r="AP40" s="17">
        <f t="shared" si="64"/>
        <v>5.0682154636656651E-2</v>
      </c>
      <c r="AQ40" s="17">
        <f t="shared" si="64"/>
        <v>5.0682154636656651E-2</v>
      </c>
      <c r="AR40" s="17">
        <f t="shared" si="64"/>
        <v>5.0682154636656651E-2</v>
      </c>
      <c r="AS40" s="17">
        <f t="shared" si="64"/>
        <v>5.0682154636656651E-2</v>
      </c>
      <c r="AT40" s="17">
        <f t="shared" si="64"/>
        <v>5.0682154636656651E-2</v>
      </c>
      <c r="AU40" s="17">
        <f t="shared" si="64"/>
        <v>5.0682154636656651E-2</v>
      </c>
      <c r="AV40" s="17">
        <f t="shared" si="64"/>
        <v>5.0682154636656651E-2</v>
      </c>
      <c r="AW40" s="17">
        <f t="shared" si="64"/>
        <v>5.0682154636656651E-2</v>
      </c>
      <c r="AX40" s="17">
        <f t="shared" si="64"/>
        <v>5.0682154636656651E-2</v>
      </c>
      <c r="AY40" s="17">
        <f t="shared" si="64"/>
        <v>5.0682154636656651E-2</v>
      </c>
      <c r="AZ40" s="17">
        <f t="shared" si="64"/>
        <v>5.0682154636656651E-2</v>
      </c>
      <c r="BA40" s="17">
        <f t="shared" si="64"/>
        <v>5.0682154636656651E-2</v>
      </c>
      <c r="BB40" s="17">
        <f t="shared" si="64"/>
        <v>5.0682154636656651E-2</v>
      </c>
      <c r="BC40" s="17">
        <f t="shared" si="64"/>
        <v>5.0682154636656651E-2</v>
      </c>
      <c r="BD40" s="17">
        <f t="shared" si="64"/>
        <v>5.0682154636656651E-2</v>
      </c>
      <c r="BE40" s="17">
        <f t="shared" si="64"/>
        <v>5.0682154636656651E-2</v>
      </c>
      <c r="BF40" s="17">
        <f t="shared" si="64"/>
        <v>5.0682154636656651E-2</v>
      </c>
      <c r="BG40" s="17">
        <f t="shared" si="64"/>
        <v>5.0682154636656651E-2</v>
      </c>
      <c r="BH40" s="17">
        <f t="shared" si="64"/>
        <v>5.0682154636656651E-2</v>
      </c>
      <c r="BI40" s="17">
        <f t="shared" si="64"/>
        <v>5.0682154636656651E-2</v>
      </c>
      <c r="BJ40" s="17" t="str">
        <f t="shared" si="64"/>
        <v/>
      </c>
      <c r="BK40" s="17"/>
      <c r="BL40" s="17"/>
      <c r="BM40" s="17"/>
      <c r="BN40" s="17"/>
      <c r="BO40" s="17"/>
      <c r="BP40" s="17"/>
      <c r="BQ40" s="17"/>
      <c r="BR40" s="17"/>
      <c r="BS40" s="17"/>
      <c r="BT40" s="17"/>
      <c r="BU40" s="17"/>
      <c r="BV40" s="17"/>
      <c r="BW40" s="17"/>
      <c r="BX40" s="17"/>
      <c r="BY40" s="17"/>
      <c r="BZ40" s="17"/>
      <c r="CA40" s="17"/>
      <c r="CB40" s="17"/>
      <c r="CC40" s="17"/>
      <c r="CD40" s="17"/>
      <c r="CE40" s="17"/>
      <c r="CF40" s="17"/>
      <c r="CG40" s="17"/>
      <c r="CH40" s="17"/>
    </row>
    <row r="41" spans="1:94" outlineLevel="1">
      <c r="A41" s="11">
        <f t="shared" si="12"/>
        <v>27</v>
      </c>
      <c r="B41" s="17" t="str">
        <f t="shared" ref="B41:AG41" si="65">IF(B$12&gt;=T,"",
  IF($A41&gt;B$13,"",
  IF(HoLee.BDT=1,
                                IF(C$12*$Q$3&lt;T,A40+(A$10*h-sig*SQRT(h)),A40+($O$3*h-sig*SQRT(h))),
                                IF(C$12*$Q$3&lt;T,A40*EXP(A$10*h-sig*SQRT(h)),A40*EXP($O$3*h-sig*SQRT(h)))
 )))</f>
        <v/>
      </c>
      <c r="C41" s="17" t="str">
        <f t="shared" si="65"/>
        <v/>
      </c>
      <c r="D41" s="17" t="str">
        <f t="shared" si="65"/>
        <v/>
      </c>
      <c r="E41" s="17" t="str">
        <f t="shared" si="65"/>
        <v/>
      </c>
      <c r="F41" s="17" t="str">
        <f t="shared" si="65"/>
        <v/>
      </c>
      <c r="G41" s="17" t="str">
        <f t="shared" si="65"/>
        <v/>
      </c>
      <c r="H41" s="17" t="str">
        <f t="shared" si="65"/>
        <v/>
      </c>
      <c r="I41" s="17" t="str">
        <f t="shared" si="65"/>
        <v/>
      </c>
      <c r="J41" s="17" t="str">
        <f t="shared" si="65"/>
        <v/>
      </c>
      <c r="K41" s="17" t="str">
        <f t="shared" si="65"/>
        <v/>
      </c>
      <c r="L41" s="17" t="str">
        <f t="shared" si="65"/>
        <v/>
      </c>
      <c r="M41" s="17" t="str">
        <f t="shared" si="65"/>
        <v/>
      </c>
      <c r="N41" s="17" t="str">
        <f t="shared" si="65"/>
        <v/>
      </c>
      <c r="O41" s="17" t="str">
        <f t="shared" si="65"/>
        <v/>
      </c>
      <c r="P41" s="17" t="str">
        <f t="shared" si="65"/>
        <v/>
      </c>
      <c r="Q41" s="17" t="str">
        <f t="shared" si="65"/>
        <v/>
      </c>
      <c r="R41" s="17" t="str">
        <f t="shared" si="65"/>
        <v/>
      </c>
      <c r="S41" s="17" t="str">
        <f t="shared" si="65"/>
        <v/>
      </c>
      <c r="T41" s="17" t="str">
        <f t="shared" si="65"/>
        <v/>
      </c>
      <c r="U41" s="17" t="str">
        <f t="shared" si="65"/>
        <v/>
      </c>
      <c r="V41" s="17" t="str">
        <f t="shared" si="65"/>
        <v/>
      </c>
      <c r="W41" s="17" t="str">
        <f t="shared" si="65"/>
        <v/>
      </c>
      <c r="X41" s="17" t="str">
        <f t="shared" si="65"/>
        <v/>
      </c>
      <c r="Y41" s="17" t="str">
        <f t="shared" si="65"/>
        <v/>
      </c>
      <c r="Z41" s="17" t="str">
        <f t="shared" si="65"/>
        <v/>
      </c>
      <c r="AA41" s="17" t="str">
        <f t="shared" si="65"/>
        <v/>
      </c>
      <c r="AB41" s="17" t="str">
        <f t="shared" si="65"/>
        <v/>
      </c>
      <c r="AC41" s="17">
        <f t="shared" si="65"/>
        <v>5.0682154636656651E-2</v>
      </c>
      <c r="AD41" s="17">
        <f t="shared" si="65"/>
        <v>5.0682154636656651E-2</v>
      </c>
      <c r="AE41" s="17">
        <f t="shared" si="65"/>
        <v>5.0682154636656651E-2</v>
      </c>
      <c r="AF41" s="17">
        <f t="shared" si="65"/>
        <v>5.0682154636656651E-2</v>
      </c>
      <c r="AG41" s="17">
        <f t="shared" si="65"/>
        <v>5.0682154636656651E-2</v>
      </c>
      <c r="AH41" s="17">
        <f t="shared" ref="AH41:BJ41" si="66">IF(AH$12&gt;=T,"",
  IF($A41&gt;AH$13,"",
  IF(HoLee.BDT=1,
                                IF(AI$12*$Q$3&lt;T,AG40+(AG$10*h-sig*SQRT(h)),AG40+($O$3*h-sig*SQRT(h))),
                                IF(AI$12*$Q$3&lt;T,AG40*EXP(AG$10*h-sig*SQRT(h)),AG40*EXP($O$3*h-sig*SQRT(h)))
 )))</f>
        <v>5.0682154636656651E-2</v>
      </c>
      <c r="AI41" s="17">
        <f t="shared" si="66"/>
        <v>5.0682154636656651E-2</v>
      </c>
      <c r="AJ41" s="17">
        <f t="shared" si="66"/>
        <v>5.0682154636656651E-2</v>
      </c>
      <c r="AK41" s="17">
        <f t="shared" si="66"/>
        <v>5.0682154636656651E-2</v>
      </c>
      <c r="AL41" s="17">
        <f t="shared" si="66"/>
        <v>5.0682154636656651E-2</v>
      </c>
      <c r="AM41" s="17">
        <f t="shared" si="66"/>
        <v>5.0682154636656651E-2</v>
      </c>
      <c r="AN41" s="17">
        <f t="shared" si="66"/>
        <v>5.0682154636656651E-2</v>
      </c>
      <c r="AO41" s="17">
        <f t="shared" si="66"/>
        <v>5.0682154636656651E-2</v>
      </c>
      <c r="AP41" s="17">
        <f t="shared" si="66"/>
        <v>5.0682154636656651E-2</v>
      </c>
      <c r="AQ41" s="17">
        <f t="shared" si="66"/>
        <v>5.0682154636656651E-2</v>
      </c>
      <c r="AR41" s="17">
        <f t="shared" si="66"/>
        <v>5.0682154636656651E-2</v>
      </c>
      <c r="AS41" s="17">
        <f t="shared" si="66"/>
        <v>5.0682154636656651E-2</v>
      </c>
      <c r="AT41" s="17">
        <f t="shared" si="66"/>
        <v>5.0682154636656651E-2</v>
      </c>
      <c r="AU41" s="17">
        <f t="shared" si="66"/>
        <v>5.0682154636656651E-2</v>
      </c>
      <c r="AV41" s="17">
        <f t="shared" si="66"/>
        <v>5.0682154636656651E-2</v>
      </c>
      <c r="AW41" s="17">
        <f t="shared" si="66"/>
        <v>5.0682154636656651E-2</v>
      </c>
      <c r="AX41" s="17">
        <f t="shared" si="66"/>
        <v>5.0682154636656651E-2</v>
      </c>
      <c r="AY41" s="17">
        <f t="shared" si="66"/>
        <v>5.0682154636656651E-2</v>
      </c>
      <c r="AZ41" s="17">
        <f t="shared" si="66"/>
        <v>5.0682154636656651E-2</v>
      </c>
      <c r="BA41" s="17">
        <f t="shared" si="66"/>
        <v>5.0682154636656651E-2</v>
      </c>
      <c r="BB41" s="17">
        <f t="shared" si="66"/>
        <v>5.0682154636656651E-2</v>
      </c>
      <c r="BC41" s="17">
        <f t="shared" si="66"/>
        <v>5.0682154636656651E-2</v>
      </c>
      <c r="BD41" s="17">
        <f t="shared" si="66"/>
        <v>5.0682154636656651E-2</v>
      </c>
      <c r="BE41" s="17">
        <f t="shared" si="66"/>
        <v>5.0682154636656651E-2</v>
      </c>
      <c r="BF41" s="17">
        <f t="shared" si="66"/>
        <v>5.0682154636656651E-2</v>
      </c>
      <c r="BG41" s="17">
        <f t="shared" si="66"/>
        <v>5.0682154636656651E-2</v>
      </c>
      <c r="BH41" s="17">
        <f t="shared" si="66"/>
        <v>5.0682154636656651E-2</v>
      </c>
      <c r="BI41" s="17">
        <f t="shared" si="66"/>
        <v>5.0682154636656651E-2</v>
      </c>
      <c r="BJ41" s="17" t="str">
        <f t="shared" si="66"/>
        <v/>
      </c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  <c r="BW41" s="17"/>
      <c r="BX41" s="17"/>
      <c r="BY41" s="17"/>
      <c r="BZ41" s="17"/>
      <c r="CA41" s="17"/>
      <c r="CB41" s="17"/>
      <c r="CC41" s="17"/>
      <c r="CD41" s="17"/>
      <c r="CE41" s="17"/>
      <c r="CF41" s="17"/>
      <c r="CG41" s="17"/>
      <c r="CH41" s="17"/>
      <c r="CI41" s="17"/>
    </row>
    <row r="42" spans="1:94" outlineLevel="1">
      <c r="A42" s="11">
        <f t="shared" si="12"/>
        <v>28</v>
      </c>
      <c r="B42" s="17" t="str">
        <f t="shared" ref="B42:AG42" si="67">IF(B$12&gt;=T,"",
  IF($A42&gt;B$13,"",
  IF(HoLee.BDT=1,
                                IF(C$12*$Q$3&lt;T,A41+(A$10*h-sig*SQRT(h)),A41+($O$3*h-sig*SQRT(h))),
                                IF(C$12*$Q$3&lt;T,A41*EXP(A$10*h-sig*SQRT(h)),A41*EXP($O$3*h-sig*SQRT(h)))
 )))</f>
        <v/>
      </c>
      <c r="C42" s="17" t="str">
        <f t="shared" si="67"/>
        <v/>
      </c>
      <c r="D42" s="17" t="str">
        <f t="shared" si="67"/>
        <v/>
      </c>
      <c r="E42" s="17" t="str">
        <f t="shared" si="67"/>
        <v/>
      </c>
      <c r="F42" s="17" t="str">
        <f t="shared" si="67"/>
        <v/>
      </c>
      <c r="G42" s="17" t="str">
        <f t="shared" si="67"/>
        <v/>
      </c>
      <c r="H42" s="17" t="str">
        <f t="shared" si="67"/>
        <v/>
      </c>
      <c r="I42" s="17" t="str">
        <f t="shared" si="67"/>
        <v/>
      </c>
      <c r="J42" s="17" t="str">
        <f t="shared" si="67"/>
        <v/>
      </c>
      <c r="K42" s="17" t="str">
        <f t="shared" si="67"/>
        <v/>
      </c>
      <c r="L42" s="17" t="str">
        <f t="shared" si="67"/>
        <v/>
      </c>
      <c r="M42" s="17" t="str">
        <f t="shared" si="67"/>
        <v/>
      </c>
      <c r="N42" s="17" t="str">
        <f t="shared" si="67"/>
        <v/>
      </c>
      <c r="O42" s="17" t="str">
        <f t="shared" si="67"/>
        <v/>
      </c>
      <c r="P42" s="17" t="str">
        <f t="shared" si="67"/>
        <v/>
      </c>
      <c r="Q42" s="17" t="str">
        <f t="shared" si="67"/>
        <v/>
      </c>
      <c r="R42" s="17" t="str">
        <f t="shared" si="67"/>
        <v/>
      </c>
      <c r="S42" s="17" t="str">
        <f t="shared" si="67"/>
        <v/>
      </c>
      <c r="T42" s="17" t="str">
        <f t="shared" si="67"/>
        <v/>
      </c>
      <c r="U42" s="17" t="str">
        <f t="shared" si="67"/>
        <v/>
      </c>
      <c r="V42" s="17" t="str">
        <f t="shared" si="67"/>
        <v/>
      </c>
      <c r="W42" s="17" t="str">
        <f t="shared" si="67"/>
        <v/>
      </c>
      <c r="X42" s="17" t="str">
        <f t="shared" si="67"/>
        <v/>
      </c>
      <c r="Y42" s="17" t="str">
        <f t="shared" si="67"/>
        <v/>
      </c>
      <c r="Z42" s="17" t="str">
        <f t="shared" si="67"/>
        <v/>
      </c>
      <c r="AA42" s="17" t="str">
        <f t="shared" si="67"/>
        <v/>
      </c>
      <c r="AB42" s="17" t="str">
        <f t="shared" si="67"/>
        <v/>
      </c>
      <c r="AC42" s="17" t="str">
        <f t="shared" si="67"/>
        <v/>
      </c>
      <c r="AD42" s="17">
        <f t="shared" si="67"/>
        <v>5.0682154636656651E-2</v>
      </c>
      <c r="AE42" s="17">
        <f t="shared" si="67"/>
        <v>5.0682154636656651E-2</v>
      </c>
      <c r="AF42" s="17">
        <f t="shared" si="67"/>
        <v>5.0682154636656651E-2</v>
      </c>
      <c r="AG42" s="17">
        <f t="shared" si="67"/>
        <v>5.0682154636656651E-2</v>
      </c>
      <c r="AH42" s="17">
        <f t="shared" ref="AH42:BJ42" si="68">IF(AH$12&gt;=T,"",
  IF($A42&gt;AH$13,"",
  IF(HoLee.BDT=1,
                                IF(AI$12*$Q$3&lt;T,AG41+(AG$10*h-sig*SQRT(h)),AG41+($O$3*h-sig*SQRT(h))),
                                IF(AI$12*$Q$3&lt;T,AG41*EXP(AG$10*h-sig*SQRT(h)),AG41*EXP($O$3*h-sig*SQRT(h)))
 )))</f>
        <v>5.0682154636656651E-2</v>
      </c>
      <c r="AI42" s="17">
        <f t="shared" si="68"/>
        <v>5.0682154636656651E-2</v>
      </c>
      <c r="AJ42" s="17">
        <f t="shared" si="68"/>
        <v>5.0682154636656651E-2</v>
      </c>
      <c r="AK42" s="17">
        <f t="shared" si="68"/>
        <v>5.0682154636656651E-2</v>
      </c>
      <c r="AL42" s="17">
        <f t="shared" si="68"/>
        <v>5.0682154636656651E-2</v>
      </c>
      <c r="AM42" s="17">
        <f t="shared" si="68"/>
        <v>5.0682154636656651E-2</v>
      </c>
      <c r="AN42" s="17">
        <f t="shared" si="68"/>
        <v>5.0682154636656651E-2</v>
      </c>
      <c r="AO42" s="17">
        <f t="shared" si="68"/>
        <v>5.0682154636656651E-2</v>
      </c>
      <c r="AP42" s="17">
        <f t="shared" si="68"/>
        <v>5.0682154636656651E-2</v>
      </c>
      <c r="AQ42" s="17">
        <f t="shared" si="68"/>
        <v>5.0682154636656651E-2</v>
      </c>
      <c r="AR42" s="17">
        <f t="shared" si="68"/>
        <v>5.0682154636656651E-2</v>
      </c>
      <c r="AS42" s="17">
        <f t="shared" si="68"/>
        <v>5.0682154636656651E-2</v>
      </c>
      <c r="AT42" s="17">
        <f t="shared" si="68"/>
        <v>5.0682154636656651E-2</v>
      </c>
      <c r="AU42" s="17">
        <f t="shared" si="68"/>
        <v>5.0682154636656651E-2</v>
      </c>
      <c r="AV42" s="17">
        <f t="shared" si="68"/>
        <v>5.0682154636656651E-2</v>
      </c>
      <c r="AW42" s="17">
        <f t="shared" si="68"/>
        <v>5.0682154636656651E-2</v>
      </c>
      <c r="AX42" s="17">
        <f t="shared" si="68"/>
        <v>5.0682154636656651E-2</v>
      </c>
      <c r="AY42" s="17">
        <f t="shared" si="68"/>
        <v>5.0682154636656651E-2</v>
      </c>
      <c r="AZ42" s="17">
        <f t="shared" si="68"/>
        <v>5.0682154636656651E-2</v>
      </c>
      <c r="BA42" s="17">
        <f t="shared" si="68"/>
        <v>5.0682154636656651E-2</v>
      </c>
      <c r="BB42" s="17">
        <f t="shared" si="68"/>
        <v>5.0682154636656651E-2</v>
      </c>
      <c r="BC42" s="17">
        <f t="shared" si="68"/>
        <v>5.0682154636656651E-2</v>
      </c>
      <c r="BD42" s="17">
        <f t="shared" si="68"/>
        <v>5.0682154636656651E-2</v>
      </c>
      <c r="BE42" s="17">
        <f t="shared" si="68"/>
        <v>5.0682154636656651E-2</v>
      </c>
      <c r="BF42" s="17">
        <f t="shared" si="68"/>
        <v>5.0682154636656651E-2</v>
      </c>
      <c r="BG42" s="17">
        <f t="shared" si="68"/>
        <v>5.0682154636656651E-2</v>
      </c>
      <c r="BH42" s="17">
        <f t="shared" si="68"/>
        <v>5.0682154636656651E-2</v>
      </c>
      <c r="BI42" s="17">
        <f t="shared" si="68"/>
        <v>5.0682154636656651E-2</v>
      </c>
      <c r="BJ42" s="17" t="str">
        <f t="shared" si="68"/>
        <v/>
      </c>
      <c r="BK42" s="17"/>
      <c r="BL42" s="17"/>
      <c r="BM42" s="17"/>
      <c r="BN42" s="17"/>
      <c r="BO42" s="17"/>
      <c r="BP42" s="17"/>
      <c r="BQ42" s="17"/>
      <c r="BR42" s="17"/>
      <c r="BS42" s="17"/>
      <c r="BT42" s="17"/>
      <c r="BU42" s="17"/>
      <c r="BV42" s="17"/>
      <c r="BW42" s="17"/>
      <c r="BX42" s="17"/>
      <c r="BY42" s="17"/>
      <c r="BZ42" s="17"/>
      <c r="CA42" s="17"/>
      <c r="CB42" s="17"/>
      <c r="CC42" s="17"/>
      <c r="CD42" s="17"/>
      <c r="CE42" s="17"/>
      <c r="CF42" s="17"/>
      <c r="CG42" s="17"/>
      <c r="CH42" s="17"/>
      <c r="CI42" s="17"/>
      <c r="CJ42" s="17"/>
    </row>
    <row r="43" spans="1:94" outlineLevel="1">
      <c r="A43" s="11">
        <f t="shared" si="12"/>
        <v>29</v>
      </c>
      <c r="B43" s="17" t="str">
        <f t="shared" ref="B43:AG43" si="69">IF(B$12&gt;=T,"",
  IF($A43&gt;B$13,"",
  IF(HoLee.BDT=1,
                                IF(C$12*$Q$3&lt;T,A42+(A$10*h-sig*SQRT(h)),A42+($O$3*h-sig*SQRT(h))),
                                IF(C$12*$Q$3&lt;T,A42*EXP(A$10*h-sig*SQRT(h)),A42*EXP($O$3*h-sig*SQRT(h)))
 )))</f>
        <v/>
      </c>
      <c r="C43" s="17" t="str">
        <f t="shared" si="69"/>
        <v/>
      </c>
      <c r="D43" s="17" t="str">
        <f t="shared" si="69"/>
        <v/>
      </c>
      <c r="E43" s="17" t="str">
        <f t="shared" si="69"/>
        <v/>
      </c>
      <c r="F43" s="17" t="str">
        <f t="shared" si="69"/>
        <v/>
      </c>
      <c r="G43" s="17" t="str">
        <f t="shared" si="69"/>
        <v/>
      </c>
      <c r="H43" s="17" t="str">
        <f t="shared" si="69"/>
        <v/>
      </c>
      <c r="I43" s="17" t="str">
        <f t="shared" si="69"/>
        <v/>
      </c>
      <c r="J43" s="17" t="str">
        <f t="shared" si="69"/>
        <v/>
      </c>
      <c r="K43" s="17" t="str">
        <f t="shared" si="69"/>
        <v/>
      </c>
      <c r="L43" s="17" t="str">
        <f t="shared" si="69"/>
        <v/>
      </c>
      <c r="M43" s="17" t="str">
        <f t="shared" si="69"/>
        <v/>
      </c>
      <c r="N43" s="17" t="str">
        <f t="shared" si="69"/>
        <v/>
      </c>
      <c r="O43" s="17" t="str">
        <f t="shared" si="69"/>
        <v/>
      </c>
      <c r="P43" s="17" t="str">
        <f t="shared" si="69"/>
        <v/>
      </c>
      <c r="Q43" s="17" t="str">
        <f t="shared" si="69"/>
        <v/>
      </c>
      <c r="R43" s="17" t="str">
        <f t="shared" si="69"/>
        <v/>
      </c>
      <c r="S43" s="17" t="str">
        <f t="shared" si="69"/>
        <v/>
      </c>
      <c r="T43" s="17" t="str">
        <f t="shared" si="69"/>
        <v/>
      </c>
      <c r="U43" s="17" t="str">
        <f t="shared" si="69"/>
        <v/>
      </c>
      <c r="V43" s="17" t="str">
        <f t="shared" si="69"/>
        <v/>
      </c>
      <c r="W43" s="17" t="str">
        <f t="shared" si="69"/>
        <v/>
      </c>
      <c r="X43" s="17" t="str">
        <f t="shared" si="69"/>
        <v/>
      </c>
      <c r="Y43" s="17" t="str">
        <f t="shared" si="69"/>
        <v/>
      </c>
      <c r="Z43" s="17" t="str">
        <f t="shared" si="69"/>
        <v/>
      </c>
      <c r="AA43" s="17" t="str">
        <f t="shared" si="69"/>
        <v/>
      </c>
      <c r="AB43" s="17" t="str">
        <f t="shared" si="69"/>
        <v/>
      </c>
      <c r="AC43" s="17" t="str">
        <f t="shared" si="69"/>
        <v/>
      </c>
      <c r="AD43" s="17" t="str">
        <f t="shared" si="69"/>
        <v/>
      </c>
      <c r="AE43" s="17">
        <f t="shared" si="69"/>
        <v>5.0682154636656651E-2</v>
      </c>
      <c r="AF43" s="17">
        <f t="shared" si="69"/>
        <v>5.0682154636656651E-2</v>
      </c>
      <c r="AG43" s="17">
        <f t="shared" si="69"/>
        <v>5.0682154636656651E-2</v>
      </c>
      <c r="AH43" s="17">
        <f t="shared" ref="AH43:BJ43" si="70">IF(AH$12&gt;=T,"",
  IF($A43&gt;AH$13,"",
  IF(HoLee.BDT=1,
                                IF(AI$12*$Q$3&lt;T,AG42+(AG$10*h-sig*SQRT(h)),AG42+($O$3*h-sig*SQRT(h))),
                                IF(AI$12*$Q$3&lt;T,AG42*EXP(AG$10*h-sig*SQRT(h)),AG42*EXP($O$3*h-sig*SQRT(h)))
 )))</f>
        <v>5.0682154636656651E-2</v>
      </c>
      <c r="AI43" s="17">
        <f t="shared" si="70"/>
        <v>5.0682154636656651E-2</v>
      </c>
      <c r="AJ43" s="17">
        <f t="shared" si="70"/>
        <v>5.0682154636656651E-2</v>
      </c>
      <c r="AK43" s="17">
        <f t="shared" si="70"/>
        <v>5.0682154636656651E-2</v>
      </c>
      <c r="AL43" s="17">
        <f t="shared" si="70"/>
        <v>5.0682154636656651E-2</v>
      </c>
      <c r="AM43" s="17">
        <f t="shared" si="70"/>
        <v>5.0682154636656651E-2</v>
      </c>
      <c r="AN43" s="17">
        <f t="shared" si="70"/>
        <v>5.0682154636656651E-2</v>
      </c>
      <c r="AO43" s="17">
        <f t="shared" si="70"/>
        <v>5.0682154636656651E-2</v>
      </c>
      <c r="AP43" s="17">
        <f t="shared" si="70"/>
        <v>5.0682154636656651E-2</v>
      </c>
      <c r="AQ43" s="17">
        <f t="shared" si="70"/>
        <v>5.0682154636656651E-2</v>
      </c>
      <c r="AR43" s="17">
        <f t="shared" si="70"/>
        <v>5.0682154636656651E-2</v>
      </c>
      <c r="AS43" s="17">
        <f t="shared" si="70"/>
        <v>5.0682154636656651E-2</v>
      </c>
      <c r="AT43" s="17">
        <f t="shared" si="70"/>
        <v>5.0682154636656651E-2</v>
      </c>
      <c r="AU43" s="17">
        <f t="shared" si="70"/>
        <v>5.0682154636656651E-2</v>
      </c>
      <c r="AV43" s="17">
        <f t="shared" si="70"/>
        <v>5.0682154636656651E-2</v>
      </c>
      <c r="AW43" s="17">
        <f t="shared" si="70"/>
        <v>5.0682154636656651E-2</v>
      </c>
      <c r="AX43" s="17">
        <f t="shared" si="70"/>
        <v>5.0682154636656651E-2</v>
      </c>
      <c r="AY43" s="17">
        <f t="shared" si="70"/>
        <v>5.0682154636656651E-2</v>
      </c>
      <c r="AZ43" s="17">
        <f t="shared" si="70"/>
        <v>5.0682154636656651E-2</v>
      </c>
      <c r="BA43" s="17">
        <f t="shared" si="70"/>
        <v>5.0682154636656651E-2</v>
      </c>
      <c r="BB43" s="17">
        <f t="shared" si="70"/>
        <v>5.0682154636656651E-2</v>
      </c>
      <c r="BC43" s="17">
        <f t="shared" si="70"/>
        <v>5.0682154636656651E-2</v>
      </c>
      <c r="BD43" s="17">
        <f t="shared" si="70"/>
        <v>5.0682154636656651E-2</v>
      </c>
      <c r="BE43" s="17">
        <f t="shared" si="70"/>
        <v>5.0682154636656651E-2</v>
      </c>
      <c r="BF43" s="17">
        <f t="shared" si="70"/>
        <v>5.0682154636656651E-2</v>
      </c>
      <c r="BG43" s="17">
        <f t="shared" si="70"/>
        <v>5.0682154636656651E-2</v>
      </c>
      <c r="BH43" s="17">
        <f t="shared" si="70"/>
        <v>5.0682154636656651E-2</v>
      </c>
      <c r="BI43" s="17">
        <f t="shared" si="70"/>
        <v>5.0682154636656651E-2</v>
      </c>
      <c r="BJ43" s="17" t="str">
        <f t="shared" si="70"/>
        <v/>
      </c>
      <c r="BK43" s="17"/>
      <c r="BL43" s="17"/>
      <c r="BM43" s="17"/>
      <c r="BN43" s="17"/>
      <c r="BO43" s="17"/>
      <c r="BP43" s="17"/>
      <c r="BQ43" s="17"/>
      <c r="BR43" s="17"/>
      <c r="BS43" s="17"/>
      <c r="BT43" s="17"/>
      <c r="BU43" s="17"/>
      <c r="BV43" s="17"/>
      <c r="BW43" s="17"/>
      <c r="BX43" s="17"/>
      <c r="BY43" s="17"/>
      <c r="BZ43" s="17"/>
      <c r="CA43" s="17"/>
      <c r="CB43" s="17"/>
      <c r="CC43" s="17"/>
      <c r="CD43" s="17"/>
      <c r="CE43" s="17"/>
      <c r="CF43" s="17"/>
      <c r="CG43" s="17"/>
      <c r="CH43" s="17"/>
      <c r="CI43" s="17"/>
      <c r="CJ43" s="17"/>
      <c r="CK43" s="17"/>
    </row>
    <row r="44" spans="1:94" outlineLevel="1">
      <c r="A44" s="11">
        <f t="shared" si="12"/>
        <v>30</v>
      </c>
      <c r="B44" s="17" t="str">
        <f t="shared" ref="B44:AG44" si="71">IF(B$12&gt;=T,"",
  IF($A44&gt;B$13,"",
  IF(HoLee.BDT=1,
                                IF(C$12*$Q$3&lt;T,A43+(A$10*h-sig*SQRT(h)),A43+($O$3*h-sig*SQRT(h))),
                                IF(C$12*$Q$3&lt;T,A43*EXP(A$10*h-sig*SQRT(h)),A43*EXP($O$3*h-sig*SQRT(h)))
 )))</f>
        <v/>
      </c>
      <c r="C44" s="17" t="str">
        <f t="shared" si="71"/>
        <v/>
      </c>
      <c r="D44" s="17" t="str">
        <f t="shared" si="71"/>
        <v/>
      </c>
      <c r="E44" s="17" t="str">
        <f t="shared" si="71"/>
        <v/>
      </c>
      <c r="F44" s="17" t="str">
        <f t="shared" si="71"/>
        <v/>
      </c>
      <c r="G44" s="17" t="str">
        <f t="shared" si="71"/>
        <v/>
      </c>
      <c r="H44" s="17" t="str">
        <f t="shared" si="71"/>
        <v/>
      </c>
      <c r="I44" s="17" t="str">
        <f t="shared" si="71"/>
        <v/>
      </c>
      <c r="J44" s="17" t="str">
        <f t="shared" si="71"/>
        <v/>
      </c>
      <c r="K44" s="17" t="str">
        <f t="shared" si="71"/>
        <v/>
      </c>
      <c r="L44" s="17" t="str">
        <f t="shared" si="71"/>
        <v/>
      </c>
      <c r="M44" s="17" t="str">
        <f t="shared" si="71"/>
        <v/>
      </c>
      <c r="N44" s="17" t="str">
        <f t="shared" si="71"/>
        <v/>
      </c>
      <c r="O44" s="17" t="str">
        <f t="shared" si="71"/>
        <v/>
      </c>
      <c r="P44" s="17" t="str">
        <f t="shared" si="71"/>
        <v/>
      </c>
      <c r="Q44" s="17" t="str">
        <f t="shared" si="71"/>
        <v/>
      </c>
      <c r="R44" s="17" t="str">
        <f t="shared" si="71"/>
        <v/>
      </c>
      <c r="S44" s="17" t="str">
        <f t="shared" si="71"/>
        <v/>
      </c>
      <c r="T44" s="17" t="str">
        <f t="shared" si="71"/>
        <v/>
      </c>
      <c r="U44" s="17" t="str">
        <f t="shared" si="71"/>
        <v/>
      </c>
      <c r="V44" s="17" t="str">
        <f t="shared" si="71"/>
        <v/>
      </c>
      <c r="W44" s="17" t="str">
        <f t="shared" si="71"/>
        <v/>
      </c>
      <c r="X44" s="17" t="str">
        <f t="shared" si="71"/>
        <v/>
      </c>
      <c r="Y44" s="17" t="str">
        <f t="shared" si="71"/>
        <v/>
      </c>
      <c r="Z44" s="17" t="str">
        <f t="shared" si="71"/>
        <v/>
      </c>
      <c r="AA44" s="17" t="str">
        <f t="shared" si="71"/>
        <v/>
      </c>
      <c r="AB44" s="17" t="str">
        <f t="shared" si="71"/>
        <v/>
      </c>
      <c r="AC44" s="17" t="str">
        <f t="shared" si="71"/>
        <v/>
      </c>
      <c r="AD44" s="17" t="str">
        <f t="shared" si="71"/>
        <v/>
      </c>
      <c r="AE44" s="17" t="str">
        <f t="shared" si="71"/>
        <v/>
      </c>
      <c r="AF44" s="17">
        <f t="shared" si="71"/>
        <v>5.0682154636656651E-2</v>
      </c>
      <c r="AG44" s="17">
        <f t="shared" si="71"/>
        <v>5.0682154636656651E-2</v>
      </c>
      <c r="AH44" s="17">
        <f t="shared" ref="AH44:BJ44" si="72">IF(AH$12&gt;=T,"",
  IF($A44&gt;AH$13,"",
  IF(HoLee.BDT=1,
                                IF(AI$12*$Q$3&lt;T,AG43+(AG$10*h-sig*SQRT(h)),AG43+($O$3*h-sig*SQRT(h))),
                                IF(AI$12*$Q$3&lt;T,AG43*EXP(AG$10*h-sig*SQRT(h)),AG43*EXP($O$3*h-sig*SQRT(h)))
 )))</f>
        <v>5.0682154636656651E-2</v>
      </c>
      <c r="AI44" s="17">
        <f t="shared" si="72"/>
        <v>5.0682154636656651E-2</v>
      </c>
      <c r="AJ44" s="17">
        <f t="shared" si="72"/>
        <v>5.0682154636656651E-2</v>
      </c>
      <c r="AK44" s="17">
        <f t="shared" si="72"/>
        <v>5.0682154636656651E-2</v>
      </c>
      <c r="AL44" s="17">
        <f t="shared" si="72"/>
        <v>5.0682154636656651E-2</v>
      </c>
      <c r="AM44" s="17">
        <f t="shared" si="72"/>
        <v>5.0682154636656651E-2</v>
      </c>
      <c r="AN44" s="17">
        <f t="shared" si="72"/>
        <v>5.0682154636656651E-2</v>
      </c>
      <c r="AO44" s="17">
        <f t="shared" si="72"/>
        <v>5.0682154636656651E-2</v>
      </c>
      <c r="AP44" s="17">
        <f t="shared" si="72"/>
        <v>5.0682154636656651E-2</v>
      </c>
      <c r="AQ44" s="17">
        <f t="shared" si="72"/>
        <v>5.0682154636656651E-2</v>
      </c>
      <c r="AR44" s="17">
        <f t="shared" si="72"/>
        <v>5.0682154636656651E-2</v>
      </c>
      <c r="AS44" s="17">
        <f t="shared" si="72"/>
        <v>5.0682154636656651E-2</v>
      </c>
      <c r="AT44" s="17">
        <f t="shared" si="72"/>
        <v>5.0682154636656651E-2</v>
      </c>
      <c r="AU44" s="17">
        <f t="shared" si="72"/>
        <v>5.0682154636656651E-2</v>
      </c>
      <c r="AV44" s="17">
        <f t="shared" si="72"/>
        <v>5.0682154636656651E-2</v>
      </c>
      <c r="AW44" s="17">
        <f t="shared" si="72"/>
        <v>5.0682154636656651E-2</v>
      </c>
      <c r="AX44" s="17">
        <f t="shared" si="72"/>
        <v>5.0682154636656651E-2</v>
      </c>
      <c r="AY44" s="17">
        <f t="shared" si="72"/>
        <v>5.0682154636656651E-2</v>
      </c>
      <c r="AZ44" s="17">
        <f t="shared" si="72"/>
        <v>5.0682154636656651E-2</v>
      </c>
      <c r="BA44" s="17">
        <f t="shared" si="72"/>
        <v>5.0682154636656651E-2</v>
      </c>
      <c r="BB44" s="17">
        <f t="shared" si="72"/>
        <v>5.0682154636656651E-2</v>
      </c>
      <c r="BC44" s="17">
        <f t="shared" si="72"/>
        <v>5.0682154636656651E-2</v>
      </c>
      <c r="BD44" s="17">
        <f t="shared" si="72"/>
        <v>5.0682154636656651E-2</v>
      </c>
      <c r="BE44" s="17">
        <f t="shared" si="72"/>
        <v>5.0682154636656651E-2</v>
      </c>
      <c r="BF44" s="17">
        <f t="shared" si="72"/>
        <v>5.0682154636656651E-2</v>
      </c>
      <c r="BG44" s="17">
        <f t="shared" si="72"/>
        <v>5.0682154636656651E-2</v>
      </c>
      <c r="BH44" s="17">
        <f t="shared" si="72"/>
        <v>5.0682154636656651E-2</v>
      </c>
      <c r="BI44" s="17">
        <f t="shared" si="72"/>
        <v>5.0682154636656651E-2</v>
      </c>
      <c r="BJ44" s="17" t="str">
        <f t="shared" si="72"/>
        <v/>
      </c>
      <c r="BK44" s="17"/>
      <c r="BL44" s="17"/>
      <c r="BM44" s="17"/>
      <c r="BN44" s="17"/>
      <c r="BO44" s="17"/>
      <c r="BP44" s="17"/>
      <c r="BQ44" s="17"/>
      <c r="BR44" s="17"/>
      <c r="BS44" s="17"/>
      <c r="BT44" s="17"/>
      <c r="BU44" s="17"/>
      <c r="BV44" s="17"/>
      <c r="BW44" s="17"/>
      <c r="BX44" s="17"/>
      <c r="BY44" s="17"/>
      <c r="BZ44" s="17"/>
      <c r="CA44" s="17"/>
      <c r="CB44" s="17"/>
      <c r="CC44" s="17"/>
      <c r="CD44" s="17"/>
      <c r="CE44" s="17"/>
      <c r="CF44" s="17"/>
      <c r="CG44" s="17"/>
      <c r="CH44" s="17"/>
      <c r="CI44" s="17"/>
      <c r="CJ44" s="17"/>
      <c r="CK44" s="17"/>
      <c r="CL44" s="17"/>
    </row>
    <row r="45" spans="1:94" outlineLevel="1">
      <c r="A45" s="11">
        <f t="shared" si="12"/>
        <v>31</v>
      </c>
      <c r="B45" s="17" t="str">
        <f t="shared" ref="B45:AG45" si="73">IF(B$12&gt;=T,"",
  IF($A45&gt;B$13,"",
  IF(HoLee.BDT=1,
                                IF(C$12*$Q$3&lt;T,A44+(A$10*h-sig*SQRT(h)),A44+($O$3*h-sig*SQRT(h))),
                                IF(C$12*$Q$3&lt;T,A44*EXP(A$10*h-sig*SQRT(h)),A44*EXP($O$3*h-sig*SQRT(h)))
 )))</f>
        <v/>
      </c>
      <c r="C45" s="17" t="str">
        <f t="shared" si="73"/>
        <v/>
      </c>
      <c r="D45" s="17" t="str">
        <f t="shared" si="73"/>
        <v/>
      </c>
      <c r="E45" s="17" t="str">
        <f t="shared" si="73"/>
        <v/>
      </c>
      <c r="F45" s="17" t="str">
        <f t="shared" si="73"/>
        <v/>
      </c>
      <c r="G45" s="17" t="str">
        <f t="shared" si="73"/>
        <v/>
      </c>
      <c r="H45" s="17" t="str">
        <f t="shared" si="73"/>
        <v/>
      </c>
      <c r="I45" s="17" t="str">
        <f t="shared" si="73"/>
        <v/>
      </c>
      <c r="J45" s="17" t="str">
        <f t="shared" si="73"/>
        <v/>
      </c>
      <c r="K45" s="17" t="str">
        <f t="shared" si="73"/>
        <v/>
      </c>
      <c r="L45" s="17" t="str">
        <f t="shared" si="73"/>
        <v/>
      </c>
      <c r="M45" s="17" t="str">
        <f t="shared" si="73"/>
        <v/>
      </c>
      <c r="N45" s="17" t="str">
        <f t="shared" si="73"/>
        <v/>
      </c>
      <c r="O45" s="17" t="str">
        <f t="shared" si="73"/>
        <v/>
      </c>
      <c r="P45" s="17" t="str">
        <f t="shared" si="73"/>
        <v/>
      </c>
      <c r="Q45" s="17" t="str">
        <f t="shared" si="73"/>
        <v/>
      </c>
      <c r="R45" s="17" t="str">
        <f t="shared" si="73"/>
        <v/>
      </c>
      <c r="S45" s="17" t="str">
        <f t="shared" si="73"/>
        <v/>
      </c>
      <c r="T45" s="17" t="str">
        <f t="shared" si="73"/>
        <v/>
      </c>
      <c r="U45" s="17" t="str">
        <f t="shared" si="73"/>
        <v/>
      </c>
      <c r="V45" s="17" t="str">
        <f t="shared" si="73"/>
        <v/>
      </c>
      <c r="W45" s="17" t="str">
        <f t="shared" si="73"/>
        <v/>
      </c>
      <c r="X45" s="17" t="str">
        <f t="shared" si="73"/>
        <v/>
      </c>
      <c r="Y45" s="17" t="str">
        <f t="shared" si="73"/>
        <v/>
      </c>
      <c r="Z45" s="17" t="str">
        <f t="shared" si="73"/>
        <v/>
      </c>
      <c r="AA45" s="17" t="str">
        <f t="shared" si="73"/>
        <v/>
      </c>
      <c r="AB45" s="17" t="str">
        <f t="shared" si="73"/>
        <v/>
      </c>
      <c r="AC45" s="17" t="str">
        <f t="shared" si="73"/>
        <v/>
      </c>
      <c r="AD45" s="17" t="str">
        <f t="shared" si="73"/>
        <v/>
      </c>
      <c r="AE45" s="17" t="str">
        <f t="shared" si="73"/>
        <v/>
      </c>
      <c r="AF45" s="17" t="str">
        <f t="shared" si="73"/>
        <v/>
      </c>
      <c r="AG45" s="17">
        <f t="shared" si="73"/>
        <v>5.0682154636656651E-2</v>
      </c>
      <c r="AH45" s="17">
        <f t="shared" ref="AH45:BJ45" si="74">IF(AH$12&gt;=T,"",
  IF($A45&gt;AH$13,"",
  IF(HoLee.BDT=1,
                                IF(AI$12*$Q$3&lt;T,AG44+(AG$10*h-sig*SQRT(h)),AG44+($O$3*h-sig*SQRT(h))),
                                IF(AI$12*$Q$3&lt;T,AG44*EXP(AG$10*h-sig*SQRT(h)),AG44*EXP($O$3*h-sig*SQRT(h)))
 )))</f>
        <v>5.0682154636656651E-2</v>
      </c>
      <c r="AI45" s="17">
        <f t="shared" si="74"/>
        <v>5.0682154636656651E-2</v>
      </c>
      <c r="AJ45" s="17">
        <f t="shared" si="74"/>
        <v>5.0682154636656651E-2</v>
      </c>
      <c r="AK45" s="17">
        <f t="shared" si="74"/>
        <v>5.0682154636656651E-2</v>
      </c>
      <c r="AL45" s="17">
        <f t="shared" si="74"/>
        <v>5.0682154636656651E-2</v>
      </c>
      <c r="AM45" s="17">
        <f t="shared" si="74"/>
        <v>5.0682154636656651E-2</v>
      </c>
      <c r="AN45" s="17">
        <f t="shared" si="74"/>
        <v>5.0682154636656651E-2</v>
      </c>
      <c r="AO45" s="17">
        <f t="shared" si="74"/>
        <v>5.0682154636656651E-2</v>
      </c>
      <c r="AP45" s="17">
        <f t="shared" si="74"/>
        <v>5.0682154636656651E-2</v>
      </c>
      <c r="AQ45" s="17">
        <f t="shared" si="74"/>
        <v>5.0682154636656651E-2</v>
      </c>
      <c r="AR45" s="17">
        <f t="shared" si="74"/>
        <v>5.0682154636656651E-2</v>
      </c>
      <c r="AS45" s="17">
        <f t="shared" si="74"/>
        <v>5.0682154636656651E-2</v>
      </c>
      <c r="AT45" s="17">
        <f t="shared" si="74"/>
        <v>5.0682154636656651E-2</v>
      </c>
      <c r="AU45" s="17">
        <f t="shared" si="74"/>
        <v>5.0682154636656651E-2</v>
      </c>
      <c r="AV45" s="17">
        <f t="shared" si="74"/>
        <v>5.0682154636656651E-2</v>
      </c>
      <c r="AW45" s="17">
        <f t="shared" si="74"/>
        <v>5.0682154636656651E-2</v>
      </c>
      <c r="AX45" s="17">
        <f t="shared" si="74"/>
        <v>5.0682154636656651E-2</v>
      </c>
      <c r="AY45" s="17">
        <f t="shared" si="74"/>
        <v>5.0682154636656651E-2</v>
      </c>
      <c r="AZ45" s="17">
        <f t="shared" si="74"/>
        <v>5.0682154636656651E-2</v>
      </c>
      <c r="BA45" s="17">
        <f t="shared" si="74"/>
        <v>5.0682154636656651E-2</v>
      </c>
      <c r="BB45" s="17">
        <f t="shared" si="74"/>
        <v>5.0682154636656651E-2</v>
      </c>
      <c r="BC45" s="17">
        <f t="shared" si="74"/>
        <v>5.0682154636656651E-2</v>
      </c>
      <c r="BD45" s="17">
        <f t="shared" si="74"/>
        <v>5.0682154636656651E-2</v>
      </c>
      <c r="BE45" s="17">
        <f t="shared" si="74"/>
        <v>5.0682154636656651E-2</v>
      </c>
      <c r="BF45" s="17">
        <f t="shared" si="74"/>
        <v>5.0682154636656651E-2</v>
      </c>
      <c r="BG45" s="17">
        <f t="shared" si="74"/>
        <v>5.0682154636656651E-2</v>
      </c>
      <c r="BH45" s="17">
        <f t="shared" si="74"/>
        <v>5.0682154636656651E-2</v>
      </c>
      <c r="BI45" s="17">
        <f t="shared" si="74"/>
        <v>5.0682154636656651E-2</v>
      </c>
      <c r="BJ45" s="17" t="str">
        <f t="shared" si="74"/>
        <v/>
      </c>
      <c r="BK45" s="17"/>
      <c r="BL45" s="17"/>
      <c r="BM45" s="17"/>
      <c r="BN45" s="17"/>
      <c r="BO45" s="17"/>
      <c r="BP45" s="17"/>
      <c r="BQ45" s="17"/>
      <c r="BR45" s="17"/>
      <c r="BS45" s="17"/>
      <c r="BT45" s="17"/>
      <c r="BU45" s="17"/>
      <c r="BV45" s="17"/>
      <c r="BW45" s="17"/>
      <c r="BX45" s="17"/>
      <c r="BY45" s="17"/>
      <c r="BZ45" s="17"/>
      <c r="CA45" s="17"/>
      <c r="CB45" s="17"/>
      <c r="CC45" s="17"/>
      <c r="CD45" s="17"/>
      <c r="CE45" s="17"/>
      <c r="CF45" s="17"/>
      <c r="CG45" s="17"/>
      <c r="CH45" s="17"/>
      <c r="CI45" s="17"/>
      <c r="CJ45" s="17"/>
      <c r="CK45" s="17"/>
      <c r="CL45" s="17"/>
      <c r="CM45" s="17"/>
    </row>
    <row r="46" spans="1:94" outlineLevel="1">
      <c r="A46" s="11">
        <f t="shared" si="12"/>
        <v>32</v>
      </c>
      <c r="B46" s="17" t="str">
        <f t="shared" ref="B46:AG46" si="75">IF(B$12&gt;=T,"",
  IF($A46&gt;B$13,"",
  IF(HoLee.BDT=1,
                                IF(C$12*$Q$3&lt;T,A45+(A$10*h-sig*SQRT(h)),A45+($O$3*h-sig*SQRT(h))),
                                IF(C$12*$Q$3&lt;T,A45*EXP(A$10*h-sig*SQRT(h)),A45*EXP($O$3*h-sig*SQRT(h)))
 )))</f>
        <v/>
      </c>
      <c r="C46" s="17" t="str">
        <f t="shared" si="75"/>
        <v/>
      </c>
      <c r="D46" s="17" t="str">
        <f t="shared" si="75"/>
        <v/>
      </c>
      <c r="E46" s="17" t="str">
        <f t="shared" si="75"/>
        <v/>
      </c>
      <c r="F46" s="17" t="str">
        <f t="shared" si="75"/>
        <v/>
      </c>
      <c r="G46" s="17" t="str">
        <f t="shared" si="75"/>
        <v/>
      </c>
      <c r="H46" s="17" t="str">
        <f t="shared" si="75"/>
        <v/>
      </c>
      <c r="I46" s="17" t="str">
        <f t="shared" si="75"/>
        <v/>
      </c>
      <c r="J46" s="17" t="str">
        <f t="shared" si="75"/>
        <v/>
      </c>
      <c r="K46" s="17" t="str">
        <f t="shared" si="75"/>
        <v/>
      </c>
      <c r="L46" s="17" t="str">
        <f t="shared" si="75"/>
        <v/>
      </c>
      <c r="M46" s="17" t="str">
        <f t="shared" si="75"/>
        <v/>
      </c>
      <c r="N46" s="17" t="str">
        <f t="shared" si="75"/>
        <v/>
      </c>
      <c r="O46" s="17" t="str">
        <f t="shared" si="75"/>
        <v/>
      </c>
      <c r="P46" s="17" t="str">
        <f t="shared" si="75"/>
        <v/>
      </c>
      <c r="Q46" s="17" t="str">
        <f t="shared" si="75"/>
        <v/>
      </c>
      <c r="R46" s="17" t="str">
        <f t="shared" si="75"/>
        <v/>
      </c>
      <c r="S46" s="17" t="str">
        <f t="shared" si="75"/>
        <v/>
      </c>
      <c r="T46" s="17" t="str">
        <f t="shared" si="75"/>
        <v/>
      </c>
      <c r="U46" s="17" t="str">
        <f t="shared" si="75"/>
        <v/>
      </c>
      <c r="V46" s="17" t="str">
        <f t="shared" si="75"/>
        <v/>
      </c>
      <c r="W46" s="17" t="str">
        <f t="shared" si="75"/>
        <v/>
      </c>
      <c r="X46" s="17" t="str">
        <f t="shared" si="75"/>
        <v/>
      </c>
      <c r="Y46" s="17" t="str">
        <f t="shared" si="75"/>
        <v/>
      </c>
      <c r="Z46" s="17" t="str">
        <f t="shared" si="75"/>
        <v/>
      </c>
      <c r="AA46" s="17" t="str">
        <f t="shared" si="75"/>
        <v/>
      </c>
      <c r="AB46" s="17" t="str">
        <f t="shared" si="75"/>
        <v/>
      </c>
      <c r="AC46" s="17" t="str">
        <f t="shared" si="75"/>
        <v/>
      </c>
      <c r="AD46" s="17" t="str">
        <f t="shared" si="75"/>
        <v/>
      </c>
      <c r="AE46" s="17" t="str">
        <f t="shared" si="75"/>
        <v/>
      </c>
      <c r="AF46" s="17" t="str">
        <f t="shared" si="75"/>
        <v/>
      </c>
      <c r="AG46" s="17" t="str">
        <f t="shared" si="75"/>
        <v/>
      </c>
      <c r="AH46" s="17">
        <f t="shared" ref="AH46:BJ46" si="76">IF(AH$12&gt;=T,"",
  IF($A46&gt;AH$13,"",
  IF(HoLee.BDT=1,
                                IF(AI$12*$Q$3&lt;T,AG45+(AG$10*h-sig*SQRT(h)),AG45+($O$3*h-sig*SQRT(h))),
                                IF(AI$12*$Q$3&lt;T,AG45*EXP(AG$10*h-sig*SQRT(h)),AG45*EXP($O$3*h-sig*SQRT(h)))
 )))</f>
        <v>5.0682154636656651E-2</v>
      </c>
      <c r="AI46" s="17">
        <f t="shared" si="76"/>
        <v>5.0682154636656651E-2</v>
      </c>
      <c r="AJ46" s="17">
        <f t="shared" si="76"/>
        <v>5.0682154636656651E-2</v>
      </c>
      <c r="AK46" s="17">
        <f t="shared" si="76"/>
        <v>5.0682154636656651E-2</v>
      </c>
      <c r="AL46" s="17">
        <f t="shared" si="76"/>
        <v>5.0682154636656651E-2</v>
      </c>
      <c r="AM46" s="17">
        <f t="shared" si="76"/>
        <v>5.0682154636656651E-2</v>
      </c>
      <c r="AN46" s="17">
        <f t="shared" si="76"/>
        <v>5.0682154636656651E-2</v>
      </c>
      <c r="AO46" s="17">
        <f t="shared" si="76"/>
        <v>5.0682154636656651E-2</v>
      </c>
      <c r="AP46" s="17">
        <f t="shared" si="76"/>
        <v>5.0682154636656651E-2</v>
      </c>
      <c r="AQ46" s="17">
        <f t="shared" si="76"/>
        <v>5.0682154636656651E-2</v>
      </c>
      <c r="AR46" s="17">
        <f t="shared" si="76"/>
        <v>5.0682154636656651E-2</v>
      </c>
      <c r="AS46" s="17">
        <f t="shared" si="76"/>
        <v>5.0682154636656651E-2</v>
      </c>
      <c r="AT46" s="17">
        <f t="shared" si="76"/>
        <v>5.0682154636656651E-2</v>
      </c>
      <c r="AU46" s="17">
        <f t="shared" si="76"/>
        <v>5.0682154636656651E-2</v>
      </c>
      <c r="AV46" s="17">
        <f t="shared" si="76"/>
        <v>5.0682154636656651E-2</v>
      </c>
      <c r="AW46" s="17">
        <f t="shared" si="76"/>
        <v>5.0682154636656651E-2</v>
      </c>
      <c r="AX46" s="17">
        <f t="shared" si="76"/>
        <v>5.0682154636656651E-2</v>
      </c>
      <c r="AY46" s="17">
        <f t="shared" si="76"/>
        <v>5.0682154636656651E-2</v>
      </c>
      <c r="AZ46" s="17">
        <f t="shared" si="76"/>
        <v>5.0682154636656651E-2</v>
      </c>
      <c r="BA46" s="17">
        <f t="shared" si="76"/>
        <v>5.0682154636656651E-2</v>
      </c>
      <c r="BB46" s="17">
        <f t="shared" si="76"/>
        <v>5.0682154636656651E-2</v>
      </c>
      <c r="BC46" s="17">
        <f t="shared" si="76"/>
        <v>5.0682154636656651E-2</v>
      </c>
      <c r="BD46" s="17">
        <f t="shared" si="76"/>
        <v>5.0682154636656651E-2</v>
      </c>
      <c r="BE46" s="17">
        <f t="shared" si="76"/>
        <v>5.0682154636656651E-2</v>
      </c>
      <c r="BF46" s="17">
        <f t="shared" si="76"/>
        <v>5.0682154636656651E-2</v>
      </c>
      <c r="BG46" s="17">
        <f t="shared" si="76"/>
        <v>5.0682154636656651E-2</v>
      </c>
      <c r="BH46" s="17">
        <f t="shared" si="76"/>
        <v>5.0682154636656651E-2</v>
      </c>
      <c r="BI46" s="17">
        <f t="shared" si="76"/>
        <v>5.0682154636656651E-2</v>
      </c>
      <c r="BJ46" s="17" t="str">
        <f t="shared" si="76"/>
        <v/>
      </c>
      <c r="BK46" s="17"/>
      <c r="BL46" s="17"/>
      <c r="BM46" s="17"/>
      <c r="BN46" s="17"/>
      <c r="BO46" s="17"/>
      <c r="BP46" s="17"/>
      <c r="BQ46" s="17"/>
      <c r="BR46" s="17"/>
      <c r="BS46" s="17"/>
      <c r="BT46" s="17"/>
      <c r="BU46" s="17"/>
      <c r="BV46" s="17"/>
      <c r="BW46" s="17"/>
      <c r="BX46" s="17"/>
      <c r="BY46" s="17"/>
      <c r="BZ46" s="17"/>
      <c r="CA46" s="17"/>
      <c r="CB46" s="17"/>
      <c r="CC46" s="17"/>
      <c r="CD46" s="17"/>
      <c r="CE46" s="17"/>
      <c r="CF46" s="17"/>
      <c r="CG46" s="17"/>
      <c r="CH46" s="17"/>
      <c r="CI46" s="17"/>
      <c r="CJ46" s="17"/>
      <c r="CK46" s="17"/>
      <c r="CL46" s="17"/>
      <c r="CM46" s="17"/>
      <c r="CN46" s="17"/>
    </row>
    <row r="47" spans="1:94" outlineLevel="1">
      <c r="A47" s="11">
        <f t="shared" ref="A47:A74" si="77">A46+1</f>
        <v>33</v>
      </c>
      <c r="B47" s="17" t="str">
        <f t="shared" ref="B47:AG47" si="78">IF(B$12&gt;=T,"",
  IF($A47&gt;B$13,"",
  IF(HoLee.BDT=1,
                                IF(C$12*$Q$3&lt;T,A46+(A$10*h-sig*SQRT(h)),A46+($O$3*h-sig*SQRT(h))),
                                IF(C$12*$Q$3&lt;T,A46*EXP(A$10*h-sig*SQRT(h)),A46*EXP($O$3*h-sig*SQRT(h)))
 )))</f>
        <v/>
      </c>
      <c r="C47" s="17" t="str">
        <f t="shared" si="78"/>
        <v/>
      </c>
      <c r="D47" s="17" t="str">
        <f t="shared" si="78"/>
        <v/>
      </c>
      <c r="E47" s="17" t="str">
        <f t="shared" si="78"/>
        <v/>
      </c>
      <c r="F47" s="17" t="str">
        <f t="shared" si="78"/>
        <v/>
      </c>
      <c r="G47" s="17" t="str">
        <f t="shared" si="78"/>
        <v/>
      </c>
      <c r="H47" s="17" t="str">
        <f t="shared" si="78"/>
        <v/>
      </c>
      <c r="I47" s="17" t="str">
        <f t="shared" si="78"/>
        <v/>
      </c>
      <c r="J47" s="17" t="str">
        <f t="shared" si="78"/>
        <v/>
      </c>
      <c r="K47" s="17" t="str">
        <f t="shared" si="78"/>
        <v/>
      </c>
      <c r="L47" s="17" t="str">
        <f t="shared" si="78"/>
        <v/>
      </c>
      <c r="M47" s="17" t="str">
        <f t="shared" si="78"/>
        <v/>
      </c>
      <c r="N47" s="17" t="str">
        <f t="shared" si="78"/>
        <v/>
      </c>
      <c r="O47" s="17" t="str">
        <f t="shared" si="78"/>
        <v/>
      </c>
      <c r="P47" s="17" t="str">
        <f t="shared" si="78"/>
        <v/>
      </c>
      <c r="Q47" s="17" t="str">
        <f t="shared" si="78"/>
        <v/>
      </c>
      <c r="R47" s="17" t="str">
        <f t="shared" si="78"/>
        <v/>
      </c>
      <c r="S47" s="17" t="str">
        <f t="shared" si="78"/>
        <v/>
      </c>
      <c r="T47" s="17" t="str">
        <f t="shared" si="78"/>
        <v/>
      </c>
      <c r="U47" s="17" t="str">
        <f t="shared" si="78"/>
        <v/>
      </c>
      <c r="V47" s="17" t="str">
        <f t="shared" si="78"/>
        <v/>
      </c>
      <c r="W47" s="17" t="str">
        <f t="shared" si="78"/>
        <v/>
      </c>
      <c r="X47" s="17" t="str">
        <f t="shared" si="78"/>
        <v/>
      </c>
      <c r="Y47" s="17" t="str">
        <f t="shared" si="78"/>
        <v/>
      </c>
      <c r="Z47" s="17" t="str">
        <f t="shared" si="78"/>
        <v/>
      </c>
      <c r="AA47" s="17" t="str">
        <f t="shared" si="78"/>
        <v/>
      </c>
      <c r="AB47" s="17" t="str">
        <f t="shared" si="78"/>
        <v/>
      </c>
      <c r="AC47" s="17" t="str">
        <f t="shared" si="78"/>
        <v/>
      </c>
      <c r="AD47" s="17" t="str">
        <f t="shared" si="78"/>
        <v/>
      </c>
      <c r="AE47" s="17" t="str">
        <f t="shared" si="78"/>
        <v/>
      </c>
      <c r="AF47" s="17" t="str">
        <f t="shared" si="78"/>
        <v/>
      </c>
      <c r="AG47" s="17" t="str">
        <f t="shared" si="78"/>
        <v/>
      </c>
      <c r="AH47" s="17" t="str">
        <f t="shared" ref="AH47:BJ47" si="79">IF(AH$12&gt;=T,"",
  IF($A47&gt;AH$13,"",
  IF(HoLee.BDT=1,
                                IF(AI$12*$Q$3&lt;T,AG46+(AG$10*h-sig*SQRT(h)),AG46+($O$3*h-sig*SQRT(h))),
                                IF(AI$12*$Q$3&lt;T,AG46*EXP(AG$10*h-sig*SQRT(h)),AG46*EXP($O$3*h-sig*SQRT(h)))
 )))</f>
        <v/>
      </c>
      <c r="AI47" s="17">
        <f t="shared" si="79"/>
        <v>5.0682154636656651E-2</v>
      </c>
      <c r="AJ47" s="17">
        <f t="shared" si="79"/>
        <v>5.0682154636656651E-2</v>
      </c>
      <c r="AK47" s="17">
        <f t="shared" si="79"/>
        <v>5.0682154636656651E-2</v>
      </c>
      <c r="AL47" s="17">
        <f t="shared" si="79"/>
        <v>5.0682154636656651E-2</v>
      </c>
      <c r="AM47" s="17">
        <f t="shared" si="79"/>
        <v>5.0682154636656651E-2</v>
      </c>
      <c r="AN47" s="17">
        <f t="shared" si="79"/>
        <v>5.0682154636656651E-2</v>
      </c>
      <c r="AO47" s="17">
        <f t="shared" si="79"/>
        <v>5.0682154636656651E-2</v>
      </c>
      <c r="AP47" s="17">
        <f t="shared" si="79"/>
        <v>5.0682154636656651E-2</v>
      </c>
      <c r="AQ47" s="17">
        <f t="shared" si="79"/>
        <v>5.0682154636656651E-2</v>
      </c>
      <c r="AR47" s="17">
        <f t="shared" si="79"/>
        <v>5.0682154636656651E-2</v>
      </c>
      <c r="AS47" s="17">
        <f t="shared" si="79"/>
        <v>5.0682154636656651E-2</v>
      </c>
      <c r="AT47" s="17">
        <f t="shared" si="79"/>
        <v>5.0682154636656651E-2</v>
      </c>
      <c r="AU47" s="17">
        <f t="shared" si="79"/>
        <v>5.0682154636656651E-2</v>
      </c>
      <c r="AV47" s="17">
        <f t="shared" si="79"/>
        <v>5.0682154636656651E-2</v>
      </c>
      <c r="AW47" s="17">
        <f t="shared" si="79"/>
        <v>5.0682154636656651E-2</v>
      </c>
      <c r="AX47" s="17">
        <f t="shared" si="79"/>
        <v>5.0682154636656651E-2</v>
      </c>
      <c r="AY47" s="17">
        <f t="shared" si="79"/>
        <v>5.0682154636656651E-2</v>
      </c>
      <c r="AZ47" s="17">
        <f t="shared" si="79"/>
        <v>5.0682154636656651E-2</v>
      </c>
      <c r="BA47" s="17">
        <f t="shared" si="79"/>
        <v>5.0682154636656651E-2</v>
      </c>
      <c r="BB47" s="17">
        <f t="shared" si="79"/>
        <v>5.0682154636656651E-2</v>
      </c>
      <c r="BC47" s="17">
        <f t="shared" si="79"/>
        <v>5.0682154636656651E-2</v>
      </c>
      <c r="BD47" s="17">
        <f t="shared" si="79"/>
        <v>5.0682154636656651E-2</v>
      </c>
      <c r="BE47" s="17">
        <f t="shared" si="79"/>
        <v>5.0682154636656651E-2</v>
      </c>
      <c r="BF47" s="17">
        <f t="shared" si="79"/>
        <v>5.0682154636656651E-2</v>
      </c>
      <c r="BG47" s="17">
        <f t="shared" si="79"/>
        <v>5.0682154636656651E-2</v>
      </c>
      <c r="BH47" s="17">
        <f t="shared" si="79"/>
        <v>5.0682154636656651E-2</v>
      </c>
      <c r="BI47" s="17">
        <f t="shared" si="79"/>
        <v>5.0682154636656651E-2</v>
      </c>
      <c r="BJ47" s="17" t="str">
        <f t="shared" si="79"/>
        <v/>
      </c>
      <c r="BK47" s="17"/>
      <c r="BL47" s="17"/>
      <c r="BM47" s="17"/>
      <c r="BN47" s="17"/>
      <c r="BO47" s="17"/>
      <c r="BP47" s="17"/>
      <c r="BQ47" s="17"/>
      <c r="BR47" s="17"/>
      <c r="BS47" s="17"/>
      <c r="BT47" s="17"/>
      <c r="BU47" s="17"/>
      <c r="BV47" s="17"/>
      <c r="BW47" s="17"/>
      <c r="BX47" s="17"/>
      <c r="BY47" s="17"/>
      <c r="BZ47" s="17"/>
      <c r="CA47" s="17"/>
      <c r="CB47" s="17"/>
      <c r="CC47" s="17"/>
      <c r="CD47" s="17"/>
      <c r="CE47" s="17"/>
      <c r="CF47" s="17"/>
      <c r="CG47" s="17"/>
      <c r="CH47" s="17"/>
      <c r="CI47" s="17"/>
      <c r="CJ47" s="17"/>
      <c r="CK47" s="17"/>
      <c r="CL47" s="17"/>
      <c r="CM47" s="17"/>
      <c r="CN47" s="17"/>
      <c r="CO47" s="17"/>
    </row>
    <row r="48" spans="1:94" outlineLevel="1">
      <c r="A48" s="11">
        <f t="shared" si="77"/>
        <v>34</v>
      </c>
      <c r="B48" s="17" t="str">
        <f t="shared" ref="B48:AG48" si="80">IF(B$12&gt;=T,"",
  IF($A48&gt;B$13,"",
  IF(HoLee.BDT=1,
                                IF(C$12*$Q$3&lt;T,A47+(A$10*h-sig*SQRT(h)),A47+($O$3*h-sig*SQRT(h))),
                                IF(C$12*$Q$3&lt;T,A47*EXP(A$10*h-sig*SQRT(h)),A47*EXP($O$3*h-sig*SQRT(h)))
 )))</f>
        <v/>
      </c>
      <c r="C48" s="17" t="str">
        <f t="shared" si="80"/>
        <v/>
      </c>
      <c r="D48" s="17" t="str">
        <f t="shared" si="80"/>
        <v/>
      </c>
      <c r="E48" s="17" t="str">
        <f t="shared" si="80"/>
        <v/>
      </c>
      <c r="F48" s="17" t="str">
        <f t="shared" si="80"/>
        <v/>
      </c>
      <c r="G48" s="17" t="str">
        <f t="shared" si="80"/>
        <v/>
      </c>
      <c r="H48" s="17" t="str">
        <f t="shared" si="80"/>
        <v/>
      </c>
      <c r="I48" s="17" t="str">
        <f t="shared" si="80"/>
        <v/>
      </c>
      <c r="J48" s="17" t="str">
        <f t="shared" si="80"/>
        <v/>
      </c>
      <c r="K48" s="17" t="str">
        <f t="shared" si="80"/>
        <v/>
      </c>
      <c r="L48" s="17" t="str">
        <f t="shared" si="80"/>
        <v/>
      </c>
      <c r="M48" s="17" t="str">
        <f t="shared" si="80"/>
        <v/>
      </c>
      <c r="N48" s="17" t="str">
        <f t="shared" si="80"/>
        <v/>
      </c>
      <c r="O48" s="17" t="str">
        <f t="shared" si="80"/>
        <v/>
      </c>
      <c r="P48" s="17" t="str">
        <f t="shared" si="80"/>
        <v/>
      </c>
      <c r="Q48" s="17" t="str">
        <f t="shared" si="80"/>
        <v/>
      </c>
      <c r="R48" s="17" t="str">
        <f t="shared" si="80"/>
        <v/>
      </c>
      <c r="S48" s="17" t="str">
        <f t="shared" si="80"/>
        <v/>
      </c>
      <c r="T48" s="17" t="str">
        <f t="shared" si="80"/>
        <v/>
      </c>
      <c r="U48" s="17" t="str">
        <f t="shared" si="80"/>
        <v/>
      </c>
      <c r="V48" s="17" t="str">
        <f t="shared" si="80"/>
        <v/>
      </c>
      <c r="W48" s="17" t="str">
        <f t="shared" si="80"/>
        <v/>
      </c>
      <c r="X48" s="17" t="str">
        <f t="shared" si="80"/>
        <v/>
      </c>
      <c r="Y48" s="17" t="str">
        <f t="shared" si="80"/>
        <v/>
      </c>
      <c r="Z48" s="17" t="str">
        <f t="shared" si="80"/>
        <v/>
      </c>
      <c r="AA48" s="17" t="str">
        <f t="shared" si="80"/>
        <v/>
      </c>
      <c r="AB48" s="17" t="str">
        <f t="shared" si="80"/>
        <v/>
      </c>
      <c r="AC48" s="17" t="str">
        <f t="shared" si="80"/>
        <v/>
      </c>
      <c r="AD48" s="17" t="str">
        <f t="shared" si="80"/>
        <v/>
      </c>
      <c r="AE48" s="17" t="str">
        <f t="shared" si="80"/>
        <v/>
      </c>
      <c r="AF48" s="17" t="str">
        <f t="shared" si="80"/>
        <v/>
      </c>
      <c r="AG48" s="17" t="str">
        <f t="shared" si="80"/>
        <v/>
      </c>
      <c r="AH48" s="17" t="str">
        <f t="shared" ref="AH48:BJ48" si="81">IF(AH$12&gt;=T,"",
  IF($A48&gt;AH$13,"",
  IF(HoLee.BDT=1,
                                IF(AI$12*$Q$3&lt;T,AG47+(AG$10*h-sig*SQRT(h)),AG47+($O$3*h-sig*SQRT(h))),
                                IF(AI$12*$Q$3&lt;T,AG47*EXP(AG$10*h-sig*SQRT(h)),AG47*EXP($O$3*h-sig*SQRT(h)))
 )))</f>
        <v/>
      </c>
      <c r="AI48" s="17" t="str">
        <f t="shared" si="81"/>
        <v/>
      </c>
      <c r="AJ48" s="17">
        <f t="shared" si="81"/>
        <v>5.0682154636656651E-2</v>
      </c>
      <c r="AK48" s="17">
        <f t="shared" si="81"/>
        <v>5.0682154636656651E-2</v>
      </c>
      <c r="AL48" s="17">
        <f t="shared" si="81"/>
        <v>5.0682154636656651E-2</v>
      </c>
      <c r="AM48" s="17">
        <f t="shared" si="81"/>
        <v>5.0682154636656651E-2</v>
      </c>
      <c r="AN48" s="17">
        <f t="shared" si="81"/>
        <v>5.0682154636656651E-2</v>
      </c>
      <c r="AO48" s="17">
        <f t="shared" si="81"/>
        <v>5.0682154636656651E-2</v>
      </c>
      <c r="AP48" s="17">
        <f t="shared" si="81"/>
        <v>5.0682154636656651E-2</v>
      </c>
      <c r="AQ48" s="17">
        <f t="shared" si="81"/>
        <v>5.0682154636656651E-2</v>
      </c>
      <c r="AR48" s="17">
        <f t="shared" si="81"/>
        <v>5.0682154636656651E-2</v>
      </c>
      <c r="AS48" s="17">
        <f t="shared" si="81"/>
        <v>5.0682154636656651E-2</v>
      </c>
      <c r="AT48" s="17">
        <f t="shared" si="81"/>
        <v>5.0682154636656651E-2</v>
      </c>
      <c r="AU48" s="17">
        <f t="shared" si="81"/>
        <v>5.0682154636656651E-2</v>
      </c>
      <c r="AV48" s="17">
        <f t="shared" si="81"/>
        <v>5.0682154636656651E-2</v>
      </c>
      <c r="AW48" s="17">
        <f t="shared" si="81"/>
        <v>5.0682154636656651E-2</v>
      </c>
      <c r="AX48" s="17">
        <f t="shared" si="81"/>
        <v>5.0682154636656651E-2</v>
      </c>
      <c r="AY48" s="17">
        <f t="shared" si="81"/>
        <v>5.0682154636656651E-2</v>
      </c>
      <c r="AZ48" s="17">
        <f t="shared" si="81"/>
        <v>5.0682154636656651E-2</v>
      </c>
      <c r="BA48" s="17">
        <f t="shared" si="81"/>
        <v>5.0682154636656651E-2</v>
      </c>
      <c r="BB48" s="17">
        <f t="shared" si="81"/>
        <v>5.0682154636656651E-2</v>
      </c>
      <c r="BC48" s="17">
        <f t="shared" si="81"/>
        <v>5.0682154636656651E-2</v>
      </c>
      <c r="BD48" s="17">
        <f t="shared" si="81"/>
        <v>5.0682154636656651E-2</v>
      </c>
      <c r="BE48" s="17">
        <f t="shared" si="81"/>
        <v>5.0682154636656651E-2</v>
      </c>
      <c r="BF48" s="17">
        <f t="shared" si="81"/>
        <v>5.0682154636656651E-2</v>
      </c>
      <c r="BG48" s="17">
        <f t="shared" si="81"/>
        <v>5.0682154636656651E-2</v>
      </c>
      <c r="BH48" s="17">
        <f t="shared" si="81"/>
        <v>5.0682154636656651E-2</v>
      </c>
      <c r="BI48" s="17">
        <f t="shared" si="81"/>
        <v>5.0682154636656651E-2</v>
      </c>
      <c r="BJ48" s="17" t="str">
        <f t="shared" si="81"/>
        <v/>
      </c>
      <c r="BK48" s="17"/>
      <c r="BL48" s="17"/>
      <c r="BM48" s="17"/>
      <c r="BN48" s="17"/>
      <c r="BO48" s="17"/>
      <c r="BP48" s="17"/>
      <c r="BQ48" s="17"/>
      <c r="BR48" s="17"/>
      <c r="BS48" s="17"/>
      <c r="BT48" s="17"/>
      <c r="BU48" s="17"/>
      <c r="BV48" s="17"/>
      <c r="BW48" s="17"/>
      <c r="BX48" s="17"/>
      <c r="BY48" s="17"/>
      <c r="BZ48" s="17"/>
      <c r="CA48" s="17"/>
      <c r="CB48" s="17"/>
      <c r="CC48" s="17"/>
      <c r="CD48" s="17"/>
      <c r="CE48" s="17"/>
      <c r="CF48" s="17"/>
      <c r="CG48" s="17"/>
      <c r="CH48" s="17"/>
      <c r="CI48" s="17"/>
      <c r="CJ48" s="17"/>
      <c r="CK48" s="17"/>
      <c r="CL48" s="17"/>
      <c r="CM48" s="17"/>
      <c r="CN48" s="17"/>
      <c r="CO48" s="17"/>
      <c r="CP48" s="17"/>
    </row>
    <row r="49" spans="1:110" outlineLevel="1">
      <c r="A49" s="11">
        <f t="shared" si="77"/>
        <v>35</v>
      </c>
      <c r="B49" s="17" t="str">
        <f t="shared" ref="B49:AG49" si="82">IF(B$12&gt;=T,"",
  IF($A49&gt;B$13,"",
  IF(HoLee.BDT=1,
                                IF(C$12*$Q$3&lt;T,A48+(A$10*h-sig*SQRT(h)),A48+($O$3*h-sig*SQRT(h))),
                                IF(C$12*$Q$3&lt;T,A48*EXP(A$10*h-sig*SQRT(h)),A48*EXP($O$3*h-sig*SQRT(h)))
 )))</f>
        <v/>
      </c>
      <c r="C49" s="17" t="str">
        <f t="shared" si="82"/>
        <v/>
      </c>
      <c r="D49" s="17" t="str">
        <f t="shared" si="82"/>
        <v/>
      </c>
      <c r="E49" s="17" t="str">
        <f t="shared" si="82"/>
        <v/>
      </c>
      <c r="F49" s="17" t="str">
        <f t="shared" si="82"/>
        <v/>
      </c>
      <c r="G49" s="17" t="str">
        <f t="shared" si="82"/>
        <v/>
      </c>
      <c r="H49" s="17" t="str">
        <f t="shared" si="82"/>
        <v/>
      </c>
      <c r="I49" s="17" t="str">
        <f t="shared" si="82"/>
        <v/>
      </c>
      <c r="J49" s="17" t="str">
        <f t="shared" si="82"/>
        <v/>
      </c>
      <c r="K49" s="17" t="str">
        <f t="shared" si="82"/>
        <v/>
      </c>
      <c r="L49" s="17" t="str">
        <f t="shared" si="82"/>
        <v/>
      </c>
      <c r="M49" s="17" t="str">
        <f t="shared" si="82"/>
        <v/>
      </c>
      <c r="N49" s="17" t="str">
        <f t="shared" si="82"/>
        <v/>
      </c>
      <c r="O49" s="17" t="str">
        <f t="shared" si="82"/>
        <v/>
      </c>
      <c r="P49" s="17" t="str">
        <f t="shared" si="82"/>
        <v/>
      </c>
      <c r="Q49" s="17" t="str">
        <f t="shared" si="82"/>
        <v/>
      </c>
      <c r="R49" s="17" t="str">
        <f t="shared" si="82"/>
        <v/>
      </c>
      <c r="S49" s="17" t="str">
        <f t="shared" si="82"/>
        <v/>
      </c>
      <c r="T49" s="17" t="str">
        <f t="shared" si="82"/>
        <v/>
      </c>
      <c r="U49" s="17" t="str">
        <f t="shared" si="82"/>
        <v/>
      </c>
      <c r="V49" s="17" t="str">
        <f t="shared" si="82"/>
        <v/>
      </c>
      <c r="W49" s="17" t="str">
        <f t="shared" si="82"/>
        <v/>
      </c>
      <c r="X49" s="17" t="str">
        <f t="shared" si="82"/>
        <v/>
      </c>
      <c r="Y49" s="17" t="str">
        <f t="shared" si="82"/>
        <v/>
      </c>
      <c r="Z49" s="17" t="str">
        <f t="shared" si="82"/>
        <v/>
      </c>
      <c r="AA49" s="17" t="str">
        <f t="shared" si="82"/>
        <v/>
      </c>
      <c r="AB49" s="17" t="str">
        <f t="shared" si="82"/>
        <v/>
      </c>
      <c r="AC49" s="17" t="str">
        <f t="shared" si="82"/>
        <v/>
      </c>
      <c r="AD49" s="17" t="str">
        <f t="shared" si="82"/>
        <v/>
      </c>
      <c r="AE49" s="17" t="str">
        <f t="shared" si="82"/>
        <v/>
      </c>
      <c r="AF49" s="17" t="str">
        <f t="shared" si="82"/>
        <v/>
      </c>
      <c r="AG49" s="17" t="str">
        <f t="shared" si="82"/>
        <v/>
      </c>
      <c r="AH49" s="17" t="str">
        <f t="shared" ref="AH49:BJ49" si="83">IF(AH$12&gt;=T,"",
  IF($A49&gt;AH$13,"",
  IF(HoLee.BDT=1,
                                IF(AI$12*$Q$3&lt;T,AG48+(AG$10*h-sig*SQRT(h)),AG48+($O$3*h-sig*SQRT(h))),
                                IF(AI$12*$Q$3&lt;T,AG48*EXP(AG$10*h-sig*SQRT(h)),AG48*EXP($O$3*h-sig*SQRT(h)))
 )))</f>
        <v/>
      </c>
      <c r="AI49" s="17" t="str">
        <f t="shared" si="83"/>
        <v/>
      </c>
      <c r="AJ49" s="17" t="str">
        <f t="shared" si="83"/>
        <v/>
      </c>
      <c r="AK49" s="17">
        <f t="shared" si="83"/>
        <v>5.0682154636656651E-2</v>
      </c>
      <c r="AL49" s="17">
        <f t="shared" si="83"/>
        <v>5.0682154636656651E-2</v>
      </c>
      <c r="AM49" s="17">
        <f t="shared" si="83"/>
        <v>5.0682154636656651E-2</v>
      </c>
      <c r="AN49" s="17">
        <f t="shared" si="83"/>
        <v>5.0682154636656651E-2</v>
      </c>
      <c r="AO49" s="17">
        <f t="shared" si="83"/>
        <v>5.0682154636656651E-2</v>
      </c>
      <c r="AP49" s="17">
        <f t="shared" si="83"/>
        <v>5.0682154636656651E-2</v>
      </c>
      <c r="AQ49" s="17">
        <f t="shared" si="83"/>
        <v>5.0682154636656651E-2</v>
      </c>
      <c r="AR49" s="17">
        <f t="shared" si="83"/>
        <v>5.0682154636656651E-2</v>
      </c>
      <c r="AS49" s="17">
        <f t="shared" si="83"/>
        <v>5.0682154636656651E-2</v>
      </c>
      <c r="AT49" s="17">
        <f t="shared" si="83"/>
        <v>5.0682154636656651E-2</v>
      </c>
      <c r="AU49" s="17">
        <f t="shared" si="83"/>
        <v>5.0682154636656651E-2</v>
      </c>
      <c r="AV49" s="17">
        <f t="shared" si="83"/>
        <v>5.0682154636656651E-2</v>
      </c>
      <c r="AW49" s="17">
        <f t="shared" si="83"/>
        <v>5.0682154636656651E-2</v>
      </c>
      <c r="AX49" s="17">
        <f t="shared" si="83"/>
        <v>5.0682154636656651E-2</v>
      </c>
      <c r="AY49" s="17">
        <f t="shared" si="83"/>
        <v>5.0682154636656651E-2</v>
      </c>
      <c r="AZ49" s="17">
        <f t="shared" si="83"/>
        <v>5.0682154636656651E-2</v>
      </c>
      <c r="BA49" s="17">
        <f t="shared" si="83"/>
        <v>5.0682154636656651E-2</v>
      </c>
      <c r="BB49" s="17">
        <f t="shared" si="83"/>
        <v>5.0682154636656651E-2</v>
      </c>
      <c r="BC49" s="17">
        <f t="shared" si="83"/>
        <v>5.0682154636656651E-2</v>
      </c>
      <c r="BD49" s="17">
        <f t="shared" si="83"/>
        <v>5.0682154636656651E-2</v>
      </c>
      <c r="BE49" s="17">
        <f t="shared" si="83"/>
        <v>5.0682154636656651E-2</v>
      </c>
      <c r="BF49" s="17">
        <f t="shared" si="83"/>
        <v>5.0682154636656651E-2</v>
      </c>
      <c r="BG49" s="17">
        <f t="shared" si="83"/>
        <v>5.0682154636656651E-2</v>
      </c>
      <c r="BH49" s="17">
        <f t="shared" si="83"/>
        <v>5.0682154636656651E-2</v>
      </c>
      <c r="BI49" s="17">
        <f t="shared" si="83"/>
        <v>5.0682154636656651E-2</v>
      </c>
      <c r="BJ49" s="17" t="str">
        <f t="shared" si="83"/>
        <v/>
      </c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17"/>
      <c r="CE49" s="17"/>
      <c r="CF49" s="17"/>
      <c r="CG49" s="17"/>
      <c r="CH49" s="17"/>
      <c r="CI49" s="17"/>
      <c r="CJ49" s="17"/>
      <c r="CK49" s="17"/>
      <c r="CL49" s="17"/>
      <c r="CM49" s="17"/>
      <c r="CN49" s="17"/>
      <c r="CO49" s="17"/>
      <c r="CP49" s="17"/>
      <c r="CQ49" s="17"/>
    </row>
    <row r="50" spans="1:110" outlineLevel="1">
      <c r="A50" s="11">
        <f t="shared" si="77"/>
        <v>36</v>
      </c>
      <c r="B50" s="17" t="str">
        <f t="shared" ref="B50:AG50" si="84">IF(B$12&gt;=T,"",
  IF($A50&gt;B$13,"",
  IF(HoLee.BDT=1,
                                IF(C$12*$Q$3&lt;T,A49+(A$10*h-sig*SQRT(h)),A49+($O$3*h-sig*SQRT(h))),
                                IF(C$12*$Q$3&lt;T,A49*EXP(A$10*h-sig*SQRT(h)),A49*EXP($O$3*h-sig*SQRT(h)))
 )))</f>
        <v/>
      </c>
      <c r="C50" s="17" t="str">
        <f t="shared" si="84"/>
        <v/>
      </c>
      <c r="D50" s="17" t="str">
        <f t="shared" si="84"/>
        <v/>
      </c>
      <c r="E50" s="17" t="str">
        <f t="shared" si="84"/>
        <v/>
      </c>
      <c r="F50" s="17" t="str">
        <f t="shared" si="84"/>
        <v/>
      </c>
      <c r="G50" s="17" t="str">
        <f t="shared" si="84"/>
        <v/>
      </c>
      <c r="H50" s="17" t="str">
        <f t="shared" si="84"/>
        <v/>
      </c>
      <c r="I50" s="17" t="str">
        <f t="shared" si="84"/>
        <v/>
      </c>
      <c r="J50" s="17" t="str">
        <f t="shared" si="84"/>
        <v/>
      </c>
      <c r="K50" s="17" t="str">
        <f t="shared" si="84"/>
        <v/>
      </c>
      <c r="L50" s="17" t="str">
        <f t="shared" si="84"/>
        <v/>
      </c>
      <c r="M50" s="17" t="str">
        <f t="shared" si="84"/>
        <v/>
      </c>
      <c r="N50" s="17" t="str">
        <f t="shared" si="84"/>
        <v/>
      </c>
      <c r="O50" s="17" t="str">
        <f t="shared" si="84"/>
        <v/>
      </c>
      <c r="P50" s="17" t="str">
        <f t="shared" si="84"/>
        <v/>
      </c>
      <c r="Q50" s="17" t="str">
        <f t="shared" si="84"/>
        <v/>
      </c>
      <c r="R50" s="17" t="str">
        <f t="shared" si="84"/>
        <v/>
      </c>
      <c r="S50" s="17" t="str">
        <f t="shared" si="84"/>
        <v/>
      </c>
      <c r="T50" s="17" t="str">
        <f t="shared" si="84"/>
        <v/>
      </c>
      <c r="U50" s="17" t="str">
        <f t="shared" si="84"/>
        <v/>
      </c>
      <c r="V50" s="17" t="str">
        <f t="shared" si="84"/>
        <v/>
      </c>
      <c r="W50" s="17" t="str">
        <f t="shared" si="84"/>
        <v/>
      </c>
      <c r="X50" s="17" t="str">
        <f t="shared" si="84"/>
        <v/>
      </c>
      <c r="Y50" s="17" t="str">
        <f t="shared" si="84"/>
        <v/>
      </c>
      <c r="Z50" s="17" t="str">
        <f t="shared" si="84"/>
        <v/>
      </c>
      <c r="AA50" s="17" t="str">
        <f t="shared" si="84"/>
        <v/>
      </c>
      <c r="AB50" s="17" t="str">
        <f t="shared" si="84"/>
        <v/>
      </c>
      <c r="AC50" s="17" t="str">
        <f t="shared" si="84"/>
        <v/>
      </c>
      <c r="AD50" s="17" t="str">
        <f t="shared" si="84"/>
        <v/>
      </c>
      <c r="AE50" s="17" t="str">
        <f t="shared" si="84"/>
        <v/>
      </c>
      <c r="AF50" s="17" t="str">
        <f t="shared" si="84"/>
        <v/>
      </c>
      <c r="AG50" s="17" t="str">
        <f t="shared" si="84"/>
        <v/>
      </c>
      <c r="AH50" s="17" t="str">
        <f t="shared" ref="AH50:BJ50" si="85">IF(AH$12&gt;=T,"",
  IF($A50&gt;AH$13,"",
  IF(HoLee.BDT=1,
                                IF(AI$12*$Q$3&lt;T,AG49+(AG$10*h-sig*SQRT(h)),AG49+($O$3*h-sig*SQRT(h))),
                                IF(AI$12*$Q$3&lt;T,AG49*EXP(AG$10*h-sig*SQRT(h)),AG49*EXP($O$3*h-sig*SQRT(h)))
 )))</f>
        <v/>
      </c>
      <c r="AI50" s="17" t="str">
        <f t="shared" si="85"/>
        <v/>
      </c>
      <c r="AJ50" s="17" t="str">
        <f t="shared" si="85"/>
        <v/>
      </c>
      <c r="AK50" s="17" t="str">
        <f t="shared" si="85"/>
        <v/>
      </c>
      <c r="AL50" s="17">
        <f t="shared" si="85"/>
        <v>5.0682154636656651E-2</v>
      </c>
      <c r="AM50" s="17">
        <f t="shared" si="85"/>
        <v>5.0682154636656651E-2</v>
      </c>
      <c r="AN50" s="17">
        <f t="shared" si="85"/>
        <v>5.0682154636656651E-2</v>
      </c>
      <c r="AO50" s="17">
        <f t="shared" si="85"/>
        <v>5.0682154636656651E-2</v>
      </c>
      <c r="AP50" s="17">
        <f t="shared" si="85"/>
        <v>5.0682154636656651E-2</v>
      </c>
      <c r="AQ50" s="17">
        <f t="shared" si="85"/>
        <v>5.0682154636656651E-2</v>
      </c>
      <c r="AR50" s="17">
        <f t="shared" si="85"/>
        <v>5.0682154636656651E-2</v>
      </c>
      <c r="AS50" s="17">
        <f t="shared" si="85"/>
        <v>5.0682154636656651E-2</v>
      </c>
      <c r="AT50" s="17">
        <f t="shared" si="85"/>
        <v>5.0682154636656651E-2</v>
      </c>
      <c r="AU50" s="17">
        <f t="shared" si="85"/>
        <v>5.0682154636656651E-2</v>
      </c>
      <c r="AV50" s="17">
        <f t="shared" si="85"/>
        <v>5.0682154636656651E-2</v>
      </c>
      <c r="AW50" s="17">
        <f t="shared" si="85"/>
        <v>5.0682154636656651E-2</v>
      </c>
      <c r="AX50" s="17">
        <f t="shared" si="85"/>
        <v>5.0682154636656651E-2</v>
      </c>
      <c r="AY50" s="17">
        <f t="shared" si="85"/>
        <v>5.0682154636656651E-2</v>
      </c>
      <c r="AZ50" s="17">
        <f t="shared" si="85"/>
        <v>5.0682154636656651E-2</v>
      </c>
      <c r="BA50" s="17">
        <f t="shared" si="85"/>
        <v>5.0682154636656651E-2</v>
      </c>
      <c r="BB50" s="17">
        <f t="shared" si="85"/>
        <v>5.0682154636656651E-2</v>
      </c>
      <c r="BC50" s="17">
        <f t="shared" si="85"/>
        <v>5.0682154636656651E-2</v>
      </c>
      <c r="BD50" s="17">
        <f t="shared" si="85"/>
        <v>5.0682154636656651E-2</v>
      </c>
      <c r="BE50" s="17">
        <f t="shared" si="85"/>
        <v>5.0682154636656651E-2</v>
      </c>
      <c r="BF50" s="17">
        <f t="shared" si="85"/>
        <v>5.0682154636656651E-2</v>
      </c>
      <c r="BG50" s="17">
        <f t="shared" si="85"/>
        <v>5.0682154636656651E-2</v>
      </c>
      <c r="BH50" s="17">
        <f t="shared" si="85"/>
        <v>5.0682154636656651E-2</v>
      </c>
      <c r="BI50" s="17">
        <f t="shared" si="85"/>
        <v>5.0682154636656651E-2</v>
      </c>
      <c r="BJ50" s="17" t="str">
        <f t="shared" si="85"/>
        <v/>
      </c>
      <c r="BK50" s="17"/>
      <c r="BL50" s="17"/>
      <c r="BM50" s="17"/>
      <c r="BN50" s="17"/>
      <c r="BO50" s="17"/>
      <c r="BP50" s="17"/>
      <c r="BQ50" s="17"/>
      <c r="BR50" s="17"/>
      <c r="BS50" s="17"/>
      <c r="BT50" s="17"/>
      <c r="BU50" s="17"/>
      <c r="BV50" s="17"/>
      <c r="BW50" s="17"/>
      <c r="BX50" s="17"/>
      <c r="BY50" s="17"/>
      <c r="BZ50" s="17"/>
      <c r="CA50" s="17"/>
      <c r="CB50" s="17"/>
      <c r="CC50" s="17"/>
      <c r="CD50" s="17"/>
      <c r="CE50" s="17"/>
      <c r="CF50" s="17"/>
      <c r="CG50" s="17"/>
      <c r="CH50" s="17"/>
      <c r="CI50" s="17"/>
      <c r="CJ50" s="17"/>
      <c r="CK50" s="17"/>
      <c r="CL50" s="17"/>
      <c r="CM50" s="17"/>
      <c r="CN50" s="17"/>
      <c r="CO50" s="17"/>
      <c r="CP50" s="17"/>
      <c r="CQ50" s="17"/>
      <c r="CR50" s="17"/>
    </row>
    <row r="51" spans="1:110" outlineLevel="1">
      <c r="A51" s="11">
        <f t="shared" si="77"/>
        <v>37</v>
      </c>
      <c r="B51" s="17" t="str">
        <f t="shared" ref="B51:AG51" si="86">IF(B$12&gt;=T,"",
  IF($A51&gt;B$13,"",
  IF(HoLee.BDT=1,
                                IF(C$12*$Q$3&lt;T,A50+(A$10*h-sig*SQRT(h)),A50+($O$3*h-sig*SQRT(h))),
                                IF(C$12*$Q$3&lt;T,A50*EXP(A$10*h-sig*SQRT(h)),A50*EXP($O$3*h-sig*SQRT(h)))
 )))</f>
        <v/>
      </c>
      <c r="C51" s="17" t="str">
        <f t="shared" si="86"/>
        <v/>
      </c>
      <c r="D51" s="17" t="str">
        <f t="shared" si="86"/>
        <v/>
      </c>
      <c r="E51" s="17" t="str">
        <f t="shared" si="86"/>
        <v/>
      </c>
      <c r="F51" s="17" t="str">
        <f t="shared" si="86"/>
        <v/>
      </c>
      <c r="G51" s="17" t="str">
        <f t="shared" si="86"/>
        <v/>
      </c>
      <c r="H51" s="17" t="str">
        <f t="shared" si="86"/>
        <v/>
      </c>
      <c r="I51" s="17" t="str">
        <f t="shared" si="86"/>
        <v/>
      </c>
      <c r="J51" s="17" t="str">
        <f t="shared" si="86"/>
        <v/>
      </c>
      <c r="K51" s="17" t="str">
        <f t="shared" si="86"/>
        <v/>
      </c>
      <c r="L51" s="17" t="str">
        <f t="shared" si="86"/>
        <v/>
      </c>
      <c r="M51" s="17" t="str">
        <f t="shared" si="86"/>
        <v/>
      </c>
      <c r="N51" s="17" t="str">
        <f t="shared" si="86"/>
        <v/>
      </c>
      <c r="O51" s="17" t="str">
        <f t="shared" si="86"/>
        <v/>
      </c>
      <c r="P51" s="17" t="str">
        <f t="shared" si="86"/>
        <v/>
      </c>
      <c r="Q51" s="17" t="str">
        <f t="shared" si="86"/>
        <v/>
      </c>
      <c r="R51" s="17" t="str">
        <f t="shared" si="86"/>
        <v/>
      </c>
      <c r="S51" s="17" t="str">
        <f t="shared" si="86"/>
        <v/>
      </c>
      <c r="T51" s="17" t="str">
        <f t="shared" si="86"/>
        <v/>
      </c>
      <c r="U51" s="17" t="str">
        <f t="shared" si="86"/>
        <v/>
      </c>
      <c r="V51" s="17" t="str">
        <f t="shared" si="86"/>
        <v/>
      </c>
      <c r="W51" s="17" t="str">
        <f t="shared" si="86"/>
        <v/>
      </c>
      <c r="X51" s="17" t="str">
        <f t="shared" si="86"/>
        <v/>
      </c>
      <c r="Y51" s="17" t="str">
        <f t="shared" si="86"/>
        <v/>
      </c>
      <c r="Z51" s="17" t="str">
        <f t="shared" si="86"/>
        <v/>
      </c>
      <c r="AA51" s="17" t="str">
        <f t="shared" si="86"/>
        <v/>
      </c>
      <c r="AB51" s="17" t="str">
        <f t="shared" si="86"/>
        <v/>
      </c>
      <c r="AC51" s="17" t="str">
        <f t="shared" si="86"/>
        <v/>
      </c>
      <c r="AD51" s="17" t="str">
        <f t="shared" si="86"/>
        <v/>
      </c>
      <c r="AE51" s="17" t="str">
        <f t="shared" si="86"/>
        <v/>
      </c>
      <c r="AF51" s="17" t="str">
        <f t="shared" si="86"/>
        <v/>
      </c>
      <c r="AG51" s="17" t="str">
        <f t="shared" si="86"/>
        <v/>
      </c>
      <c r="AH51" s="17" t="str">
        <f t="shared" ref="AH51:BJ51" si="87">IF(AH$12&gt;=T,"",
  IF($A51&gt;AH$13,"",
  IF(HoLee.BDT=1,
                                IF(AI$12*$Q$3&lt;T,AG50+(AG$10*h-sig*SQRT(h)),AG50+($O$3*h-sig*SQRT(h))),
                                IF(AI$12*$Q$3&lt;T,AG50*EXP(AG$10*h-sig*SQRT(h)),AG50*EXP($O$3*h-sig*SQRT(h)))
 )))</f>
        <v/>
      </c>
      <c r="AI51" s="17" t="str">
        <f t="shared" si="87"/>
        <v/>
      </c>
      <c r="AJ51" s="17" t="str">
        <f t="shared" si="87"/>
        <v/>
      </c>
      <c r="AK51" s="17" t="str">
        <f t="shared" si="87"/>
        <v/>
      </c>
      <c r="AL51" s="17" t="str">
        <f t="shared" si="87"/>
        <v/>
      </c>
      <c r="AM51" s="17">
        <f t="shared" si="87"/>
        <v>5.0682154636656651E-2</v>
      </c>
      <c r="AN51" s="17">
        <f t="shared" si="87"/>
        <v>5.0682154636656651E-2</v>
      </c>
      <c r="AO51" s="17">
        <f t="shared" si="87"/>
        <v>5.0682154636656651E-2</v>
      </c>
      <c r="AP51" s="17">
        <f t="shared" si="87"/>
        <v>5.0682154636656651E-2</v>
      </c>
      <c r="AQ51" s="17">
        <f t="shared" si="87"/>
        <v>5.0682154636656651E-2</v>
      </c>
      <c r="AR51" s="17">
        <f t="shared" si="87"/>
        <v>5.0682154636656651E-2</v>
      </c>
      <c r="AS51" s="17">
        <f t="shared" si="87"/>
        <v>5.0682154636656651E-2</v>
      </c>
      <c r="AT51" s="17">
        <f t="shared" si="87"/>
        <v>5.0682154636656651E-2</v>
      </c>
      <c r="AU51" s="17">
        <f t="shared" si="87"/>
        <v>5.0682154636656651E-2</v>
      </c>
      <c r="AV51" s="17">
        <f t="shared" si="87"/>
        <v>5.0682154636656651E-2</v>
      </c>
      <c r="AW51" s="17">
        <f t="shared" si="87"/>
        <v>5.0682154636656651E-2</v>
      </c>
      <c r="AX51" s="17">
        <f t="shared" si="87"/>
        <v>5.0682154636656651E-2</v>
      </c>
      <c r="AY51" s="17">
        <f t="shared" si="87"/>
        <v>5.0682154636656651E-2</v>
      </c>
      <c r="AZ51" s="17">
        <f t="shared" si="87"/>
        <v>5.0682154636656651E-2</v>
      </c>
      <c r="BA51" s="17">
        <f t="shared" si="87"/>
        <v>5.0682154636656651E-2</v>
      </c>
      <c r="BB51" s="17">
        <f t="shared" si="87"/>
        <v>5.0682154636656651E-2</v>
      </c>
      <c r="BC51" s="17">
        <f t="shared" si="87"/>
        <v>5.0682154636656651E-2</v>
      </c>
      <c r="BD51" s="17">
        <f t="shared" si="87"/>
        <v>5.0682154636656651E-2</v>
      </c>
      <c r="BE51" s="17">
        <f t="shared" si="87"/>
        <v>5.0682154636656651E-2</v>
      </c>
      <c r="BF51" s="17">
        <f t="shared" si="87"/>
        <v>5.0682154636656651E-2</v>
      </c>
      <c r="BG51" s="17">
        <f t="shared" si="87"/>
        <v>5.0682154636656651E-2</v>
      </c>
      <c r="BH51" s="17">
        <f t="shared" si="87"/>
        <v>5.0682154636656651E-2</v>
      </c>
      <c r="BI51" s="17">
        <f t="shared" si="87"/>
        <v>5.0682154636656651E-2</v>
      </c>
      <c r="BJ51" s="17" t="str">
        <f t="shared" si="87"/>
        <v/>
      </c>
      <c r="BK51" s="17"/>
      <c r="BL51" s="17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7"/>
      <c r="BX51" s="17"/>
      <c r="BY51" s="17"/>
      <c r="BZ51" s="17"/>
      <c r="CA51" s="17"/>
      <c r="CB51" s="17"/>
      <c r="CC51" s="17"/>
      <c r="CD51" s="17"/>
      <c r="CE51" s="17"/>
      <c r="CF51" s="17"/>
      <c r="CG51" s="17"/>
      <c r="CH51" s="17"/>
      <c r="CI51" s="17"/>
      <c r="CJ51" s="17"/>
      <c r="CK51" s="17"/>
      <c r="CL51" s="17"/>
      <c r="CM51" s="17"/>
      <c r="CN51" s="17"/>
      <c r="CO51" s="17"/>
      <c r="CP51" s="17"/>
      <c r="CQ51" s="17"/>
      <c r="CR51" s="17"/>
      <c r="CS51" s="17"/>
    </row>
    <row r="52" spans="1:110" outlineLevel="1">
      <c r="A52" s="11">
        <f t="shared" si="77"/>
        <v>38</v>
      </c>
      <c r="B52" s="17" t="str">
        <f t="shared" ref="B52:AG52" si="88">IF(B$12&gt;=T,"",
  IF($A52&gt;B$13,"",
  IF(HoLee.BDT=1,
                                IF(C$12*$Q$3&lt;T,A51+(A$10*h-sig*SQRT(h)),A51+($O$3*h-sig*SQRT(h))),
                                IF(C$12*$Q$3&lt;T,A51*EXP(A$10*h-sig*SQRT(h)),A51*EXP($O$3*h-sig*SQRT(h)))
 )))</f>
        <v/>
      </c>
      <c r="C52" s="17" t="str">
        <f t="shared" si="88"/>
        <v/>
      </c>
      <c r="D52" s="17" t="str">
        <f t="shared" si="88"/>
        <v/>
      </c>
      <c r="E52" s="17" t="str">
        <f t="shared" si="88"/>
        <v/>
      </c>
      <c r="F52" s="17" t="str">
        <f t="shared" si="88"/>
        <v/>
      </c>
      <c r="G52" s="17" t="str">
        <f t="shared" si="88"/>
        <v/>
      </c>
      <c r="H52" s="17" t="str">
        <f t="shared" si="88"/>
        <v/>
      </c>
      <c r="I52" s="17" t="str">
        <f t="shared" si="88"/>
        <v/>
      </c>
      <c r="J52" s="17" t="str">
        <f t="shared" si="88"/>
        <v/>
      </c>
      <c r="K52" s="17" t="str">
        <f t="shared" si="88"/>
        <v/>
      </c>
      <c r="L52" s="17" t="str">
        <f t="shared" si="88"/>
        <v/>
      </c>
      <c r="M52" s="17" t="str">
        <f t="shared" si="88"/>
        <v/>
      </c>
      <c r="N52" s="17" t="str">
        <f t="shared" si="88"/>
        <v/>
      </c>
      <c r="O52" s="17" t="str">
        <f t="shared" si="88"/>
        <v/>
      </c>
      <c r="P52" s="17" t="str">
        <f t="shared" si="88"/>
        <v/>
      </c>
      <c r="Q52" s="17" t="str">
        <f t="shared" si="88"/>
        <v/>
      </c>
      <c r="R52" s="17" t="str">
        <f t="shared" si="88"/>
        <v/>
      </c>
      <c r="S52" s="17" t="str">
        <f t="shared" si="88"/>
        <v/>
      </c>
      <c r="T52" s="17" t="str">
        <f t="shared" si="88"/>
        <v/>
      </c>
      <c r="U52" s="17" t="str">
        <f t="shared" si="88"/>
        <v/>
      </c>
      <c r="V52" s="17" t="str">
        <f t="shared" si="88"/>
        <v/>
      </c>
      <c r="W52" s="17" t="str">
        <f t="shared" si="88"/>
        <v/>
      </c>
      <c r="X52" s="17" t="str">
        <f t="shared" si="88"/>
        <v/>
      </c>
      <c r="Y52" s="17" t="str">
        <f t="shared" si="88"/>
        <v/>
      </c>
      <c r="Z52" s="17" t="str">
        <f t="shared" si="88"/>
        <v/>
      </c>
      <c r="AA52" s="17" t="str">
        <f t="shared" si="88"/>
        <v/>
      </c>
      <c r="AB52" s="17" t="str">
        <f t="shared" si="88"/>
        <v/>
      </c>
      <c r="AC52" s="17" t="str">
        <f t="shared" si="88"/>
        <v/>
      </c>
      <c r="AD52" s="17" t="str">
        <f t="shared" si="88"/>
        <v/>
      </c>
      <c r="AE52" s="17" t="str">
        <f t="shared" si="88"/>
        <v/>
      </c>
      <c r="AF52" s="17" t="str">
        <f t="shared" si="88"/>
        <v/>
      </c>
      <c r="AG52" s="17" t="str">
        <f t="shared" si="88"/>
        <v/>
      </c>
      <c r="AH52" s="17" t="str">
        <f t="shared" ref="AH52:BJ52" si="89">IF(AH$12&gt;=T,"",
  IF($A52&gt;AH$13,"",
  IF(HoLee.BDT=1,
                                IF(AI$12*$Q$3&lt;T,AG51+(AG$10*h-sig*SQRT(h)),AG51+($O$3*h-sig*SQRT(h))),
                                IF(AI$12*$Q$3&lt;T,AG51*EXP(AG$10*h-sig*SQRT(h)),AG51*EXP($O$3*h-sig*SQRT(h)))
 )))</f>
        <v/>
      </c>
      <c r="AI52" s="17" t="str">
        <f t="shared" si="89"/>
        <v/>
      </c>
      <c r="AJ52" s="17" t="str">
        <f t="shared" si="89"/>
        <v/>
      </c>
      <c r="AK52" s="17" t="str">
        <f t="shared" si="89"/>
        <v/>
      </c>
      <c r="AL52" s="17" t="str">
        <f t="shared" si="89"/>
        <v/>
      </c>
      <c r="AM52" s="17" t="str">
        <f t="shared" si="89"/>
        <v/>
      </c>
      <c r="AN52" s="17">
        <f t="shared" si="89"/>
        <v>5.0682154636656651E-2</v>
      </c>
      <c r="AO52" s="17">
        <f t="shared" si="89"/>
        <v>5.0682154636656651E-2</v>
      </c>
      <c r="AP52" s="17">
        <f t="shared" si="89"/>
        <v>5.0682154636656651E-2</v>
      </c>
      <c r="AQ52" s="17">
        <f t="shared" si="89"/>
        <v>5.0682154636656651E-2</v>
      </c>
      <c r="AR52" s="17">
        <f t="shared" si="89"/>
        <v>5.0682154636656651E-2</v>
      </c>
      <c r="AS52" s="17">
        <f t="shared" si="89"/>
        <v>5.0682154636656651E-2</v>
      </c>
      <c r="AT52" s="17">
        <f t="shared" si="89"/>
        <v>5.0682154636656651E-2</v>
      </c>
      <c r="AU52" s="17">
        <f t="shared" si="89"/>
        <v>5.0682154636656651E-2</v>
      </c>
      <c r="AV52" s="17">
        <f t="shared" si="89"/>
        <v>5.0682154636656651E-2</v>
      </c>
      <c r="AW52" s="17">
        <f t="shared" si="89"/>
        <v>5.0682154636656651E-2</v>
      </c>
      <c r="AX52" s="17">
        <f t="shared" si="89"/>
        <v>5.0682154636656651E-2</v>
      </c>
      <c r="AY52" s="17">
        <f t="shared" si="89"/>
        <v>5.0682154636656651E-2</v>
      </c>
      <c r="AZ52" s="17">
        <f t="shared" si="89"/>
        <v>5.0682154636656651E-2</v>
      </c>
      <c r="BA52" s="17">
        <f t="shared" si="89"/>
        <v>5.0682154636656651E-2</v>
      </c>
      <c r="BB52" s="17">
        <f t="shared" si="89"/>
        <v>5.0682154636656651E-2</v>
      </c>
      <c r="BC52" s="17">
        <f t="shared" si="89"/>
        <v>5.0682154636656651E-2</v>
      </c>
      <c r="BD52" s="17">
        <f t="shared" si="89"/>
        <v>5.0682154636656651E-2</v>
      </c>
      <c r="BE52" s="17">
        <f t="shared" si="89"/>
        <v>5.0682154636656651E-2</v>
      </c>
      <c r="BF52" s="17">
        <f t="shared" si="89"/>
        <v>5.0682154636656651E-2</v>
      </c>
      <c r="BG52" s="17">
        <f t="shared" si="89"/>
        <v>5.0682154636656651E-2</v>
      </c>
      <c r="BH52" s="17">
        <f t="shared" si="89"/>
        <v>5.0682154636656651E-2</v>
      </c>
      <c r="BI52" s="17">
        <f t="shared" si="89"/>
        <v>5.0682154636656651E-2</v>
      </c>
      <c r="BJ52" s="17" t="str">
        <f t="shared" si="89"/>
        <v/>
      </c>
      <c r="BK52" s="17"/>
      <c r="BL52" s="17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7"/>
      <c r="BX52" s="17"/>
      <c r="BY52" s="17"/>
      <c r="BZ52" s="17"/>
      <c r="CA52" s="17"/>
      <c r="CB52" s="17"/>
      <c r="CC52" s="17"/>
      <c r="CD52" s="17"/>
      <c r="CE52" s="17"/>
      <c r="CF52" s="17"/>
      <c r="CG52" s="17"/>
      <c r="CH52" s="17"/>
      <c r="CI52" s="17"/>
      <c r="CJ52" s="17"/>
      <c r="CK52" s="17"/>
      <c r="CL52" s="17"/>
      <c r="CM52" s="17"/>
      <c r="CN52" s="17"/>
      <c r="CO52" s="17"/>
      <c r="CP52" s="17"/>
      <c r="CQ52" s="17"/>
      <c r="CR52" s="17"/>
      <c r="CS52" s="17"/>
      <c r="CT52" s="17"/>
    </row>
    <row r="53" spans="1:110" outlineLevel="1">
      <c r="A53" s="11">
        <f t="shared" si="77"/>
        <v>39</v>
      </c>
      <c r="B53" s="17" t="str">
        <f t="shared" ref="B53:AG53" si="90">IF(B$12&gt;=T,"",
  IF($A53&gt;B$13,"",
  IF(HoLee.BDT=1,
                                IF(C$12*$Q$3&lt;T,A52+(A$10*h-sig*SQRT(h)),A52+($O$3*h-sig*SQRT(h))),
                                IF(C$12*$Q$3&lt;T,A52*EXP(A$10*h-sig*SQRT(h)),A52*EXP($O$3*h-sig*SQRT(h)))
 )))</f>
        <v/>
      </c>
      <c r="C53" s="17" t="str">
        <f t="shared" si="90"/>
        <v/>
      </c>
      <c r="D53" s="17" t="str">
        <f t="shared" si="90"/>
        <v/>
      </c>
      <c r="E53" s="17" t="str">
        <f t="shared" si="90"/>
        <v/>
      </c>
      <c r="F53" s="17" t="str">
        <f t="shared" si="90"/>
        <v/>
      </c>
      <c r="G53" s="17" t="str">
        <f t="shared" si="90"/>
        <v/>
      </c>
      <c r="H53" s="17" t="str">
        <f t="shared" si="90"/>
        <v/>
      </c>
      <c r="I53" s="17" t="str">
        <f t="shared" si="90"/>
        <v/>
      </c>
      <c r="J53" s="17" t="str">
        <f t="shared" si="90"/>
        <v/>
      </c>
      <c r="K53" s="17" t="str">
        <f t="shared" si="90"/>
        <v/>
      </c>
      <c r="L53" s="17" t="str">
        <f t="shared" si="90"/>
        <v/>
      </c>
      <c r="M53" s="17" t="str">
        <f t="shared" si="90"/>
        <v/>
      </c>
      <c r="N53" s="17" t="str">
        <f t="shared" si="90"/>
        <v/>
      </c>
      <c r="O53" s="17" t="str">
        <f t="shared" si="90"/>
        <v/>
      </c>
      <c r="P53" s="17" t="str">
        <f t="shared" si="90"/>
        <v/>
      </c>
      <c r="Q53" s="17" t="str">
        <f t="shared" si="90"/>
        <v/>
      </c>
      <c r="R53" s="17" t="str">
        <f t="shared" si="90"/>
        <v/>
      </c>
      <c r="S53" s="17" t="str">
        <f t="shared" si="90"/>
        <v/>
      </c>
      <c r="T53" s="17" t="str">
        <f t="shared" si="90"/>
        <v/>
      </c>
      <c r="U53" s="17" t="str">
        <f t="shared" si="90"/>
        <v/>
      </c>
      <c r="V53" s="17" t="str">
        <f t="shared" si="90"/>
        <v/>
      </c>
      <c r="W53" s="17" t="str">
        <f t="shared" si="90"/>
        <v/>
      </c>
      <c r="X53" s="17" t="str">
        <f t="shared" si="90"/>
        <v/>
      </c>
      <c r="Y53" s="17" t="str">
        <f t="shared" si="90"/>
        <v/>
      </c>
      <c r="Z53" s="17" t="str">
        <f t="shared" si="90"/>
        <v/>
      </c>
      <c r="AA53" s="17" t="str">
        <f t="shared" si="90"/>
        <v/>
      </c>
      <c r="AB53" s="17" t="str">
        <f t="shared" si="90"/>
        <v/>
      </c>
      <c r="AC53" s="17" t="str">
        <f t="shared" si="90"/>
        <v/>
      </c>
      <c r="AD53" s="17" t="str">
        <f t="shared" si="90"/>
        <v/>
      </c>
      <c r="AE53" s="17" t="str">
        <f t="shared" si="90"/>
        <v/>
      </c>
      <c r="AF53" s="17" t="str">
        <f t="shared" si="90"/>
        <v/>
      </c>
      <c r="AG53" s="17" t="str">
        <f t="shared" si="90"/>
        <v/>
      </c>
      <c r="AH53" s="17" t="str">
        <f t="shared" ref="AH53:BJ53" si="91">IF(AH$12&gt;=T,"",
  IF($A53&gt;AH$13,"",
  IF(HoLee.BDT=1,
                                IF(AI$12*$Q$3&lt;T,AG52+(AG$10*h-sig*SQRT(h)),AG52+($O$3*h-sig*SQRT(h))),
                                IF(AI$12*$Q$3&lt;T,AG52*EXP(AG$10*h-sig*SQRT(h)),AG52*EXP($O$3*h-sig*SQRT(h)))
 )))</f>
        <v/>
      </c>
      <c r="AI53" s="17" t="str">
        <f t="shared" si="91"/>
        <v/>
      </c>
      <c r="AJ53" s="17" t="str">
        <f t="shared" si="91"/>
        <v/>
      </c>
      <c r="AK53" s="17" t="str">
        <f t="shared" si="91"/>
        <v/>
      </c>
      <c r="AL53" s="17" t="str">
        <f t="shared" si="91"/>
        <v/>
      </c>
      <c r="AM53" s="17" t="str">
        <f t="shared" si="91"/>
        <v/>
      </c>
      <c r="AN53" s="17" t="str">
        <f t="shared" si="91"/>
        <v/>
      </c>
      <c r="AO53" s="17">
        <f t="shared" si="91"/>
        <v>5.0682154636656651E-2</v>
      </c>
      <c r="AP53" s="17">
        <f t="shared" si="91"/>
        <v>5.0682154636656651E-2</v>
      </c>
      <c r="AQ53" s="17">
        <f t="shared" si="91"/>
        <v>5.0682154636656651E-2</v>
      </c>
      <c r="AR53" s="17">
        <f t="shared" si="91"/>
        <v>5.0682154636656651E-2</v>
      </c>
      <c r="AS53" s="17">
        <f t="shared" si="91"/>
        <v>5.0682154636656651E-2</v>
      </c>
      <c r="AT53" s="17">
        <f t="shared" si="91"/>
        <v>5.0682154636656651E-2</v>
      </c>
      <c r="AU53" s="17">
        <f t="shared" si="91"/>
        <v>5.0682154636656651E-2</v>
      </c>
      <c r="AV53" s="17">
        <f t="shared" si="91"/>
        <v>5.0682154636656651E-2</v>
      </c>
      <c r="AW53" s="17">
        <f t="shared" si="91"/>
        <v>5.0682154636656651E-2</v>
      </c>
      <c r="AX53" s="17">
        <f t="shared" si="91"/>
        <v>5.0682154636656651E-2</v>
      </c>
      <c r="AY53" s="17">
        <f t="shared" si="91"/>
        <v>5.0682154636656651E-2</v>
      </c>
      <c r="AZ53" s="17">
        <f t="shared" si="91"/>
        <v>5.0682154636656651E-2</v>
      </c>
      <c r="BA53" s="17">
        <f t="shared" si="91"/>
        <v>5.0682154636656651E-2</v>
      </c>
      <c r="BB53" s="17">
        <f t="shared" si="91"/>
        <v>5.0682154636656651E-2</v>
      </c>
      <c r="BC53" s="17">
        <f t="shared" si="91"/>
        <v>5.0682154636656651E-2</v>
      </c>
      <c r="BD53" s="17">
        <f t="shared" si="91"/>
        <v>5.0682154636656651E-2</v>
      </c>
      <c r="BE53" s="17">
        <f t="shared" si="91"/>
        <v>5.0682154636656651E-2</v>
      </c>
      <c r="BF53" s="17">
        <f t="shared" si="91"/>
        <v>5.0682154636656651E-2</v>
      </c>
      <c r="BG53" s="17">
        <f t="shared" si="91"/>
        <v>5.0682154636656651E-2</v>
      </c>
      <c r="BH53" s="17">
        <f t="shared" si="91"/>
        <v>5.0682154636656651E-2</v>
      </c>
      <c r="BI53" s="17">
        <f t="shared" si="91"/>
        <v>5.0682154636656651E-2</v>
      </c>
      <c r="BJ53" s="17" t="str">
        <f t="shared" si="91"/>
        <v/>
      </c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7"/>
      <c r="BV53" s="17"/>
      <c r="BW53" s="17"/>
      <c r="BX53" s="17"/>
      <c r="BY53" s="17"/>
      <c r="BZ53" s="17"/>
      <c r="CA53" s="17"/>
      <c r="CB53" s="17"/>
      <c r="CC53" s="17"/>
      <c r="CD53" s="17"/>
      <c r="CE53" s="17"/>
      <c r="CF53" s="17"/>
      <c r="CG53" s="17"/>
      <c r="CH53" s="17"/>
      <c r="CI53" s="17"/>
      <c r="CJ53" s="17"/>
      <c r="CK53" s="17"/>
      <c r="CL53" s="17"/>
      <c r="CM53" s="17"/>
      <c r="CN53" s="17"/>
      <c r="CO53" s="17"/>
      <c r="CP53" s="17"/>
      <c r="CQ53" s="17"/>
      <c r="CR53" s="17"/>
      <c r="CS53" s="17"/>
      <c r="CT53" s="17"/>
      <c r="CU53" s="17"/>
    </row>
    <row r="54" spans="1:110" outlineLevel="1">
      <c r="A54" s="11">
        <f t="shared" si="77"/>
        <v>40</v>
      </c>
      <c r="B54" s="17" t="str">
        <f t="shared" ref="B54:AG54" si="92">IF(B$12&gt;=T,"",
  IF($A54&gt;B$13,"",
  IF(HoLee.BDT=1,
                                IF(C$12*$Q$3&lt;T,A53+(A$10*h-sig*SQRT(h)),A53+($O$3*h-sig*SQRT(h))),
                                IF(C$12*$Q$3&lt;T,A53*EXP(A$10*h-sig*SQRT(h)),A53*EXP($O$3*h-sig*SQRT(h)))
 )))</f>
        <v/>
      </c>
      <c r="C54" s="17" t="str">
        <f t="shared" si="92"/>
        <v/>
      </c>
      <c r="D54" s="17" t="str">
        <f t="shared" si="92"/>
        <v/>
      </c>
      <c r="E54" s="17" t="str">
        <f t="shared" si="92"/>
        <v/>
      </c>
      <c r="F54" s="17" t="str">
        <f t="shared" si="92"/>
        <v/>
      </c>
      <c r="G54" s="17" t="str">
        <f t="shared" si="92"/>
        <v/>
      </c>
      <c r="H54" s="17" t="str">
        <f t="shared" si="92"/>
        <v/>
      </c>
      <c r="I54" s="17" t="str">
        <f t="shared" si="92"/>
        <v/>
      </c>
      <c r="J54" s="17" t="str">
        <f t="shared" si="92"/>
        <v/>
      </c>
      <c r="K54" s="17" t="str">
        <f t="shared" si="92"/>
        <v/>
      </c>
      <c r="L54" s="17" t="str">
        <f t="shared" si="92"/>
        <v/>
      </c>
      <c r="M54" s="17" t="str">
        <f t="shared" si="92"/>
        <v/>
      </c>
      <c r="N54" s="17" t="str">
        <f t="shared" si="92"/>
        <v/>
      </c>
      <c r="O54" s="17" t="str">
        <f t="shared" si="92"/>
        <v/>
      </c>
      <c r="P54" s="17" t="str">
        <f t="shared" si="92"/>
        <v/>
      </c>
      <c r="Q54" s="17" t="str">
        <f t="shared" si="92"/>
        <v/>
      </c>
      <c r="R54" s="17" t="str">
        <f t="shared" si="92"/>
        <v/>
      </c>
      <c r="S54" s="17" t="str">
        <f t="shared" si="92"/>
        <v/>
      </c>
      <c r="T54" s="17" t="str">
        <f t="shared" si="92"/>
        <v/>
      </c>
      <c r="U54" s="17" t="str">
        <f t="shared" si="92"/>
        <v/>
      </c>
      <c r="V54" s="17" t="str">
        <f t="shared" si="92"/>
        <v/>
      </c>
      <c r="W54" s="17" t="str">
        <f t="shared" si="92"/>
        <v/>
      </c>
      <c r="X54" s="17" t="str">
        <f t="shared" si="92"/>
        <v/>
      </c>
      <c r="Y54" s="17" t="str">
        <f t="shared" si="92"/>
        <v/>
      </c>
      <c r="Z54" s="17" t="str">
        <f t="shared" si="92"/>
        <v/>
      </c>
      <c r="AA54" s="17" t="str">
        <f t="shared" si="92"/>
        <v/>
      </c>
      <c r="AB54" s="17" t="str">
        <f t="shared" si="92"/>
        <v/>
      </c>
      <c r="AC54" s="17" t="str">
        <f t="shared" si="92"/>
        <v/>
      </c>
      <c r="AD54" s="17" t="str">
        <f t="shared" si="92"/>
        <v/>
      </c>
      <c r="AE54" s="17" t="str">
        <f t="shared" si="92"/>
        <v/>
      </c>
      <c r="AF54" s="17" t="str">
        <f t="shared" si="92"/>
        <v/>
      </c>
      <c r="AG54" s="17" t="str">
        <f t="shared" si="92"/>
        <v/>
      </c>
      <c r="AH54" s="17" t="str">
        <f t="shared" ref="AH54:BJ54" si="93">IF(AH$12&gt;=T,"",
  IF($A54&gt;AH$13,"",
  IF(HoLee.BDT=1,
                                IF(AI$12*$Q$3&lt;T,AG53+(AG$10*h-sig*SQRT(h)),AG53+($O$3*h-sig*SQRT(h))),
                                IF(AI$12*$Q$3&lt;T,AG53*EXP(AG$10*h-sig*SQRT(h)),AG53*EXP($O$3*h-sig*SQRT(h)))
 )))</f>
        <v/>
      </c>
      <c r="AI54" s="17" t="str">
        <f t="shared" si="93"/>
        <v/>
      </c>
      <c r="AJ54" s="17" t="str">
        <f t="shared" si="93"/>
        <v/>
      </c>
      <c r="AK54" s="17" t="str">
        <f t="shared" si="93"/>
        <v/>
      </c>
      <c r="AL54" s="17" t="str">
        <f t="shared" si="93"/>
        <v/>
      </c>
      <c r="AM54" s="17" t="str">
        <f t="shared" si="93"/>
        <v/>
      </c>
      <c r="AN54" s="17" t="str">
        <f t="shared" si="93"/>
        <v/>
      </c>
      <c r="AO54" s="17" t="str">
        <f t="shared" si="93"/>
        <v/>
      </c>
      <c r="AP54" s="17">
        <f t="shared" si="93"/>
        <v>5.0682154636656651E-2</v>
      </c>
      <c r="AQ54" s="17">
        <f t="shared" si="93"/>
        <v>5.0682154636656651E-2</v>
      </c>
      <c r="AR54" s="17">
        <f t="shared" si="93"/>
        <v>5.0682154636656651E-2</v>
      </c>
      <c r="AS54" s="17">
        <f t="shared" si="93"/>
        <v>5.0682154636656651E-2</v>
      </c>
      <c r="AT54" s="17">
        <f t="shared" si="93"/>
        <v>5.0682154636656651E-2</v>
      </c>
      <c r="AU54" s="17">
        <f t="shared" si="93"/>
        <v>5.0682154636656651E-2</v>
      </c>
      <c r="AV54" s="17">
        <f t="shared" si="93"/>
        <v>5.0682154636656651E-2</v>
      </c>
      <c r="AW54" s="17">
        <f t="shared" si="93"/>
        <v>5.0682154636656651E-2</v>
      </c>
      <c r="AX54" s="17">
        <f t="shared" si="93"/>
        <v>5.0682154636656651E-2</v>
      </c>
      <c r="AY54" s="17">
        <f t="shared" si="93"/>
        <v>5.0682154636656651E-2</v>
      </c>
      <c r="AZ54" s="17">
        <f t="shared" si="93"/>
        <v>5.0682154636656651E-2</v>
      </c>
      <c r="BA54" s="17">
        <f t="shared" si="93"/>
        <v>5.0682154636656651E-2</v>
      </c>
      <c r="BB54" s="17">
        <f t="shared" si="93"/>
        <v>5.0682154636656651E-2</v>
      </c>
      <c r="BC54" s="17">
        <f t="shared" si="93"/>
        <v>5.0682154636656651E-2</v>
      </c>
      <c r="BD54" s="17">
        <f t="shared" si="93"/>
        <v>5.0682154636656651E-2</v>
      </c>
      <c r="BE54" s="17">
        <f t="shared" si="93"/>
        <v>5.0682154636656651E-2</v>
      </c>
      <c r="BF54" s="17">
        <f t="shared" si="93"/>
        <v>5.0682154636656651E-2</v>
      </c>
      <c r="BG54" s="17">
        <f t="shared" si="93"/>
        <v>5.0682154636656651E-2</v>
      </c>
      <c r="BH54" s="17">
        <f t="shared" si="93"/>
        <v>5.0682154636656651E-2</v>
      </c>
      <c r="BI54" s="17">
        <f t="shared" si="93"/>
        <v>5.0682154636656651E-2</v>
      </c>
      <c r="BJ54" s="17" t="str">
        <f t="shared" si="93"/>
        <v/>
      </c>
      <c r="BK54" s="17"/>
      <c r="BL54" s="17"/>
      <c r="BM54" s="17"/>
      <c r="BN54" s="17"/>
      <c r="BO54" s="17"/>
      <c r="BP54" s="17"/>
      <c r="BQ54" s="17"/>
      <c r="BR54" s="17"/>
      <c r="BS54" s="17"/>
      <c r="BT54" s="17"/>
      <c r="BU54" s="17"/>
      <c r="BV54" s="17"/>
      <c r="BW54" s="17"/>
      <c r="BX54" s="17"/>
      <c r="BY54" s="17"/>
      <c r="BZ54" s="17"/>
      <c r="CA54" s="17"/>
      <c r="CB54" s="17"/>
      <c r="CC54" s="17"/>
      <c r="CD54" s="17"/>
      <c r="CE54" s="17"/>
      <c r="CF54" s="17"/>
      <c r="CG54" s="17"/>
      <c r="CH54" s="17"/>
      <c r="CI54" s="17"/>
      <c r="CJ54" s="17"/>
      <c r="CK54" s="17"/>
      <c r="CL54" s="17"/>
      <c r="CM54" s="17"/>
      <c r="CN54" s="17"/>
      <c r="CO54" s="17"/>
      <c r="CP54" s="17"/>
      <c r="CQ54" s="17"/>
      <c r="CR54" s="17"/>
      <c r="CS54" s="17"/>
      <c r="CT54" s="17"/>
      <c r="CU54" s="17"/>
      <c r="CV54" s="17"/>
    </row>
    <row r="55" spans="1:110" outlineLevel="1">
      <c r="A55" s="11">
        <f t="shared" si="77"/>
        <v>41</v>
      </c>
      <c r="B55" s="17" t="str">
        <f t="shared" ref="B55:AG55" si="94">IF(B$12&gt;=T,"",
  IF($A55&gt;B$13,"",
  IF(HoLee.BDT=1,
                                IF(C$12*$Q$3&lt;T,A54+(A$10*h-sig*SQRT(h)),A54+($O$3*h-sig*SQRT(h))),
                                IF(C$12*$Q$3&lt;T,A54*EXP(A$10*h-sig*SQRT(h)),A54*EXP($O$3*h-sig*SQRT(h)))
 )))</f>
        <v/>
      </c>
      <c r="C55" s="17" t="str">
        <f t="shared" si="94"/>
        <v/>
      </c>
      <c r="D55" s="17" t="str">
        <f t="shared" si="94"/>
        <v/>
      </c>
      <c r="E55" s="17" t="str">
        <f t="shared" si="94"/>
        <v/>
      </c>
      <c r="F55" s="17" t="str">
        <f t="shared" si="94"/>
        <v/>
      </c>
      <c r="G55" s="17" t="str">
        <f t="shared" si="94"/>
        <v/>
      </c>
      <c r="H55" s="17" t="str">
        <f t="shared" si="94"/>
        <v/>
      </c>
      <c r="I55" s="17" t="str">
        <f t="shared" si="94"/>
        <v/>
      </c>
      <c r="J55" s="17" t="str">
        <f t="shared" si="94"/>
        <v/>
      </c>
      <c r="K55" s="17" t="str">
        <f t="shared" si="94"/>
        <v/>
      </c>
      <c r="L55" s="17" t="str">
        <f t="shared" si="94"/>
        <v/>
      </c>
      <c r="M55" s="17" t="str">
        <f t="shared" si="94"/>
        <v/>
      </c>
      <c r="N55" s="17" t="str">
        <f t="shared" si="94"/>
        <v/>
      </c>
      <c r="O55" s="17" t="str">
        <f t="shared" si="94"/>
        <v/>
      </c>
      <c r="P55" s="17" t="str">
        <f t="shared" si="94"/>
        <v/>
      </c>
      <c r="Q55" s="17" t="str">
        <f t="shared" si="94"/>
        <v/>
      </c>
      <c r="R55" s="17" t="str">
        <f t="shared" si="94"/>
        <v/>
      </c>
      <c r="S55" s="17" t="str">
        <f t="shared" si="94"/>
        <v/>
      </c>
      <c r="T55" s="17" t="str">
        <f t="shared" si="94"/>
        <v/>
      </c>
      <c r="U55" s="17" t="str">
        <f t="shared" si="94"/>
        <v/>
      </c>
      <c r="V55" s="17" t="str">
        <f t="shared" si="94"/>
        <v/>
      </c>
      <c r="W55" s="17" t="str">
        <f t="shared" si="94"/>
        <v/>
      </c>
      <c r="X55" s="17" t="str">
        <f t="shared" si="94"/>
        <v/>
      </c>
      <c r="Y55" s="17" t="str">
        <f t="shared" si="94"/>
        <v/>
      </c>
      <c r="Z55" s="17" t="str">
        <f t="shared" si="94"/>
        <v/>
      </c>
      <c r="AA55" s="17" t="str">
        <f t="shared" si="94"/>
        <v/>
      </c>
      <c r="AB55" s="17" t="str">
        <f t="shared" si="94"/>
        <v/>
      </c>
      <c r="AC55" s="17" t="str">
        <f t="shared" si="94"/>
        <v/>
      </c>
      <c r="AD55" s="17" t="str">
        <f t="shared" si="94"/>
        <v/>
      </c>
      <c r="AE55" s="17" t="str">
        <f t="shared" si="94"/>
        <v/>
      </c>
      <c r="AF55" s="17" t="str">
        <f t="shared" si="94"/>
        <v/>
      </c>
      <c r="AG55" s="17" t="str">
        <f t="shared" si="94"/>
        <v/>
      </c>
      <c r="AH55" s="17" t="str">
        <f t="shared" ref="AH55:BJ55" si="95">IF(AH$12&gt;=T,"",
  IF($A55&gt;AH$13,"",
  IF(HoLee.BDT=1,
                                IF(AI$12*$Q$3&lt;T,AG54+(AG$10*h-sig*SQRT(h)),AG54+($O$3*h-sig*SQRT(h))),
                                IF(AI$12*$Q$3&lt;T,AG54*EXP(AG$10*h-sig*SQRT(h)),AG54*EXP($O$3*h-sig*SQRT(h)))
 )))</f>
        <v/>
      </c>
      <c r="AI55" s="17" t="str">
        <f t="shared" si="95"/>
        <v/>
      </c>
      <c r="AJ55" s="17" t="str">
        <f t="shared" si="95"/>
        <v/>
      </c>
      <c r="AK55" s="17" t="str">
        <f t="shared" si="95"/>
        <v/>
      </c>
      <c r="AL55" s="17" t="str">
        <f t="shared" si="95"/>
        <v/>
      </c>
      <c r="AM55" s="17" t="str">
        <f t="shared" si="95"/>
        <v/>
      </c>
      <c r="AN55" s="17" t="str">
        <f t="shared" si="95"/>
        <v/>
      </c>
      <c r="AO55" s="17" t="str">
        <f t="shared" si="95"/>
        <v/>
      </c>
      <c r="AP55" s="17" t="str">
        <f t="shared" si="95"/>
        <v/>
      </c>
      <c r="AQ55" s="17">
        <f t="shared" si="95"/>
        <v>5.0682154636656651E-2</v>
      </c>
      <c r="AR55" s="17">
        <f t="shared" si="95"/>
        <v>5.0682154636656651E-2</v>
      </c>
      <c r="AS55" s="17">
        <f t="shared" si="95"/>
        <v>5.0682154636656651E-2</v>
      </c>
      <c r="AT55" s="17">
        <f t="shared" si="95"/>
        <v>5.0682154636656651E-2</v>
      </c>
      <c r="AU55" s="17">
        <f t="shared" si="95"/>
        <v>5.0682154636656651E-2</v>
      </c>
      <c r="AV55" s="17">
        <f t="shared" si="95"/>
        <v>5.0682154636656651E-2</v>
      </c>
      <c r="AW55" s="17">
        <f t="shared" si="95"/>
        <v>5.0682154636656651E-2</v>
      </c>
      <c r="AX55" s="17">
        <f t="shared" si="95"/>
        <v>5.0682154636656651E-2</v>
      </c>
      <c r="AY55" s="17">
        <f t="shared" si="95"/>
        <v>5.0682154636656651E-2</v>
      </c>
      <c r="AZ55" s="17">
        <f t="shared" si="95"/>
        <v>5.0682154636656651E-2</v>
      </c>
      <c r="BA55" s="17">
        <f t="shared" si="95"/>
        <v>5.0682154636656651E-2</v>
      </c>
      <c r="BB55" s="17">
        <f t="shared" si="95"/>
        <v>5.0682154636656651E-2</v>
      </c>
      <c r="BC55" s="17">
        <f t="shared" si="95"/>
        <v>5.0682154636656651E-2</v>
      </c>
      <c r="BD55" s="17">
        <f t="shared" si="95"/>
        <v>5.0682154636656651E-2</v>
      </c>
      <c r="BE55" s="17">
        <f t="shared" si="95"/>
        <v>5.0682154636656651E-2</v>
      </c>
      <c r="BF55" s="17">
        <f t="shared" si="95"/>
        <v>5.0682154636656651E-2</v>
      </c>
      <c r="BG55" s="17">
        <f t="shared" si="95"/>
        <v>5.0682154636656651E-2</v>
      </c>
      <c r="BH55" s="17">
        <f t="shared" si="95"/>
        <v>5.0682154636656651E-2</v>
      </c>
      <c r="BI55" s="17">
        <f t="shared" si="95"/>
        <v>5.0682154636656651E-2</v>
      </c>
      <c r="BJ55" s="17" t="str">
        <f t="shared" si="95"/>
        <v/>
      </c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</row>
    <row r="56" spans="1:110" outlineLevel="1">
      <c r="A56" s="11">
        <f t="shared" si="77"/>
        <v>42</v>
      </c>
      <c r="B56" s="17" t="str">
        <f t="shared" ref="B56:AG56" si="96">IF(B$12&gt;=T,"",
  IF($A56&gt;B$13,"",
  IF(HoLee.BDT=1,
                                IF(C$12*$Q$3&lt;T,A55+(A$10*h-sig*SQRT(h)),A55+($O$3*h-sig*SQRT(h))),
                                IF(C$12*$Q$3&lt;T,A55*EXP(A$10*h-sig*SQRT(h)),A55*EXP($O$3*h-sig*SQRT(h)))
 )))</f>
        <v/>
      </c>
      <c r="C56" s="17" t="str">
        <f t="shared" si="96"/>
        <v/>
      </c>
      <c r="D56" s="17" t="str">
        <f t="shared" si="96"/>
        <v/>
      </c>
      <c r="E56" s="17" t="str">
        <f t="shared" si="96"/>
        <v/>
      </c>
      <c r="F56" s="17" t="str">
        <f t="shared" si="96"/>
        <v/>
      </c>
      <c r="G56" s="17" t="str">
        <f t="shared" si="96"/>
        <v/>
      </c>
      <c r="H56" s="17" t="str">
        <f t="shared" si="96"/>
        <v/>
      </c>
      <c r="I56" s="17" t="str">
        <f t="shared" si="96"/>
        <v/>
      </c>
      <c r="J56" s="17" t="str">
        <f t="shared" si="96"/>
        <v/>
      </c>
      <c r="K56" s="17" t="str">
        <f t="shared" si="96"/>
        <v/>
      </c>
      <c r="L56" s="17" t="str">
        <f t="shared" si="96"/>
        <v/>
      </c>
      <c r="M56" s="17" t="str">
        <f t="shared" si="96"/>
        <v/>
      </c>
      <c r="N56" s="17" t="str">
        <f t="shared" si="96"/>
        <v/>
      </c>
      <c r="O56" s="17" t="str">
        <f t="shared" si="96"/>
        <v/>
      </c>
      <c r="P56" s="17" t="str">
        <f t="shared" si="96"/>
        <v/>
      </c>
      <c r="Q56" s="17" t="str">
        <f t="shared" si="96"/>
        <v/>
      </c>
      <c r="R56" s="17" t="str">
        <f t="shared" si="96"/>
        <v/>
      </c>
      <c r="S56" s="17" t="str">
        <f t="shared" si="96"/>
        <v/>
      </c>
      <c r="T56" s="17" t="str">
        <f t="shared" si="96"/>
        <v/>
      </c>
      <c r="U56" s="17" t="str">
        <f t="shared" si="96"/>
        <v/>
      </c>
      <c r="V56" s="17" t="str">
        <f t="shared" si="96"/>
        <v/>
      </c>
      <c r="W56" s="17" t="str">
        <f t="shared" si="96"/>
        <v/>
      </c>
      <c r="X56" s="17" t="str">
        <f t="shared" si="96"/>
        <v/>
      </c>
      <c r="Y56" s="17" t="str">
        <f t="shared" si="96"/>
        <v/>
      </c>
      <c r="Z56" s="17" t="str">
        <f t="shared" si="96"/>
        <v/>
      </c>
      <c r="AA56" s="17" t="str">
        <f t="shared" si="96"/>
        <v/>
      </c>
      <c r="AB56" s="17" t="str">
        <f t="shared" si="96"/>
        <v/>
      </c>
      <c r="AC56" s="17" t="str">
        <f t="shared" si="96"/>
        <v/>
      </c>
      <c r="AD56" s="17" t="str">
        <f t="shared" si="96"/>
        <v/>
      </c>
      <c r="AE56" s="17" t="str">
        <f t="shared" si="96"/>
        <v/>
      </c>
      <c r="AF56" s="17" t="str">
        <f t="shared" si="96"/>
        <v/>
      </c>
      <c r="AG56" s="17" t="str">
        <f t="shared" si="96"/>
        <v/>
      </c>
      <c r="AH56" s="17" t="str">
        <f t="shared" ref="AH56:BJ56" si="97">IF(AH$12&gt;=T,"",
  IF($A56&gt;AH$13,"",
  IF(HoLee.BDT=1,
                                IF(AI$12*$Q$3&lt;T,AG55+(AG$10*h-sig*SQRT(h)),AG55+($O$3*h-sig*SQRT(h))),
                                IF(AI$12*$Q$3&lt;T,AG55*EXP(AG$10*h-sig*SQRT(h)),AG55*EXP($O$3*h-sig*SQRT(h)))
 )))</f>
        <v/>
      </c>
      <c r="AI56" s="17" t="str">
        <f t="shared" si="97"/>
        <v/>
      </c>
      <c r="AJ56" s="17" t="str">
        <f t="shared" si="97"/>
        <v/>
      </c>
      <c r="AK56" s="17" t="str">
        <f t="shared" si="97"/>
        <v/>
      </c>
      <c r="AL56" s="17" t="str">
        <f t="shared" si="97"/>
        <v/>
      </c>
      <c r="AM56" s="17" t="str">
        <f t="shared" si="97"/>
        <v/>
      </c>
      <c r="AN56" s="17" t="str">
        <f t="shared" si="97"/>
        <v/>
      </c>
      <c r="AO56" s="17" t="str">
        <f t="shared" si="97"/>
        <v/>
      </c>
      <c r="AP56" s="17" t="str">
        <f t="shared" si="97"/>
        <v/>
      </c>
      <c r="AQ56" s="17" t="str">
        <f t="shared" si="97"/>
        <v/>
      </c>
      <c r="AR56" s="17">
        <f t="shared" si="97"/>
        <v>5.0682154636656651E-2</v>
      </c>
      <c r="AS56" s="17">
        <f t="shared" si="97"/>
        <v>5.0682154636656651E-2</v>
      </c>
      <c r="AT56" s="17">
        <f t="shared" si="97"/>
        <v>5.0682154636656651E-2</v>
      </c>
      <c r="AU56" s="17">
        <f t="shared" si="97"/>
        <v>5.0682154636656651E-2</v>
      </c>
      <c r="AV56" s="17">
        <f t="shared" si="97"/>
        <v>5.0682154636656651E-2</v>
      </c>
      <c r="AW56" s="17">
        <f t="shared" si="97"/>
        <v>5.0682154636656651E-2</v>
      </c>
      <c r="AX56" s="17">
        <f t="shared" si="97"/>
        <v>5.0682154636656651E-2</v>
      </c>
      <c r="AY56" s="17">
        <f t="shared" si="97"/>
        <v>5.0682154636656651E-2</v>
      </c>
      <c r="AZ56" s="17">
        <f t="shared" si="97"/>
        <v>5.0682154636656651E-2</v>
      </c>
      <c r="BA56" s="17">
        <f t="shared" si="97"/>
        <v>5.0682154636656651E-2</v>
      </c>
      <c r="BB56" s="17">
        <f t="shared" si="97"/>
        <v>5.0682154636656651E-2</v>
      </c>
      <c r="BC56" s="17">
        <f t="shared" si="97"/>
        <v>5.0682154636656651E-2</v>
      </c>
      <c r="BD56" s="17">
        <f t="shared" si="97"/>
        <v>5.0682154636656651E-2</v>
      </c>
      <c r="BE56" s="17">
        <f t="shared" si="97"/>
        <v>5.0682154636656651E-2</v>
      </c>
      <c r="BF56" s="17">
        <f t="shared" si="97"/>
        <v>5.0682154636656651E-2</v>
      </c>
      <c r="BG56" s="17">
        <f t="shared" si="97"/>
        <v>5.0682154636656651E-2</v>
      </c>
      <c r="BH56" s="17">
        <f t="shared" si="97"/>
        <v>5.0682154636656651E-2</v>
      </c>
      <c r="BI56" s="17">
        <f t="shared" si="97"/>
        <v>5.0682154636656651E-2</v>
      </c>
      <c r="BJ56" s="17" t="str">
        <f t="shared" si="97"/>
        <v/>
      </c>
      <c r="BK56" s="17"/>
      <c r="BL56" s="17"/>
      <c r="BM56" s="17"/>
      <c r="BN56" s="17"/>
      <c r="BO56" s="17"/>
      <c r="BP56" s="17"/>
      <c r="BQ56" s="17"/>
      <c r="BR56" s="17"/>
      <c r="BS56" s="17"/>
      <c r="BT56" s="17"/>
      <c r="BU56" s="17"/>
      <c r="BV56" s="17"/>
      <c r="BW56" s="17"/>
      <c r="BX56" s="17"/>
      <c r="BY56" s="17"/>
      <c r="BZ56" s="17"/>
      <c r="CA56" s="17"/>
      <c r="CB56" s="17"/>
      <c r="CC56" s="17"/>
      <c r="CD56" s="17"/>
      <c r="CE56" s="17"/>
      <c r="CF56" s="17"/>
      <c r="CG56" s="17"/>
      <c r="CH56" s="17"/>
      <c r="CI56" s="17"/>
      <c r="CJ56" s="17"/>
      <c r="CK56" s="17"/>
      <c r="CL56" s="17"/>
      <c r="CM56" s="17"/>
      <c r="CN56" s="17"/>
      <c r="CO56" s="17"/>
      <c r="CP56" s="17"/>
      <c r="CQ56" s="17"/>
      <c r="CR56" s="17"/>
      <c r="CS56" s="17"/>
      <c r="CT56" s="17"/>
      <c r="CU56" s="17"/>
      <c r="CV56" s="17"/>
      <c r="CW56" s="17"/>
      <c r="CX56" s="17"/>
    </row>
    <row r="57" spans="1:110" outlineLevel="1">
      <c r="A57" s="11">
        <f t="shared" si="77"/>
        <v>43</v>
      </c>
      <c r="B57" s="17" t="str">
        <f t="shared" ref="B57:AG57" si="98">IF(B$12&gt;=T,"",
  IF($A57&gt;B$13,"",
  IF(HoLee.BDT=1,
                                IF(C$12*$Q$3&lt;T,A56+(A$10*h-sig*SQRT(h)),A56+($O$3*h-sig*SQRT(h))),
                                IF(C$12*$Q$3&lt;T,A56*EXP(A$10*h-sig*SQRT(h)),A56*EXP($O$3*h-sig*SQRT(h)))
 )))</f>
        <v/>
      </c>
      <c r="C57" s="17" t="str">
        <f t="shared" si="98"/>
        <v/>
      </c>
      <c r="D57" s="17" t="str">
        <f t="shared" si="98"/>
        <v/>
      </c>
      <c r="E57" s="17" t="str">
        <f t="shared" si="98"/>
        <v/>
      </c>
      <c r="F57" s="17" t="str">
        <f t="shared" si="98"/>
        <v/>
      </c>
      <c r="G57" s="17" t="str">
        <f t="shared" si="98"/>
        <v/>
      </c>
      <c r="H57" s="17" t="str">
        <f t="shared" si="98"/>
        <v/>
      </c>
      <c r="I57" s="17" t="str">
        <f t="shared" si="98"/>
        <v/>
      </c>
      <c r="J57" s="17" t="str">
        <f t="shared" si="98"/>
        <v/>
      </c>
      <c r="K57" s="17" t="str">
        <f t="shared" si="98"/>
        <v/>
      </c>
      <c r="L57" s="17" t="str">
        <f t="shared" si="98"/>
        <v/>
      </c>
      <c r="M57" s="17" t="str">
        <f t="shared" si="98"/>
        <v/>
      </c>
      <c r="N57" s="17" t="str">
        <f t="shared" si="98"/>
        <v/>
      </c>
      <c r="O57" s="17" t="str">
        <f t="shared" si="98"/>
        <v/>
      </c>
      <c r="P57" s="17" t="str">
        <f t="shared" si="98"/>
        <v/>
      </c>
      <c r="Q57" s="17" t="str">
        <f t="shared" si="98"/>
        <v/>
      </c>
      <c r="R57" s="17" t="str">
        <f t="shared" si="98"/>
        <v/>
      </c>
      <c r="S57" s="17" t="str">
        <f t="shared" si="98"/>
        <v/>
      </c>
      <c r="T57" s="17" t="str">
        <f t="shared" si="98"/>
        <v/>
      </c>
      <c r="U57" s="17" t="str">
        <f t="shared" si="98"/>
        <v/>
      </c>
      <c r="V57" s="17" t="str">
        <f t="shared" si="98"/>
        <v/>
      </c>
      <c r="W57" s="17" t="str">
        <f t="shared" si="98"/>
        <v/>
      </c>
      <c r="X57" s="17" t="str">
        <f t="shared" si="98"/>
        <v/>
      </c>
      <c r="Y57" s="17" t="str">
        <f t="shared" si="98"/>
        <v/>
      </c>
      <c r="Z57" s="17" t="str">
        <f t="shared" si="98"/>
        <v/>
      </c>
      <c r="AA57" s="17" t="str">
        <f t="shared" si="98"/>
        <v/>
      </c>
      <c r="AB57" s="17" t="str">
        <f t="shared" si="98"/>
        <v/>
      </c>
      <c r="AC57" s="17" t="str">
        <f t="shared" si="98"/>
        <v/>
      </c>
      <c r="AD57" s="17" t="str">
        <f t="shared" si="98"/>
        <v/>
      </c>
      <c r="AE57" s="17" t="str">
        <f t="shared" si="98"/>
        <v/>
      </c>
      <c r="AF57" s="17" t="str">
        <f t="shared" si="98"/>
        <v/>
      </c>
      <c r="AG57" s="17" t="str">
        <f t="shared" si="98"/>
        <v/>
      </c>
      <c r="AH57" s="17" t="str">
        <f t="shared" ref="AH57:BJ57" si="99">IF(AH$12&gt;=T,"",
  IF($A57&gt;AH$13,"",
  IF(HoLee.BDT=1,
                                IF(AI$12*$Q$3&lt;T,AG56+(AG$10*h-sig*SQRT(h)),AG56+($O$3*h-sig*SQRT(h))),
                                IF(AI$12*$Q$3&lt;T,AG56*EXP(AG$10*h-sig*SQRT(h)),AG56*EXP($O$3*h-sig*SQRT(h)))
 )))</f>
        <v/>
      </c>
      <c r="AI57" s="17" t="str">
        <f t="shared" si="99"/>
        <v/>
      </c>
      <c r="AJ57" s="17" t="str">
        <f t="shared" si="99"/>
        <v/>
      </c>
      <c r="AK57" s="17" t="str">
        <f t="shared" si="99"/>
        <v/>
      </c>
      <c r="AL57" s="17" t="str">
        <f t="shared" si="99"/>
        <v/>
      </c>
      <c r="AM57" s="17" t="str">
        <f t="shared" si="99"/>
        <v/>
      </c>
      <c r="AN57" s="17" t="str">
        <f t="shared" si="99"/>
        <v/>
      </c>
      <c r="AO57" s="17" t="str">
        <f t="shared" si="99"/>
        <v/>
      </c>
      <c r="AP57" s="17" t="str">
        <f t="shared" si="99"/>
        <v/>
      </c>
      <c r="AQ57" s="17" t="str">
        <f t="shared" si="99"/>
        <v/>
      </c>
      <c r="AR57" s="17" t="str">
        <f t="shared" si="99"/>
        <v/>
      </c>
      <c r="AS57" s="17">
        <f t="shared" si="99"/>
        <v>5.0682154636656651E-2</v>
      </c>
      <c r="AT57" s="17">
        <f t="shared" si="99"/>
        <v>5.0682154636656651E-2</v>
      </c>
      <c r="AU57" s="17">
        <f t="shared" si="99"/>
        <v>5.0682154636656651E-2</v>
      </c>
      <c r="AV57" s="17">
        <f t="shared" si="99"/>
        <v>5.0682154636656651E-2</v>
      </c>
      <c r="AW57" s="17">
        <f t="shared" si="99"/>
        <v>5.0682154636656651E-2</v>
      </c>
      <c r="AX57" s="17">
        <f t="shared" si="99"/>
        <v>5.0682154636656651E-2</v>
      </c>
      <c r="AY57" s="17">
        <f t="shared" si="99"/>
        <v>5.0682154636656651E-2</v>
      </c>
      <c r="AZ57" s="17">
        <f t="shared" si="99"/>
        <v>5.0682154636656651E-2</v>
      </c>
      <c r="BA57" s="17">
        <f t="shared" si="99"/>
        <v>5.0682154636656651E-2</v>
      </c>
      <c r="BB57" s="17">
        <f t="shared" si="99"/>
        <v>5.0682154636656651E-2</v>
      </c>
      <c r="BC57" s="17">
        <f t="shared" si="99"/>
        <v>5.0682154636656651E-2</v>
      </c>
      <c r="BD57" s="17">
        <f t="shared" si="99"/>
        <v>5.0682154636656651E-2</v>
      </c>
      <c r="BE57" s="17">
        <f t="shared" si="99"/>
        <v>5.0682154636656651E-2</v>
      </c>
      <c r="BF57" s="17">
        <f t="shared" si="99"/>
        <v>5.0682154636656651E-2</v>
      </c>
      <c r="BG57" s="17">
        <f t="shared" si="99"/>
        <v>5.0682154636656651E-2</v>
      </c>
      <c r="BH57" s="17">
        <f t="shared" si="99"/>
        <v>5.0682154636656651E-2</v>
      </c>
      <c r="BI57" s="17">
        <f t="shared" si="99"/>
        <v>5.0682154636656651E-2</v>
      </c>
      <c r="BJ57" s="17" t="str">
        <f t="shared" si="99"/>
        <v/>
      </c>
      <c r="BK57" s="17"/>
      <c r="BL57" s="17"/>
      <c r="BM57" s="17"/>
      <c r="BN57" s="17"/>
      <c r="BO57" s="17"/>
      <c r="BP57" s="17"/>
      <c r="BQ57" s="17"/>
      <c r="BR57" s="17"/>
      <c r="BS57" s="17"/>
      <c r="BT57" s="17"/>
      <c r="BU57" s="17"/>
      <c r="BV57" s="17"/>
      <c r="BW57" s="17"/>
      <c r="BX57" s="17"/>
      <c r="BY57" s="17"/>
      <c r="BZ57" s="17"/>
      <c r="CA57" s="17"/>
      <c r="CB57" s="17"/>
      <c r="CC57" s="17"/>
      <c r="CD57" s="17"/>
      <c r="CE57" s="17"/>
      <c r="CF57" s="17"/>
      <c r="CG57" s="17"/>
      <c r="CH57" s="17"/>
      <c r="CI57" s="17"/>
      <c r="CJ57" s="17"/>
      <c r="CK57" s="17"/>
      <c r="CL57" s="17"/>
      <c r="CM57" s="17"/>
      <c r="CN57" s="17"/>
      <c r="CO57" s="17"/>
      <c r="CP57" s="17"/>
      <c r="CQ57" s="17"/>
      <c r="CR57" s="17"/>
      <c r="CS57" s="17"/>
      <c r="CT57" s="17"/>
      <c r="CU57" s="17"/>
      <c r="CV57" s="17"/>
      <c r="CW57" s="17"/>
      <c r="CX57" s="17"/>
      <c r="CY57" s="17"/>
    </row>
    <row r="58" spans="1:110" outlineLevel="1">
      <c r="A58" s="11">
        <f t="shared" si="77"/>
        <v>44</v>
      </c>
      <c r="B58" s="17" t="str">
        <f t="shared" ref="B58:AG58" si="100">IF(B$12&gt;=T,"",
  IF($A58&gt;B$13,"",
  IF(HoLee.BDT=1,
                                IF(C$12*$Q$3&lt;T,A57+(A$10*h-sig*SQRT(h)),A57+($O$3*h-sig*SQRT(h))),
                                IF(C$12*$Q$3&lt;T,A57*EXP(A$10*h-sig*SQRT(h)),A57*EXP($O$3*h-sig*SQRT(h)))
 )))</f>
        <v/>
      </c>
      <c r="C58" s="17" t="str">
        <f t="shared" si="100"/>
        <v/>
      </c>
      <c r="D58" s="17" t="str">
        <f t="shared" si="100"/>
        <v/>
      </c>
      <c r="E58" s="17" t="str">
        <f t="shared" si="100"/>
        <v/>
      </c>
      <c r="F58" s="17" t="str">
        <f t="shared" si="100"/>
        <v/>
      </c>
      <c r="G58" s="17" t="str">
        <f t="shared" si="100"/>
        <v/>
      </c>
      <c r="H58" s="17" t="str">
        <f t="shared" si="100"/>
        <v/>
      </c>
      <c r="I58" s="17" t="str">
        <f t="shared" si="100"/>
        <v/>
      </c>
      <c r="J58" s="17" t="str">
        <f t="shared" si="100"/>
        <v/>
      </c>
      <c r="K58" s="17" t="str">
        <f t="shared" si="100"/>
        <v/>
      </c>
      <c r="L58" s="17" t="str">
        <f t="shared" si="100"/>
        <v/>
      </c>
      <c r="M58" s="17" t="str">
        <f t="shared" si="100"/>
        <v/>
      </c>
      <c r="N58" s="17" t="str">
        <f t="shared" si="100"/>
        <v/>
      </c>
      <c r="O58" s="17" t="str">
        <f t="shared" si="100"/>
        <v/>
      </c>
      <c r="P58" s="17" t="str">
        <f t="shared" si="100"/>
        <v/>
      </c>
      <c r="Q58" s="17" t="str">
        <f t="shared" si="100"/>
        <v/>
      </c>
      <c r="R58" s="17" t="str">
        <f t="shared" si="100"/>
        <v/>
      </c>
      <c r="S58" s="17" t="str">
        <f t="shared" si="100"/>
        <v/>
      </c>
      <c r="T58" s="17" t="str">
        <f t="shared" si="100"/>
        <v/>
      </c>
      <c r="U58" s="17" t="str">
        <f t="shared" si="100"/>
        <v/>
      </c>
      <c r="V58" s="17" t="str">
        <f t="shared" si="100"/>
        <v/>
      </c>
      <c r="W58" s="17" t="str">
        <f t="shared" si="100"/>
        <v/>
      </c>
      <c r="X58" s="17" t="str">
        <f t="shared" si="100"/>
        <v/>
      </c>
      <c r="Y58" s="17" t="str">
        <f t="shared" si="100"/>
        <v/>
      </c>
      <c r="Z58" s="17" t="str">
        <f t="shared" si="100"/>
        <v/>
      </c>
      <c r="AA58" s="17" t="str">
        <f t="shared" si="100"/>
        <v/>
      </c>
      <c r="AB58" s="17" t="str">
        <f t="shared" si="100"/>
        <v/>
      </c>
      <c r="AC58" s="17" t="str">
        <f t="shared" si="100"/>
        <v/>
      </c>
      <c r="AD58" s="17" t="str">
        <f t="shared" si="100"/>
        <v/>
      </c>
      <c r="AE58" s="17" t="str">
        <f t="shared" si="100"/>
        <v/>
      </c>
      <c r="AF58" s="17" t="str">
        <f t="shared" si="100"/>
        <v/>
      </c>
      <c r="AG58" s="17" t="str">
        <f t="shared" si="100"/>
        <v/>
      </c>
      <c r="AH58" s="17" t="str">
        <f t="shared" ref="AH58:BJ58" si="101">IF(AH$12&gt;=T,"",
  IF($A58&gt;AH$13,"",
  IF(HoLee.BDT=1,
                                IF(AI$12*$Q$3&lt;T,AG57+(AG$10*h-sig*SQRT(h)),AG57+($O$3*h-sig*SQRT(h))),
                                IF(AI$12*$Q$3&lt;T,AG57*EXP(AG$10*h-sig*SQRT(h)),AG57*EXP($O$3*h-sig*SQRT(h)))
 )))</f>
        <v/>
      </c>
      <c r="AI58" s="17" t="str">
        <f t="shared" si="101"/>
        <v/>
      </c>
      <c r="AJ58" s="17" t="str">
        <f t="shared" si="101"/>
        <v/>
      </c>
      <c r="AK58" s="17" t="str">
        <f t="shared" si="101"/>
        <v/>
      </c>
      <c r="AL58" s="17" t="str">
        <f t="shared" si="101"/>
        <v/>
      </c>
      <c r="AM58" s="17" t="str">
        <f t="shared" si="101"/>
        <v/>
      </c>
      <c r="AN58" s="17" t="str">
        <f t="shared" si="101"/>
        <v/>
      </c>
      <c r="AO58" s="17" t="str">
        <f t="shared" si="101"/>
        <v/>
      </c>
      <c r="AP58" s="17" t="str">
        <f t="shared" si="101"/>
        <v/>
      </c>
      <c r="AQ58" s="17" t="str">
        <f t="shared" si="101"/>
        <v/>
      </c>
      <c r="AR58" s="17" t="str">
        <f t="shared" si="101"/>
        <v/>
      </c>
      <c r="AS58" s="17" t="str">
        <f t="shared" si="101"/>
        <v/>
      </c>
      <c r="AT58" s="17">
        <f t="shared" si="101"/>
        <v>5.0682154636656651E-2</v>
      </c>
      <c r="AU58" s="17">
        <f t="shared" si="101"/>
        <v>5.0682154636656651E-2</v>
      </c>
      <c r="AV58" s="17">
        <f t="shared" si="101"/>
        <v>5.0682154636656651E-2</v>
      </c>
      <c r="AW58" s="17">
        <f t="shared" si="101"/>
        <v>5.0682154636656651E-2</v>
      </c>
      <c r="AX58" s="17">
        <f t="shared" si="101"/>
        <v>5.0682154636656651E-2</v>
      </c>
      <c r="AY58" s="17">
        <f t="shared" si="101"/>
        <v>5.0682154636656651E-2</v>
      </c>
      <c r="AZ58" s="17">
        <f t="shared" si="101"/>
        <v>5.0682154636656651E-2</v>
      </c>
      <c r="BA58" s="17">
        <f t="shared" si="101"/>
        <v>5.0682154636656651E-2</v>
      </c>
      <c r="BB58" s="17">
        <f t="shared" si="101"/>
        <v>5.0682154636656651E-2</v>
      </c>
      <c r="BC58" s="17">
        <f t="shared" si="101"/>
        <v>5.0682154636656651E-2</v>
      </c>
      <c r="BD58" s="17">
        <f t="shared" si="101"/>
        <v>5.0682154636656651E-2</v>
      </c>
      <c r="BE58" s="17">
        <f t="shared" si="101"/>
        <v>5.0682154636656651E-2</v>
      </c>
      <c r="BF58" s="17">
        <f t="shared" si="101"/>
        <v>5.0682154636656651E-2</v>
      </c>
      <c r="BG58" s="17">
        <f t="shared" si="101"/>
        <v>5.0682154636656651E-2</v>
      </c>
      <c r="BH58" s="17">
        <f t="shared" si="101"/>
        <v>5.0682154636656651E-2</v>
      </c>
      <c r="BI58" s="17">
        <f t="shared" si="101"/>
        <v>5.0682154636656651E-2</v>
      </c>
      <c r="BJ58" s="17" t="str">
        <f t="shared" si="101"/>
        <v/>
      </c>
      <c r="BK58" s="17"/>
      <c r="BL58" s="17"/>
      <c r="BM58" s="17"/>
      <c r="BN58" s="17"/>
      <c r="BO58" s="17"/>
      <c r="BP58" s="17"/>
      <c r="BQ58" s="17"/>
      <c r="BR58" s="17"/>
      <c r="BS58" s="17"/>
      <c r="BT58" s="17"/>
      <c r="BU58" s="17"/>
      <c r="BV58" s="17"/>
      <c r="BW58" s="17"/>
      <c r="BX58" s="17"/>
      <c r="BY58" s="17"/>
      <c r="BZ58" s="17"/>
      <c r="CA58" s="17"/>
      <c r="CB58" s="17"/>
      <c r="CC58" s="17"/>
      <c r="CD58" s="17"/>
      <c r="CE58" s="17"/>
      <c r="CF58" s="17"/>
      <c r="CG58" s="17"/>
      <c r="CH58" s="17"/>
      <c r="CI58" s="17"/>
      <c r="CJ58" s="17"/>
      <c r="CK58" s="17"/>
      <c r="CL58" s="17"/>
      <c r="CM58" s="17"/>
      <c r="CN58" s="17"/>
      <c r="CO58" s="17"/>
      <c r="CP58" s="17"/>
      <c r="CQ58" s="17"/>
      <c r="CR58" s="17"/>
      <c r="CS58" s="17"/>
      <c r="CT58" s="17"/>
      <c r="CU58" s="17"/>
      <c r="CV58" s="17"/>
      <c r="CW58" s="17"/>
      <c r="CX58" s="17"/>
      <c r="CY58" s="17"/>
      <c r="CZ58" s="17"/>
    </row>
    <row r="59" spans="1:110" outlineLevel="1">
      <c r="A59" s="11">
        <f t="shared" si="77"/>
        <v>45</v>
      </c>
      <c r="B59" s="17" t="str">
        <f t="shared" ref="B59:AG59" si="102">IF(B$12&gt;=T,"",
  IF($A59&gt;B$13,"",
  IF(HoLee.BDT=1,
                                IF(C$12*$Q$3&lt;T,A58+(A$10*h-sig*SQRT(h)),A58+($O$3*h-sig*SQRT(h))),
                                IF(C$12*$Q$3&lt;T,A58*EXP(A$10*h-sig*SQRT(h)),A58*EXP($O$3*h-sig*SQRT(h)))
 )))</f>
        <v/>
      </c>
      <c r="C59" s="17" t="str">
        <f t="shared" si="102"/>
        <v/>
      </c>
      <c r="D59" s="17" t="str">
        <f t="shared" si="102"/>
        <v/>
      </c>
      <c r="E59" s="17" t="str">
        <f t="shared" si="102"/>
        <v/>
      </c>
      <c r="F59" s="17" t="str">
        <f t="shared" si="102"/>
        <v/>
      </c>
      <c r="G59" s="17" t="str">
        <f t="shared" si="102"/>
        <v/>
      </c>
      <c r="H59" s="17" t="str">
        <f t="shared" si="102"/>
        <v/>
      </c>
      <c r="I59" s="17" t="str">
        <f t="shared" si="102"/>
        <v/>
      </c>
      <c r="J59" s="17" t="str">
        <f t="shared" si="102"/>
        <v/>
      </c>
      <c r="K59" s="17" t="str">
        <f t="shared" si="102"/>
        <v/>
      </c>
      <c r="L59" s="17" t="str">
        <f t="shared" si="102"/>
        <v/>
      </c>
      <c r="M59" s="17" t="str">
        <f t="shared" si="102"/>
        <v/>
      </c>
      <c r="N59" s="17" t="str">
        <f t="shared" si="102"/>
        <v/>
      </c>
      <c r="O59" s="17" t="str">
        <f t="shared" si="102"/>
        <v/>
      </c>
      <c r="P59" s="17" t="str">
        <f t="shared" si="102"/>
        <v/>
      </c>
      <c r="Q59" s="17" t="str">
        <f t="shared" si="102"/>
        <v/>
      </c>
      <c r="R59" s="17" t="str">
        <f t="shared" si="102"/>
        <v/>
      </c>
      <c r="S59" s="17" t="str">
        <f t="shared" si="102"/>
        <v/>
      </c>
      <c r="T59" s="17" t="str">
        <f t="shared" si="102"/>
        <v/>
      </c>
      <c r="U59" s="17" t="str">
        <f t="shared" si="102"/>
        <v/>
      </c>
      <c r="V59" s="17" t="str">
        <f t="shared" si="102"/>
        <v/>
      </c>
      <c r="W59" s="17" t="str">
        <f t="shared" si="102"/>
        <v/>
      </c>
      <c r="X59" s="17" t="str">
        <f t="shared" si="102"/>
        <v/>
      </c>
      <c r="Y59" s="17" t="str">
        <f t="shared" si="102"/>
        <v/>
      </c>
      <c r="Z59" s="17" t="str">
        <f t="shared" si="102"/>
        <v/>
      </c>
      <c r="AA59" s="17" t="str">
        <f t="shared" si="102"/>
        <v/>
      </c>
      <c r="AB59" s="17" t="str">
        <f t="shared" si="102"/>
        <v/>
      </c>
      <c r="AC59" s="17" t="str">
        <f t="shared" si="102"/>
        <v/>
      </c>
      <c r="AD59" s="17" t="str">
        <f t="shared" si="102"/>
        <v/>
      </c>
      <c r="AE59" s="17" t="str">
        <f t="shared" si="102"/>
        <v/>
      </c>
      <c r="AF59" s="17" t="str">
        <f t="shared" si="102"/>
        <v/>
      </c>
      <c r="AG59" s="17" t="str">
        <f t="shared" si="102"/>
        <v/>
      </c>
      <c r="AH59" s="17" t="str">
        <f t="shared" ref="AH59:BJ59" si="103">IF(AH$12&gt;=T,"",
  IF($A59&gt;AH$13,"",
  IF(HoLee.BDT=1,
                                IF(AI$12*$Q$3&lt;T,AG58+(AG$10*h-sig*SQRT(h)),AG58+($O$3*h-sig*SQRT(h))),
                                IF(AI$12*$Q$3&lt;T,AG58*EXP(AG$10*h-sig*SQRT(h)),AG58*EXP($O$3*h-sig*SQRT(h)))
 )))</f>
        <v/>
      </c>
      <c r="AI59" s="17" t="str">
        <f t="shared" si="103"/>
        <v/>
      </c>
      <c r="AJ59" s="17" t="str">
        <f t="shared" si="103"/>
        <v/>
      </c>
      <c r="AK59" s="17" t="str">
        <f t="shared" si="103"/>
        <v/>
      </c>
      <c r="AL59" s="17" t="str">
        <f t="shared" si="103"/>
        <v/>
      </c>
      <c r="AM59" s="17" t="str">
        <f t="shared" si="103"/>
        <v/>
      </c>
      <c r="AN59" s="17" t="str">
        <f t="shared" si="103"/>
        <v/>
      </c>
      <c r="AO59" s="17" t="str">
        <f t="shared" si="103"/>
        <v/>
      </c>
      <c r="AP59" s="17" t="str">
        <f t="shared" si="103"/>
        <v/>
      </c>
      <c r="AQ59" s="17" t="str">
        <f t="shared" si="103"/>
        <v/>
      </c>
      <c r="AR59" s="17" t="str">
        <f t="shared" si="103"/>
        <v/>
      </c>
      <c r="AS59" s="17" t="str">
        <f t="shared" si="103"/>
        <v/>
      </c>
      <c r="AT59" s="17" t="str">
        <f t="shared" si="103"/>
        <v/>
      </c>
      <c r="AU59" s="17">
        <f t="shared" si="103"/>
        <v>5.0682154636656651E-2</v>
      </c>
      <c r="AV59" s="17">
        <f t="shared" si="103"/>
        <v>5.0682154636656651E-2</v>
      </c>
      <c r="AW59" s="17">
        <f t="shared" si="103"/>
        <v>5.0682154636656651E-2</v>
      </c>
      <c r="AX59" s="17">
        <f t="shared" si="103"/>
        <v>5.0682154636656651E-2</v>
      </c>
      <c r="AY59" s="17">
        <f t="shared" si="103"/>
        <v>5.0682154636656651E-2</v>
      </c>
      <c r="AZ59" s="17">
        <f t="shared" si="103"/>
        <v>5.0682154636656651E-2</v>
      </c>
      <c r="BA59" s="17">
        <f t="shared" si="103"/>
        <v>5.0682154636656651E-2</v>
      </c>
      <c r="BB59" s="17">
        <f t="shared" si="103"/>
        <v>5.0682154636656651E-2</v>
      </c>
      <c r="BC59" s="17">
        <f t="shared" si="103"/>
        <v>5.0682154636656651E-2</v>
      </c>
      <c r="BD59" s="17">
        <f t="shared" si="103"/>
        <v>5.0682154636656651E-2</v>
      </c>
      <c r="BE59" s="17">
        <f t="shared" si="103"/>
        <v>5.0682154636656651E-2</v>
      </c>
      <c r="BF59" s="17">
        <f t="shared" si="103"/>
        <v>5.0682154636656651E-2</v>
      </c>
      <c r="BG59" s="17">
        <f t="shared" si="103"/>
        <v>5.0682154636656651E-2</v>
      </c>
      <c r="BH59" s="17">
        <f t="shared" si="103"/>
        <v>5.0682154636656651E-2</v>
      </c>
      <c r="BI59" s="17">
        <f t="shared" si="103"/>
        <v>5.0682154636656651E-2</v>
      </c>
      <c r="BJ59" s="17" t="str">
        <f t="shared" si="103"/>
        <v/>
      </c>
      <c r="BK59" s="17"/>
      <c r="BL59" s="17"/>
      <c r="BM59" s="17"/>
      <c r="BN59" s="17"/>
      <c r="BO59" s="17"/>
      <c r="BP59" s="17"/>
      <c r="BQ59" s="17"/>
      <c r="BR59" s="17"/>
      <c r="BS59" s="17"/>
      <c r="BT59" s="17"/>
      <c r="BU59" s="17"/>
      <c r="BV59" s="17"/>
      <c r="BW59" s="17"/>
      <c r="BX59" s="17"/>
      <c r="BY59" s="17"/>
      <c r="BZ59" s="17"/>
      <c r="CA59" s="17"/>
      <c r="CB59" s="17"/>
      <c r="CC59" s="17"/>
      <c r="CD59" s="17"/>
      <c r="CE59" s="17"/>
      <c r="CF59" s="17"/>
      <c r="CG59" s="17"/>
      <c r="CH59" s="17"/>
      <c r="CI59" s="17"/>
      <c r="CJ59" s="17"/>
      <c r="CK59" s="17"/>
      <c r="CL59" s="17"/>
      <c r="CM59" s="17"/>
      <c r="CN59" s="17"/>
      <c r="CO59" s="17"/>
      <c r="CP59" s="17"/>
      <c r="CQ59" s="17"/>
      <c r="CR59" s="17"/>
      <c r="CS59" s="17"/>
      <c r="CT59" s="17"/>
      <c r="CU59" s="17"/>
      <c r="CV59" s="17"/>
      <c r="CW59" s="17"/>
      <c r="CX59" s="17"/>
      <c r="CY59" s="17"/>
      <c r="CZ59" s="17"/>
      <c r="DA59" s="17"/>
    </row>
    <row r="60" spans="1:110" outlineLevel="1">
      <c r="A60" s="11">
        <f t="shared" si="77"/>
        <v>46</v>
      </c>
      <c r="B60" s="17" t="str">
        <f t="shared" ref="B60:AG60" si="104">IF(B$12&gt;=T,"",
  IF($A60&gt;B$13,"",
  IF(HoLee.BDT=1,
                                IF(C$12*$Q$3&lt;T,A59+(A$10*h-sig*SQRT(h)),A59+($O$3*h-sig*SQRT(h))),
                                IF(C$12*$Q$3&lt;T,A59*EXP(A$10*h-sig*SQRT(h)),A59*EXP($O$3*h-sig*SQRT(h)))
 )))</f>
        <v/>
      </c>
      <c r="C60" s="17" t="str">
        <f t="shared" si="104"/>
        <v/>
      </c>
      <c r="D60" s="17" t="str">
        <f t="shared" si="104"/>
        <v/>
      </c>
      <c r="E60" s="17" t="str">
        <f t="shared" si="104"/>
        <v/>
      </c>
      <c r="F60" s="17" t="str">
        <f t="shared" si="104"/>
        <v/>
      </c>
      <c r="G60" s="17" t="str">
        <f t="shared" si="104"/>
        <v/>
      </c>
      <c r="H60" s="17" t="str">
        <f t="shared" si="104"/>
        <v/>
      </c>
      <c r="I60" s="17" t="str">
        <f t="shared" si="104"/>
        <v/>
      </c>
      <c r="J60" s="17" t="str">
        <f t="shared" si="104"/>
        <v/>
      </c>
      <c r="K60" s="17" t="str">
        <f t="shared" si="104"/>
        <v/>
      </c>
      <c r="L60" s="17" t="str">
        <f t="shared" si="104"/>
        <v/>
      </c>
      <c r="M60" s="17" t="str">
        <f t="shared" si="104"/>
        <v/>
      </c>
      <c r="N60" s="17" t="str">
        <f t="shared" si="104"/>
        <v/>
      </c>
      <c r="O60" s="17" t="str">
        <f t="shared" si="104"/>
        <v/>
      </c>
      <c r="P60" s="17" t="str">
        <f t="shared" si="104"/>
        <v/>
      </c>
      <c r="Q60" s="17" t="str">
        <f t="shared" si="104"/>
        <v/>
      </c>
      <c r="R60" s="17" t="str">
        <f t="shared" si="104"/>
        <v/>
      </c>
      <c r="S60" s="17" t="str">
        <f t="shared" si="104"/>
        <v/>
      </c>
      <c r="T60" s="17" t="str">
        <f t="shared" si="104"/>
        <v/>
      </c>
      <c r="U60" s="17" t="str">
        <f t="shared" si="104"/>
        <v/>
      </c>
      <c r="V60" s="17" t="str">
        <f t="shared" si="104"/>
        <v/>
      </c>
      <c r="W60" s="17" t="str">
        <f t="shared" si="104"/>
        <v/>
      </c>
      <c r="X60" s="17" t="str">
        <f t="shared" si="104"/>
        <v/>
      </c>
      <c r="Y60" s="17" t="str">
        <f t="shared" si="104"/>
        <v/>
      </c>
      <c r="Z60" s="17" t="str">
        <f t="shared" si="104"/>
        <v/>
      </c>
      <c r="AA60" s="17" t="str">
        <f t="shared" si="104"/>
        <v/>
      </c>
      <c r="AB60" s="17" t="str">
        <f t="shared" si="104"/>
        <v/>
      </c>
      <c r="AC60" s="17" t="str">
        <f t="shared" si="104"/>
        <v/>
      </c>
      <c r="AD60" s="17" t="str">
        <f t="shared" si="104"/>
        <v/>
      </c>
      <c r="AE60" s="17" t="str">
        <f t="shared" si="104"/>
        <v/>
      </c>
      <c r="AF60" s="17" t="str">
        <f t="shared" si="104"/>
        <v/>
      </c>
      <c r="AG60" s="17" t="str">
        <f t="shared" si="104"/>
        <v/>
      </c>
      <c r="AH60" s="17" t="str">
        <f t="shared" ref="AH60:BJ60" si="105">IF(AH$12&gt;=T,"",
  IF($A60&gt;AH$13,"",
  IF(HoLee.BDT=1,
                                IF(AI$12*$Q$3&lt;T,AG59+(AG$10*h-sig*SQRT(h)),AG59+($O$3*h-sig*SQRT(h))),
                                IF(AI$12*$Q$3&lt;T,AG59*EXP(AG$10*h-sig*SQRT(h)),AG59*EXP($O$3*h-sig*SQRT(h)))
 )))</f>
        <v/>
      </c>
      <c r="AI60" s="17" t="str">
        <f t="shared" si="105"/>
        <v/>
      </c>
      <c r="AJ60" s="17" t="str">
        <f t="shared" si="105"/>
        <v/>
      </c>
      <c r="AK60" s="17" t="str">
        <f t="shared" si="105"/>
        <v/>
      </c>
      <c r="AL60" s="17" t="str">
        <f t="shared" si="105"/>
        <v/>
      </c>
      <c r="AM60" s="17" t="str">
        <f t="shared" si="105"/>
        <v/>
      </c>
      <c r="AN60" s="17" t="str">
        <f t="shared" si="105"/>
        <v/>
      </c>
      <c r="AO60" s="17" t="str">
        <f t="shared" si="105"/>
        <v/>
      </c>
      <c r="AP60" s="17" t="str">
        <f t="shared" si="105"/>
        <v/>
      </c>
      <c r="AQ60" s="17" t="str">
        <f t="shared" si="105"/>
        <v/>
      </c>
      <c r="AR60" s="17" t="str">
        <f t="shared" si="105"/>
        <v/>
      </c>
      <c r="AS60" s="17" t="str">
        <f t="shared" si="105"/>
        <v/>
      </c>
      <c r="AT60" s="17" t="str">
        <f t="shared" si="105"/>
        <v/>
      </c>
      <c r="AU60" s="17" t="str">
        <f t="shared" si="105"/>
        <v/>
      </c>
      <c r="AV60" s="17">
        <f t="shared" si="105"/>
        <v>5.0682154636656651E-2</v>
      </c>
      <c r="AW60" s="17">
        <f t="shared" si="105"/>
        <v>5.0682154636656651E-2</v>
      </c>
      <c r="AX60" s="17">
        <f t="shared" si="105"/>
        <v>5.0682154636656651E-2</v>
      </c>
      <c r="AY60" s="17">
        <f t="shared" si="105"/>
        <v>5.0682154636656651E-2</v>
      </c>
      <c r="AZ60" s="17">
        <f t="shared" si="105"/>
        <v>5.0682154636656651E-2</v>
      </c>
      <c r="BA60" s="17">
        <f t="shared" si="105"/>
        <v>5.0682154636656651E-2</v>
      </c>
      <c r="BB60" s="17">
        <f t="shared" si="105"/>
        <v>5.0682154636656651E-2</v>
      </c>
      <c r="BC60" s="17">
        <f t="shared" si="105"/>
        <v>5.0682154636656651E-2</v>
      </c>
      <c r="BD60" s="17">
        <f t="shared" si="105"/>
        <v>5.0682154636656651E-2</v>
      </c>
      <c r="BE60" s="17">
        <f t="shared" si="105"/>
        <v>5.0682154636656651E-2</v>
      </c>
      <c r="BF60" s="17">
        <f t="shared" si="105"/>
        <v>5.0682154636656651E-2</v>
      </c>
      <c r="BG60" s="17">
        <f t="shared" si="105"/>
        <v>5.0682154636656651E-2</v>
      </c>
      <c r="BH60" s="17">
        <f t="shared" si="105"/>
        <v>5.0682154636656651E-2</v>
      </c>
      <c r="BI60" s="17">
        <f t="shared" si="105"/>
        <v>5.0682154636656651E-2</v>
      </c>
      <c r="BJ60" s="17" t="str">
        <f t="shared" si="105"/>
        <v/>
      </c>
      <c r="BK60" s="17"/>
      <c r="BL60" s="17"/>
      <c r="BM60" s="17"/>
      <c r="BN60" s="17"/>
      <c r="BO60" s="17"/>
      <c r="BP60" s="17"/>
      <c r="BQ60" s="17"/>
      <c r="BR60" s="17"/>
      <c r="BS60" s="17"/>
      <c r="BT60" s="17"/>
      <c r="BU60" s="17"/>
      <c r="BV60" s="17"/>
      <c r="BW60" s="17"/>
      <c r="BX60" s="17"/>
      <c r="BY60" s="17"/>
      <c r="BZ60" s="17"/>
      <c r="CA60" s="17"/>
      <c r="CB60" s="17"/>
      <c r="CC60" s="17"/>
      <c r="CD60" s="17"/>
      <c r="CE60" s="17"/>
      <c r="CF60" s="17"/>
      <c r="CG60" s="17"/>
      <c r="CH60" s="17"/>
      <c r="CI60" s="17"/>
      <c r="CJ60" s="17"/>
      <c r="CK60" s="17"/>
      <c r="CL60" s="17"/>
      <c r="CM60" s="17"/>
      <c r="CN60" s="17"/>
      <c r="CO60" s="17"/>
      <c r="CP60" s="17"/>
      <c r="CQ60" s="17"/>
      <c r="CR60" s="17"/>
      <c r="CS60" s="17"/>
      <c r="CT60" s="17"/>
      <c r="CU60" s="17"/>
      <c r="CV60" s="17"/>
      <c r="CW60" s="17"/>
      <c r="CX60" s="17"/>
      <c r="CY60" s="17"/>
      <c r="CZ60" s="17"/>
      <c r="DA60" s="17"/>
      <c r="DB60" s="17"/>
    </row>
    <row r="61" spans="1:110" outlineLevel="1">
      <c r="A61" s="11">
        <f t="shared" si="77"/>
        <v>47</v>
      </c>
      <c r="B61" s="17" t="str">
        <f t="shared" ref="B61:AG61" si="106">IF(B$12&gt;=T,"",
  IF($A61&gt;B$13,"",
  IF(HoLee.BDT=1,
                                IF(C$12*$Q$3&lt;T,A60+(A$10*h-sig*SQRT(h)),A60+($O$3*h-sig*SQRT(h))),
                                IF(C$12*$Q$3&lt;T,A60*EXP(A$10*h-sig*SQRT(h)),A60*EXP($O$3*h-sig*SQRT(h)))
 )))</f>
        <v/>
      </c>
      <c r="C61" s="17" t="str">
        <f t="shared" si="106"/>
        <v/>
      </c>
      <c r="D61" s="17" t="str">
        <f t="shared" si="106"/>
        <v/>
      </c>
      <c r="E61" s="17" t="str">
        <f t="shared" si="106"/>
        <v/>
      </c>
      <c r="F61" s="17" t="str">
        <f t="shared" si="106"/>
        <v/>
      </c>
      <c r="G61" s="17" t="str">
        <f t="shared" si="106"/>
        <v/>
      </c>
      <c r="H61" s="17" t="str">
        <f t="shared" si="106"/>
        <v/>
      </c>
      <c r="I61" s="17" t="str">
        <f t="shared" si="106"/>
        <v/>
      </c>
      <c r="J61" s="17" t="str">
        <f t="shared" si="106"/>
        <v/>
      </c>
      <c r="K61" s="17" t="str">
        <f t="shared" si="106"/>
        <v/>
      </c>
      <c r="L61" s="17" t="str">
        <f t="shared" si="106"/>
        <v/>
      </c>
      <c r="M61" s="17" t="str">
        <f t="shared" si="106"/>
        <v/>
      </c>
      <c r="N61" s="17" t="str">
        <f t="shared" si="106"/>
        <v/>
      </c>
      <c r="O61" s="17" t="str">
        <f t="shared" si="106"/>
        <v/>
      </c>
      <c r="P61" s="17" t="str">
        <f t="shared" si="106"/>
        <v/>
      </c>
      <c r="Q61" s="17" t="str">
        <f t="shared" si="106"/>
        <v/>
      </c>
      <c r="R61" s="17" t="str">
        <f t="shared" si="106"/>
        <v/>
      </c>
      <c r="S61" s="17" t="str">
        <f t="shared" si="106"/>
        <v/>
      </c>
      <c r="T61" s="17" t="str">
        <f t="shared" si="106"/>
        <v/>
      </c>
      <c r="U61" s="17" t="str">
        <f t="shared" si="106"/>
        <v/>
      </c>
      <c r="V61" s="17" t="str">
        <f t="shared" si="106"/>
        <v/>
      </c>
      <c r="W61" s="17" t="str">
        <f t="shared" si="106"/>
        <v/>
      </c>
      <c r="X61" s="17" t="str">
        <f t="shared" si="106"/>
        <v/>
      </c>
      <c r="Y61" s="17" t="str">
        <f t="shared" si="106"/>
        <v/>
      </c>
      <c r="Z61" s="17" t="str">
        <f t="shared" si="106"/>
        <v/>
      </c>
      <c r="AA61" s="17" t="str">
        <f t="shared" si="106"/>
        <v/>
      </c>
      <c r="AB61" s="17" t="str">
        <f t="shared" si="106"/>
        <v/>
      </c>
      <c r="AC61" s="17" t="str">
        <f t="shared" si="106"/>
        <v/>
      </c>
      <c r="AD61" s="17" t="str">
        <f t="shared" si="106"/>
        <v/>
      </c>
      <c r="AE61" s="17" t="str">
        <f t="shared" si="106"/>
        <v/>
      </c>
      <c r="AF61" s="17" t="str">
        <f t="shared" si="106"/>
        <v/>
      </c>
      <c r="AG61" s="17" t="str">
        <f t="shared" si="106"/>
        <v/>
      </c>
      <c r="AH61" s="17" t="str">
        <f t="shared" ref="AH61:BJ61" si="107">IF(AH$12&gt;=T,"",
  IF($A61&gt;AH$13,"",
  IF(HoLee.BDT=1,
                                IF(AI$12*$Q$3&lt;T,AG60+(AG$10*h-sig*SQRT(h)),AG60+($O$3*h-sig*SQRT(h))),
                                IF(AI$12*$Q$3&lt;T,AG60*EXP(AG$10*h-sig*SQRT(h)),AG60*EXP($O$3*h-sig*SQRT(h)))
 )))</f>
        <v/>
      </c>
      <c r="AI61" s="17" t="str">
        <f t="shared" si="107"/>
        <v/>
      </c>
      <c r="AJ61" s="17" t="str">
        <f t="shared" si="107"/>
        <v/>
      </c>
      <c r="AK61" s="17" t="str">
        <f t="shared" si="107"/>
        <v/>
      </c>
      <c r="AL61" s="17" t="str">
        <f t="shared" si="107"/>
        <v/>
      </c>
      <c r="AM61" s="17" t="str">
        <f t="shared" si="107"/>
        <v/>
      </c>
      <c r="AN61" s="17" t="str">
        <f t="shared" si="107"/>
        <v/>
      </c>
      <c r="AO61" s="17" t="str">
        <f t="shared" si="107"/>
        <v/>
      </c>
      <c r="AP61" s="17" t="str">
        <f t="shared" si="107"/>
        <v/>
      </c>
      <c r="AQ61" s="17" t="str">
        <f t="shared" si="107"/>
        <v/>
      </c>
      <c r="AR61" s="17" t="str">
        <f t="shared" si="107"/>
        <v/>
      </c>
      <c r="AS61" s="17" t="str">
        <f t="shared" si="107"/>
        <v/>
      </c>
      <c r="AT61" s="17" t="str">
        <f t="shared" si="107"/>
        <v/>
      </c>
      <c r="AU61" s="17" t="str">
        <f t="shared" si="107"/>
        <v/>
      </c>
      <c r="AV61" s="17" t="str">
        <f t="shared" si="107"/>
        <v/>
      </c>
      <c r="AW61" s="17">
        <f t="shared" si="107"/>
        <v>5.0682154636656651E-2</v>
      </c>
      <c r="AX61" s="17">
        <f t="shared" si="107"/>
        <v>5.0682154636656651E-2</v>
      </c>
      <c r="AY61" s="17">
        <f t="shared" si="107"/>
        <v>5.0682154636656651E-2</v>
      </c>
      <c r="AZ61" s="17">
        <f t="shared" si="107"/>
        <v>5.0682154636656651E-2</v>
      </c>
      <c r="BA61" s="17">
        <f t="shared" si="107"/>
        <v>5.0682154636656651E-2</v>
      </c>
      <c r="BB61" s="17">
        <f t="shared" si="107"/>
        <v>5.0682154636656651E-2</v>
      </c>
      <c r="BC61" s="17">
        <f t="shared" si="107"/>
        <v>5.0682154636656651E-2</v>
      </c>
      <c r="BD61" s="17">
        <f t="shared" si="107"/>
        <v>5.0682154636656651E-2</v>
      </c>
      <c r="BE61" s="17">
        <f t="shared" si="107"/>
        <v>5.0682154636656651E-2</v>
      </c>
      <c r="BF61" s="17">
        <f t="shared" si="107"/>
        <v>5.0682154636656651E-2</v>
      </c>
      <c r="BG61" s="17">
        <f t="shared" si="107"/>
        <v>5.0682154636656651E-2</v>
      </c>
      <c r="BH61" s="17">
        <f t="shared" si="107"/>
        <v>5.0682154636656651E-2</v>
      </c>
      <c r="BI61" s="17">
        <f t="shared" si="107"/>
        <v>5.0682154636656651E-2</v>
      </c>
      <c r="BJ61" s="17" t="str">
        <f t="shared" si="107"/>
        <v/>
      </c>
      <c r="BK61" s="17"/>
      <c r="BL61" s="17"/>
      <c r="BM61" s="17"/>
      <c r="BN61" s="17"/>
      <c r="BO61" s="17"/>
      <c r="BP61" s="17"/>
      <c r="BQ61" s="17"/>
      <c r="BR61" s="17"/>
      <c r="BS61" s="17"/>
      <c r="BT61" s="17"/>
      <c r="BU61" s="17"/>
      <c r="BV61" s="17"/>
      <c r="BW61" s="17"/>
      <c r="BX61" s="17"/>
      <c r="BY61" s="17"/>
      <c r="BZ61" s="17"/>
      <c r="CA61" s="17"/>
      <c r="CB61" s="17"/>
      <c r="CC61" s="17"/>
      <c r="CD61" s="17"/>
      <c r="CE61" s="17"/>
      <c r="CF61" s="17"/>
      <c r="CG61" s="17"/>
      <c r="CH61" s="17"/>
      <c r="CI61" s="17"/>
      <c r="CJ61" s="17"/>
      <c r="CK61" s="17"/>
      <c r="CL61" s="17"/>
      <c r="CM61" s="17"/>
      <c r="CN61" s="17"/>
      <c r="CO61" s="17"/>
      <c r="CP61" s="17"/>
      <c r="CQ61" s="17"/>
      <c r="CR61" s="17"/>
      <c r="CS61" s="17"/>
      <c r="CT61" s="17"/>
      <c r="CU61" s="17"/>
      <c r="CV61" s="17"/>
      <c r="CW61" s="17"/>
      <c r="CX61" s="17"/>
      <c r="CY61" s="17"/>
      <c r="CZ61" s="17"/>
      <c r="DA61" s="17"/>
      <c r="DB61" s="17"/>
      <c r="DC61" s="17"/>
    </row>
    <row r="62" spans="1:110" outlineLevel="1">
      <c r="A62" s="11">
        <f t="shared" si="77"/>
        <v>48</v>
      </c>
      <c r="B62" s="17" t="str">
        <f t="shared" ref="B62:AG62" si="108">IF(B$12&gt;=T,"",
  IF($A62&gt;B$13,"",
  IF(HoLee.BDT=1,
                                IF(C$12*$Q$3&lt;T,A61+(A$10*h-sig*SQRT(h)),A61+($O$3*h-sig*SQRT(h))),
                                IF(C$12*$Q$3&lt;T,A61*EXP(A$10*h-sig*SQRT(h)),A61*EXP($O$3*h-sig*SQRT(h)))
 )))</f>
        <v/>
      </c>
      <c r="C62" s="17" t="str">
        <f t="shared" si="108"/>
        <v/>
      </c>
      <c r="D62" s="17" t="str">
        <f t="shared" si="108"/>
        <v/>
      </c>
      <c r="E62" s="17" t="str">
        <f t="shared" si="108"/>
        <v/>
      </c>
      <c r="F62" s="17" t="str">
        <f t="shared" si="108"/>
        <v/>
      </c>
      <c r="G62" s="17" t="str">
        <f t="shared" si="108"/>
        <v/>
      </c>
      <c r="H62" s="17" t="str">
        <f t="shared" si="108"/>
        <v/>
      </c>
      <c r="I62" s="17" t="str">
        <f t="shared" si="108"/>
        <v/>
      </c>
      <c r="J62" s="17" t="str">
        <f t="shared" si="108"/>
        <v/>
      </c>
      <c r="K62" s="17" t="str">
        <f t="shared" si="108"/>
        <v/>
      </c>
      <c r="L62" s="17" t="str">
        <f t="shared" si="108"/>
        <v/>
      </c>
      <c r="M62" s="17" t="str">
        <f t="shared" si="108"/>
        <v/>
      </c>
      <c r="N62" s="17" t="str">
        <f t="shared" si="108"/>
        <v/>
      </c>
      <c r="O62" s="17" t="str">
        <f t="shared" si="108"/>
        <v/>
      </c>
      <c r="P62" s="17" t="str">
        <f t="shared" si="108"/>
        <v/>
      </c>
      <c r="Q62" s="17" t="str">
        <f t="shared" si="108"/>
        <v/>
      </c>
      <c r="R62" s="17" t="str">
        <f t="shared" si="108"/>
        <v/>
      </c>
      <c r="S62" s="17" t="str">
        <f t="shared" si="108"/>
        <v/>
      </c>
      <c r="T62" s="17" t="str">
        <f t="shared" si="108"/>
        <v/>
      </c>
      <c r="U62" s="17" t="str">
        <f t="shared" si="108"/>
        <v/>
      </c>
      <c r="V62" s="17" t="str">
        <f t="shared" si="108"/>
        <v/>
      </c>
      <c r="W62" s="17" t="str">
        <f t="shared" si="108"/>
        <v/>
      </c>
      <c r="X62" s="17" t="str">
        <f t="shared" si="108"/>
        <v/>
      </c>
      <c r="Y62" s="17" t="str">
        <f t="shared" si="108"/>
        <v/>
      </c>
      <c r="Z62" s="17" t="str">
        <f t="shared" si="108"/>
        <v/>
      </c>
      <c r="AA62" s="17" t="str">
        <f t="shared" si="108"/>
        <v/>
      </c>
      <c r="AB62" s="17" t="str">
        <f t="shared" si="108"/>
        <v/>
      </c>
      <c r="AC62" s="17" t="str">
        <f t="shared" si="108"/>
        <v/>
      </c>
      <c r="AD62" s="17" t="str">
        <f t="shared" si="108"/>
        <v/>
      </c>
      <c r="AE62" s="17" t="str">
        <f t="shared" si="108"/>
        <v/>
      </c>
      <c r="AF62" s="17" t="str">
        <f t="shared" si="108"/>
        <v/>
      </c>
      <c r="AG62" s="17" t="str">
        <f t="shared" si="108"/>
        <v/>
      </c>
      <c r="AH62" s="17" t="str">
        <f t="shared" ref="AH62:BJ62" si="109">IF(AH$12&gt;=T,"",
  IF($A62&gt;AH$13,"",
  IF(HoLee.BDT=1,
                                IF(AI$12*$Q$3&lt;T,AG61+(AG$10*h-sig*SQRT(h)),AG61+($O$3*h-sig*SQRT(h))),
                                IF(AI$12*$Q$3&lt;T,AG61*EXP(AG$10*h-sig*SQRT(h)),AG61*EXP($O$3*h-sig*SQRT(h)))
 )))</f>
        <v/>
      </c>
      <c r="AI62" s="17" t="str">
        <f t="shared" si="109"/>
        <v/>
      </c>
      <c r="AJ62" s="17" t="str">
        <f t="shared" si="109"/>
        <v/>
      </c>
      <c r="AK62" s="17" t="str">
        <f t="shared" si="109"/>
        <v/>
      </c>
      <c r="AL62" s="17" t="str">
        <f t="shared" si="109"/>
        <v/>
      </c>
      <c r="AM62" s="17" t="str">
        <f t="shared" si="109"/>
        <v/>
      </c>
      <c r="AN62" s="17" t="str">
        <f t="shared" si="109"/>
        <v/>
      </c>
      <c r="AO62" s="17" t="str">
        <f t="shared" si="109"/>
        <v/>
      </c>
      <c r="AP62" s="17" t="str">
        <f t="shared" si="109"/>
        <v/>
      </c>
      <c r="AQ62" s="17" t="str">
        <f t="shared" si="109"/>
        <v/>
      </c>
      <c r="AR62" s="17" t="str">
        <f t="shared" si="109"/>
        <v/>
      </c>
      <c r="AS62" s="17" t="str">
        <f t="shared" si="109"/>
        <v/>
      </c>
      <c r="AT62" s="17" t="str">
        <f t="shared" si="109"/>
        <v/>
      </c>
      <c r="AU62" s="17" t="str">
        <f t="shared" si="109"/>
        <v/>
      </c>
      <c r="AV62" s="17" t="str">
        <f t="shared" si="109"/>
        <v/>
      </c>
      <c r="AW62" s="17" t="str">
        <f t="shared" si="109"/>
        <v/>
      </c>
      <c r="AX62" s="17">
        <f t="shared" si="109"/>
        <v>5.0682154636656651E-2</v>
      </c>
      <c r="AY62" s="17">
        <f t="shared" si="109"/>
        <v>5.0682154636656651E-2</v>
      </c>
      <c r="AZ62" s="17">
        <f t="shared" si="109"/>
        <v>5.0682154636656651E-2</v>
      </c>
      <c r="BA62" s="17">
        <f t="shared" si="109"/>
        <v>5.0682154636656651E-2</v>
      </c>
      <c r="BB62" s="17">
        <f t="shared" si="109"/>
        <v>5.0682154636656651E-2</v>
      </c>
      <c r="BC62" s="17">
        <f t="shared" si="109"/>
        <v>5.0682154636656651E-2</v>
      </c>
      <c r="BD62" s="17">
        <f t="shared" si="109"/>
        <v>5.0682154636656651E-2</v>
      </c>
      <c r="BE62" s="17">
        <f t="shared" si="109"/>
        <v>5.0682154636656651E-2</v>
      </c>
      <c r="BF62" s="17">
        <f t="shared" si="109"/>
        <v>5.0682154636656651E-2</v>
      </c>
      <c r="BG62" s="17">
        <f t="shared" si="109"/>
        <v>5.0682154636656651E-2</v>
      </c>
      <c r="BH62" s="17">
        <f t="shared" si="109"/>
        <v>5.0682154636656651E-2</v>
      </c>
      <c r="BI62" s="17">
        <f t="shared" si="109"/>
        <v>5.0682154636656651E-2</v>
      </c>
      <c r="BJ62" s="17" t="str">
        <f t="shared" si="109"/>
        <v/>
      </c>
      <c r="BK62" s="17"/>
      <c r="BL62" s="17"/>
      <c r="BM62" s="17"/>
      <c r="BN62" s="17"/>
      <c r="BO62" s="17"/>
      <c r="BP62" s="17"/>
      <c r="BQ62" s="17"/>
      <c r="BR62" s="17"/>
      <c r="BS62" s="17"/>
      <c r="BT62" s="17"/>
      <c r="BU62" s="17"/>
      <c r="BV62" s="17"/>
      <c r="BW62" s="17"/>
      <c r="BX62" s="17"/>
      <c r="BY62" s="17"/>
      <c r="BZ62" s="17"/>
      <c r="CA62" s="17"/>
      <c r="CB62" s="17"/>
      <c r="CC62" s="17"/>
      <c r="CD62" s="17"/>
      <c r="CE62" s="17"/>
      <c r="CF62" s="17"/>
      <c r="CG62" s="17"/>
      <c r="CH62" s="17"/>
      <c r="CI62" s="17"/>
      <c r="CJ62" s="17"/>
      <c r="CK62" s="17"/>
      <c r="CL62" s="17"/>
      <c r="CM62" s="17"/>
      <c r="CN62" s="17"/>
      <c r="CO62" s="17"/>
      <c r="CP62" s="17"/>
      <c r="CQ62" s="17"/>
      <c r="CR62" s="17"/>
      <c r="CS62" s="17"/>
      <c r="CT62" s="17"/>
      <c r="CU62" s="17"/>
      <c r="CV62" s="17"/>
      <c r="CW62" s="17"/>
      <c r="CX62" s="17"/>
      <c r="CY62" s="17"/>
      <c r="CZ62" s="17"/>
      <c r="DA62" s="17"/>
      <c r="DB62" s="17"/>
      <c r="DC62" s="17"/>
      <c r="DD62" s="17"/>
    </row>
    <row r="63" spans="1:110" outlineLevel="1">
      <c r="A63" s="11">
        <f t="shared" si="77"/>
        <v>49</v>
      </c>
      <c r="B63" s="17" t="str">
        <f t="shared" ref="B63:AG63" si="110">IF(B$12&gt;=T,"",
  IF($A63&gt;B$13,"",
  IF(HoLee.BDT=1,
                                IF(C$12*$Q$3&lt;T,A62+(A$10*h-sig*SQRT(h)),A62+($O$3*h-sig*SQRT(h))),
                                IF(C$12*$Q$3&lt;T,A62*EXP(A$10*h-sig*SQRT(h)),A62*EXP($O$3*h-sig*SQRT(h)))
 )))</f>
        <v/>
      </c>
      <c r="C63" s="17" t="str">
        <f t="shared" si="110"/>
        <v/>
      </c>
      <c r="D63" s="17" t="str">
        <f t="shared" si="110"/>
        <v/>
      </c>
      <c r="E63" s="17" t="str">
        <f t="shared" si="110"/>
        <v/>
      </c>
      <c r="F63" s="17" t="str">
        <f t="shared" si="110"/>
        <v/>
      </c>
      <c r="G63" s="17" t="str">
        <f t="shared" si="110"/>
        <v/>
      </c>
      <c r="H63" s="17" t="str">
        <f t="shared" si="110"/>
        <v/>
      </c>
      <c r="I63" s="17" t="str">
        <f t="shared" si="110"/>
        <v/>
      </c>
      <c r="J63" s="17" t="str">
        <f t="shared" si="110"/>
        <v/>
      </c>
      <c r="K63" s="17" t="str">
        <f t="shared" si="110"/>
        <v/>
      </c>
      <c r="L63" s="17" t="str">
        <f t="shared" si="110"/>
        <v/>
      </c>
      <c r="M63" s="17" t="str">
        <f t="shared" si="110"/>
        <v/>
      </c>
      <c r="N63" s="17" t="str">
        <f t="shared" si="110"/>
        <v/>
      </c>
      <c r="O63" s="17" t="str">
        <f t="shared" si="110"/>
        <v/>
      </c>
      <c r="P63" s="17" t="str">
        <f t="shared" si="110"/>
        <v/>
      </c>
      <c r="Q63" s="17" t="str">
        <f t="shared" si="110"/>
        <v/>
      </c>
      <c r="R63" s="17" t="str">
        <f t="shared" si="110"/>
        <v/>
      </c>
      <c r="S63" s="17" t="str">
        <f t="shared" si="110"/>
        <v/>
      </c>
      <c r="T63" s="17" t="str">
        <f t="shared" si="110"/>
        <v/>
      </c>
      <c r="U63" s="17" t="str">
        <f t="shared" si="110"/>
        <v/>
      </c>
      <c r="V63" s="17" t="str">
        <f t="shared" si="110"/>
        <v/>
      </c>
      <c r="W63" s="17" t="str">
        <f t="shared" si="110"/>
        <v/>
      </c>
      <c r="X63" s="17" t="str">
        <f t="shared" si="110"/>
        <v/>
      </c>
      <c r="Y63" s="17" t="str">
        <f t="shared" si="110"/>
        <v/>
      </c>
      <c r="Z63" s="17" t="str">
        <f t="shared" si="110"/>
        <v/>
      </c>
      <c r="AA63" s="17" t="str">
        <f t="shared" si="110"/>
        <v/>
      </c>
      <c r="AB63" s="17" t="str">
        <f t="shared" si="110"/>
        <v/>
      </c>
      <c r="AC63" s="17" t="str">
        <f t="shared" si="110"/>
        <v/>
      </c>
      <c r="AD63" s="17" t="str">
        <f t="shared" si="110"/>
        <v/>
      </c>
      <c r="AE63" s="17" t="str">
        <f t="shared" si="110"/>
        <v/>
      </c>
      <c r="AF63" s="17" t="str">
        <f t="shared" si="110"/>
        <v/>
      </c>
      <c r="AG63" s="17" t="str">
        <f t="shared" si="110"/>
        <v/>
      </c>
      <c r="AH63" s="17" t="str">
        <f t="shared" ref="AH63:BJ63" si="111">IF(AH$12&gt;=T,"",
  IF($A63&gt;AH$13,"",
  IF(HoLee.BDT=1,
                                IF(AI$12*$Q$3&lt;T,AG62+(AG$10*h-sig*SQRT(h)),AG62+($O$3*h-sig*SQRT(h))),
                                IF(AI$12*$Q$3&lt;T,AG62*EXP(AG$10*h-sig*SQRT(h)),AG62*EXP($O$3*h-sig*SQRT(h)))
 )))</f>
        <v/>
      </c>
      <c r="AI63" s="17" t="str">
        <f t="shared" si="111"/>
        <v/>
      </c>
      <c r="AJ63" s="17" t="str">
        <f t="shared" si="111"/>
        <v/>
      </c>
      <c r="AK63" s="17" t="str">
        <f t="shared" si="111"/>
        <v/>
      </c>
      <c r="AL63" s="17" t="str">
        <f t="shared" si="111"/>
        <v/>
      </c>
      <c r="AM63" s="17" t="str">
        <f t="shared" si="111"/>
        <v/>
      </c>
      <c r="AN63" s="17" t="str">
        <f t="shared" si="111"/>
        <v/>
      </c>
      <c r="AO63" s="17" t="str">
        <f t="shared" si="111"/>
        <v/>
      </c>
      <c r="AP63" s="17" t="str">
        <f t="shared" si="111"/>
        <v/>
      </c>
      <c r="AQ63" s="17" t="str">
        <f t="shared" si="111"/>
        <v/>
      </c>
      <c r="AR63" s="17" t="str">
        <f t="shared" si="111"/>
        <v/>
      </c>
      <c r="AS63" s="17" t="str">
        <f t="shared" si="111"/>
        <v/>
      </c>
      <c r="AT63" s="17" t="str">
        <f t="shared" si="111"/>
        <v/>
      </c>
      <c r="AU63" s="17" t="str">
        <f t="shared" si="111"/>
        <v/>
      </c>
      <c r="AV63" s="17" t="str">
        <f t="shared" si="111"/>
        <v/>
      </c>
      <c r="AW63" s="17" t="str">
        <f t="shared" si="111"/>
        <v/>
      </c>
      <c r="AX63" s="17" t="str">
        <f t="shared" si="111"/>
        <v/>
      </c>
      <c r="AY63" s="17">
        <f t="shared" si="111"/>
        <v>5.0682154636656651E-2</v>
      </c>
      <c r="AZ63" s="17">
        <f t="shared" si="111"/>
        <v>5.0682154636656651E-2</v>
      </c>
      <c r="BA63" s="17">
        <f t="shared" si="111"/>
        <v>5.0682154636656651E-2</v>
      </c>
      <c r="BB63" s="17">
        <f t="shared" si="111"/>
        <v>5.0682154636656651E-2</v>
      </c>
      <c r="BC63" s="17">
        <f t="shared" si="111"/>
        <v>5.0682154636656651E-2</v>
      </c>
      <c r="BD63" s="17">
        <f t="shared" si="111"/>
        <v>5.0682154636656651E-2</v>
      </c>
      <c r="BE63" s="17">
        <f t="shared" si="111"/>
        <v>5.0682154636656651E-2</v>
      </c>
      <c r="BF63" s="17">
        <f t="shared" si="111"/>
        <v>5.0682154636656651E-2</v>
      </c>
      <c r="BG63" s="17">
        <f t="shared" si="111"/>
        <v>5.0682154636656651E-2</v>
      </c>
      <c r="BH63" s="17">
        <f t="shared" si="111"/>
        <v>5.0682154636656651E-2</v>
      </c>
      <c r="BI63" s="17">
        <f t="shared" si="111"/>
        <v>5.0682154636656651E-2</v>
      </c>
      <c r="BJ63" s="17" t="str">
        <f t="shared" si="111"/>
        <v/>
      </c>
      <c r="BK63" s="17"/>
      <c r="BL63" s="17"/>
      <c r="BM63" s="17"/>
      <c r="BN63" s="17"/>
      <c r="BO63" s="17"/>
      <c r="BP63" s="17"/>
      <c r="BQ63" s="17"/>
      <c r="BR63" s="17"/>
      <c r="BS63" s="17"/>
      <c r="BT63" s="17"/>
      <c r="BU63" s="17"/>
      <c r="BV63" s="17"/>
      <c r="BW63" s="17"/>
      <c r="BX63" s="17"/>
      <c r="BY63" s="17"/>
      <c r="BZ63" s="17"/>
      <c r="CA63" s="17"/>
      <c r="CB63" s="17"/>
      <c r="CC63" s="17"/>
      <c r="CD63" s="17"/>
      <c r="CE63" s="17"/>
      <c r="CF63" s="17"/>
      <c r="CG63" s="17"/>
      <c r="CH63" s="17"/>
      <c r="CI63" s="17"/>
      <c r="CJ63" s="17"/>
      <c r="CK63" s="17"/>
      <c r="CL63" s="17"/>
      <c r="CM63" s="17"/>
      <c r="CN63" s="17"/>
      <c r="CO63" s="17"/>
      <c r="CP63" s="17"/>
      <c r="CQ63" s="17"/>
      <c r="CR63" s="17"/>
      <c r="CS63" s="17"/>
      <c r="CT63" s="17"/>
      <c r="CU63" s="17"/>
      <c r="CV63" s="17"/>
      <c r="CW63" s="17"/>
      <c r="CX63" s="17"/>
      <c r="CY63" s="17"/>
      <c r="CZ63" s="17"/>
      <c r="DA63" s="17"/>
      <c r="DB63" s="17"/>
      <c r="DC63" s="17"/>
      <c r="DD63" s="17"/>
      <c r="DE63" s="17"/>
    </row>
    <row r="64" spans="1:110" outlineLevel="1">
      <c r="A64" s="11">
        <f t="shared" si="77"/>
        <v>50</v>
      </c>
      <c r="B64" s="17" t="str">
        <f t="shared" ref="B64:AG64" si="112">IF(B$12&gt;=T,"",
  IF($A64&gt;B$13,"",
  IF(HoLee.BDT=1,
                                IF(C$12*$Q$3&lt;T,A63+(A$10*h-sig*SQRT(h)),A63+($O$3*h-sig*SQRT(h))),
                                IF(C$12*$Q$3&lt;T,A63*EXP(A$10*h-sig*SQRT(h)),A63*EXP($O$3*h-sig*SQRT(h)))
 )))</f>
        <v/>
      </c>
      <c r="C64" s="17" t="str">
        <f t="shared" si="112"/>
        <v/>
      </c>
      <c r="D64" s="17" t="str">
        <f t="shared" si="112"/>
        <v/>
      </c>
      <c r="E64" s="17" t="str">
        <f t="shared" si="112"/>
        <v/>
      </c>
      <c r="F64" s="17" t="str">
        <f t="shared" si="112"/>
        <v/>
      </c>
      <c r="G64" s="17" t="str">
        <f t="shared" si="112"/>
        <v/>
      </c>
      <c r="H64" s="17" t="str">
        <f t="shared" si="112"/>
        <v/>
      </c>
      <c r="I64" s="17" t="str">
        <f t="shared" si="112"/>
        <v/>
      </c>
      <c r="J64" s="17" t="str">
        <f t="shared" si="112"/>
        <v/>
      </c>
      <c r="K64" s="17" t="str">
        <f t="shared" si="112"/>
        <v/>
      </c>
      <c r="L64" s="17" t="str">
        <f t="shared" si="112"/>
        <v/>
      </c>
      <c r="M64" s="17" t="str">
        <f t="shared" si="112"/>
        <v/>
      </c>
      <c r="N64" s="17" t="str">
        <f t="shared" si="112"/>
        <v/>
      </c>
      <c r="O64" s="17" t="str">
        <f t="shared" si="112"/>
        <v/>
      </c>
      <c r="P64" s="17" t="str">
        <f t="shared" si="112"/>
        <v/>
      </c>
      <c r="Q64" s="17" t="str">
        <f t="shared" si="112"/>
        <v/>
      </c>
      <c r="R64" s="17" t="str">
        <f t="shared" si="112"/>
        <v/>
      </c>
      <c r="S64" s="17" t="str">
        <f t="shared" si="112"/>
        <v/>
      </c>
      <c r="T64" s="17" t="str">
        <f t="shared" si="112"/>
        <v/>
      </c>
      <c r="U64" s="17" t="str">
        <f t="shared" si="112"/>
        <v/>
      </c>
      <c r="V64" s="17" t="str">
        <f t="shared" si="112"/>
        <v/>
      </c>
      <c r="W64" s="17" t="str">
        <f t="shared" si="112"/>
        <v/>
      </c>
      <c r="X64" s="17" t="str">
        <f t="shared" si="112"/>
        <v/>
      </c>
      <c r="Y64" s="17" t="str">
        <f t="shared" si="112"/>
        <v/>
      </c>
      <c r="Z64" s="17" t="str">
        <f t="shared" si="112"/>
        <v/>
      </c>
      <c r="AA64" s="17" t="str">
        <f t="shared" si="112"/>
        <v/>
      </c>
      <c r="AB64" s="17" t="str">
        <f t="shared" si="112"/>
        <v/>
      </c>
      <c r="AC64" s="17" t="str">
        <f t="shared" si="112"/>
        <v/>
      </c>
      <c r="AD64" s="17" t="str">
        <f t="shared" si="112"/>
        <v/>
      </c>
      <c r="AE64" s="17" t="str">
        <f t="shared" si="112"/>
        <v/>
      </c>
      <c r="AF64" s="17" t="str">
        <f t="shared" si="112"/>
        <v/>
      </c>
      <c r="AG64" s="17" t="str">
        <f t="shared" si="112"/>
        <v/>
      </c>
      <c r="AH64" s="17" t="str">
        <f t="shared" ref="AH64:BJ64" si="113">IF(AH$12&gt;=T,"",
  IF($A64&gt;AH$13,"",
  IF(HoLee.BDT=1,
                                IF(AI$12*$Q$3&lt;T,AG63+(AG$10*h-sig*SQRT(h)),AG63+($O$3*h-sig*SQRT(h))),
                                IF(AI$12*$Q$3&lt;T,AG63*EXP(AG$10*h-sig*SQRT(h)),AG63*EXP($O$3*h-sig*SQRT(h)))
 )))</f>
        <v/>
      </c>
      <c r="AI64" s="17" t="str">
        <f t="shared" si="113"/>
        <v/>
      </c>
      <c r="AJ64" s="17" t="str">
        <f t="shared" si="113"/>
        <v/>
      </c>
      <c r="AK64" s="17" t="str">
        <f t="shared" si="113"/>
        <v/>
      </c>
      <c r="AL64" s="17" t="str">
        <f t="shared" si="113"/>
        <v/>
      </c>
      <c r="AM64" s="17" t="str">
        <f t="shared" si="113"/>
        <v/>
      </c>
      <c r="AN64" s="17" t="str">
        <f t="shared" si="113"/>
        <v/>
      </c>
      <c r="AO64" s="17" t="str">
        <f t="shared" si="113"/>
        <v/>
      </c>
      <c r="AP64" s="17" t="str">
        <f t="shared" si="113"/>
        <v/>
      </c>
      <c r="AQ64" s="17" t="str">
        <f t="shared" si="113"/>
        <v/>
      </c>
      <c r="AR64" s="17" t="str">
        <f t="shared" si="113"/>
        <v/>
      </c>
      <c r="AS64" s="17" t="str">
        <f t="shared" si="113"/>
        <v/>
      </c>
      <c r="AT64" s="17" t="str">
        <f t="shared" si="113"/>
        <v/>
      </c>
      <c r="AU64" s="17" t="str">
        <f t="shared" si="113"/>
        <v/>
      </c>
      <c r="AV64" s="17" t="str">
        <f t="shared" si="113"/>
        <v/>
      </c>
      <c r="AW64" s="17" t="str">
        <f t="shared" si="113"/>
        <v/>
      </c>
      <c r="AX64" s="17" t="str">
        <f t="shared" si="113"/>
        <v/>
      </c>
      <c r="AY64" s="17" t="str">
        <f t="shared" si="113"/>
        <v/>
      </c>
      <c r="AZ64" s="17">
        <f t="shared" si="113"/>
        <v>5.0682154636656651E-2</v>
      </c>
      <c r="BA64" s="17">
        <f t="shared" si="113"/>
        <v>5.0682154636656651E-2</v>
      </c>
      <c r="BB64" s="17">
        <f t="shared" si="113"/>
        <v>5.0682154636656651E-2</v>
      </c>
      <c r="BC64" s="17">
        <f t="shared" si="113"/>
        <v>5.0682154636656651E-2</v>
      </c>
      <c r="BD64" s="17">
        <f t="shared" si="113"/>
        <v>5.0682154636656651E-2</v>
      </c>
      <c r="BE64" s="17">
        <f t="shared" si="113"/>
        <v>5.0682154636656651E-2</v>
      </c>
      <c r="BF64" s="17">
        <f t="shared" si="113"/>
        <v>5.0682154636656651E-2</v>
      </c>
      <c r="BG64" s="17">
        <f t="shared" si="113"/>
        <v>5.0682154636656651E-2</v>
      </c>
      <c r="BH64" s="17">
        <f t="shared" si="113"/>
        <v>5.0682154636656651E-2</v>
      </c>
      <c r="BI64" s="17">
        <f t="shared" si="113"/>
        <v>5.0682154636656651E-2</v>
      </c>
      <c r="BJ64" s="17" t="str">
        <f t="shared" si="113"/>
        <v/>
      </c>
      <c r="BK64" s="17"/>
      <c r="BL64" s="17"/>
      <c r="BM64" s="17"/>
      <c r="BN64" s="17"/>
      <c r="BO64" s="17"/>
      <c r="BP64" s="17"/>
      <c r="BQ64" s="17"/>
      <c r="BR64" s="17"/>
      <c r="BS64" s="17"/>
      <c r="BT64" s="17"/>
      <c r="BU64" s="17"/>
      <c r="BV64" s="17"/>
      <c r="BW64" s="17"/>
      <c r="BX64" s="17"/>
      <c r="BY64" s="17"/>
      <c r="BZ64" s="17"/>
      <c r="CA64" s="17"/>
      <c r="CB64" s="17"/>
      <c r="CC64" s="17"/>
      <c r="CD64" s="17"/>
      <c r="CE64" s="17"/>
      <c r="CF64" s="17"/>
      <c r="CG64" s="17"/>
      <c r="CH64" s="17"/>
      <c r="CI64" s="17"/>
      <c r="CJ64" s="17"/>
      <c r="CK64" s="17"/>
      <c r="CL64" s="17"/>
      <c r="CM64" s="17"/>
      <c r="CN64" s="17"/>
      <c r="CO64" s="17"/>
      <c r="CP64" s="17"/>
      <c r="CQ64" s="17"/>
      <c r="CR64" s="17"/>
      <c r="CS64" s="17"/>
      <c r="CT64" s="17"/>
      <c r="CU64" s="17"/>
      <c r="CV64" s="17"/>
      <c r="CW64" s="17"/>
      <c r="CX64" s="17"/>
      <c r="CY64" s="17"/>
      <c r="CZ64" s="17"/>
      <c r="DA64" s="17"/>
      <c r="DB64" s="17"/>
      <c r="DC64" s="17"/>
      <c r="DD64" s="17"/>
      <c r="DE64" s="17"/>
      <c r="DF64" s="17"/>
    </row>
    <row r="65" spans="1:116" outlineLevel="1">
      <c r="A65" s="11">
        <f t="shared" si="77"/>
        <v>51</v>
      </c>
      <c r="B65" s="17" t="str">
        <f t="shared" ref="B65:AG65" si="114">IF(B$12&gt;=T,"",
  IF($A65&gt;B$13,"",
  IF(HoLee.BDT=1,
                                IF(C$12*$Q$3&lt;T,A64+(A$10*h-sig*SQRT(h)),A64+($O$3*h-sig*SQRT(h))),
                                IF(C$12*$Q$3&lt;T,A64*EXP(A$10*h-sig*SQRT(h)),A64*EXP($O$3*h-sig*SQRT(h)))
 )))</f>
        <v/>
      </c>
      <c r="C65" s="17" t="str">
        <f t="shared" si="114"/>
        <v/>
      </c>
      <c r="D65" s="17" t="str">
        <f t="shared" si="114"/>
        <v/>
      </c>
      <c r="E65" s="17" t="str">
        <f t="shared" si="114"/>
        <v/>
      </c>
      <c r="F65" s="17" t="str">
        <f t="shared" si="114"/>
        <v/>
      </c>
      <c r="G65" s="17" t="str">
        <f t="shared" si="114"/>
        <v/>
      </c>
      <c r="H65" s="17" t="str">
        <f t="shared" si="114"/>
        <v/>
      </c>
      <c r="I65" s="17" t="str">
        <f t="shared" si="114"/>
        <v/>
      </c>
      <c r="J65" s="17" t="str">
        <f t="shared" si="114"/>
        <v/>
      </c>
      <c r="K65" s="17" t="str">
        <f t="shared" si="114"/>
        <v/>
      </c>
      <c r="L65" s="17" t="str">
        <f t="shared" si="114"/>
        <v/>
      </c>
      <c r="M65" s="17" t="str">
        <f t="shared" si="114"/>
        <v/>
      </c>
      <c r="N65" s="17" t="str">
        <f t="shared" si="114"/>
        <v/>
      </c>
      <c r="O65" s="17" t="str">
        <f t="shared" si="114"/>
        <v/>
      </c>
      <c r="P65" s="17" t="str">
        <f t="shared" si="114"/>
        <v/>
      </c>
      <c r="Q65" s="17" t="str">
        <f t="shared" si="114"/>
        <v/>
      </c>
      <c r="R65" s="17" t="str">
        <f t="shared" si="114"/>
        <v/>
      </c>
      <c r="S65" s="17" t="str">
        <f t="shared" si="114"/>
        <v/>
      </c>
      <c r="T65" s="17" t="str">
        <f t="shared" si="114"/>
        <v/>
      </c>
      <c r="U65" s="17" t="str">
        <f t="shared" si="114"/>
        <v/>
      </c>
      <c r="V65" s="17" t="str">
        <f t="shared" si="114"/>
        <v/>
      </c>
      <c r="W65" s="17" t="str">
        <f t="shared" si="114"/>
        <v/>
      </c>
      <c r="X65" s="17" t="str">
        <f t="shared" si="114"/>
        <v/>
      </c>
      <c r="Y65" s="17" t="str">
        <f t="shared" si="114"/>
        <v/>
      </c>
      <c r="Z65" s="17" t="str">
        <f t="shared" si="114"/>
        <v/>
      </c>
      <c r="AA65" s="17" t="str">
        <f t="shared" si="114"/>
        <v/>
      </c>
      <c r="AB65" s="17" t="str">
        <f t="shared" si="114"/>
        <v/>
      </c>
      <c r="AC65" s="17" t="str">
        <f t="shared" si="114"/>
        <v/>
      </c>
      <c r="AD65" s="17" t="str">
        <f t="shared" si="114"/>
        <v/>
      </c>
      <c r="AE65" s="17" t="str">
        <f t="shared" si="114"/>
        <v/>
      </c>
      <c r="AF65" s="17" t="str">
        <f t="shared" si="114"/>
        <v/>
      </c>
      <c r="AG65" s="17" t="str">
        <f t="shared" si="114"/>
        <v/>
      </c>
      <c r="AH65" s="17" t="str">
        <f t="shared" ref="AH65:BJ65" si="115">IF(AH$12&gt;=T,"",
  IF($A65&gt;AH$13,"",
  IF(HoLee.BDT=1,
                                IF(AI$12*$Q$3&lt;T,AG64+(AG$10*h-sig*SQRT(h)),AG64+($O$3*h-sig*SQRT(h))),
                                IF(AI$12*$Q$3&lt;T,AG64*EXP(AG$10*h-sig*SQRT(h)),AG64*EXP($O$3*h-sig*SQRT(h)))
 )))</f>
        <v/>
      </c>
      <c r="AI65" s="17" t="str">
        <f t="shared" si="115"/>
        <v/>
      </c>
      <c r="AJ65" s="17" t="str">
        <f t="shared" si="115"/>
        <v/>
      </c>
      <c r="AK65" s="17" t="str">
        <f t="shared" si="115"/>
        <v/>
      </c>
      <c r="AL65" s="17" t="str">
        <f t="shared" si="115"/>
        <v/>
      </c>
      <c r="AM65" s="17" t="str">
        <f t="shared" si="115"/>
        <v/>
      </c>
      <c r="AN65" s="17" t="str">
        <f t="shared" si="115"/>
        <v/>
      </c>
      <c r="AO65" s="17" t="str">
        <f t="shared" si="115"/>
        <v/>
      </c>
      <c r="AP65" s="17" t="str">
        <f t="shared" si="115"/>
        <v/>
      </c>
      <c r="AQ65" s="17" t="str">
        <f t="shared" si="115"/>
        <v/>
      </c>
      <c r="AR65" s="17" t="str">
        <f t="shared" si="115"/>
        <v/>
      </c>
      <c r="AS65" s="17" t="str">
        <f t="shared" si="115"/>
        <v/>
      </c>
      <c r="AT65" s="17" t="str">
        <f t="shared" si="115"/>
        <v/>
      </c>
      <c r="AU65" s="17" t="str">
        <f t="shared" si="115"/>
        <v/>
      </c>
      <c r="AV65" s="17" t="str">
        <f t="shared" si="115"/>
        <v/>
      </c>
      <c r="AW65" s="17" t="str">
        <f t="shared" si="115"/>
        <v/>
      </c>
      <c r="AX65" s="17" t="str">
        <f t="shared" si="115"/>
        <v/>
      </c>
      <c r="AY65" s="17" t="str">
        <f t="shared" si="115"/>
        <v/>
      </c>
      <c r="AZ65" s="17" t="str">
        <f t="shared" si="115"/>
        <v/>
      </c>
      <c r="BA65" s="17">
        <f t="shared" si="115"/>
        <v>5.0682154636656651E-2</v>
      </c>
      <c r="BB65" s="17">
        <f t="shared" si="115"/>
        <v>5.0682154636656651E-2</v>
      </c>
      <c r="BC65" s="17">
        <f t="shared" si="115"/>
        <v>5.0682154636656651E-2</v>
      </c>
      <c r="BD65" s="17">
        <f t="shared" si="115"/>
        <v>5.0682154636656651E-2</v>
      </c>
      <c r="BE65" s="17">
        <f t="shared" si="115"/>
        <v>5.0682154636656651E-2</v>
      </c>
      <c r="BF65" s="17">
        <f t="shared" si="115"/>
        <v>5.0682154636656651E-2</v>
      </c>
      <c r="BG65" s="17">
        <f t="shared" si="115"/>
        <v>5.0682154636656651E-2</v>
      </c>
      <c r="BH65" s="17">
        <f t="shared" si="115"/>
        <v>5.0682154636656651E-2</v>
      </c>
      <c r="BI65" s="17">
        <f t="shared" si="115"/>
        <v>5.0682154636656651E-2</v>
      </c>
      <c r="BJ65" s="17" t="str">
        <f t="shared" si="115"/>
        <v/>
      </c>
      <c r="BK65" s="17"/>
      <c r="BL65" s="17"/>
      <c r="BM65" s="17"/>
      <c r="BN65" s="17"/>
      <c r="BO65" s="17"/>
      <c r="BP65" s="17"/>
      <c r="BQ65" s="17"/>
      <c r="BR65" s="17"/>
      <c r="BS65" s="17"/>
      <c r="BT65" s="17"/>
      <c r="BU65" s="17"/>
      <c r="BV65" s="17"/>
      <c r="BW65" s="17"/>
      <c r="BX65" s="17"/>
      <c r="BY65" s="17"/>
      <c r="BZ65" s="17"/>
      <c r="CA65" s="17"/>
      <c r="CB65" s="17"/>
      <c r="CC65" s="17"/>
      <c r="CD65" s="17"/>
      <c r="CE65" s="17"/>
      <c r="CF65" s="17"/>
      <c r="CG65" s="17"/>
      <c r="CH65" s="17"/>
      <c r="CI65" s="17"/>
      <c r="CJ65" s="17"/>
      <c r="CK65" s="17"/>
      <c r="CL65" s="17"/>
      <c r="CM65" s="17"/>
      <c r="CN65" s="17"/>
      <c r="CO65" s="17"/>
      <c r="CP65" s="17"/>
      <c r="CQ65" s="17"/>
      <c r="CR65" s="17"/>
      <c r="CS65" s="17"/>
      <c r="CT65" s="17"/>
      <c r="CU65" s="17"/>
      <c r="CV65" s="17"/>
      <c r="CW65" s="17"/>
      <c r="CX65" s="17"/>
      <c r="CY65" s="17"/>
      <c r="CZ65" s="17"/>
      <c r="DA65" s="17"/>
      <c r="DB65" s="17"/>
      <c r="DC65" s="17"/>
      <c r="DD65" s="17"/>
      <c r="DE65" s="17"/>
      <c r="DF65" s="17"/>
      <c r="DG65" s="17"/>
    </row>
    <row r="66" spans="1:116" outlineLevel="1">
      <c r="A66" s="11">
        <f t="shared" si="77"/>
        <v>52</v>
      </c>
      <c r="B66" s="17" t="str">
        <f t="shared" ref="B66:AG66" si="116">IF(B$12&gt;=T,"",
  IF($A66&gt;B$13,"",
  IF(HoLee.BDT=1,
                                IF(C$12*$Q$3&lt;T,A65+(A$10*h-sig*SQRT(h)),A65+($O$3*h-sig*SQRT(h))),
                                IF(C$12*$Q$3&lt;T,A65*EXP(A$10*h-sig*SQRT(h)),A65*EXP($O$3*h-sig*SQRT(h)))
 )))</f>
        <v/>
      </c>
      <c r="C66" s="17" t="str">
        <f t="shared" si="116"/>
        <v/>
      </c>
      <c r="D66" s="17" t="str">
        <f t="shared" si="116"/>
        <v/>
      </c>
      <c r="E66" s="17" t="str">
        <f t="shared" si="116"/>
        <v/>
      </c>
      <c r="F66" s="17" t="str">
        <f t="shared" si="116"/>
        <v/>
      </c>
      <c r="G66" s="17" t="str">
        <f t="shared" si="116"/>
        <v/>
      </c>
      <c r="H66" s="17" t="str">
        <f t="shared" si="116"/>
        <v/>
      </c>
      <c r="I66" s="17" t="str">
        <f t="shared" si="116"/>
        <v/>
      </c>
      <c r="J66" s="17" t="str">
        <f t="shared" si="116"/>
        <v/>
      </c>
      <c r="K66" s="17" t="str">
        <f t="shared" si="116"/>
        <v/>
      </c>
      <c r="L66" s="17" t="str">
        <f t="shared" si="116"/>
        <v/>
      </c>
      <c r="M66" s="17" t="str">
        <f t="shared" si="116"/>
        <v/>
      </c>
      <c r="N66" s="17" t="str">
        <f t="shared" si="116"/>
        <v/>
      </c>
      <c r="O66" s="17" t="str">
        <f t="shared" si="116"/>
        <v/>
      </c>
      <c r="P66" s="17" t="str">
        <f t="shared" si="116"/>
        <v/>
      </c>
      <c r="Q66" s="17" t="str">
        <f t="shared" si="116"/>
        <v/>
      </c>
      <c r="R66" s="17" t="str">
        <f t="shared" si="116"/>
        <v/>
      </c>
      <c r="S66" s="17" t="str">
        <f t="shared" si="116"/>
        <v/>
      </c>
      <c r="T66" s="17" t="str">
        <f t="shared" si="116"/>
        <v/>
      </c>
      <c r="U66" s="17" t="str">
        <f t="shared" si="116"/>
        <v/>
      </c>
      <c r="V66" s="17" t="str">
        <f t="shared" si="116"/>
        <v/>
      </c>
      <c r="W66" s="17" t="str">
        <f t="shared" si="116"/>
        <v/>
      </c>
      <c r="X66" s="17" t="str">
        <f t="shared" si="116"/>
        <v/>
      </c>
      <c r="Y66" s="17" t="str">
        <f t="shared" si="116"/>
        <v/>
      </c>
      <c r="Z66" s="17" t="str">
        <f t="shared" si="116"/>
        <v/>
      </c>
      <c r="AA66" s="17" t="str">
        <f t="shared" si="116"/>
        <v/>
      </c>
      <c r="AB66" s="17" t="str">
        <f t="shared" si="116"/>
        <v/>
      </c>
      <c r="AC66" s="17" t="str">
        <f t="shared" si="116"/>
        <v/>
      </c>
      <c r="AD66" s="17" t="str">
        <f t="shared" si="116"/>
        <v/>
      </c>
      <c r="AE66" s="17" t="str">
        <f t="shared" si="116"/>
        <v/>
      </c>
      <c r="AF66" s="17" t="str">
        <f t="shared" si="116"/>
        <v/>
      </c>
      <c r="AG66" s="17" t="str">
        <f t="shared" si="116"/>
        <v/>
      </c>
      <c r="AH66" s="17" t="str">
        <f t="shared" ref="AH66:BJ66" si="117">IF(AH$12&gt;=T,"",
  IF($A66&gt;AH$13,"",
  IF(HoLee.BDT=1,
                                IF(AI$12*$Q$3&lt;T,AG65+(AG$10*h-sig*SQRT(h)),AG65+($O$3*h-sig*SQRT(h))),
                                IF(AI$12*$Q$3&lt;T,AG65*EXP(AG$10*h-sig*SQRT(h)),AG65*EXP($O$3*h-sig*SQRT(h)))
 )))</f>
        <v/>
      </c>
      <c r="AI66" s="17" t="str">
        <f t="shared" si="117"/>
        <v/>
      </c>
      <c r="AJ66" s="17" t="str">
        <f t="shared" si="117"/>
        <v/>
      </c>
      <c r="AK66" s="17" t="str">
        <f t="shared" si="117"/>
        <v/>
      </c>
      <c r="AL66" s="17" t="str">
        <f t="shared" si="117"/>
        <v/>
      </c>
      <c r="AM66" s="17" t="str">
        <f t="shared" si="117"/>
        <v/>
      </c>
      <c r="AN66" s="17" t="str">
        <f t="shared" si="117"/>
        <v/>
      </c>
      <c r="AO66" s="17" t="str">
        <f t="shared" si="117"/>
        <v/>
      </c>
      <c r="AP66" s="17" t="str">
        <f t="shared" si="117"/>
        <v/>
      </c>
      <c r="AQ66" s="17" t="str">
        <f t="shared" si="117"/>
        <v/>
      </c>
      <c r="AR66" s="17" t="str">
        <f t="shared" si="117"/>
        <v/>
      </c>
      <c r="AS66" s="17" t="str">
        <f t="shared" si="117"/>
        <v/>
      </c>
      <c r="AT66" s="17" t="str">
        <f t="shared" si="117"/>
        <v/>
      </c>
      <c r="AU66" s="17" t="str">
        <f t="shared" si="117"/>
        <v/>
      </c>
      <c r="AV66" s="17" t="str">
        <f t="shared" si="117"/>
        <v/>
      </c>
      <c r="AW66" s="17" t="str">
        <f t="shared" si="117"/>
        <v/>
      </c>
      <c r="AX66" s="17" t="str">
        <f t="shared" si="117"/>
        <v/>
      </c>
      <c r="AY66" s="17" t="str">
        <f t="shared" si="117"/>
        <v/>
      </c>
      <c r="AZ66" s="17" t="str">
        <f t="shared" si="117"/>
        <v/>
      </c>
      <c r="BA66" s="17" t="str">
        <f t="shared" si="117"/>
        <v/>
      </c>
      <c r="BB66" s="17">
        <f t="shared" si="117"/>
        <v>5.0682154636656651E-2</v>
      </c>
      <c r="BC66" s="17">
        <f t="shared" si="117"/>
        <v>5.0682154636656651E-2</v>
      </c>
      <c r="BD66" s="17">
        <f t="shared" si="117"/>
        <v>5.0682154636656651E-2</v>
      </c>
      <c r="BE66" s="17">
        <f t="shared" si="117"/>
        <v>5.0682154636656651E-2</v>
      </c>
      <c r="BF66" s="17">
        <f t="shared" si="117"/>
        <v>5.0682154636656651E-2</v>
      </c>
      <c r="BG66" s="17">
        <f t="shared" si="117"/>
        <v>5.0682154636656651E-2</v>
      </c>
      <c r="BH66" s="17">
        <f t="shared" si="117"/>
        <v>5.0682154636656651E-2</v>
      </c>
      <c r="BI66" s="17">
        <f t="shared" si="117"/>
        <v>5.0682154636656651E-2</v>
      </c>
      <c r="BJ66" s="17" t="str">
        <f t="shared" si="117"/>
        <v/>
      </c>
      <c r="BK66" s="17"/>
      <c r="BL66" s="17"/>
      <c r="BM66" s="17"/>
      <c r="BN66" s="17"/>
      <c r="BO66" s="17"/>
      <c r="BP66" s="17"/>
      <c r="BQ66" s="17"/>
      <c r="BR66" s="17"/>
      <c r="BS66" s="17"/>
      <c r="BT66" s="17"/>
      <c r="BU66" s="17"/>
      <c r="BV66" s="17"/>
      <c r="BW66" s="17"/>
      <c r="BX66" s="17"/>
      <c r="BY66" s="17"/>
      <c r="BZ66" s="17"/>
      <c r="CA66" s="17"/>
      <c r="CB66" s="17"/>
      <c r="CC66" s="17"/>
      <c r="CD66" s="17"/>
      <c r="CE66" s="17"/>
      <c r="CF66" s="17"/>
      <c r="CG66" s="17"/>
      <c r="CH66" s="17"/>
      <c r="CI66" s="17"/>
      <c r="CJ66" s="17"/>
      <c r="CK66" s="17"/>
      <c r="CL66" s="17"/>
      <c r="CM66" s="17"/>
      <c r="CN66" s="17"/>
      <c r="CO66" s="17"/>
      <c r="CP66" s="17"/>
      <c r="CQ66" s="17"/>
      <c r="CR66" s="17"/>
      <c r="CS66" s="17"/>
      <c r="CT66" s="17"/>
      <c r="CU66" s="17"/>
      <c r="CV66" s="17"/>
      <c r="CW66" s="17"/>
      <c r="CX66" s="17"/>
      <c r="CY66" s="17"/>
      <c r="CZ66" s="17"/>
      <c r="DA66" s="17"/>
      <c r="DB66" s="17"/>
      <c r="DC66" s="17"/>
      <c r="DD66" s="17"/>
      <c r="DE66" s="17"/>
      <c r="DF66" s="17"/>
      <c r="DG66" s="17"/>
      <c r="DH66" s="17"/>
    </row>
    <row r="67" spans="1:116" outlineLevel="1">
      <c r="A67" s="11">
        <f t="shared" si="77"/>
        <v>53</v>
      </c>
      <c r="B67" s="17" t="str">
        <f t="shared" ref="B67:AG67" si="118">IF(B$12&gt;=T,"",
  IF($A67&gt;B$13,"",
  IF(HoLee.BDT=1,
                                IF(C$12*$Q$3&lt;T,A66+(A$10*h-sig*SQRT(h)),A66+($O$3*h-sig*SQRT(h))),
                                IF(C$12*$Q$3&lt;T,A66*EXP(A$10*h-sig*SQRT(h)),A66*EXP($O$3*h-sig*SQRT(h)))
 )))</f>
        <v/>
      </c>
      <c r="C67" s="17" t="str">
        <f t="shared" si="118"/>
        <v/>
      </c>
      <c r="D67" s="17" t="str">
        <f t="shared" si="118"/>
        <v/>
      </c>
      <c r="E67" s="17" t="str">
        <f t="shared" si="118"/>
        <v/>
      </c>
      <c r="F67" s="17" t="str">
        <f t="shared" si="118"/>
        <v/>
      </c>
      <c r="G67" s="17" t="str">
        <f t="shared" si="118"/>
        <v/>
      </c>
      <c r="H67" s="17" t="str">
        <f t="shared" si="118"/>
        <v/>
      </c>
      <c r="I67" s="17" t="str">
        <f t="shared" si="118"/>
        <v/>
      </c>
      <c r="J67" s="17" t="str">
        <f t="shared" si="118"/>
        <v/>
      </c>
      <c r="K67" s="17" t="str">
        <f t="shared" si="118"/>
        <v/>
      </c>
      <c r="L67" s="17" t="str">
        <f t="shared" si="118"/>
        <v/>
      </c>
      <c r="M67" s="17" t="str">
        <f t="shared" si="118"/>
        <v/>
      </c>
      <c r="N67" s="17" t="str">
        <f t="shared" si="118"/>
        <v/>
      </c>
      <c r="O67" s="17" t="str">
        <f t="shared" si="118"/>
        <v/>
      </c>
      <c r="P67" s="17" t="str">
        <f t="shared" si="118"/>
        <v/>
      </c>
      <c r="Q67" s="17" t="str">
        <f t="shared" si="118"/>
        <v/>
      </c>
      <c r="R67" s="17" t="str">
        <f t="shared" si="118"/>
        <v/>
      </c>
      <c r="S67" s="17" t="str">
        <f t="shared" si="118"/>
        <v/>
      </c>
      <c r="T67" s="17" t="str">
        <f t="shared" si="118"/>
        <v/>
      </c>
      <c r="U67" s="17" t="str">
        <f t="shared" si="118"/>
        <v/>
      </c>
      <c r="V67" s="17" t="str">
        <f t="shared" si="118"/>
        <v/>
      </c>
      <c r="W67" s="17" t="str">
        <f t="shared" si="118"/>
        <v/>
      </c>
      <c r="X67" s="17" t="str">
        <f t="shared" si="118"/>
        <v/>
      </c>
      <c r="Y67" s="17" t="str">
        <f t="shared" si="118"/>
        <v/>
      </c>
      <c r="Z67" s="17" t="str">
        <f t="shared" si="118"/>
        <v/>
      </c>
      <c r="AA67" s="17" t="str">
        <f t="shared" si="118"/>
        <v/>
      </c>
      <c r="AB67" s="17" t="str">
        <f t="shared" si="118"/>
        <v/>
      </c>
      <c r="AC67" s="17" t="str">
        <f t="shared" si="118"/>
        <v/>
      </c>
      <c r="AD67" s="17" t="str">
        <f t="shared" si="118"/>
        <v/>
      </c>
      <c r="AE67" s="17" t="str">
        <f t="shared" si="118"/>
        <v/>
      </c>
      <c r="AF67" s="17" t="str">
        <f t="shared" si="118"/>
        <v/>
      </c>
      <c r="AG67" s="17" t="str">
        <f t="shared" si="118"/>
        <v/>
      </c>
      <c r="AH67" s="17" t="str">
        <f t="shared" ref="AH67:BJ67" si="119">IF(AH$12&gt;=T,"",
  IF($A67&gt;AH$13,"",
  IF(HoLee.BDT=1,
                                IF(AI$12*$Q$3&lt;T,AG66+(AG$10*h-sig*SQRT(h)),AG66+($O$3*h-sig*SQRT(h))),
                                IF(AI$12*$Q$3&lt;T,AG66*EXP(AG$10*h-sig*SQRT(h)),AG66*EXP($O$3*h-sig*SQRT(h)))
 )))</f>
        <v/>
      </c>
      <c r="AI67" s="17" t="str">
        <f t="shared" si="119"/>
        <v/>
      </c>
      <c r="AJ67" s="17" t="str">
        <f t="shared" si="119"/>
        <v/>
      </c>
      <c r="AK67" s="17" t="str">
        <f t="shared" si="119"/>
        <v/>
      </c>
      <c r="AL67" s="17" t="str">
        <f t="shared" si="119"/>
        <v/>
      </c>
      <c r="AM67" s="17" t="str">
        <f t="shared" si="119"/>
        <v/>
      </c>
      <c r="AN67" s="17" t="str">
        <f t="shared" si="119"/>
        <v/>
      </c>
      <c r="AO67" s="17" t="str">
        <f t="shared" si="119"/>
        <v/>
      </c>
      <c r="AP67" s="17" t="str">
        <f t="shared" si="119"/>
        <v/>
      </c>
      <c r="AQ67" s="17" t="str">
        <f t="shared" si="119"/>
        <v/>
      </c>
      <c r="AR67" s="17" t="str">
        <f t="shared" si="119"/>
        <v/>
      </c>
      <c r="AS67" s="17" t="str">
        <f t="shared" si="119"/>
        <v/>
      </c>
      <c r="AT67" s="17" t="str">
        <f t="shared" si="119"/>
        <v/>
      </c>
      <c r="AU67" s="17" t="str">
        <f t="shared" si="119"/>
        <v/>
      </c>
      <c r="AV67" s="17" t="str">
        <f t="shared" si="119"/>
        <v/>
      </c>
      <c r="AW67" s="17" t="str">
        <f t="shared" si="119"/>
        <v/>
      </c>
      <c r="AX67" s="17" t="str">
        <f t="shared" si="119"/>
        <v/>
      </c>
      <c r="AY67" s="17" t="str">
        <f t="shared" si="119"/>
        <v/>
      </c>
      <c r="AZ67" s="17" t="str">
        <f t="shared" si="119"/>
        <v/>
      </c>
      <c r="BA67" s="17" t="str">
        <f t="shared" si="119"/>
        <v/>
      </c>
      <c r="BB67" s="17" t="str">
        <f t="shared" si="119"/>
        <v/>
      </c>
      <c r="BC67" s="17">
        <f t="shared" si="119"/>
        <v>5.0682154636656651E-2</v>
      </c>
      <c r="BD67" s="17">
        <f t="shared" si="119"/>
        <v>5.0682154636656651E-2</v>
      </c>
      <c r="BE67" s="17">
        <f t="shared" si="119"/>
        <v>5.0682154636656651E-2</v>
      </c>
      <c r="BF67" s="17">
        <f t="shared" si="119"/>
        <v>5.0682154636656651E-2</v>
      </c>
      <c r="BG67" s="17">
        <f t="shared" si="119"/>
        <v>5.0682154636656651E-2</v>
      </c>
      <c r="BH67" s="17">
        <f t="shared" si="119"/>
        <v>5.0682154636656651E-2</v>
      </c>
      <c r="BI67" s="17">
        <f t="shared" si="119"/>
        <v>5.0682154636656651E-2</v>
      </c>
      <c r="BJ67" s="17" t="str">
        <f t="shared" si="119"/>
        <v/>
      </c>
      <c r="BK67" s="17"/>
      <c r="BL67" s="17"/>
      <c r="BM67" s="17"/>
      <c r="BN67" s="17"/>
      <c r="BO67" s="17"/>
      <c r="BP67" s="17"/>
      <c r="BQ67" s="17"/>
      <c r="BR67" s="17"/>
      <c r="BS67" s="17"/>
      <c r="BT67" s="17"/>
      <c r="BU67" s="17"/>
      <c r="BV67" s="17"/>
      <c r="BW67" s="17"/>
      <c r="BX67" s="17"/>
      <c r="BY67" s="17"/>
      <c r="BZ67" s="17"/>
      <c r="CA67" s="17"/>
      <c r="CB67" s="17"/>
      <c r="CC67" s="17"/>
      <c r="CD67" s="17"/>
      <c r="CE67" s="17"/>
      <c r="CF67" s="17"/>
      <c r="CG67" s="17"/>
      <c r="CH67" s="17"/>
      <c r="CI67" s="17"/>
      <c r="CJ67" s="17"/>
      <c r="CK67" s="17"/>
      <c r="CL67" s="17"/>
      <c r="CM67" s="17"/>
      <c r="CN67" s="17"/>
      <c r="CO67" s="17"/>
      <c r="CP67" s="17"/>
      <c r="CQ67" s="17"/>
      <c r="CR67" s="17"/>
      <c r="CS67" s="17"/>
      <c r="CT67" s="17"/>
      <c r="CU67" s="17"/>
      <c r="CV67" s="17"/>
      <c r="CW67" s="17"/>
      <c r="CX67" s="17"/>
      <c r="CY67" s="17"/>
      <c r="CZ67" s="17"/>
      <c r="DA67" s="17"/>
      <c r="DB67" s="17"/>
      <c r="DC67" s="17"/>
      <c r="DD67" s="17"/>
      <c r="DE67" s="17"/>
      <c r="DF67" s="17"/>
      <c r="DG67" s="17"/>
      <c r="DH67" s="17"/>
      <c r="DI67" s="17"/>
    </row>
    <row r="68" spans="1:116" outlineLevel="1">
      <c r="A68" s="11">
        <f t="shared" si="77"/>
        <v>54</v>
      </c>
      <c r="B68" s="17" t="str">
        <f t="shared" ref="B68:AG68" si="120">IF(B$12&gt;=T,"",
  IF($A68&gt;B$13,"",
  IF(HoLee.BDT=1,
                                IF(C$12*$Q$3&lt;T,A67+(A$10*h-sig*SQRT(h)),A67+($O$3*h-sig*SQRT(h))),
                                IF(C$12*$Q$3&lt;T,A67*EXP(A$10*h-sig*SQRT(h)),A67*EXP($O$3*h-sig*SQRT(h)))
 )))</f>
        <v/>
      </c>
      <c r="C68" s="17" t="str">
        <f t="shared" si="120"/>
        <v/>
      </c>
      <c r="D68" s="17" t="str">
        <f t="shared" si="120"/>
        <v/>
      </c>
      <c r="E68" s="17" t="str">
        <f t="shared" si="120"/>
        <v/>
      </c>
      <c r="F68" s="17" t="str">
        <f t="shared" si="120"/>
        <v/>
      </c>
      <c r="G68" s="17" t="str">
        <f t="shared" si="120"/>
        <v/>
      </c>
      <c r="H68" s="17" t="str">
        <f t="shared" si="120"/>
        <v/>
      </c>
      <c r="I68" s="17" t="str">
        <f t="shared" si="120"/>
        <v/>
      </c>
      <c r="J68" s="17" t="str">
        <f t="shared" si="120"/>
        <v/>
      </c>
      <c r="K68" s="17" t="str">
        <f t="shared" si="120"/>
        <v/>
      </c>
      <c r="L68" s="17" t="str">
        <f t="shared" si="120"/>
        <v/>
      </c>
      <c r="M68" s="17" t="str">
        <f t="shared" si="120"/>
        <v/>
      </c>
      <c r="N68" s="17" t="str">
        <f t="shared" si="120"/>
        <v/>
      </c>
      <c r="O68" s="17" t="str">
        <f t="shared" si="120"/>
        <v/>
      </c>
      <c r="P68" s="17" t="str">
        <f t="shared" si="120"/>
        <v/>
      </c>
      <c r="Q68" s="17" t="str">
        <f t="shared" si="120"/>
        <v/>
      </c>
      <c r="R68" s="17" t="str">
        <f t="shared" si="120"/>
        <v/>
      </c>
      <c r="S68" s="17" t="str">
        <f t="shared" si="120"/>
        <v/>
      </c>
      <c r="T68" s="17" t="str">
        <f t="shared" si="120"/>
        <v/>
      </c>
      <c r="U68" s="17" t="str">
        <f t="shared" si="120"/>
        <v/>
      </c>
      <c r="V68" s="17" t="str">
        <f t="shared" si="120"/>
        <v/>
      </c>
      <c r="W68" s="17" t="str">
        <f t="shared" si="120"/>
        <v/>
      </c>
      <c r="X68" s="17" t="str">
        <f t="shared" si="120"/>
        <v/>
      </c>
      <c r="Y68" s="17" t="str">
        <f t="shared" si="120"/>
        <v/>
      </c>
      <c r="Z68" s="17" t="str">
        <f t="shared" si="120"/>
        <v/>
      </c>
      <c r="AA68" s="17" t="str">
        <f t="shared" si="120"/>
        <v/>
      </c>
      <c r="AB68" s="17" t="str">
        <f t="shared" si="120"/>
        <v/>
      </c>
      <c r="AC68" s="17" t="str">
        <f t="shared" si="120"/>
        <v/>
      </c>
      <c r="AD68" s="17" t="str">
        <f t="shared" si="120"/>
        <v/>
      </c>
      <c r="AE68" s="17" t="str">
        <f t="shared" si="120"/>
        <v/>
      </c>
      <c r="AF68" s="17" t="str">
        <f t="shared" si="120"/>
        <v/>
      </c>
      <c r="AG68" s="17" t="str">
        <f t="shared" si="120"/>
        <v/>
      </c>
      <c r="AH68" s="17" t="str">
        <f t="shared" ref="AH68:BJ68" si="121">IF(AH$12&gt;=T,"",
  IF($A68&gt;AH$13,"",
  IF(HoLee.BDT=1,
                                IF(AI$12*$Q$3&lt;T,AG67+(AG$10*h-sig*SQRT(h)),AG67+($O$3*h-sig*SQRT(h))),
                                IF(AI$12*$Q$3&lt;T,AG67*EXP(AG$10*h-sig*SQRT(h)),AG67*EXP($O$3*h-sig*SQRT(h)))
 )))</f>
        <v/>
      </c>
      <c r="AI68" s="17" t="str">
        <f t="shared" si="121"/>
        <v/>
      </c>
      <c r="AJ68" s="17" t="str">
        <f t="shared" si="121"/>
        <v/>
      </c>
      <c r="AK68" s="17" t="str">
        <f t="shared" si="121"/>
        <v/>
      </c>
      <c r="AL68" s="17" t="str">
        <f t="shared" si="121"/>
        <v/>
      </c>
      <c r="AM68" s="17" t="str">
        <f t="shared" si="121"/>
        <v/>
      </c>
      <c r="AN68" s="17" t="str">
        <f t="shared" si="121"/>
        <v/>
      </c>
      <c r="AO68" s="17" t="str">
        <f t="shared" si="121"/>
        <v/>
      </c>
      <c r="AP68" s="17" t="str">
        <f t="shared" si="121"/>
        <v/>
      </c>
      <c r="AQ68" s="17" t="str">
        <f t="shared" si="121"/>
        <v/>
      </c>
      <c r="AR68" s="17" t="str">
        <f t="shared" si="121"/>
        <v/>
      </c>
      <c r="AS68" s="17" t="str">
        <f t="shared" si="121"/>
        <v/>
      </c>
      <c r="AT68" s="17" t="str">
        <f t="shared" si="121"/>
        <v/>
      </c>
      <c r="AU68" s="17" t="str">
        <f t="shared" si="121"/>
        <v/>
      </c>
      <c r="AV68" s="17" t="str">
        <f t="shared" si="121"/>
        <v/>
      </c>
      <c r="AW68" s="17" t="str">
        <f t="shared" si="121"/>
        <v/>
      </c>
      <c r="AX68" s="17" t="str">
        <f t="shared" si="121"/>
        <v/>
      </c>
      <c r="AY68" s="17" t="str">
        <f t="shared" si="121"/>
        <v/>
      </c>
      <c r="AZ68" s="17" t="str">
        <f t="shared" si="121"/>
        <v/>
      </c>
      <c r="BA68" s="17" t="str">
        <f t="shared" si="121"/>
        <v/>
      </c>
      <c r="BB68" s="17" t="str">
        <f t="shared" si="121"/>
        <v/>
      </c>
      <c r="BC68" s="17" t="str">
        <f t="shared" si="121"/>
        <v/>
      </c>
      <c r="BD68" s="17">
        <f t="shared" si="121"/>
        <v>5.0682154636656651E-2</v>
      </c>
      <c r="BE68" s="17">
        <f t="shared" si="121"/>
        <v>5.0682154636656651E-2</v>
      </c>
      <c r="BF68" s="17">
        <f t="shared" si="121"/>
        <v>5.0682154636656651E-2</v>
      </c>
      <c r="BG68" s="17">
        <f t="shared" si="121"/>
        <v>5.0682154636656651E-2</v>
      </c>
      <c r="BH68" s="17">
        <f t="shared" si="121"/>
        <v>5.0682154636656651E-2</v>
      </c>
      <c r="BI68" s="17">
        <f t="shared" si="121"/>
        <v>5.0682154636656651E-2</v>
      </c>
      <c r="BJ68" s="17" t="str">
        <f t="shared" si="121"/>
        <v/>
      </c>
      <c r="BK68" s="17"/>
      <c r="BL68" s="17"/>
      <c r="BM68" s="17"/>
      <c r="BN68" s="17"/>
      <c r="BO68" s="17"/>
      <c r="BP68" s="17"/>
      <c r="BQ68" s="17"/>
      <c r="BR68" s="17"/>
      <c r="BS68" s="17"/>
      <c r="BT68" s="17"/>
      <c r="BU68" s="17"/>
      <c r="BV68" s="17"/>
      <c r="BW68" s="17"/>
      <c r="BX68" s="17"/>
      <c r="BY68" s="17"/>
      <c r="BZ68" s="17"/>
      <c r="CA68" s="17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  <c r="CU68" s="17"/>
      <c r="CV68" s="17"/>
      <c r="CW68" s="17"/>
      <c r="CX68" s="17"/>
      <c r="CY68" s="17"/>
      <c r="CZ68" s="17"/>
      <c r="DA68" s="17"/>
      <c r="DB68" s="17"/>
      <c r="DC68" s="17"/>
      <c r="DD68" s="17"/>
      <c r="DE68" s="17"/>
      <c r="DF68" s="17"/>
      <c r="DG68" s="17"/>
      <c r="DH68" s="17"/>
      <c r="DI68" s="17"/>
      <c r="DJ68" s="17"/>
    </row>
    <row r="69" spans="1:116" outlineLevel="1">
      <c r="A69" s="11">
        <f t="shared" si="77"/>
        <v>55</v>
      </c>
      <c r="B69" s="17" t="str">
        <f t="shared" ref="B69:AG69" si="122">IF(B$12&gt;=T,"",
  IF($A69&gt;B$13,"",
  IF(HoLee.BDT=1,
                                IF(C$12*$Q$3&lt;T,A68+(A$10*h-sig*SQRT(h)),A68+($O$3*h-sig*SQRT(h))),
                                IF(C$12*$Q$3&lt;T,A68*EXP(A$10*h-sig*SQRT(h)),A68*EXP($O$3*h-sig*SQRT(h)))
 )))</f>
        <v/>
      </c>
      <c r="C69" s="17" t="str">
        <f t="shared" si="122"/>
        <v/>
      </c>
      <c r="D69" s="17" t="str">
        <f t="shared" si="122"/>
        <v/>
      </c>
      <c r="E69" s="17" t="str">
        <f t="shared" si="122"/>
        <v/>
      </c>
      <c r="F69" s="17" t="str">
        <f t="shared" si="122"/>
        <v/>
      </c>
      <c r="G69" s="17" t="str">
        <f t="shared" si="122"/>
        <v/>
      </c>
      <c r="H69" s="17" t="str">
        <f t="shared" si="122"/>
        <v/>
      </c>
      <c r="I69" s="17" t="str">
        <f t="shared" si="122"/>
        <v/>
      </c>
      <c r="J69" s="17" t="str">
        <f t="shared" si="122"/>
        <v/>
      </c>
      <c r="K69" s="17" t="str">
        <f t="shared" si="122"/>
        <v/>
      </c>
      <c r="L69" s="17" t="str">
        <f t="shared" si="122"/>
        <v/>
      </c>
      <c r="M69" s="17" t="str">
        <f t="shared" si="122"/>
        <v/>
      </c>
      <c r="N69" s="17" t="str">
        <f t="shared" si="122"/>
        <v/>
      </c>
      <c r="O69" s="17" t="str">
        <f t="shared" si="122"/>
        <v/>
      </c>
      <c r="P69" s="17" t="str">
        <f t="shared" si="122"/>
        <v/>
      </c>
      <c r="Q69" s="17" t="str">
        <f t="shared" si="122"/>
        <v/>
      </c>
      <c r="R69" s="17" t="str">
        <f t="shared" si="122"/>
        <v/>
      </c>
      <c r="S69" s="17" t="str">
        <f t="shared" si="122"/>
        <v/>
      </c>
      <c r="T69" s="17" t="str">
        <f t="shared" si="122"/>
        <v/>
      </c>
      <c r="U69" s="17" t="str">
        <f t="shared" si="122"/>
        <v/>
      </c>
      <c r="V69" s="17" t="str">
        <f t="shared" si="122"/>
        <v/>
      </c>
      <c r="W69" s="17" t="str">
        <f t="shared" si="122"/>
        <v/>
      </c>
      <c r="X69" s="17" t="str">
        <f t="shared" si="122"/>
        <v/>
      </c>
      <c r="Y69" s="17" t="str">
        <f t="shared" si="122"/>
        <v/>
      </c>
      <c r="Z69" s="17" t="str">
        <f t="shared" si="122"/>
        <v/>
      </c>
      <c r="AA69" s="17" t="str">
        <f t="shared" si="122"/>
        <v/>
      </c>
      <c r="AB69" s="17" t="str">
        <f t="shared" si="122"/>
        <v/>
      </c>
      <c r="AC69" s="17" t="str">
        <f t="shared" si="122"/>
        <v/>
      </c>
      <c r="AD69" s="17" t="str">
        <f t="shared" si="122"/>
        <v/>
      </c>
      <c r="AE69" s="17" t="str">
        <f t="shared" si="122"/>
        <v/>
      </c>
      <c r="AF69" s="17" t="str">
        <f t="shared" si="122"/>
        <v/>
      </c>
      <c r="AG69" s="17" t="str">
        <f t="shared" si="122"/>
        <v/>
      </c>
      <c r="AH69" s="17" t="str">
        <f t="shared" ref="AH69:BJ69" si="123">IF(AH$12&gt;=T,"",
  IF($A69&gt;AH$13,"",
  IF(HoLee.BDT=1,
                                IF(AI$12*$Q$3&lt;T,AG68+(AG$10*h-sig*SQRT(h)),AG68+($O$3*h-sig*SQRT(h))),
                                IF(AI$12*$Q$3&lt;T,AG68*EXP(AG$10*h-sig*SQRT(h)),AG68*EXP($O$3*h-sig*SQRT(h)))
 )))</f>
        <v/>
      </c>
      <c r="AI69" s="17" t="str">
        <f t="shared" si="123"/>
        <v/>
      </c>
      <c r="AJ69" s="17" t="str">
        <f t="shared" si="123"/>
        <v/>
      </c>
      <c r="AK69" s="17" t="str">
        <f t="shared" si="123"/>
        <v/>
      </c>
      <c r="AL69" s="17" t="str">
        <f t="shared" si="123"/>
        <v/>
      </c>
      <c r="AM69" s="17" t="str">
        <f t="shared" si="123"/>
        <v/>
      </c>
      <c r="AN69" s="17" t="str">
        <f t="shared" si="123"/>
        <v/>
      </c>
      <c r="AO69" s="17" t="str">
        <f t="shared" si="123"/>
        <v/>
      </c>
      <c r="AP69" s="17" t="str">
        <f t="shared" si="123"/>
        <v/>
      </c>
      <c r="AQ69" s="17" t="str">
        <f t="shared" si="123"/>
        <v/>
      </c>
      <c r="AR69" s="17" t="str">
        <f t="shared" si="123"/>
        <v/>
      </c>
      <c r="AS69" s="17" t="str">
        <f t="shared" si="123"/>
        <v/>
      </c>
      <c r="AT69" s="17" t="str">
        <f t="shared" si="123"/>
        <v/>
      </c>
      <c r="AU69" s="17" t="str">
        <f t="shared" si="123"/>
        <v/>
      </c>
      <c r="AV69" s="17" t="str">
        <f t="shared" si="123"/>
        <v/>
      </c>
      <c r="AW69" s="17" t="str">
        <f t="shared" si="123"/>
        <v/>
      </c>
      <c r="AX69" s="17" t="str">
        <f t="shared" si="123"/>
        <v/>
      </c>
      <c r="AY69" s="17" t="str">
        <f t="shared" si="123"/>
        <v/>
      </c>
      <c r="AZ69" s="17" t="str">
        <f t="shared" si="123"/>
        <v/>
      </c>
      <c r="BA69" s="17" t="str">
        <f t="shared" si="123"/>
        <v/>
      </c>
      <c r="BB69" s="17" t="str">
        <f t="shared" si="123"/>
        <v/>
      </c>
      <c r="BC69" s="17" t="str">
        <f t="shared" si="123"/>
        <v/>
      </c>
      <c r="BD69" s="17" t="str">
        <f t="shared" si="123"/>
        <v/>
      </c>
      <c r="BE69" s="17">
        <f t="shared" si="123"/>
        <v>5.0682154636656651E-2</v>
      </c>
      <c r="BF69" s="17">
        <f t="shared" si="123"/>
        <v>5.0682154636656651E-2</v>
      </c>
      <c r="BG69" s="17">
        <f t="shared" si="123"/>
        <v>5.0682154636656651E-2</v>
      </c>
      <c r="BH69" s="17">
        <f t="shared" si="123"/>
        <v>5.0682154636656651E-2</v>
      </c>
      <c r="BI69" s="17">
        <f t="shared" si="123"/>
        <v>5.0682154636656651E-2</v>
      </c>
      <c r="BJ69" s="17" t="str">
        <f t="shared" si="123"/>
        <v/>
      </c>
      <c r="BK69" s="17"/>
      <c r="BL69" s="17"/>
      <c r="BM69" s="17"/>
      <c r="BN69" s="17"/>
      <c r="BO69" s="17"/>
      <c r="BP69" s="17"/>
      <c r="BQ69" s="17"/>
      <c r="BR69" s="17"/>
      <c r="BS69" s="17"/>
      <c r="BT69" s="17"/>
      <c r="BU69" s="17"/>
      <c r="BV69" s="17"/>
      <c r="BW69" s="17"/>
      <c r="BX69" s="17"/>
      <c r="BY69" s="17"/>
      <c r="BZ69" s="17"/>
      <c r="CA69" s="17"/>
      <c r="CB69" s="17"/>
      <c r="CC69" s="17"/>
      <c r="CD69" s="17"/>
      <c r="CE69" s="17"/>
      <c r="CF69" s="17"/>
      <c r="CG69" s="17"/>
      <c r="CH69" s="17"/>
      <c r="CI69" s="17"/>
      <c r="CJ69" s="17"/>
      <c r="CK69" s="17"/>
      <c r="CL69" s="17"/>
      <c r="CM69" s="17"/>
      <c r="CN69" s="17"/>
      <c r="CO69" s="17"/>
      <c r="CP69" s="17"/>
      <c r="CQ69" s="17"/>
      <c r="CR69" s="17"/>
      <c r="CS69" s="17"/>
      <c r="CT69" s="17"/>
      <c r="CU69" s="17"/>
      <c r="CV69" s="17"/>
      <c r="CW69" s="17"/>
      <c r="CX69" s="17"/>
      <c r="CY69" s="17"/>
      <c r="CZ69" s="17"/>
      <c r="DA69" s="17"/>
      <c r="DB69" s="17"/>
      <c r="DC69" s="17"/>
      <c r="DD69" s="17"/>
      <c r="DE69" s="17"/>
      <c r="DF69" s="17"/>
      <c r="DG69" s="17"/>
      <c r="DH69" s="17"/>
      <c r="DI69" s="17"/>
      <c r="DJ69" s="17"/>
      <c r="DK69" s="17"/>
    </row>
    <row r="70" spans="1:116" outlineLevel="1">
      <c r="A70" s="11">
        <f t="shared" si="77"/>
        <v>56</v>
      </c>
      <c r="B70" s="17" t="str">
        <f t="shared" ref="B70:AG70" si="124">IF(B$12&gt;=T,"",
  IF($A70&gt;B$13,"",
  IF(HoLee.BDT=1,
                                IF(C$12*$Q$3&lt;T,A69+(A$10*h-sig*SQRT(h)),A69+($O$3*h-sig*SQRT(h))),
                                IF(C$12*$Q$3&lt;T,A69*EXP(A$10*h-sig*SQRT(h)),A69*EXP($O$3*h-sig*SQRT(h)))
 )))</f>
        <v/>
      </c>
      <c r="C70" s="17" t="str">
        <f t="shared" si="124"/>
        <v/>
      </c>
      <c r="D70" s="17" t="str">
        <f t="shared" si="124"/>
        <v/>
      </c>
      <c r="E70" s="17" t="str">
        <f t="shared" si="124"/>
        <v/>
      </c>
      <c r="F70" s="17" t="str">
        <f t="shared" si="124"/>
        <v/>
      </c>
      <c r="G70" s="17" t="str">
        <f t="shared" si="124"/>
        <v/>
      </c>
      <c r="H70" s="17" t="str">
        <f t="shared" si="124"/>
        <v/>
      </c>
      <c r="I70" s="17" t="str">
        <f t="shared" si="124"/>
        <v/>
      </c>
      <c r="J70" s="17" t="str">
        <f t="shared" si="124"/>
        <v/>
      </c>
      <c r="K70" s="17" t="str">
        <f t="shared" si="124"/>
        <v/>
      </c>
      <c r="L70" s="17" t="str">
        <f t="shared" si="124"/>
        <v/>
      </c>
      <c r="M70" s="17" t="str">
        <f t="shared" si="124"/>
        <v/>
      </c>
      <c r="N70" s="17" t="str">
        <f t="shared" si="124"/>
        <v/>
      </c>
      <c r="O70" s="17" t="str">
        <f t="shared" si="124"/>
        <v/>
      </c>
      <c r="P70" s="17" t="str">
        <f t="shared" si="124"/>
        <v/>
      </c>
      <c r="Q70" s="17" t="str">
        <f t="shared" si="124"/>
        <v/>
      </c>
      <c r="R70" s="17" t="str">
        <f t="shared" si="124"/>
        <v/>
      </c>
      <c r="S70" s="17" t="str">
        <f t="shared" si="124"/>
        <v/>
      </c>
      <c r="T70" s="17" t="str">
        <f t="shared" si="124"/>
        <v/>
      </c>
      <c r="U70" s="17" t="str">
        <f t="shared" si="124"/>
        <v/>
      </c>
      <c r="V70" s="17" t="str">
        <f t="shared" si="124"/>
        <v/>
      </c>
      <c r="W70" s="17" t="str">
        <f t="shared" si="124"/>
        <v/>
      </c>
      <c r="X70" s="17" t="str">
        <f t="shared" si="124"/>
        <v/>
      </c>
      <c r="Y70" s="17" t="str">
        <f t="shared" si="124"/>
        <v/>
      </c>
      <c r="Z70" s="17" t="str">
        <f t="shared" si="124"/>
        <v/>
      </c>
      <c r="AA70" s="17" t="str">
        <f t="shared" si="124"/>
        <v/>
      </c>
      <c r="AB70" s="17" t="str">
        <f t="shared" si="124"/>
        <v/>
      </c>
      <c r="AC70" s="17" t="str">
        <f t="shared" si="124"/>
        <v/>
      </c>
      <c r="AD70" s="17" t="str">
        <f t="shared" si="124"/>
        <v/>
      </c>
      <c r="AE70" s="17" t="str">
        <f t="shared" si="124"/>
        <v/>
      </c>
      <c r="AF70" s="17" t="str">
        <f t="shared" si="124"/>
        <v/>
      </c>
      <c r="AG70" s="17" t="str">
        <f t="shared" si="124"/>
        <v/>
      </c>
      <c r="AH70" s="17" t="str">
        <f t="shared" ref="AH70:BJ70" si="125">IF(AH$12&gt;=T,"",
  IF($A70&gt;AH$13,"",
  IF(HoLee.BDT=1,
                                IF(AI$12*$Q$3&lt;T,AG69+(AG$10*h-sig*SQRT(h)),AG69+($O$3*h-sig*SQRT(h))),
                                IF(AI$12*$Q$3&lt;T,AG69*EXP(AG$10*h-sig*SQRT(h)),AG69*EXP($O$3*h-sig*SQRT(h)))
 )))</f>
        <v/>
      </c>
      <c r="AI70" s="17" t="str">
        <f t="shared" si="125"/>
        <v/>
      </c>
      <c r="AJ70" s="17" t="str">
        <f t="shared" si="125"/>
        <v/>
      </c>
      <c r="AK70" s="17" t="str">
        <f t="shared" si="125"/>
        <v/>
      </c>
      <c r="AL70" s="17" t="str">
        <f t="shared" si="125"/>
        <v/>
      </c>
      <c r="AM70" s="17" t="str">
        <f t="shared" si="125"/>
        <v/>
      </c>
      <c r="AN70" s="17" t="str">
        <f t="shared" si="125"/>
        <v/>
      </c>
      <c r="AO70" s="17" t="str">
        <f t="shared" si="125"/>
        <v/>
      </c>
      <c r="AP70" s="17" t="str">
        <f t="shared" si="125"/>
        <v/>
      </c>
      <c r="AQ70" s="17" t="str">
        <f t="shared" si="125"/>
        <v/>
      </c>
      <c r="AR70" s="17" t="str">
        <f t="shared" si="125"/>
        <v/>
      </c>
      <c r="AS70" s="17" t="str">
        <f t="shared" si="125"/>
        <v/>
      </c>
      <c r="AT70" s="17" t="str">
        <f t="shared" si="125"/>
        <v/>
      </c>
      <c r="AU70" s="17" t="str">
        <f t="shared" si="125"/>
        <v/>
      </c>
      <c r="AV70" s="17" t="str">
        <f t="shared" si="125"/>
        <v/>
      </c>
      <c r="AW70" s="17" t="str">
        <f t="shared" si="125"/>
        <v/>
      </c>
      <c r="AX70" s="17" t="str">
        <f t="shared" si="125"/>
        <v/>
      </c>
      <c r="AY70" s="17" t="str">
        <f t="shared" si="125"/>
        <v/>
      </c>
      <c r="AZ70" s="17" t="str">
        <f t="shared" si="125"/>
        <v/>
      </c>
      <c r="BA70" s="17" t="str">
        <f t="shared" si="125"/>
        <v/>
      </c>
      <c r="BB70" s="17" t="str">
        <f t="shared" si="125"/>
        <v/>
      </c>
      <c r="BC70" s="17" t="str">
        <f t="shared" si="125"/>
        <v/>
      </c>
      <c r="BD70" s="17" t="str">
        <f t="shared" si="125"/>
        <v/>
      </c>
      <c r="BE70" s="17" t="str">
        <f t="shared" si="125"/>
        <v/>
      </c>
      <c r="BF70" s="17">
        <f t="shared" si="125"/>
        <v>5.0682154636656651E-2</v>
      </c>
      <c r="BG70" s="17">
        <f t="shared" si="125"/>
        <v>5.0682154636656651E-2</v>
      </c>
      <c r="BH70" s="17">
        <f t="shared" si="125"/>
        <v>5.0682154636656651E-2</v>
      </c>
      <c r="BI70" s="17">
        <f t="shared" si="125"/>
        <v>5.0682154636656651E-2</v>
      </c>
      <c r="BJ70" s="17" t="str">
        <f t="shared" si="125"/>
        <v/>
      </c>
      <c r="BK70" s="17"/>
      <c r="BL70" s="17"/>
      <c r="BM70" s="17"/>
      <c r="BN70" s="17"/>
      <c r="BO70" s="17"/>
      <c r="BP70" s="17"/>
      <c r="BQ70" s="17"/>
      <c r="BR70" s="17"/>
      <c r="BS70" s="17"/>
      <c r="BT70" s="17"/>
      <c r="BU70" s="17"/>
      <c r="BV70" s="17"/>
      <c r="BW70" s="17"/>
      <c r="BX70" s="17"/>
      <c r="BY70" s="17"/>
      <c r="BZ70" s="17"/>
      <c r="CA70" s="17"/>
      <c r="CB70" s="17"/>
      <c r="CC70" s="17"/>
      <c r="CD70" s="17"/>
      <c r="CE70" s="17"/>
      <c r="CF70" s="17"/>
      <c r="CG70" s="17"/>
      <c r="CH70" s="17"/>
      <c r="CI70" s="17"/>
      <c r="CJ70" s="17"/>
      <c r="CK70" s="17"/>
      <c r="CL70" s="17"/>
      <c r="CM70" s="17"/>
      <c r="CN70" s="17"/>
      <c r="CO70" s="17"/>
      <c r="CP70" s="17"/>
      <c r="CQ70" s="17"/>
      <c r="CR70" s="17"/>
      <c r="CS70" s="17"/>
      <c r="CT70" s="17"/>
      <c r="CU70" s="17"/>
      <c r="CV70" s="17"/>
      <c r="CW70" s="17"/>
      <c r="CX70" s="17"/>
      <c r="CY70" s="17"/>
      <c r="CZ70" s="17"/>
      <c r="DA70" s="17"/>
      <c r="DB70" s="17"/>
      <c r="DC70" s="17"/>
      <c r="DD70" s="17"/>
      <c r="DE70" s="17"/>
      <c r="DF70" s="17"/>
      <c r="DG70" s="17"/>
      <c r="DH70" s="17"/>
      <c r="DI70" s="17"/>
      <c r="DJ70" s="17"/>
      <c r="DK70" s="17"/>
      <c r="DL70" s="17"/>
    </row>
    <row r="71" spans="1:116" outlineLevel="1">
      <c r="A71" s="11">
        <f t="shared" si="77"/>
        <v>57</v>
      </c>
      <c r="B71" s="17" t="str">
        <f t="shared" ref="B71:AG71" si="126">IF(B$12&gt;=T,"",
  IF($A71&gt;B$13,"",
  IF(HoLee.BDT=1,
                                IF(C$12*$Q$3&lt;T,A70+(A$10*h-sig*SQRT(h)),A70+($O$3*h-sig*SQRT(h))),
                                IF(C$12*$Q$3&lt;T,A70*EXP(A$10*h-sig*SQRT(h)),A70*EXP($O$3*h-sig*SQRT(h)))
 )))</f>
        <v/>
      </c>
      <c r="C71" s="17" t="str">
        <f t="shared" si="126"/>
        <v/>
      </c>
      <c r="D71" s="17" t="str">
        <f t="shared" si="126"/>
        <v/>
      </c>
      <c r="E71" s="17" t="str">
        <f t="shared" si="126"/>
        <v/>
      </c>
      <c r="F71" s="17" t="str">
        <f t="shared" si="126"/>
        <v/>
      </c>
      <c r="G71" s="17" t="str">
        <f t="shared" si="126"/>
        <v/>
      </c>
      <c r="H71" s="17" t="str">
        <f t="shared" si="126"/>
        <v/>
      </c>
      <c r="I71" s="17" t="str">
        <f t="shared" si="126"/>
        <v/>
      </c>
      <c r="J71" s="17" t="str">
        <f t="shared" si="126"/>
        <v/>
      </c>
      <c r="K71" s="17" t="str">
        <f t="shared" si="126"/>
        <v/>
      </c>
      <c r="L71" s="17" t="str">
        <f t="shared" si="126"/>
        <v/>
      </c>
      <c r="M71" s="17" t="str">
        <f t="shared" si="126"/>
        <v/>
      </c>
      <c r="N71" s="17" t="str">
        <f t="shared" si="126"/>
        <v/>
      </c>
      <c r="O71" s="17" t="str">
        <f t="shared" si="126"/>
        <v/>
      </c>
      <c r="P71" s="17" t="str">
        <f t="shared" si="126"/>
        <v/>
      </c>
      <c r="Q71" s="17" t="str">
        <f t="shared" si="126"/>
        <v/>
      </c>
      <c r="R71" s="17" t="str">
        <f t="shared" si="126"/>
        <v/>
      </c>
      <c r="S71" s="17" t="str">
        <f t="shared" si="126"/>
        <v/>
      </c>
      <c r="T71" s="17" t="str">
        <f t="shared" si="126"/>
        <v/>
      </c>
      <c r="U71" s="17" t="str">
        <f t="shared" si="126"/>
        <v/>
      </c>
      <c r="V71" s="17" t="str">
        <f t="shared" si="126"/>
        <v/>
      </c>
      <c r="W71" s="17" t="str">
        <f t="shared" si="126"/>
        <v/>
      </c>
      <c r="X71" s="17" t="str">
        <f t="shared" si="126"/>
        <v/>
      </c>
      <c r="Y71" s="17" t="str">
        <f t="shared" si="126"/>
        <v/>
      </c>
      <c r="Z71" s="17" t="str">
        <f t="shared" si="126"/>
        <v/>
      </c>
      <c r="AA71" s="17" t="str">
        <f t="shared" si="126"/>
        <v/>
      </c>
      <c r="AB71" s="17" t="str">
        <f t="shared" si="126"/>
        <v/>
      </c>
      <c r="AC71" s="17" t="str">
        <f t="shared" si="126"/>
        <v/>
      </c>
      <c r="AD71" s="17" t="str">
        <f t="shared" si="126"/>
        <v/>
      </c>
      <c r="AE71" s="17" t="str">
        <f t="shared" si="126"/>
        <v/>
      </c>
      <c r="AF71" s="17" t="str">
        <f t="shared" si="126"/>
        <v/>
      </c>
      <c r="AG71" s="17" t="str">
        <f t="shared" si="126"/>
        <v/>
      </c>
      <c r="AH71" s="17" t="str">
        <f t="shared" ref="AH71:BJ71" si="127">IF(AH$12&gt;=T,"",
  IF($A71&gt;AH$13,"",
  IF(HoLee.BDT=1,
                                IF(AI$12*$Q$3&lt;T,AG70+(AG$10*h-sig*SQRT(h)),AG70+($O$3*h-sig*SQRT(h))),
                                IF(AI$12*$Q$3&lt;T,AG70*EXP(AG$10*h-sig*SQRT(h)),AG70*EXP($O$3*h-sig*SQRT(h)))
 )))</f>
        <v/>
      </c>
      <c r="AI71" s="17" t="str">
        <f t="shared" si="127"/>
        <v/>
      </c>
      <c r="AJ71" s="17" t="str">
        <f t="shared" si="127"/>
        <v/>
      </c>
      <c r="AK71" s="17" t="str">
        <f t="shared" si="127"/>
        <v/>
      </c>
      <c r="AL71" s="17" t="str">
        <f t="shared" si="127"/>
        <v/>
      </c>
      <c r="AM71" s="17" t="str">
        <f t="shared" si="127"/>
        <v/>
      </c>
      <c r="AN71" s="17" t="str">
        <f t="shared" si="127"/>
        <v/>
      </c>
      <c r="AO71" s="17" t="str">
        <f t="shared" si="127"/>
        <v/>
      </c>
      <c r="AP71" s="17" t="str">
        <f t="shared" si="127"/>
        <v/>
      </c>
      <c r="AQ71" s="17" t="str">
        <f t="shared" si="127"/>
        <v/>
      </c>
      <c r="AR71" s="17" t="str">
        <f t="shared" si="127"/>
        <v/>
      </c>
      <c r="AS71" s="17" t="str">
        <f t="shared" si="127"/>
        <v/>
      </c>
      <c r="AT71" s="17" t="str">
        <f t="shared" si="127"/>
        <v/>
      </c>
      <c r="AU71" s="17" t="str">
        <f t="shared" si="127"/>
        <v/>
      </c>
      <c r="AV71" s="17" t="str">
        <f t="shared" si="127"/>
        <v/>
      </c>
      <c r="AW71" s="17" t="str">
        <f t="shared" si="127"/>
        <v/>
      </c>
      <c r="AX71" s="17" t="str">
        <f t="shared" si="127"/>
        <v/>
      </c>
      <c r="AY71" s="17" t="str">
        <f t="shared" si="127"/>
        <v/>
      </c>
      <c r="AZ71" s="17" t="str">
        <f t="shared" si="127"/>
        <v/>
      </c>
      <c r="BA71" s="17" t="str">
        <f t="shared" si="127"/>
        <v/>
      </c>
      <c r="BB71" s="17" t="str">
        <f t="shared" si="127"/>
        <v/>
      </c>
      <c r="BC71" s="17" t="str">
        <f t="shared" si="127"/>
        <v/>
      </c>
      <c r="BD71" s="17" t="str">
        <f t="shared" si="127"/>
        <v/>
      </c>
      <c r="BE71" s="17" t="str">
        <f t="shared" si="127"/>
        <v/>
      </c>
      <c r="BF71" s="17" t="str">
        <f t="shared" si="127"/>
        <v/>
      </c>
      <c r="BG71" s="17">
        <f t="shared" si="127"/>
        <v>5.0682154636656651E-2</v>
      </c>
      <c r="BH71" s="17">
        <f t="shared" si="127"/>
        <v>5.0682154636656651E-2</v>
      </c>
      <c r="BI71" s="17">
        <f t="shared" si="127"/>
        <v>5.0682154636656651E-2</v>
      </c>
      <c r="BJ71" s="17" t="str">
        <f t="shared" si="127"/>
        <v/>
      </c>
    </row>
    <row r="72" spans="1:116">
      <c r="A72" s="11">
        <f t="shared" si="77"/>
        <v>58</v>
      </c>
      <c r="B72" s="17" t="str">
        <f t="shared" ref="B72:AG72" si="128">IF(B$12&gt;=T,"",
  IF($A72&gt;B$13,"",
  IF(HoLee.BDT=1,
                                IF(C$12*$Q$3&lt;T,A71+(A$10*h-sig*SQRT(h)),A71+($O$3*h-sig*SQRT(h))),
                                IF(C$12*$Q$3&lt;T,A71*EXP(A$10*h-sig*SQRT(h)),A71*EXP($O$3*h-sig*SQRT(h)))
 )))</f>
        <v/>
      </c>
      <c r="C72" s="17" t="str">
        <f t="shared" si="128"/>
        <v/>
      </c>
      <c r="D72" s="17" t="str">
        <f t="shared" si="128"/>
        <v/>
      </c>
      <c r="E72" s="17" t="str">
        <f t="shared" si="128"/>
        <v/>
      </c>
      <c r="F72" s="17" t="str">
        <f t="shared" si="128"/>
        <v/>
      </c>
      <c r="G72" s="17" t="str">
        <f t="shared" si="128"/>
        <v/>
      </c>
      <c r="H72" s="17" t="str">
        <f t="shared" si="128"/>
        <v/>
      </c>
      <c r="I72" s="17" t="str">
        <f t="shared" si="128"/>
        <v/>
      </c>
      <c r="J72" s="17" t="str">
        <f t="shared" si="128"/>
        <v/>
      </c>
      <c r="K72" s="17" t="str">
        <f t="shared" si="128"/>
        <v/>
      </c>
      <c r="L72" s="17" t="str">
        <f t="shared" si="128"/>
        <v/>
      </c>
      <c r="M72" s="17" t="str">
        <f t="shared" si="128"/>
        <v/>
      </c>
      <c r="N72" s="17" t="str">
        <f t="shared" si="128"/>
        <v/>
      </c>
      <c r="O72" s="17" t="str">
        <f t="shared" si="128"/>
        <v/>
      </c>
      <c r="P72" s="17" t="str">
        <f t="shared" si="128"/>
        <v/>
      </c>
      <c r="Q72" s="17" t="str">
        <f t="shared" si="128"/>
        <v/>
      </c>
      <c r="R72" s="17" t="str">
        <f t="shared" si="128"/>
        <v/>
      </c>
      <c r="S72" s="17" t="str">
        <f t="shared" si="128"/>
        <v/>
      </c>
      <c r="T72" s="17" t="str">
        <f t="shared" si="128"/>
        <v/>
      </c>
      <c r="U72" s="17" t="str">
        <f t="shared" si="128"/>
        <v/>
      </c>
      <c r="V72" s="17" t="str">
        <f t="shared" si="128"/>
        <v/>
      </c>
      <c r="W72" s="17" t="str">
        <f t="shared" si="128"/>
        <v/>
      </c>
      <c r="X72" s="17" t="str">
        <f t="shared" si="128"/>
        <v/>
      </c>
      <c r="Y72" s="17" t="str">
        <f t="shared" si="128"/>
        <v/>
      </c>
      <c r="Z72" s="17" t="str">
        <f t="shared" si="128"/>
        <v/>
      </c>
      <c r="AA72" s="17" t="str">
        <f t="shared" si="128"/>
        <v/>
      </c>
      <c r="AB72" s="17" t="str">
        <f t="shared" si="128"/>
        <v/>
      </c>
      <c r="AC72" s="17" t="str">
        <f t="shared" si="128"/>
        <v/>
      </c>
      <c r="AD72" s="17" t="str">
        <f t="shared" si="128"/>
        <v/>
      </c>
      <c r="AE72" s="17" t="str">
        <f t="shared" si="128"/>
        <v/>
      </c>
      <c r="AF72" s="17" t="str">
        <f t="shared" si="128"/>
        <v/>
      </c>
      <c r="AG72" s="17" t="str">
        <f t="shared" si="128"/>
        <v/>
      </c>
      <c r="AH72" s="17" t="str">
        <f t="shared" ref="AH72:BJ72" si="129">IF(AH$12&gt;=T,"",
  IF($A72&gt;AH$13,"",
  IF(HoLee.BDT=1,
                                IF(AI$12*$Q$3&lt;T,AG71+(AG$10*h-sig*SQRT(h)),AG71+($O$3*h-sig*SQRT(h))),
                                IF(AI$12*$Q$3&lt;T,AG71*EXP(AG$10*h-sig*SQRT(h)),AG71*EXP($O$3*h-sig*SQRT(h)))
 )))</f>
        <v/>
      </c>
      <c r="AI72" s="17" t="str">
        <f t="shared" si="129"/>
        <v/>
      </c>
      <c r="AJ72" s="17" t="str">
        <f t="shared" si="129"/>
        <v/>
      </c>
      <c r="AK72" s="17" t="str">
        <f t="shared" si="129"/>
        <v/>
      </c>
      <c r="AL72" s="17" t="str">
        <f t="shared" si="129"/>
        <v/>
      </c>
      <c r="AM72" s="17" t="str">
        <f t="shared" si="129"/>
        <v/>
      </c>
      <c r="AN72" s="17" t="str">
        <f t="shared" si="129"/>
        <v/>
      </c>
      <c r="AO72" s="17" t="str">
        <f t="shared" si="129"/>
        <v/>
      </c>
      <c r="AP72" s="17" t="str">
        <f t="shared" si="129"/>
        <v/>
      </c>
      <c r="AQ72" s="17" t="str">
        <f t="shared" si="129"/>
        <v/>
      </c>
      <c r="AR72" s="17" t="str">
        <f t="shared" si="129"/>
        <v/>
      </c>
      <c r="AS72" s="17" t="str">
        <f t="shared" si="129"/>
        <v/>
      </c>
      <c r="AT72" s="17" t="str">
        <f t="shared" si="129"/>
        <v/>
      </c>
      <c r="AU72" s="17" t="str">
        <f t="shared" si="129"/>
        <v/>
      </c>
      <c r="AV72" s="17" t="str">
        <f t="shared" si="129"/>
        <v/>
      </c>
      <c r="AW72" s="17" t="str">
        <f t="shared" si="129"/>
        <v/>
      </c>
      <c r="AX72" s="17" t="str">
        <f t="shared" si="129"/>
        <v/>
      </c>
      <c r="AY72" s="17" t="str">
        <f t="shared" si="129"/>
        <v/>
      </c>
      <c r="AZ72" s="17" t="str">
        <f t="shared" si="129"/>
        <v/>
      </c>
      <c r="BA72" s="17" t="str">
        <f t="shared" si="129"/>
        <v/>
      </c>
      <c r="BB72" s="17" t="str">
        <f t="shared" si="129"/>
        <v/>
      </c>
      <c r="BC72" s="17" t="str">
        <f t="shared" si="129"/>
        <v/>
      </c>
      <c r="BD72" s="17" t="str">
        <f t="shared" si="129"/>
        <v/>
      </c>
      <c r="BE72" s="17" t="str">
        <f t="shared" si="129"/>
        <v/>
      </c>
      <c r="BF72" s="17" t="str">
        <f t="shared" si="129"/>
        <v/>
      </c>
      <c r="BG72" s="17" t="str">
        <f t="shared" si="129"/>
        <v/>
      </c>
      <c r="BH72" s="17">
        <f t="shared" si="129"/>
        <v>5.0682154636656651E-2</v>
      </c>
      <c r="BI72" s="17">
        <f t="shared" si="129"/>
        <v>5.0682154636656651E-2</v>
      </c>
      <c r="BJ72" s="17" t="str">
        <f t="shared" si="129"/>
        <v/>
      </c>
      <c r="BK72" s="17"/>
    </row>
    <row r="73" spans="1:116">
      <c r="A73" s="11">
        <f t="shared" si="77"/>
        <v>59</v>
      </c>
      <c r="B73" s="17" t="str">
        <f t="shared" ref="B73:AG73" si="130">IF(B$12&gt;=T,"",
  IF($A73&gt;B$13,"",
  IF(HoLee.BDT=1,
                                IF(C$12*$Q$3&lt;T,A72+(A$10*h-sig*SQRT(h)),A72+($O$3*h-sig*SQRT(h))),
                                IF(C$12*$Q$3&lt;T,A72*EXP(A$10*h-sig*SQRT(h)),A72*EXP($O$3*h-sig*SQRT(h)))
 )))</f>
        <v/>
      </c>
      <c r="C73" s="17" t="str">
        <f t="shared" si="130"/>
        <v/>
      </c>
      <c r="D73" s="17" t="str">
        <f t="shared" si="130"/>
        <v/>
      </c>
      <c r="E73" s="17" t="str">
        <f t="shared" si="130"/>
        <v/>
      </c>
      <c r="F73" s="17" t="str">
        <f t="shared" si="130"/>
        <v/>
      </c>
      <c r="G73" s="17" t="str">
        <f t="shared" si="130"/>
        <v/>
      </c>
      <c r="H73" s="17" t="str">
        <f t="shared" si="130"/>
        <v/>
      </c>
      <c r="I73" s="17" t="str">
        <f t="shared" si="130"/>
        <v/>
      </c>
      <c r="J73" s="17" t="str">
        <f t="shared" si="130"/>
        <v/>
      </c>
      <c r="K73" s="17" t="str">
        <f t="shared" si="130"/>
        <v/>
      </c>
      <c r="L73" s="17" t="str">
        <f t="shared" si="130"/>
        <v/>
      </c>
      <c r="M73" s="17" t="str">
        <f t="shared" si="130"/>
        <v/>
      </c>
      <c r="N73" s="17" t="str">
        <f t="shared" si="130"/>
        <v/>
      </c>
      <c r="O73" s="17" t="str">
        <f t="shared" si="130"/>
        <v/>
      </c>
      <c r="P73" s="17" t="str">
        <f t="shared" si="130"/>
        <v/>
      </c>
      <c r="Q73" s="17" t="str">
        <f t="shared" si="130"/>
        <v/>
      </c>
      <c r="R73" s="17" t="str">
        <f t="shared" si="130"/>
        <v/>
      </c>
      <c r="S73" s="17" t="str">
        <f t="shared" si="130"/>
        <v/>
      </c>
      <c r="T73" s="17" t="str">
        <f t="shared" si="130"/>
        <v/>
      </c>
      <c r="U73" s="17" t="str">
        <f t="shared" si="130"/>
        <v/>
      </c>
      <c r="V73" s="17" t="str">
        <f t="shared" si="130"/>
        <v/>
      </c>
      <c r="W73" s="17" t="str">
        <f t="shared" si="130"/>
        <v/>
      </c>
      <c r="X73" s="17" t="str">
        <f t="shared" si="130"/>
        <v/>
      </c>
      <c r="Y73" s="17" t="str">
        <f t="shared" si="130"/>
        <v/>
      </c>
      <c r="Z73" s="17" t="str">
        <f t="shared" si="130"/>
        <v/>
      </c>
      <c r="AA73" s="17" t="str">
        <f t="shared" si="130"/>
        <v/>
      </c>
      <c r="AB73" s="17" t="str">
        <f t="shared" si="130"/>
        <v/>
      </c>
      <c r="AC73" s="17" t="str">
        <f t="shared" si="130"/>
        <v/>
      </c>
      <c r="AD73" s="17" t="str">
        <f t="shared" si="130"/>
        <v/>
      </c>
      <c r="AE73" s="17" t="str">
        <f t="shared" si="130"/>
        <v/>
      </c>
      <c r="AF73" s="17" t="str">
        <f t="shared" si="130"/>
        <v/>
      </c>
      <c r="AG73" s="17" t="str">
        <f t="shared" si="130"/>
        <v/>
      </c>
      <c r="AH73" s="17" t="str">
        <f t="shared" ref="AH73:BJ73" si="131">IF(AH$12&gt;=T,"",
  IF($A73&gt;AH$13,"",
  IF(HoLee.BDT=1,
                                IF(AI$12*$Q$3&lt;T,AG72+(AG$10*h-sig*SQRT(h)),AG72+($O$3*h-sig*SQRT(h))),
                                IF(AI$12*$Q$3&lt;T,AG72*EXP(AG$10*h-sig*SQRT(h)),AG72*EXP($O$3*h-sig*SQRT(h)))
 )))</f>
        <v/>
      </c>
      <c r="AI73" s="17" t="str">
        <f t="shared" si="131"/>
        <v/>
      </c>
      <c r="AJ73" s="17" t="str">
        <f t="shared" si="131"/>
        <v/>
      </c>
      <c r="AK73" s="17" t="str">
        <f t="shared" si="131"/>
        <v/>
      </c>
      <c r="AL73" s="17" t="str">
        <f t="shared" si="131"/>
        <v/>
      </c>
      <c r="AM73" s="17" t="str">
        <f t="shared" si="131"/>
        <v/>
      </c>
      <c r="AN73" s="17" t="str">
        <f t="shared" si="131"/>
        <v/>
      </c>
      <c r="AO73" s="17" t="str">
        <f t="shared" si="131"/>
        <v/>
      </c>
      <c r="AP73" s="17" t="str">
        <f t="shared" si="131"/>
        <v/>
      </c>
      <c r="AQ73" s="17" t="str">
        <f t="shared" si="131"/>
        <v/>
      </c>
      <c r="AR73" s="17" t="str">
        <f t="shared" si="131"/>
        <v/>
      </c>
      <c r="AS73" s="17" t="str">
        <f t="shared" si="131"/>
        <v/>
      </c>
      <c r="AT73" s="17" t="str">
        <f t="shared" si="131"/>
        <v/>
      </c>
      <c r="AU73" s="17" t="str">
        <f t="shared" si="131"/>
        <v/>
      </c>
      <c r="AV73" s="17" t="str">
        <f t="shared" si="131"/>
        <v/>
      </c>
      <c r="AW73" s="17" t="str">
        <f t="shared" si="131"/>
        <v/>
      </c>
      <c r="AX73" s="17" t="str">
        <f t="shared" si="131"/>
        <v/>
      </c>
      <c r="AY73" s="17" t="str">
        <f t="shared" si="131"/>
        <v/>
      </c>
      <c r="AZ73" s="17" t="str">
        <f t="shared" si="131"/>
        <v/>
      </c>
      <c r="BA73" s="17" t="str">
        <f t="shared" si="131"/>
        <v/>
      </c>
      <c r="BB73" s="17" t="str">
        <f t="shared" si="131"/>
        <v/>
      </c>
      <c r="BC73" s="17" t="str">
        <f t="shared" si="131"/>
        <v/>
      </c>
      <c r="BD73" s="17" t="str">
        <f t="shared" si="131"/>
        <v/>
      </c>
      <c r="BE73" s="17" t="str">
        <f t="shared" si="131"/>
        <v/>
      </c>
      <c r="BF73" s="17" t="str">
        <f t="shared" si="131"/>
        <v/>
      </c>
      <c r="BG73" s="17" t="str">
        <f t="shared" si="131"/>
        <v/>
      </c>
      <c r="BH73" s="17" t="str">
        <f t="shared" si="131"/>
        <v/>
      </c>
      <c r="BI73" s="17">
        <f t="shared" si="131"/>
        <v>5.0682154636656651E-2</v>
      </c>
      <c r="BJ73" s="17" t="str">
        <f t="shared" si="131"/>
        <v/>
      </c>
      <c r="BK73" s="17"/>
      <c r="BL73" s="17"/>
    </row>
    <row r="74" spans="1:116">
      <c r="A74" s="11">
        <f t="shared" si="77"/>
        <v>60</v>
      </c>
      <c r="B74" s="17" t="str">
        <f t="shared" ref="B74:AG74" si="132">IF(B$12&gt;=T,"",
  IF($A74&gt;B$13,"",
  IF(HoLee.BDT=1,
                                IF(C$12*$Q$3&lt;T,A73+(A$10*h-sig*SQRT(h)),A73+($O$3*h-sig*SQRT(h))),
                                IF(C$12*$Q$3&lt;T,A73*EXP(A$10*h-sig*SQRT(h)),A73*EXP($O$3*h-sig*SQRT(h)))
 )))</f>
        <v/>
      </c>
      <c r="C74" s="17" t="str">
        <f t="shared" si="132"/>
        <v/>
      </c>
      <c r="D74" s="17" t="str">
        <f t="shared" si="132"/>
        <v/>
      </c>
      <c r="E74" s="17" t="str">
        <f t="shared" si="132"/>
        <v/>
      </c>
      <c r="F74" s="17" t="str">
        <f t="shared" si="132"/>
        <v/>
      </c>
      <c r="G74" s="17" t="str">
        <f t="shared" si="132"/>
        <v/>
      </c>
      <c r="H74" s="17" t="str">
        <f t="shared" si="132"/>
        <v/>
      </c>
      <c r="I74" s="17" t="str">
        <f t="shared" si="132"/>
        <v/>
      </c>
      <c r="J74" s="17" t="str">
        <f t="shared" si="132"/>
        <v/>
      </c>
      <c r="K74" s="17" t="str">
        <f t="shared" si="132"/>
        <v/>
      </c>
      <c r="L74" s="17" t="str">
        <f t="shared" si="132"/>
        <v/>
      </c>
      <c r="M74" s="17" t="str">
        <f t="shared" si="132"/>
        <v/>
      </c>
      <c r="N74" s="17" t="str">
        <f t="shared" si="132"/>
        <v/>
      </c>
      <c r="O74" s="17" t="str">
        <f t="shared" si="132"/>
        <v/>
      </c>
      <c r="P74" s="17" t="str">
        <f t="shared" si="132"/>
        <v/>
      </c>
      <c r="Q74" s="17" t="str">
        <f t="shared" si="132"/>
        <v/>
      </c>
      <c r="R74" s="17" t="str">
        <f t="shared" si="132"/>
        <v/>
      </c>
      <c r="S74" s="17" t="str">
        <f t="shared" si="132"/>
        <v/>
      </c>
      <c r="T74" s="17" t="str">
        <f t="shared" si="132"/>
        <v/>
      </c>
      <c r="U74" s="17" t="str">
        <f t="shared" si="132"/>
        <v/>
      </c>
      <c r="V74" s="17" t="str">
        <f t="shared" si="132"/>
        <v/>
      </c>
      <c r="W74" s="17" t="str">
        <f t="shared" si="132"/>
        <v/>
      </c>
      <c r="X74" s="17" t="str">
        <f t="shared" si="132"/>
        <v/>
      </c>
      <c r="Y74" s="17" t="str">
        <f t="shared" si="132"/>
        <v/>
      </c>
      <c r="Z74" s="17" t="str">
        <f t="shared" si="132"/>
        <v/>
      </c>
      <c r="AA74" s="17" t="str">
        <f t="shared" si="132"/>
        <v/>
      </c>
      <c r="AB74" s="17" t="str">
        <f t="shared" si="132"/>
        <v/>
      </c>
      <c r="AC74" s="17" t="str">
        <f t="shared" si="132"/>
        <v/>
      </c>
      <c r="AD74" s="17" t="str">
        <f t="shared" si="132"/>
        <v/>
      </c>
      <c r="AE74" s="17" t="str">
        <f t="shared" si="132"/>
        <v/>
      </c>
      <c r="AF74" s="17" t="str">
        <f t="shared" si="132"/>
        <v/>
      </c>
      <c r="AG74" s="17" t="str">
        <f t="shared" si="132"/>
        <v/>
      </c>
      <c r="AH74" s="17" t="str">
        <f t="shared" ref="AH74:BJ74" si="133">IF(AH$12&gt;=T,"",
  IF($A74&gt;AH$13,"",
  IF(HoLee.BDT=1,
                                IF(AI$12*$Q$3&lt;T,AG73+(AG$10*h-sig*SQRT(h)),AG73+($O$3*h-sig*SQRT(h))),
                                IF(AI$12*$Q$3&lt;T,AG73*EXP(AG$10*h-sig*SQRT(h)),AG73*EXP($O$3*h-sig*SQRT(h)))
 )))</f>
        <v/>
      </c>
      <c r="AI74" s="17" t="str">
        <f t="shared" si="133"/>
        <v/>
      </c>
      <c r="AJ74" s="17" t="str">
        <f t="shared" si="133"/>
        <v/>
      </c>
      <c r="AK74" s="17" t="str">
        <f t="shared" si="133"/>
        <v/>
      </c>
      <c r="AL74" s="17" t="str">
        <f t="shared" si="133"/>
        <v/>
      </c>
      <c r="AM74" s="17" t="str">
        <f t="shared" si="133"/>
        <v/>
      </c>
      <c r="AN74" s="17" t="str">
        <f t="shared" si="133"/>
        <v/>
      </c>
      <c r="AO74" s="17" t="str">
        <f t="shared" si="133"/>
        <v/>
      </c>
      <c r="AP74" s="17" t="str">
        <f t="shared" si="133"/>
        <v/>
      </c>
      <c r="AQ74" s="17" t="str">
        <f t="shared" si="133"/>
        <v/>
      </c>
      <c r="AR74" s="17" t="str">
        <f t="shared" si="133"/>
        <v/>
      </c>
      <c r="AS74" s="17" t="str">
        <f t="shared" si="133"/>
        <v/>
      </c>
      <c r="AT74" s="17" t="str">
        <f t="shared" si="133"/>
        <v/>
      </c>
      <c r="AU74" s="17" t="str">
        <f t="shared" si="133"/>
        <v/>
      </c>
      <c r="AV74" s="17" t="str">
        <f t="shared" si="133"/>
        <v/>
      </c>
      <c r="AW74" s="17" t="str">
        <f t="shared" si="133"/>
        <v/>
      </c>
      <c r="AX74" s="17" t="str">
        <f t="shared" si="133"/>
        <v/>
      </c>
      <c r="AY74" s="17" t="str">
        <f t="shared" si="133"/>
        <v/>
      </c>
      <c r="AZ74" s="17" t="str">
        <f t="shared" si="133"/>
        <v/>
      </c>
      <c r="BA74" s="17" t="str">
        <f t="shared" si="133"/>
        <v/>
      </c>
      <c r="BB74" s="17" t="str">
        <f t="shared" si="133"/>
        <v/>
      </c>
      <c r="BC74" s="17" t="str">
        <f t="shared" si="133"/>
        <v/>
      </c>
      <c r="BD74" s="17" t="str">
        <f t="shared" si="133"/>
        <v/>
      </c>
      <c r="BE74" s="17" t="str">
        <f t="shared" si="133"/>
        <v/>
      </c>
      <c r="BF74" s="17" t="str">
        <f t="shared" si="133"/>
        <v/>
      </c>
      <c r="BG74" s="17" t="str">
        <f t="shared" si="133"/>
        <v/>
      </c>
      <c r="BH74" s="17" t="str">
        <f t="shared" si="133"/>
        <v/>
      </c>
      <c r="BI74" s="17" t="str">
        <f t="shared" si="133"/>
        <v/>
      </c>
      <c r="BJ74" s="17" t="str">
        <f t="shared" si="133"/>
        <v/>
      </c>
    </row>
    <row r="77" spans="1:116">
      <c r="B77" s="68" t="s">
        <v>661</v>
      </c>
    </row>
    <row r="78" spans="1:116">
      <c r="B78" s="64">
        <f t="shared" ref="B78:AG78" si="134">D80</f>
        <v>1</v>
      </c>
      <c r="C78" s="64">
        <f t="shared" si="134"/>
        <v>1.5</v>
      </c>
      <c r="D78" s="64">
        <f t="shared" si="134"/>
        <v>2</v>
      </c>
      <c r="E78" s="64">
        <f t="shared" si="134"/>
        <v>2.5</v>
      </c>
      <c r="F78" s="64">
        <f t="shared" si="134"/>
        <v>3</v>
      </c>
      <c r="G78" s="64">
        <f t="shared" si="134"/>
        <v>3.5</v>
      </c>
      <c r="H78" s="64">
        <f t="shared" si="134"/>
        <v>4</v>
      </c>
      <c r="I78" s="64">
        <f t="shared" si="134"/>
        <v>4.5</v>
      </c>
      <c r="J78" s="64">
        <f t="shared" si="134"/>
        <v>5</v>
      </c>
      <c r="K78" s="64">
        <f t="shared" si="134"/>
        <v>5.5</v>
      </c>
      <c r="L78" s="64">
        <f t="shared" si="134"/>
        <v>6</v>
      </c>
      <c r="M78" s="64">
        <f t="shared" si="134"/>
        <v>6.5</v>
      </c>
      <c r="N78" s="64">
        <f t="shared" si="134"/>
        <v>7</v>
      </c>
      <c r="O78" s="64">
        <f t="shared" si="134"/>
        <v>7.5</v>
      </c>
      <c r="P78" s="64">
        <f t="shared" si="134"/>
        <v>8</v>
      </c>
      <c r="Q78" s="64">
        <f t="shared" si="134"/>
        <v>8.5</v>
      </c>
      <c r="R78" s="64">
        <f t="shared" si="134"/>
        <v>9</v>
      </c>
      <c r="S78" s="64">
        <f t="shared" si="134"/>
        <v>9.5</v>
      </c>
      <c r="T78" s="64">
        <f t="shared" si="134"/>
        <v>10</v>
      </c>
      <c r="U78" s="64">
        <f t="shared" si="134"/>
        <v>10.5</v>
      </c>
      <c r="V78" s="64">
        <f t="shared" si="134"/>
        <v>11</v>
      </c>
      <c r="W78" s="64">
        <f t="shared" si="134"/>
        <v>11.5</v>
      </c>
      <c r="X78" s="64">
        <f t="shared" si="134"/>
        <v>12</v>
      </c>
      <c r="Y78" s="64">
        <f t="shared" si="134"/>
        <v>12.5</v>
      </c>
      <c r="Z78" s="64">
        <f t="shared" si="134"/>
        <v>13</v>
      </c>
      <c r="AA78" s="64">
        <f t="shared" si="134"/>
        <v>13.5</v>
      </c>
      <c r="AB78" s="64">
        <f t="shared" si="134"/>
        <v>14</v>
      </c>
      <c r="AC78" s="64">
        <f t="shared" si="134"/>
        <v>14.5</v>
      </c>
      <c r="AD78" s="64">
        <f t="shared" si="134"/>
        <v>15</v>
      </c>
      <c r="AE78" s="64">
        <f t="shared" si="134"/>
        <v>15.5</v>
      </c>
      <c r="AF78" s="64">
        <f t="shared" si="134"/>
        <v>16</v>
      </c>
      <c r="AG78" s="64">
        <f t="shared" si="134"/>
        <v>16.5</v>
      </c>
      <c r="AH78" s="64">
        <f t="shared" ref="AH78:BJ78" si="135">AJ80</f>
        <v>17</v>
      </c>
      <c r="AI78" s="64">
        <f t="shared" si="135"/>
        <v>17.5</v>
      </c>
      <c r="AJ78" s="64">
        <f t="shared" si="135"/>
        <v>18</v>
      </c>
      <c r="AK78" s="64">
        <f t="shared" si="135"/>
        <v>18.5</v>
      </c>
      <c r="AL78" s="64">
        <f t="shared" si="135"/>
        <v>19</v>
      </c>
      <c r="AM78" s="64">
        <f t="shared" si="135"/>
        <v>19.5</v>
      </c>
      <c r="AN78" s="64">
        <f t="shared" si="135"/>
        <v>20</v>
      </c>
      <c r="AO78" s="64">
        <f t="shared" si="135"/>
        <v>20.5</v>
      </c>
      <c r="AP78" s="64">
        <f t="shared" si="135"/>
        <v>21</v>
      </c>
      <c r="AQ78" s="64">
        <f t="shared" si="135"/>
        <v>21.5</v>
      </c>
      <c r="AR78" s="64">
        <f t="shared" si="135"/>
        <v>22</v>
      </c>
      <c r="AS78" s="64">
        <f t="shared" si="135"/>
        <v>22.5</v>
      </c>
      <c r="AT78" s="64">
        <f t="shared" si="135"/>
        <v>23</v>
      </c>
      <c r="AU78" s="64">
        <f t="shared" si="135"/>
        <v>23.5</v>
      </c>
      <c r="AV78" s="64">
        <f t="shared" si="135"/>
        <v>24</v>
      </c>
      <c r="AW78" s="64">
        <f t="shared" si="135"/>
        <v>24.5</v>
      </c>
      <c r="AX78" s="64">
        <f t="shared" si="135"/>
        <v>25</v>
      </c>
      <c r="AY78" s="64">
        <f t="shared" si="135"/>
        <v>25.5</v>
      </c>
      <c r="AZ78" s="64">
        <f t="shared" si="135"/>
        <v>26</v>
      </c>
      <c r="BA78" s="64">
        <f t="shared" si="135"/>
        <v>26.5</v>
      </c>
      <c r="BB78" s="64">
        <f t="shared" si="135"/>
        <v>27</v>
      </c>
      <c r="BC78" s="64">
        <f t="shared" si="135"/>
        <v>27.5</v>
      </c>
      <c r="BD78" s="64">
        <f t="shared" si="135"/>
        <v>28</v>
      </c>
      <c r="BE78" s="64">
        <f t="shared" si="135"/>
        <v>28.5</v>
      </c>
      <c r="BF78" s="64">
        <f t="shared" si="135"/>
        <v>29</v>
      </c>
      <c r="BG78" s="64">
        <f t="shared" si="135"/>
        <v>29.5</v>
      </c>
      <c r="BH78" s="64">
        <f t="shared" si="135"/>
        <v>30</v>
      </c>
      <c r="BI78" s="64">
        <f t="shared" si="135"/>
        <v>0</v>
      </c>
      <c r="BJ78" s="64">
        <f t="shared" si="135"/>
        <v>0</v>
      </c>
    </row>
    <row r="79" spans="1:116" s="40" customFormat="1">
      <c r="B79" s="59">
        <v>0.95143614270682308</v>
      </c>
      <c r="C79" s="59">
        <v>0.92863435870419875</v>
      </c>
      <c r="D79" s="59">
        <v>0.90622537248902324</v>
      </c>
      <c r="E79" s="59">
        <v>0.88407542557062657</v>
      </c>
      <c r="F79" s="59">
        <v>0.86215941352908698</v>
      </c>
      <c r="G79" s="59">
        <v>0.84050152190791894</v>
      </c>
      <c r="H79" s="59">
        <v>0.81914418233532027</v>
      </c>
      <c r="I79" s="59">
        <v>0.79813156990643375</v>
      </c>
      <c r="J79" s="59">
        <v>0.77750223046826861</v>
      </c>
      <c r="K79" s="59">
        <v>0.75728643243647897</v>
      </c>
      <c r="L79" s="59">
        <v>0.73750593089680061</v>
      </c>
      <c r="M79" s="59">
        <v>0.71817484353216088</v>
      </c>
      <c r="N79" s="59">
        <v>0.69930092544366307</v>
      </c>
      <c r="O79" s="59">
        <v>0.68088687974131568</v>
      </c>
      <c r="P79" s="59">
        <v>0.6629315377348195</v>
      </c>
      <c r="Q79" s="59">
        <v>0.64542783706982254</v>
      </c>
      <c r="R79" s="59">
        <v>0.62837867486886456</v>
      </c>
      <c r="S79" s="59">
        <v>0.61176741245068966</v>
      </c>
      <c r="T79" s="59">
        <v>0.5955864936519214</v>
      </c>
      <c r="U79" s="59">
        <v>0.57983255701422753</v>
      </c>
      <c r="V79" s="59">
        <v>0.56449007501149295</v>
      </c>
      <c r="W79" s="59">
        <v>0.54955153334205242</v>
      </c>
      <c r="X79" s="59">
        <v>0.53500935931878746</v>
      </c>
      <c r="Y79" s="59">
        <v>0.52084453891125582</v>
      </c>
      <c r="Z79" s="59">
        <v>0.507057158876838</v>
      </c>
      <c r="AA79" s="59">
        <v>0.49363417995135794</v>
      </c>
      <c r="AB79" s="59">
        <v>0.48056868546935033</v>
      </c>
      <c r="AC79" s="59">
        <v>0.46784378632190698</v>
      </c>
      <c r="AD79" s="59">
        <v>0.45545804825388814</v>
      </c>
      <c r="AE79" s="59">
        <v>0.44340007959065147</v>
      </c>
      <c r="AF79" s="59">
        <v>0.43166363157581261</v>
      </c>
      <c r="AG79" s="59">
        <v>0.42023313339163176</v>
      </c>
      <c r="AH79" s="59">
        <v>0.40910302949569144</v>
      </c>
      <c r="AI79" s="59">
        <v>0.39827645139330942</v>
      </c>
      <c r="AJ79" s="59">
        <v>0.38773210047661311</v>
      </c>
      <c r="AK79" s="59">
        <v>0.3774648487381429</v>
      </c>
      <c r="AL79" s="59">
        <v>0.36746952614997086</v>
      </c>
      <c r="AM79" s="59">
        <v>0.35774093099540072</v>
      </c>
      <c r="AN79" s="59">
        <v>0.34827383963779357</v>
      </c>
      <c r="AO79" s="59">
        <v>0.33905272728461494</v>
      </c>
      <c r="AP79" s="59">
        <v>0.33007317011344905</v>
      </c>
      <c r="AQ79" s="59">
        <v>0.32133749562073738</v>
      </c>
      <c r="AR79" s="59">
        <v>0.31283006333124125</v>
      </c>
      <c r="AS79" s="59">
        <v>0.3045466885482172</v>
      </c>
      <c r="AT79" s="59">
        <v>0.29648315531817399</v>
      </c>
      <c r="AU79" s="59">
        <v>0.28863522467601971</v>
      </c>
      <c r="AV79" s="59">
        <v>0.28099864243565759</v>
      </c>
      <c r="AW79" s="59">
        <v>0.27355450125798647</v>
      </c>
      <c r="AX79" s="59">
        <v>0.26631212581917246</v>
      </c>
      <c r="AY79" s="59">
        <v>0.25926737203755429</v>
      </c>
      <c r="AZ79" s="59">
        <v>0.25239752524499959</v>
      </c>
      <c r="BA79" s="59">
        <v>0.24571528206640333</v>
      </c>
      <c r="BB79" s="59">
        <v>0.23921670509954857</v>
      </c>
      <c r="BC79" s="59">
        <v>0.23287685064290115</v>
      </c>
      <c r="BD79" s="59">
        <v>0.22671141860054486</v>
      </c>
      <c r="BE79" s="59">
        <v>0.22071667116710678</v>
      </c>
      <c r="BF79" s="59">
        <v>0.2148659213685839</v>
      </c>
      <c r="BG79" s="59">
        <v>0.20917733288383647</v>
      </c>
      <c r="BH79" s="59">
        <v>0.20364735980607934</v>
      </c>
      <c r="BI79" s="59"/>
      <c r="BJ79" s="59"/>
    </row>
    <row r="80" spans="1:116" s="13" customFormat="1">
      <c r="A80" s="21" t="s">
        <v>25</v>
      </c>
      <c r="B80" s="13">
        <f t="shared" ref="B80:AG80" si="136">B81*h</f>
        <v>0</v>
      </c>
      <c r="C80" s="13">
        <f t="shared" si="136"/>
        <v>0.5</v>
      </c>
      <c r="D80" s="13">
        <f t="shared" si="136"/>
        <v>1</v>
      </c>
      <c r="E80" s="13">
        <f t="shared" si="136"/>
        <v>1.5</v>
      </c>
      <c r="F80" s="13">
        <f t="shared" si="136"/>
        <v>2</v>
      </c>
      <c r="G80" s="13">
        <f t="shared" si="136"/>
        <v>2.5</v>
      </c>
      <c r="H80" s="13">
        <f t="shared" si="136"/>
        <v>3</v>
      </c>
      <c r="I80" s="13">
        <f t="shared" si="136"/>
        <v>3.5</v>
      </c>
      <c r="J80" s="13">
        <f t="shared" si="136"/>
        <v>4</v>
      </c>
      <c r="K80" s="13">
        <f t="shared" si="136"/>
        <v>4.5</v>
      </c>
      <c r="L80" s="13">
        <f t="shared" si="136"/>
        <v>5</v>
      </c>
      <c r="M80" s="13">
        <f t="shared" si="136"/>
        <v>5.5</v>
      </c>
      <c r="N80" s="13">
        <f t="shared" si="136"/>
        <v>6</v>
      </c>
      <c r="O80" s="13">
        <f t="shared" si="136"/>
        <v>6.5</v>
      </c>
      <c r="P80" s="13">
        <f t="shared" si="136"/>
        <v>7</v>
      </c>
      <c r="Q80" s="13">
        <f t="shared" si="136"/>
        <v>7.5</v>
      </c>
      <c r="R80" s="13">
        <f t="shared" si="136"/>
        <v>8</v>
      </c>
      <c r="S80" s="13">
        <f t="shared" si="136"/>
        <v>8.5</v>
      </c>
      <c r="T80" s="13">
        <f t="shared" si="136"/>
        <v>9</v>
      </c>
      <c r="U80" s="13">
        <f t="shared" si="136"/>
        <v>9.5</v>
      </c>
      <c r="V80" s="13">
        <f t="shared" si="136"/>
        <v>10</v>
      </c>
      <c r="W80" s="13">
        <f t="shared" si="136"/>
        <v>10.5</v>
      </c>
      <c r="X80" s="13">
        <f t="shared" si="136"/>
        <v>11</v>
      </c>
      <c r="Y80" s="13">
        <f t="shared" si="136"/>
        <v>11.5</v>
      </c>
      <c r="Z80" s="13">
        <f t="shared" si="136"/>
        <v>12</v>
      </c>
      <c r="AA80" s="13">
        <f t="shared" si="136"/>
        <v>12.5</v>
      </c>
      <c r="AB80" s="13">
        <f t="shared" si="136"/>
        <v>13</v>
      </c>
      <c r="AC80" s="13">
        <f t="shared" si="136"/>
        <v>13.5</v>
      </c>
      <c r="AD80" s="13">
        <f t="shared" si="136"/>
        <v>14</v>
      </c>
      <c r="AE80" s="13">
        <f t="shared" si="136"/>
        <v>14.5</v>
      </c>
      <c r="AF80" s="13">
        <f t="shared" si="136"/>
        <v>15</v>
      </c>
      <c r="AG80" s="13">
        <f t="shared" si="136"/>
        <v>15.5</v>
      </c>
      <c r="AH80" s="13">
        <f t="shared" ref="AH80:BJ80" si="137">AH81*h</f>
        <v>16</v>
      </c>
      <c r="AI80" s="13">
        <f t="shared" si="137"/>
        <v>16.5</v>
      </c>
      <c r="AJ80" s="13">
        <f t="shared" si="137"/>
        <v>17</v>
      </c>
      <c r="AK80" s="13">
        <f t="shared" si="137"/>
        <v>17.5</v>
      </c>
      <c r="AL80" s="13">
        <f t="shared" si="137"/>
        <v>18</v>
      </c>
      <c r="AM80" s="13">
        <f t="shared" si="137"/>
        <v>18.5</v>
      </c>
      <c r="AN80" s="13">
        <f t="shared" si="137"/>
        <v>19</v>
      </c>
      <c r="AO80" s="13">
        <f t="shared" si="137"/>
        <v>19.5</v>
      </c>
      <c r="AP80" s="13">
        <f t="shared" si="137"/>
        <v>20</v>
      </c>
      <c r="AQ80" s="13">
        <f t="shared" si="137"/>
        <v>20.5</v>
      </c>
      <c r="AR80" s="13">
        <f t="shared" si="137"/>
        <v>21</v>
      </c>
      <c r="AS80" s="13">
        <f t="shared" si="137"/>
        <v>21.5</v>
      </c>
      <c r="AT80" s="13">
        <f t="shared" si="137"/>
        <v>22</v>
      </c>
      <c r="AU80" s="13">
        <f t="shared" si="137"/>
        <v>22.5</v>
      </c>
      <c r="AV80" s="13">
        <f t="shared" si="137"/>
        <v>23</v>
      </c>
      <c r="AW80" s="13">
        <f t="shared" si="137"/>
        <v>23.5</v>
      </c>
      <c r="AX80" s="13">
        <f t="shared" si="137"/>
        <v>24</v>
      </c>
      <c r="AY80" s="13">
        <f t="shared" si="137"/>
        <v>24.5</v>
      </c>
      <c r="AZ80" s="13">
        <f t="shared" si="137"/>
        <v>25</v>
      </c>
      <c r="BA80" s="13">
        <f t="shared" si="137"/>
        <v>25.5</v>
      </c>
      <c r="BB80" s="13">
        <f t="shared" si="137"/>
        <v>26</v>
      </c>
      <c r="BC80" s="13">
        <f t="shared" si="137"/>
        <v>26.5</v>
      </c>
      <c r="BD80" s="13">
        <f t="shared" si="137"/>
        <v>27</v>
      </c>
      <c r="BE80" s="13">
        <f t="shared" si="137"/>
        <v>27.5</v>
      </c>
      <c r="BF80" s="13">
        <f t="shared" si="137"/>
        <v>28</v>
      </c>
      <c r="BG80" s="13">
        <f t="shared" si="137"/>
        <v>28.5</v>
      </c>
      <c r="BH80" s="13">
        <f t="shared" si="137"/>
        <v>29</v>
      </c>
      <c r="BI80" s="13">
        <f t="shared" si="137"/>
        <v>29.5</v>
      </c>
      <c r="BJ80" s="13">
        <f t="shared" si="137"/>
        <v>30</v>
      </c>
    </row>
    <row r="81" spans="1:62">
      <c r="A81" s="22" t="s">
        <v>18</v>
      </c>
      <c r="B81" s="3">
        <v>0</v>
      </c>
      <c r="C81" s="3">
        <f t="shared" ref="C81:AH81" si="138">B81+1</f>
        <v>1</v>
      </c>
      <c r="D81" s="3">
        <f t="shared" si="138"/>
        <v>2</v>
      </c>
      <c r="E81" s="3">
        <f t="shared" si="138"/>
        <v>3</v>
      </c>
      <c r="F81" s="3">
        <f t="shared" si="138"/>
        <v>4</v>
      </c>
      <c r="G81" s="3">
        <f t="shared" si="138"/>
        <v>5</v>
      </c>
      <c r="H81" s="3">
        <f t="shared" si="138"/>
        <v>6</v>
      </c>
      <c r="I81" s="3">
        <f t="shared" si="138"/>
        <v>7</v>
      </c>
      <c r="J81" s="3">
        <f t="shared" si="138"/>
        <v>8</v>
      </c>
      <c r="K81" s="3">
        <f t="shared" si="138"/>
        <v>9</v>
      </c>
      <c r="L81" s="3">
        <f t="shared" si="138"/>
        <v>10</v>
      </c>
      <c r="M81" s="3">
        <f t="shared" si="138"/>
        <v>11</v>
      </c>
      <c r="N81" s="3">
        <f t="shared" si="138"/>
        <v>12</v>
      </c>
      <c r="O81" s="3">
        <f t="shared" si="138"/>
        <v>13</v>
      </c>
      <c r="P81" s="3">
        <f t="shared" si="138"/>
        <v>14</v>
      </c>
      <c r="Q81" s="3">
        <f t="shared" si="138"/>
        <v>15</v>
      </c>
      <c r="R81" s="3">
        <f t="shared" si="138"/>
        <v>16</v>
      </c>
      <c r="S81" s="3">
        <f t="shared" si="138"/>
        <v>17</v>
      </c>
      <c r="T81" s="3">
        <f t="shared" si="138"/>
        <v>18</v>
      </c>
      <c r="U81" s="3">
        <f t="shared" si="138"/>
        <v>19</v>
      </c>
      <c r="V81" s="3">
        <f t="shared" si="138"/>
        <v>20</v>
      </c>
      <c r="W81" s="3">
        <f t="shared" si="138"/>
        <v>21</v>
      </c>
      <c r="X81" s="3">
        <f t="shared" si="138"/>
        <v>22</v>
      </c>
      <c r="Y81" s="3">
        <f t="shared" si="138"/>
        <v>23</v>
      </c>
      <c r="Z81" s="3">
        <f t="shared" si="138"/>
        <v>24</v>
      </c>
      <c r="AA81" s="3">
        <f t="shared" si="138"/>
        <v>25</v>
      </c>
      <c r="AB81" s="3">
        <f t="shared" si="138"/>
        <v>26</v>
      </c>
      <c r="AC81" s="3">
        <f t="shared" si="138"/>
        <v>27</v>
      </c>
      <c r="AD81" s="3">
        <f t="shared" si="138"/>
        <v>28</v>
      </c>
      <c r="AE81" s="3">
        <f t="shared" si="138"/>
        <v>29</v>
      </c>
      <c r="AF81" s="3">
        <f t="shared" si="138"/>
        <v>30</v>
      </c>
      <c r="AG81" s="3">
        <f t="shared" si="138"/>
        <v>31</v>
      </c>
      <c r="AH81" s="3">
        <f t="shared" si="138"/>
        <v>32</v>
      </c>
      <c r="AI81" s="3">
        <f t="shared" ref="AI81:BJ81" si="139">AH81+1</f>
        <v>33</v>
      </c>
      <c r="AJ81" s="3">
        <f t="shared" si="139"/>
        <v>34</v>
      </c>
      <c r="AK81" s="3">
        <f t="shared" si="139"/>
        <v>35</v>
      </c>
      <c r="AL81" s="3">
        <f t="shared" si="139"/>
        <v>36</v>
      </c>
      <c r="AM81" s="3">
        <f t="shared" si="139"/>
        <v>37</v>
      </c>
      <c r="AN81" s="3">
        <f t="shared" si="139"/>
        <v>38</v>
      </c>
      <c r="AO81" s="3">
        <f t="shared" si="139"/>
        <v>39</v>
      </c>
      <c r="AP81" s="3">
        <f t="shared" si="139"/>
        <v>40</v>
      </c>
      <c r="AQ81" s="3">
        <f t="shared" si="139"/>
        <v>41</v>
      </c>
      <c r="AR81" s="3">
        <f t="shared" si="139"/>
        <v>42</v>
      </c>
      <c r="AS81" s="3">
        <f t="shared" si="139"/>
        <v>43</v>
      </c>
      <c r="AT81" s="3">
        <f t="shared" si="139"/>
        <v>44</v>
      </c>
      <c r="AU81" s="3">
        <f t="shared" si="139"/>
        <v>45</v>
      </c>
      <c r="AV81" s="3">
        <f t="shared" si="139"/>
        <v>46</v>
      </c>
      <c r="AW81" s="3">
        <f t="shared" si="139"/>
        <v>47</v>
      </c>
      <c r="AX81" s="3">
        <f t="shared" si="139"/>
        <v>48</v>
      </c>
      <c r="AY81" s="3">
        <f t="shared" si="139"/>
        <v>49</v>
      </c>
      <c r="AZ81" s="3">
        <f t="shared" si="139"/>
        <v>50</v>
      </c>
      <c r="BA81" s="3">
        <f t="shared" si="139"/>
        <v>51</v>
      </c>
      <c r="BB81" s="3">
        <f t="shared" si="139"/>
        <v>52</v>
      </c>
      <c r="BC81" s="3">
        <f t="shared" si="139"/>
        <v>53</v>
      </c>
      <c r="BD81" s="3">
        <f t="shared" si="139"/>
        <v>54</v>
      </c>
      <c r="BE81" s="3">
        <f t="shared" si="139"/>
        <v>55</v>
      </c>
      <c r="BF81" s="3">
        <f t="shared" si="139"/>
        <v>56</v>
      </c>
      <c r="BG81" s="3">
        <f t="shared" si="139"/>
        <v>57</v>
      </c>
      <c r="BH81" s="3">
        <f t="shared" si="139"/>
        <v>58</v>
      </c>
      <c r="BI81" s="3">
        <f t="shared" si="139"/>
        <v>59</v>
      </c>
      <c r="BJ81" s="3">
        <f t="shared" si="139"/>
        <v>60</v>
      </c>
    </row>
    <row r="82" spans="1:62">
      <c r="A82" s="11">
        <v>0</v>
      </c>
      <c r="B82" s="2">
        <f t="shared" ref="B82:AG82" si="140">IF(B$80&gt;T,"",IF($A82&gt;B$81,"",IF(T=B$80,1,EXP(-B14*h)*((C82+C83)/2+cc*h))))</f>
        <v>0.21861028846311084</v>
      </c>
      <c r="C82" s="2">
        <f t="shared" si="140"/>
        <v>0.22422089788525371</v>
      </c>
      <c r="D82" s="2">
        <f t="shared" si="140"/>
        <v>0.22997550299172206</v>
      </c>
      <c r="E82" s="2">
        <f t="shared" si="140"/>
        <v>0.23587779941618853</v>
      </c>
      <c r="F82" s="2">
        <f t="shared" si="140"/>
        <v>0.24193157764036444</v>
      </c>
      <c r="G82" s="2">
        <f t="shared" si="140"/>
        <v>0.24814072542826449</v>
      </c>
      <c r="H82" s="2">
        <f t="shared" si="140"/>
        <v>0.25450923032294659</v>
      </c>
      <c r="I82" s="2">
        <f t="shared" si="140"/>
        <v>0.26104118220733014</v>
      </c>
      <c r="J82" s="2">
        <f t="shared" si="140"/>
        <v>0.26774077593073764</v>
      </c>
      <c r="K82" s="2">
        <f t="shared" si="140"/>
        <v>0.27461231400284591</v>
      </c>
      <c r="L82" s="2">
        <f t="shared" si="140"/>
        <v>0.2816602093567776</v>
      </c>
      <c r="M82" s="2">
        <f t="shared" si="140"/>
        <v>0.28888898818310688</v>
      </c>
      <c r="N82" s="2">
        <f t="shared" si="140"/>
        <v>0.29630329283659973</v>
      </c>
      <c r="O82" s="2">
        <f t="shared" si="140"/>
        <v>0.30390788481755543</v>
      </c>
      <c r="P82" s="2">
        <f t="shared" si="140"/>
        <v>0.31170764782966365</v>
      </c>
      <c r="Q82" s="2">
        <f t="shared" si="140"/>
        <v>0.31970759091634143</v>
      </c>
      <c r="R82" s="2">
        <f t="shared" si="140"/>
        <v>0.32791285167756362</v>
      </c>
      <c r="S82" s="2">
        <f t="shared" si="140"/>
        <v>0.33632869956925299</v>
      </c>
      <c r="T82" s="2">
        <f t="shared" si="140"/>
        <v>0.34496053928734899</v>
      </c>
      <c r="U82" s="2">
        <f t="shared" si="140"/>
        <v>0.35381391423872816</v>
      </c>
      <c r="V82" s="2">
        <f t="shared" si="140"/>
        <v>0.36289451010120527</v>
      </c>
      <c r="W82" s="2">
        <f t="shared" si="140"/>
        <v>0.37220815847490163</v>
      </c>
      <c r="X82" s="2">
        <f t="shared" si="140"/>
        <v>0.38176084062732518</v>
      </c>
      <c r="Y82" s="2">
        <f t="shared" si="140"/>
        <v>0.391558691334568</v>
      </c>
      <c r="Z82" s="2">
        <f t="shared" si="140"/>
        <v>0.40160800282108738</v>
      </c>
      <c r="AA82" s="2">
        <f t="shared" si="140"/>
        <v>0.41191522880060111</v>
      </c>
      <c r="AB82" s="2">
        <f t="shared" si="140"/>
        <v>0.42248698862069195</v>
      </c>
      <c r="AC82" s="2">
        <f t="shared" si="140"/>
        <v>0.43333007151378283</v>
      </c>
      <c r="AD82" s="2">
        <f t="shared" si="140"/>
        <v>0.4444514409572129</v>
      </c>
      <c r="AE82" s="2">
        <f t="shared" si="140"/>
        <v>0.45585823914521445</v>
      </c>
      <c r="AF82" s="2">
        <f t="shared" si="140"/>
        <v>0.46755779157566274</v>
      </c>
      <c r="AG82" s="2">
        <f t="shared" si="140"/>
        <v>0.47955761175454414</v>
      </c>
      <c r="AH82" s="2">
        <f t="shared" ref="AH82:BJ82" si="141">IF(AH$80&gt;T,"",IF($A82&gt;AH$81,"",IF(T=AH$80,1,EXP(-AH14*h)*((AI82+AI83)/2+cc*h))))</f>
        <v>0.49186540602116391</v>
      </c>
      <c r="AI82" s="2">
        <f t="shared" si="141"/>
        <v>0.5044890784971926</v>
      </c>
      <c r="AJ82" s="2">
        <f t="shared" si="141"/>
        <v>0.51743673616272901</v>
      </c>
      <c r="AK82" s="2">
        <f t="shared" si="141"/>
        <v>0.53071669406263977</v>
      </c>
      <c r="AL82" s="2">
        <f t="shared" si="141"/>
        <v>0.54433748064651921</v>
      </c>
      <c r="AM82" s="2">
        <f t="shared" si="141"/>
        <v>0.5583078432456986</v>
      </c>
      <c r="AN82" s="2">
        <f t="shared" si="141"/>
        <v>0.57263675369082234</v>
      </c>
      <c r="AO82" s="2">
        <f t="shared" si="141"/>
        <v>0.58733341407359829</v>
      </c>
      <c r="AP82" s="2">
        <f t="shared" si="141"/>
        <v>0.60240726265642353</v>
      </c>
      <c r="AQ82" s="2">
        <f t="shared" si="141"/>
        <v>0.61786797993367903</v>
      </c>
      <c r="AR82" s="2">
        <f t="shared" si="141"/>
        <v>0.63372549484858776</v>
      </c>
      <c r="AS82" s="2">
        <f t="shared" si="141"/>
        <v>0.64998999116962719</v>
      </c>
      <c r="AT82" s="2">
        <f t="shared" si="141"/>
        <v>0.66667191403059189</v>
      </c>
      <c r="AU82" s="2">
        <f t="shared" si="141"/>
        <v>0.68378197663850626</v>
      </c>
      <c r="AV82" s="2">
        <f t="shared" si="141"/>
        <v>0.70133116715369492</v>
      </c>
      <c r="AW82" s="2">
        <f t="shared" si="141"/>
        <v>0.71933075574642924</v>
      </c>
      <c r="AX82" s="2">
        <f t="shared" si="141"/>
        <v>0.73779230183468247</v>
      </c>
      <c r="AY82" s="2">
        <f t="shared" si="141"/>
        <v>0.75672766150764059</v>
      </c>
      <c r="AZ82" s="2">
        <f t="shared" si="141"/>
        <v>0.77614899513973701</v>
      </c>
      <c r="BA82" s="2">
        <f t="shared" si="141"/>
        <v>0.79606877520010022</v>
      </c>
      <c r="BB82" s="2">
        <f t="shared" si="141"/>
        <v>0.8164997942624308</v>
      </c>
      <c r="BC82" s="2">
        <f t="shared" si="141"/>
        <v>0.8374551732204506</v>
      </c>
      <c r="BD82" s="2">
        <f t="shared" si="141"/>
        <v>0.8589483697142003</v>
      </c>
      <c r="BE82" s="2">
        <f t="shared" si="141"/>
        <v>0.88099318677259764</v>
      </c>
      <c r="BF82" s="2">
        <f t="shared" si="141"/>
        <v>0.90360378167780531</v>
      </c>
      <c r="BG82" s="2">
        <f t="shared" si="141"/>
        <v>0.92679467505710256</v>
      </c>
      <c r="BH82" s="2">
        <f t="shared" si="141"/>
        <v>0.9505807602080979</v>
      </c>
      <c r="BI82" s="2">
        <f t="shared" si="141"/>
        <v>0.97497731266327314</v>
      </c>
      <c r="BJ82" s="2">
        <f t="shared" si="141"/>
        <v>1</v>
      </c>
    </row>
    <row r="83" spans="1:62">
      <c r="A83" s="11">
        <f t="shared" ref="A83:A114" si="142">A82+1</f>
        <v>1</v>
      </c>
      <c r="B83" s="2" t="str">
        <f t="shared" ref="B83:AG83" si="143">IF(B$80&gt;T,"",IF($A83&gt;B$81,"",IF(T=B$80,1,EXP(-B15*h)*((C83+C84)/2+cc*h))))</f>
        <v/>
      </c>
      <c r="C83" s="2">
        <f t="shared" si="143"/>
        <v>0.22422089788525371</v>
      </c>
      <c r="D83" s="2">
        <f t="shared" si="143"/>
        <v>0.22997550299172206</v>
      </c>
      <c r="E83" s="2">
        <f t="shared" si="143"/>
        <v>0.23587779941618853</v>
      </c>
      <c r="F83" s="2">
        <f t="shared" si="143"/>
        <v>0.24193157764036444</v>
      </c>
      <c r="G83" s="2">
        <f t="shared" si="143"/>
        <v>0.24814072542826449</v>
      </c>
      <c r="H83" s="2">
        <f t="shared" si="143"/>
        <v>0.25450923032294659</v>
      </c>
      <c r="I83" s="2">
        <f t="shared" si="143"/>
        <v>0.26104118220733014</v>
      </c>
      <c r="J83" s="2">
        <f t="shared" si="143"/>
        <v>0.26774077593073764</v>
      </c>
      <c r="K83" s="2">
        <f t="shared" si="143"/>
        <v>0.27461231400284591</v>
      </c>
      <c r="L83" s="2">
        <f t="shared" si="143"/>
        <v>0.2816602093567776</v>
      </c>
      <c r="M83" s="2">
        <f t="shared" si="143"/>
        <v>0.28888898818310688</v>
      </c>
      <c r="N83" s="2">
        <f t="shared" si="143"/>
        <v>0.29630329283659973</v>
      </c>
      <c r="O83" s="2">
        <f t="shared" si="143"/>
        <v>0.30390788481755543</v>
      </c>
      <c r="P83" s="2">
        <f t="shared" si="143"/>
        <v>0.31170764782966365</v>
      </c>
      <c r="Q83" s="2">
        <f t="shared" si="143"/>
        <v>0.31970759091634143</v>
      </c>
      <c r="R83" s="2">
        <f t="shared" si="143"/>
        <v>0.32791285167756362</v>
      </c>
      <c r="S83" s="2">
        <f t="shared" si="143"/>
        <v>0.33632869956925299</v>
      </c>
      <c r="T83" s="2">
        <f t="shared" si="143"/>
        <v>0.34496053928734899</v>
      </c>
      <c r="U83" s="2">
        <f t="shared" si="143"/>
        <v>0.35381391423872816</v>
      </c>
      <c r="V83" s="2">
        <f t="shared" si="143"/>
        <v>0.36289451010120527</v>
      </c>
      <c r="W83" s="2">
        <f t="shared" si="143"/>
        <v>0.37220815847490163</v>
      </c>
      <c r="X83" s="2">
        <f t="shared" si="143"/>
        <v>0.38176084062732518</v>
      </c>
      <c r="Y83" s="2">
        <f t="shared" si="143"/>
        <v>0.391558691334568</v>
      </c>
      <c r="Z83" s="2">
        <f t="shared" si="143"/>
        <v>0.40160800282108738</v>
      </c>
      <c r="AA83" s="2">
        <f t="shared" si="143"/>
        <v>0.41191522880060111</v>
      </c>
      <c r="AB83" s="2">
        <f t="shared" si="143"/>
        <v>0.42248698862069195</v>
      </c>
      <c r="AC83" s="2">
        <f t="shared" si="143"/>
        <v>0.43333007151378283</v>
      </c>
      <c r="AD83" s="2">
        <f t="shared" si="143"/>
        <v>0.4444514409572129</v>
      </c>
      <c r="AE83" s="2">
        <f t="shared" si="143"/>
        <v>0.45585823914521445</v>
      </c>
      <c r="AF83" s="2">
        <f t="shared" si="143"/>
        <v>0.46755779157566274</v>
      </c>
      <c r="AG83" s="2">
        <f t="shared" si="143"/>
        <v>0.47955761175454414</v>
      </c>
      <c r="AH83" s="2">
        <f t="shared" ref="AH83:BJ83" si="144">IF(AH$80&gt;T,"",IF($A83&gt;AH$81,"",IF(T=AH$80,1,EXP(-AH15*h)*((AI83+AI84)/2+cc*h))))</f>
        <v>0.49186540602116391</v>
      </c>
      <c r="AI83" s="2">
        <f t="shared" si="144"/>
        <v>0.5044890784971926</v>
      </c>
      <c r="AJ83" s="2">
        <f t="shared" si="144"/>
        <v>0.51743673616272901</v>
      </c>
      <c r="AK83" s="2">
        <f t="shared" si="144"/>
        <v>0.53071669406263977</v>
      </c>
      <c r="AL83" s="2">
        <f t="shared" si="144"/>
        <v>0.54433748064651921</v>
      </c>
      <c r="AM83" s="2">
        <f t="shared" si="144"/>
        <v>0.5583078432456986</v>
      </c>
      <c r="AN83" s="2">
        <f t="shared" si="144"/>
        <v>0.57263675369082234</v>
      </c>
      <c r="AO83" s="2">
        <f t="shared" si="144"/>
        <v>0.58733341407359829</v>
      </c>
      <c r="AP83" s="2">
        <f t="shared" si="144"/>
        <v>0.60240726265642353</v>
      </c>
      <c r="AQ83" s="2">
        <f t="shared" si="144"/>
        <v>0.61786797993367903</v>
      </c>
      <c r="AR83" s="2">
        <f t="shared" si="144"/>
        <v>0.63372549484858776</v>
      </c>
      <c r="AS83" s="2">
        <f t="shared" si="144"/>
        <v>0.64998999116962719</v>
      </c>
      <c r="AT83" s="2">
        <f t="shared" si="144"/>
        <v>0.66667191403059189</v>
      </c>
      <c r="AU83" s="2">
        <f t="shared" si="144"/>
        <v>0.68378197663850626</v>
      </c>
      <c r="AV83" s="2">
        <f t="shared" si="144"/>
        <v>0.70133116715369492</v>
      </c>
      <c r="AW83" s="2">
        <f t="shared" si="144"/>
        <v>0.71933075574642924</v>
      </c>
      <c r="AX83" s="2">
        <f t="shared" si="144"/>
        <v>0.73779230183468247</v>
      </c>
      <c r="AY83" s="2">
        <f t="shared" si="144"/>
        <v>0.75672766150764059</v>
      </c>
      <c r="AZ83" s="2">
        <f t="shared" si="144"/>
        <v>0.77614899513973701</v>
      </c>
      <c r="BA83" s="2">
        <f t="shared" si="144"/>
        <v>0.79606877520010022</v>
      </c>
      <c r="BB83" s="2">
        <f t="shared" si="144"/>
        <v>0.8164997942624308</v>
      </c>
      <c r="BC83" s="2">
        <f t="shared" si="144"/>
        <v>0.8374551732204506</v>
      </c>
      <c r="BD83" s="2">
        <f t="shared" si="144"/>
        <v>0.8589483697142003</v>
      </c>
      <c r="BE83" s="2">
        <f t="shared" si="144"/>
        <v>0.88099318677259764</v>
      </c>
      <c r="BF83" s="2">
        <f t="shared" si="144"/>
        <v>0.90360378167780531</v>
      </c>
      <c r="BG83" s="2">
        <f t="shared" si="144"/>
        <v>0.92679467505710256</v>
      </c>
      <c r="BH83" s="2">
        <f t="shared" si="144"/>
        <v>0.9505807602080979</v>
      </c>
      <c r="BI83" s="2">
        <f t="shared" si="144"/>
        <v>0.97497731266327314</v>
      </c>
      <c r="BJ83" s="2">
        <f t="shared" si="144"/>
        <v>1</v>
      </c>
    </row>
    <row r="84" spans="1:62">
      <c r="A84" s="11">
        <f t="shared" si="142"/>
        <v>2</v>
      </c>
      <c r="B84" s="2" t="str">
        <f t="shared" ref="B84:AG84" si="145">IF(B$80&gt;T,"",IF($A84&gt;B$81,"",IF(T=B$80,1,EXP(-B16*h)*((C84+C85)/2+cc*h))))</f>
        <v/>
      </c>
      <c r="C84" s="2" t="str">
        <f t="shared" si="145"/>
        <v/>
      </c>
      <c r="D84" s="2">
        <f t="shared" si="145"/>
        <v>0.22997550299172206</v>
      </c>
      <c r="E84" s="2">
        <f t="shared" si="145"/>
        <v>0.23587779941618853</v>
      </c>
      <c r="F84" s="2">
        <f t="shared" si="145"/>
        <v>0.24193157764036444</v>
      </c>
      <c r="G84" s="2">
        <f t="shared" si="145"/>
        <v>0.24814072542826449</v>
      </c>
      <c r="H84" s="2">
        <f t="shared" si="145"/>
        <v>0.25450923032294659</v>
      </c>
      <c r="I84" s="2">
        <f t="shared" si="145"/>
        <v>0.26104118220733014</v>
      </c>
      <c r="J84" s="2">
        <f t="shared" si="145"/>
        <v>0.26774077593073764</v>
      </c>
      <c r="K84" s="2">
        <f t="shared" si="145"/>
        <v>0.27461231400284591</v>
      </c>
      <c r="L84" s="2">
        <f t="shared" si="145"/>
        <v>0.2816602093567776</v>
      </c>
      <c r="M84" s="2">
        <f t="shared" si="145"/>
        <v>0.28888898818310688</v>
      </c>
      <c r="N84" s="2">
        <f t="shared" si="145"/>
        <v>0.29630329283659973</v>
      </c>
      <c r="O84" s="2">
        <f t="shared" si="145"/>
        <v>0.30390788481755543</v>
      </c>
      <c r="P84" s="2">
        <f t="shared" si="145"/>
        <v>0.31170764782966365</v>
      </c>
      <c r="Q84" s="2">
        <f t="shared" si="145"/>
        <v>0.31970759091634143</v>
      </c>
      <c r="R84" s="2">
        <f t="shared" si="145"/>
        <v>0.32791285167756362</v>
      </c>
      <c r="S84" s="2">
        <f t="shared" si="145"/>
        <v>0.33632869956925299</v>
      </c>
      <c r="T84" s="2">
        <f t="shared" si="145"/>
        <v>0.34496053928734899</v>
      </c>
      <c r="U84" s="2">
        <f t="shared" si="145"/>
        <v>0.35381391423872816</v>
      </c>
      <c r="V84" s="2">
        <f t="shared" si="145"/>
        <v>0.36289451010120527</v>
      </c>
      <c r="W84" s="2">
        <f t="shared" si="145"/>
        <v>0.37220815847490163</v>
      </c>
      <c r="X84" s="2">
        <f t="shared" si="145"/>
        <v>0.38176084062732518</v>
      </c>
      <c r="Y84" s="2">
        <f t="shared" si="145"/>
        <v>0.391558691334568</v>
      </c>
      <c r="Z84" s="2">
        <f t="shared" si="145"/>
        <v>0.40160800282108738</v>
      </c>
      <c r="AA84" s="2">
        <f t="shared" si="145"/>
        <v>0.41191522880060111</v>
      </c>
      <c r="AB84" s="2">
        <f t="shared" si="145"/>
        <v>0.42248698862069195</v>
      </c>
      <c r="AC84" s="2">
        <f t="shared" si="145"/>
        <v>0.43333007151378283</v>
      </c>
      <c r="AD84" s="2">
        <f t="shared" si="145"/>
        <v>0.4444514409572129</v>
      </c>
      <c r="AE84" s="2">
        <f t="shared" si="145"/>
        <v>0.45585823914521445</v>
      </c>
      <c r="AF84" s="2">
        <f t="shared" si="145"/>
        <v>0.46755779157566274</v>
      </c>
      <c r="AG84" s="2">
        <f t="shared" si="145"/>
        <v>0.47955761175454414</v>
      </c>
      <c r="AH84" s="2">
        <f t="shared" ref="AH84:BJ84" si="146">IF(AH$80&gt;T,"",IF($A84&gt;AH$81,"",IF(T=AH$80,1,EXP(-AH16*h)*((AI84+AI85)/2+cc*h))))</f>
        <v>0.49186540602116391</v>
      </c>
      <c r="AI84" s="2">
        <f t="shared" si="146"/>
        <v>0.5044890784971926</v>
      </c>
      <c r="AJ84" s="2">
        <f t="shared" si="146"/>
        <v>0.51743673616272901</v>
      </c>
      <c r="AK84" s="2">
        <f t="shared" si="146"/>
        <v>0.53071669406263977</v>
      </c>
      <c r="AL84" s="2">
        <f t="shared" si="146"/>
        <v>0.54433748064651921</v>
      </c>
      <c r="AM84" s="2">
        <f t="shared" si="146"/>
        <v>0.5583078432456986</v>
      </c>
      <c r="AN84" s="2">
        <f t="shared" si="146"/>
        <v>0.57263675369082234</v>
      </c>
      <c r="AO84" s="2">
        <f t="shared" si="146"/>
        <v>0.58733341407359829</v>
      </c>
      <c r="AP84" s="2">
        <f t="shared" si="146"/>
        <v>0.60240726265642353</v>
      </c>
      <c r="AQ84" s="2">
        <f t="shared" si="146"/>
        <v>0.61786797993367903</v>
      </c>
      <c r="AR84" s="2">
        <f t="shared" si="146"/>
        <v>0.63372549484858776</v>
      </c>
      <c r="AS84" s="2">
        <f t="shared" si="146"/>
        <v>0.64998999116962719</v>
      </c>
      <c r="AT84" s="2">
        <f t="shared" si="146"/>
        <v>0.66667191403059189</v>
      </c>
      <c r="AU84" s="2">
        <f t="shared" si="146"/>
        <v>0.68378197663850626</v>
      </c>
      <c r="AV84" s="2">
        <f t="shared" si="146"/>
        <v>0.70133116715369492</v>
      </c>
      <c r="AW84" s="2">
        <f t="shared" si="146"/>
        <v>0.71933075574642924</v>
      </c>
      <c r="AX84" s="2">
        <f t="shared" si="146"/>
        <v>0.73779230183468247</v>
      </c>
      <c r="AY84" s="2">
        <f t="shared" si="146"/>
        <v>0.75672766150764059</v>
      </c>
      <c r="AZ84" s="2">
        <f t="shared" si="146"/>
        <v>0.77614899513973701</v>
      </c>
      <c r="BA84" s="2">
        <f t="shared" si="146"/>
        <v>0.79606877520010022</v>
      </c>
      <c r="BB84" s="2">
        <f t="shared" si="146"/>
        <v>0.8164997942624308</v>
      </c>
      <c r="BC84" s="2">
        <f t="shared" si="146"/>
        <v>0.8374551732204506</v>
      </c>
      <c r="BD84" s="2">
        <f t="shared" si="146"/>
        <v>0.8589483697142003</v>
      </c>
      <c r="BE84" s="2">
        <f t="shared" si="146"/>
        <v>0.88099318677259764</v>
      </c>
      <c r="BF84" s="2">
        <f t="shared" si="146"/>
        <v>0.90360378167780531</v>
      </c>
      <c r="BG84" s="2">
        <f t="shared" si="146"/>
        <v>0.92679467505710256</v>
      </c>
      <c r="BH84" s="2">
        <f t="shared" si="146"/>
        <v>0.9505807602080979</v>
      </c>
      <c r="BI84" s="2">
        <f t="shared" si="146"/>
        <v>0.97497731266327314</v>
      </c>
      <c r="BJ84" s="2">
        <f t="shared" si="146"/>
        <v>1</v>
      </c>
    </row>
    <row r="85" spans="1:62" outlineLevel="1">
      <c r="A85" s="11">
        <f t="shared" si="142"/>
        <v>3</v>
      </c>
      <c r="B85" s="2" t="str">
        <f t="shared" ref="B85:AG85" si="147">IF(B$80&gt;T,"",IF($A85&gt;B$81,"",IF(T=B$80,1,EXP(-B17*h)*((C85+C86)/2+cc*h))))</f>
        <v/>
      </c>
      <c r="C85" s="2" t="str">
        <f t="shared" si="147"/>
        <v/>
      </c>
      <c r="D85" s="2" t="str">
        <f t="shared" si="147"/>
        <v/>
      </c>
      <c r="E85" s="2">
        <f t="shared" si="147"/>
        <v>0.23587779941618853</v>
      </c>
      <c r="F85" s="2">
        <f t="shared" si="147"/>
        <v>0.24193157764036444</v>
      </c>
      <c r="G85" s="2">
        <f t="shared" si="147"/>
        <v>0.24814072542826449</v>
      </c>
      <c r="H85" s="2">
        <f t="shared" si="147"/>
        <v>0.25450923032294659</v>
      </c>
      <c r="I85" s="2">
        <f t="shared" si="147"/>
        <v>0.26104118220733014</v>
      </c>
      <c r="J85" s="2">
        <f t="shared" si="147"/>
        <v>0.26774077593073764</v>
      </c>
      <c r="K85" s="2">
        <f t="shared" si="147"/>
        <v>0.27461231400284591</v>
      </c>
      <c r="L85" s="2">
        <f t="shared" si="147"/>
        <v>0.2816602093567776</v>
      </c>
      <c r="M85" s="2">
        <f t="shared" si="147"/>
        <v>0.28888898818310688</v>
      </c>
      <c r="N85" s="2">
        <f t="shared" si="147"/>
        <v>0.29630329283659973</v>
      </c>
      <c r="O85" s="2">
        <f t="shared" si="147"/>
        <v>0.30390788481755543</v>
      </c>
      <c r="P85" s="2">
        <f t="shared" si="147"/>
        <v>0.31170764782966365</v>
      </c>
      <c r="Q85" s="2">
        <f t="shared" si="147"/>
        <v>0.31970759091634143</v>
      </c>
      <c r="R85" s="2">
        <f t="shared" si="147"/>
        <v>0.32791285167756362</v>
      </c>
      <c r="S85" s="2">
        <f t="shared" si="147"/>
        <v>0.33632869956925299</v>
      </c>
      <c r="T85" s="2">
        <f t="shared" si="147"/>
        <v>0.34496053928734899</v>
      </c>
      <c r="U85" s="2">
        <f t="shared" si="147"/>
        <v>0.35381391423872816</v>
      </c>
      <c r="V85" s="2">
        <f t="shared" si="147"/>
        <v>0.36289451010120527</v>
      </c>
      <c r="W85" s="2">
        <f t="shared" si="147"/>
        <v>0.37220815847490163</v>
      </c>
      <c r="X85" s="2">
        <f t="shared" si="147"/>
        <v>0.38176084062732518</v>
      </c>
      <c r="Y85" s="2">
        <f t="shared" si="147"/>
        <v>0.391558691334568</v>
      </c>
      <c r="Z85" s="2">
        <f t="shared" si="147"/>
        <v>0.40160800282108738</v>
      </c>
      <c r="AA85" s="2">
        <f t="shared" si="147"/>
        <v>0.41191522880060111</v>
      </c>
      <c r="AB85" s="2">
        <f t="shared" si="147"/>
        <v>0.42248698862069195</v>
      </c>
      <c r="AC85" s="2">
        <f t="shared" si="147"/>
        <v>0.43333007151378283</v>
      </c>
      <c r="AD85" s="2">
        <f t="shared" si="147"/>
        <v>0.4444514409572129</v>
      </c>
      <c r="AE85" s="2">
        <f t="shared" si="147"/>
        <v>0.45585823914521445</v>
      </c>
      <c r="AF85" s="2">
        <f t="shared" si="147"/>
        <v>0.46755779157566274</v>
      </c>
      <c r="AG85" s="2">
        <f t="shared" si="147"/>
        <v>0.47955761175454414</v>
      </c>
      <c r="AH85" s="2">
        <f t="shared" ref="AH85:BJ85" si="148">IF(AH$80&gt;T,"",IF($A85&gt;AH$81,"",IF(T=AH$80,1,EXP(-AH17*h)*((AI85+AI86)/2+cc*h))))</f>
        <v>0.49186540602116391</v>
      </c>
      <c r="AI85" s="2">
        <f t="shared" si="148"/>
        <v>0.5044890784971926</v>
      </c>
      <c r="AJ85" s="2">
        <f t="shared" si="148"/>
        <v>0.51743673616272901</v>
      </c>
      <c r="AK85" s="2">
        <f t="shared" si="148"/>
        <v>0.53071669406263977</v>
      </c>
      <c r="AL85" s="2">
        <f t="shared" si="148"/>
        <v>0.54433748064651921</v>
      </c>
      <c r="AM85" s="2">
        <f t="shared" si="148"/>
        <v>0.5583078432456986</v>
      </c>
      <c r="AN85" s="2">
        <f t="shared" si="148"/>
        <v>0.57263675369082234</v>
      </c>
      <c r="AO85" s="2">
        <f t="shared" si="148"/>
        <v>0.58733341407359829</v>
      </c>
      <c r="AP85" s="2">
        <f t="shared" si="148"/>
        <v>0.60240726265642353</v>
      </c>
      <c r="AQ85" s="2">
        <f t="shared" si="148"/>
        <v>0.61786797993367903</v>
      </c>
      <c r="AR85" s="2">
        <f t="shared" si="148"/>
        <v>0.63372549484858776</v>
      </c>
      <c r="AS85" s="2">
        <f t="shared" si="148"/>
        <v>0.64998999116962719</v>
      </c>
      <c r="AT85" s="2">
        <f t="shared" si="148"/>
        <v>0.66667191403059189</v>
      </c>
      <c r="AU85" s="2">
        <f t="shared" si="148"/>
        <v>0.68378197663850626</v>
      </c>
      <c r="AV85" s="2">
        <f t="shared" si="148"/>
        <v>0.70133116715369492</v>
      </c>
      <c r="AW85" s="2">
        <f t="shared" si="148"/>
        <v>0.71933075574642924</v>
      </c>
      <c r="AX85" s="2">
        <f t="shared" si="148"/>
        <v>0.73779230183468247</v>
      </c>
      <c r="AY85" s="2">
        <f t="shared" si="148"/>
        <v>0.75672766150764059</v>
      </c>
      <c r="AZ85" s="2">
        <f t="shared" si="148"/>
        <v>0.77614899513973701</v>
      </c>
      <c r="BA85" s="2">
        <f t="shared" si="148"/>
        <v>0.79606877520010022</v>
      </c>
      <c r="BB85" s="2">
        <f t="shared" si="148"/>
        <v>0.8164997942624308</v>
      </c>
      <c r="BC85" s="2">
        <f t="shared" si="148"/>
        <v>0.8374551732204506</v>
      </c>
      <c r="BD85" s="2">
        <f t="shared" si="148"/>
        <v>0.8589483697142003</v>
      </c>
      <c r="BE85" s="2">
        <f t="shared" si="148"/>
        <v>0.88099318677259764</v>
      </c>
      <c r="BF85" s="2">
        <f t="shared" si="148"/>
        <v>0.90360378167780531</v>
      </c>
      <c r="BG85" s="2">
        <f t="shared" si="148"/>
        <v>0.92679467505710256</v>
      </c>
      <c r="BH85" s="2">
        <f t="shared" si="148"/>
        <v>0.9505807602080979</v>
      </c>
      <c r="BI85" s="2">
        <f t="shared" si="148"/>
        <v>0.97497731266327314</v>
      </c>
      <c r="BJ85" s="2">
        <f t="shared" si="148"/>
        <v>1</v>
      </c>
    </row>
    <row r="86" spans="1:62" outlineLevel="1">
      <c r="A86" s="11">
        <f t="shared" si="142"/>
        <v>4</v>
      </c>
      <c r="B86" s="2" t="str">
        <f t="shared" ref="B86:AG86" si="149">IF(B$80&gt;T,"",IF($A86&gt;B$81,"",IF(T=B$80,1,EXP(-B18*h)*((C86+C87)/2+cc*h))))</f>
        <v/>
      </c>
      <c r="C86" s="2" t="str">
        <f t="shared" si="149"/>
        <v/>
      </c>
      <c r="D86" s="2" t="str">
        <f t="shared" si="149"/>
        <v/>
      </c>
      <c r="E86" s="2" t="str">
        <f t="shared" si="149"/>
        <v/>
      </c>
      <c r="F86" s="2">
        <f t="shared" si="149"/>
        <v>0.24193157764036444</v>
      </c>
      <c r="G86" s="2">
        <f t="shared" si="149"/>
        <v>0.24814072542826449</v>
      </c>
      <c r="H86" s="2">
        <f t="shared" si="149"/>
        <v>0.25450923032294659</v>
      </c>
      <c r="I86" s="2">
        <f t="shared" si="149"/>
        <v>0.26104118220733014</v>
      </c>
      <c r="J86" s="2">
        <f t="shared" si="149"/>
        <v>0.26774077593073764</v>
      </c>
      <c r="K86" s="2">
        <f t="shared" si="149"/>
        <v>0.27461231400284591</v>
      </c>
      <c r="L86" s="2">
        <f t="shared" si="149"/>
        <v>0.2816602093567776</v>
      </c>
      <c r="M86" s="2">
        <f t="shared" si="149"/>
        <v>0.28888898818310688</v>
      </c>
      <c r="N86" s="2">
        <f t="shared" si="149"/>
        <v>0.29630329283659973</v>
      </c>
      <c r="O86" s="2">
        <f t="shared" si="149"/>
        <v>0.30390788481755543</v>
      </c>
      <c r="P86" s="2">
        <f t="shared" si="149"/>
        <v>0.31170764782966365</v>
      </c>
      <c r="Q86" s="2">
        <f t="shared" si="149"/>
        <v>0.31970759091634143</v>
      </c>
      <c r="R86" s="2">
        <f t="shared" si="149"/>
        <v>0.32791285167756362</v>
      </c>
      <c r="S86" s="2">
        <f t="shared" si="149"/>
        <v>0.33632869956925299</v>
      </c>
      <c r="T86" s="2">
        <f t="shared" si="149"/>
        <v>0.34496053928734899</v>
      </c>
      <c r="U86" s="2">
        <f t="shared" si="149"/>
        <v>0.35381391423872816</v>
      </c>
      <c r="V86" s="2">
        <f t="shared" si="149"/>
        <v>0.36289451010120527</v>
      </c>
      <c r="W86" s="2">
        <f t="shared" si="149"/>
        <v>0.37220815847490163</v>
      </c>
      <c r="X86" s="2">
        <f t="shared" si="149"/>
        <v>0.38176084062732518</v>
      </c>
      <c r="Y86" s="2">
        <f t="shared" si="149"/>
        <v>0.391558691334568</v>
      </c>
      <c r="Z86" s="2">
        <f t="shared" si="149"/>
        <v>0.40160800282108738</v>
      </c>
      <c r="AA86" s="2">
        <f t="shared" si="149"/>
        <v>0.41191522880060111</v>
      </c>
      <c r="AB86" s="2">
        <f t="shared" si="149"/>
        <v>0.42248698862069195</v>
      </c>
      <c r="AC86" s="2">
        <f t="shared" si="149"/>
        <v>0.43333007151378283</v>
      </c>
      <c r="AD86" s="2">
        <f t="shared" si="149"/>
        <v>0.4444514409572129</v>
      </c>
      <c r="AE86" s="2">
        <f t="shared" si="149"/>
        <v>0.45585823914521445</v>
      </c>
      <c r="AF86" s="2">
        <f t="shared" si="149"/>
        <v>0.46755779157566274</v>
      </c>
      <c r="AG86" s="2">
        <f t="shared" si="149"/>
        <v>0.47955761175454414</v>
      </c>
      <c r="AH86" s="2">
        <f t="shared" ref="AH86:BJ86" si="150">IF(AH$80&gt;T,"",IF($A86&gt;AH$81,"",IF(T=AH$80,1,EXP(-AH18*h)*((AI86+AI87)/2+cc*h))))</f>
        <v>0.49186540602116391</v>
      </c>
      <c r="AI86" s="2">
        <f t="shared" si="150"/>
        <v>0.5044890784971926</v>
      </c>
      <c r="AJ86" s="2">
        <f t="shared" si="150"/>
        <v>0.51743673616272901</v>
      </c>
      <c r="AK86" s="2">
        <f t="shared" si="150"/>
        <v>0.53071669406263977</v>
      </c>
      <c r="AL86" s="2">
        <f t="shared" si="150"/>
        <v>0.54433748064651921</v>
      </c>
      <c r="AM86" s="2">
        <f t="shared" si="150"/>
        <v>0.5583078432456986</v>
      </c>
      <c r="AN86" s="2">
        <f t="shared" si="150"/>
        <v>0.57263675369082234</v>
      </c>
      <c r="AO86" s="2">
        <f t="shared" si="150"/>
        <v>0.58733341407359829</v>
      </c>
      <c r="AP86" s="2">
        <f t="shared" si="150"/>
        <v>0.60240726265642353</v>
      </c>
      <c r="AQ86" s="2">
        <f t="shared" si="150"/>
        <v>0.61786797993367903</v>
      </c>
      <c r="AR86" s="2">
        <f t="shared" si="150"/>
        <v>0.63372549484858776</v>
      </c>
      <c r="AS86" s="2">
        <f t="shared" si="150"/>
        <v>0.64998999116962719</v>
      </c>
      <c r="AT86" s="2">
        <f t="shared" si="150"/>
        <v>0.66667191403059189</v>
      </c>
      <c r="AU86" s="2">
        <f t="shared" si="150"/>
        <v>0.68378197663850626</v>
      </c>
      <c r="AV86" s="2">
        <f t="shared" si="150"/>
        <v>0.70133116715369492</v>
      </c>
      <c r="AW86" s="2">
        <f t="shared" si="150"/>
        <v>0.71933075574642924</v>
      </c>
      <c r="AX86" s="2">
        <f t="shared" si="150"/>
        <v>0.73779230183468247</v>
      </c>
      <c r="AY86" s="2">
        <f t="shared" si="150"/>
        <v>0.75672766150764059</v>
      </c>
      <c r="AZ86" s="2">
        <f t="shared" si="150"/>
        <v>0.77614899513973701</v>
      </c>
      <c r="BA86" s="2">
        <f t="shared" si="150"/>
        <v>0.79606877520010022</v>
      </c>
      <c r="BB86" s="2">
        <f t="shared" si="150"/>
        <v>0.8164997942624308</v>
      </c>
      <c r="BC86" s="2">
        <f t="shared" si="150"/>
        <v>0.8374551732204506</v>
      </c>
      <c r="BD86" s="2">
        <f t="shared" si="150"/>
        <v>0.8589483697142003</v>
      </c>
      <c r="BE86" s="2">
        <f t="shared" si="150"/>
        <v>0.88099318677259764</v>
      </c>
      <c r="BF86" s="2">
        <f t="shared" si="150"/>
        <v>0.90360378167780531</v>
      </c>
      <c r="BG86" s="2">
        <f t="shared" si="150"/>
        <v>0.92679467505710256</v>
      </c>
      <c r="BH86" s="2">
        <f t="shared" si="150"/>
        <v>0.9505807602080979</v>
      </c>
      <c r="BI86" s="2">
        <f t="shared" si="150"/>
        <v>0.97497731266327314</v>
      </c>
      <c r="BJ86" s="2">
        <f t="shared" si="150"/>
        <v>1</v>
      </c>
    </row>
    <row r="87" spans="1:62" outlineLevel="1">
      <c r="A87" s="11">
        <f t="shared" si="142"/>
        <v>5</v>
      </c>
      <c r="B87" s="2" t="str">
        <f t="shared" ref="B87:AG87" si="151">IF(B$80&gt;T,"",IF($A87&gt;B$81,"",IF(T=B$80,1,EXP(-B19*h)*((C87+C88)/2+cc*h))))</f>
        <v/>
      </c>
      <c r="C87" s="2" t="str">
        <f t="shared" si="151"/>
        <v/>
      </c>
      <c r="D87" s="2" t="str">
        <f t="shared" si="151"/>
        <v/>
      </c>
      <c r="E87" s="2" t="str">
        <f t="shared" si="151"/>
        <v/>
      </c>
      <c r="F87" s="2" t="str">
        <f t="shared" si="151"/>
        <v/>
      </c>
      <c r="G87" s="2">
        <f t="shared" si="151"/>
        <v>0.24814072542826449</v>
      </c>
      <c r="H87" s="2">
        <f t="shared" si="151"/>
        <v>0.25450923032294659</v>
      </c>
      <c r="I87" s="2">
        <f t="shared" si="151"/>
        <v>0.26104118220733014</v>
      </c>
      <c r="J87" s="2">
        <f t="shared" si="151"/>
        <v>0.26774077593073764</v>
      </c>
      <c r="K87" s="2">
        <f t="shared" si="151"/>
        <v>0.27461231400284591</v>
      </c>
      <c r="L87" s="2">
        <f t="shared" si="151"/>
        <v>0.2816602093567776</v>
      </c>
      <c r="M87" s="2">
        <f t="shared" si="151"/>
        <v>0.28888898818310688</v>
      </c>
      <c r="N87" s="2">
        <f t="shared" si="151"/>
        <v>0.29630329283659973</v>
      </c>
      <c r="O87" s="2">
        <f t="shared" si="151"/>
        <v>0.30390788481755543</v>
      </c>
      <c r="P87" s="2">
        <f t="shared" si="151"/>
        <v>0.31170764782966365</v>
      </c>
      <c r="Q87" s="2">
        <f t="shared" si="151"/>
        <v>0.31970759091634143</v>
      </c>
      <c r="R87" s="2">
        <f t="shared" si="151"/>
        <v>0.32791285167756362</v>
      </c>
      <c r="S87" s="2">
        <f t="shared" si="151"/>
        <v>0.33632869956925299</v>
      </c>
      <c r="T87" s="2">
        <f t="shared" si="151"/>
        <v>0.34496053928734899</v>
      </c>
      <c r="U87" s="2">
        <f t="shared" si="151"/>
        <v>0.35381391423872816</v>
      </c>
      <c r="V87" s="2">
        <f t="shared" si="151"/>
        <v>0.36289451010120527</v>
      </c>
      <c r="W87" s="2">
        <f t="shared" si="151"/>
        <v>0.37220815847490163</v>
      </c>
      <c r="X87" s="2">
        <f t="shared" si="151"/>
        <v>0.38176084062732518</v>
      </c>
      <c r="Y87" s="2">
        <f t="shared" si="151"/>
        <v>0.391558691334568</v>
      </c>
      <c r="Z87" s="2">
        <f t="shared" si="151"/>
        <v>0.40160800282108738</v>
      </c>
      <c r="AA87" s="2">
        <f t="shared" si="151"/>
        <v>0.41191522880060111</v>
      </c>
      <c r="AB87" s="2">
        <f t="shared" si="151"/>
        <v>0.42248698862069195</v>
      </c>
      <c r="AC87" s="2">
        <f t="shared" si="151"/>
        <v>0.43333007151378283</v>
      </c>
      <c r="AD87" s="2">
        <f t="shared" si="151"/>
        <v>0.4444514409572129</v>
      </c>
      <c r="AE87" s="2">
        <f t="shared" si="151"/>
        <v>0.45585823914521445</v>
      </c>
      <c r="AF87" s="2">
        <f t="shared" si="151"/>
        <v>0.46755779157566274</v>
      </c>
      <c r="AG87" s="2">
        <f t="shared" si="151"/>
        <v>0.47955761175454414</v>
      </c>
      <c r="AH87" s="2">
        <f t="shared" ref="AH87:BJ87" si="152">IF(AH$80&gt;T,"",IF($A87&gt;AH$81,"",IF(T=AH$80,1,EXP(-AH19*h)*((AI87+AI88)/2+cc*h))))</f>
        <v>0.49186540602116391</v>
      </c>
      <c r="AI87" s="2">
        <f t="shared" si="152"/>
        <v>0.5044890784971926</v>
      </c>
      <c r="AJ87" s="2">
        <f t="shared" si="152"/>
        <v>0.51743673616272901</v>
      </c>
      <c r="AK87" s="2">
        <f t="shared" si="152"/>
        <v>0.53071669406263977</v>
      </c>
      <c r="AL87" s="2">
        <f t="shared" si="152"/>
        <v>0.54433748064651921</v>
      </c>
      <c r="AM87" s="2">
        <f t="shared" si="152"/>
        <v>0.5583078432456986</v>
      </c>
      <c r="AN87" s="2">
        <f t="shared" si="152"/>
        <v>0.57263675369082234</v>
      </c>
      <c r="AO87" s="2">
        <f t="shared" si="152"/>
        <v>0.58733341407359829</v>
      </c>
      <c r="AP87" s="2">
        <f t="shared" si="152"/>
        <v>0.60240726265642353</v>
      </c>
      <c r="AQ87" s="2">
        <f t="shared" si="152"/>
        <v>0.61786797993367903</v>
      </c>
      <c r="AR87" s="2">
        <f t="shared" si="152"/>
        <v>0.63372549484858776</v>
      </c>
      <c r="AS87" s="2">
        <f t="shared" si="152"/>
        <v>0.64998999116962719</v>
      </c>
      <c r="AT87" s="2">
        <f t="shared" si="152"/>
        <v>0.66667191403059189</v>
      </c>
      <c r="AU87" s="2">
        <f t="shared" si="152"/>
        <v>0.68378197663850626</v>
      </c>
      <c r="AV87" s="2">
        <f t="shared" si="152"/>
        <v>0.70133116715369492</v>
      </c>
      <c r="AW87" s="2">
        <f t="shared" si="152"/>
        <v>0.71933075574642924</v>
      </c>
      <c r="AX87" s="2">
        <f t="shared" si="152"/>
        <v>0.73779230183468247</v>
      </c>
      <c r="AY87" s="2">
        <f t="shared" si="152"/>
        <v>0.75672766150764059</v>
      </c>
      <c r="AZ87" s="2">
        <f t="shared" si="152"/>
        <v>0.77614899513973701</v>
      </c>
      <c r="BA87" s="2">
        <f t="shared" si="152"/>
        <v>0.79606877520010022</v>
      </c>
      <c r="BB87" s="2">
        <f t="shared" si="152"/>
        <v>0.8164997942624308</v>
      </c>
      <c r="BC87" s="2">
        <f t="shared" si="152"/>
        <v>0.8374551732204506</v>
      </c>
      <c r="BD87" s="2">
        <f t="shared" si="152"/>
        <v>0.8589483697142003</v>
      </c>
      <c r="BE87" s="2">
        <f t="shared" si="152"/>
        <v>0.88099318677259764</v>
      </c>
      <c r="BF87" s="2">
        <f t="shared" si="152"/>
        <v>0.90360378167780531</v>
      </c>
      <c r="BG87" s="2">
        <f t="shared" si="152"/>
        <v>0.92679467505710256</v>
      </c>
      <c r="BH87" s="2">
        <f t="shared" si="152"/>
        <v>0.9505807602080979</v>
      </c>
      <c r="BI87" s="2">
        <f t="shared" si="152"/>
        <v>0.97497731266327314</v>
      </c>
      <c r="BJ87" s="2">
        <f t="shared" si="152"/>
        <v>1</v>
      </c>
    </row>
    <row r="88" spans="1:62" outlineLevel="1">
      <c r="A88" s="11">
        <f t="shared" si="142"/>
        <v>6</v>
      </c>
      <c r="B88" s="2" t="str">
        <f t="shared" ref="B88:AG88" si="153">IF(B$80&gt;T,"",IF($A88&gt;B$81,"",IF(T=B$80,1,EXP(-B20*h)*((C88+C89)/2+cc*h))))</f>
        <v/>
      </c>
      <c r="C88" s="2" t="str">
        <f t="shared" si="153"/>
        <v/>
      </c>
      <c r="D88" s="2" t="str">
        <f t="shared" si="153"/>
        <v/>
      </c>
      <c r="E88" s="2" t="str">
        <f t="shared" si="153"/>
        <v/>
      </c>
      <c r="F88" s="2" t="str">
        <f t="shared" si="153"/>
        <v/>
      </c>
      <c r="G88" s="2" t="str">
        <f t="shared" si="153"/>
        <v/>
      </c>
      <c r="H88" s="2">
        <f t="shared" si="153"/>
        <v>0.25450923032294659</v>
      </c>
      <c r="I88" s="2">
        <f t="shared" si="153"/>
        <v>0.26104118220733014</v>
      </c>
      <c r="J88" s="2">
        <f t="shared" si="153"/>
        <v>0.26774077593073764</v>
      </c>
      <c r="K88" s="2">
        <f t="shared" si="153"/>
        <v>0.27461231400284591</v>
      </c>
      <c r="L88" s="2">
        <f t="shared" si="153"/>
        <v>0.2816602093567776</v>
      </c>
      <c r="M88" s="2">
        <f t="shared" si="153"/>
        <v>0.28888898818310688</v>
      </c>
      <c r="N88" s="2">
        <f t="shared" si="153"/>
        <v>0.29630329283659973</v>
      </c>
      <c r="O88" s="2">
        <f t="shared" si="153"/>
        <v>0.30390788481755543</v>
      </c>
      <c r="P88" s="2">
        <f t="shared" si="153"/>
        <v>0.31170764782966365</v>
      </c>
      <c r="Q88" s="2">
        <f t="shared" si="153"/>
        <v>0.31970759091634143</v>
      </c>
      <c r="R88" s="2">
        <f t="shared" si="153"/>
        <v>0.32791285167756362</v>
      </c>
      <c r="S88" s="2">
        <f t="shared" si="153"/>
        <v>0.33632869956925299</v>
      </c>
      <c r="T88" s="2">
        <f t="shared" si="153"/>
        <v>0.34496053928734899</v>
      </c>
      <c r="U88" s="2">
        <f t="shared" si="153"/>
        <v>0.35381391423872816</v>
      </c>
      <c r="V88" s="2">
        <f t="shared" si="153"/>
        <v>0.36289451010120527</v>
      </c>
      <c r="W88" s="2">
        <f t="shared" si="153"/>
        <v>0.37220815847490163</v>
      </c>
      <c r="X88" s="2">
        <f t="shared" si="153"/>
        <v>0.38176084062732518</v>
      </c>
      <c r="Y88" s="2">
        <f t="shared" si="153"/>
        <v>0.391558691334568</v>
      </c>
      <c r="Z88" s="2">
        <f t="shared" si="153"/>
        <v>0.40160800282108738</v>
      </c>
      <c r="AA88" s="2">
        <f t="shared" si="153"/>
        <v>0.41191522880060111</v>
      </c>
      <c r="AB88" s="2">
        <f t="shared" si="153"/>
        <v>0.42248698862069195</v>
      </c>
      <c r="AC88" s="2">
        <f t="shared" si="153"/>
        <v>0.43333007151378283</v>
      </c>
      <c r="AD88" s="2">
        <f t="shared" si="153"/>
        <v>0.4444514409572129</v>
      </c>
      <c r="AE88" s="2">
        <f t="shared" si="153"/>
        <v>0.45585823914521445</v>
      </c>
      <c r="AF88" s="2">
        <f t="shared" si="153"/>
        <v>0.46755779157566274</v>
      </c>
      <c r="AG88" s="2">
        <f t="shared" si="153"/>
        <v>0.47955761175454414</v>
      </c>
      <c r="AH88" s="2">
        <f t="shared" ref="AH88:BJ88" si="154">IF(AH$80&gt;T,"",IF($A88&gt;AH$81,"",IF(T=AH$80,1,EXP(-AH20*h)*((AI88+AI89)/2+cc*h))))</f>
        <v>0.49186540602116391</v>
      </c>
      <c r="AI88" s="2">
        <f t="shared" si="154"/>
        <v>0.5044890784971926</v>
      </c>
      <c r="AJ88" s="2">
        <f t="shared" si="154"/>
        <v>0.51743673616272901</v>
      </c>
      <c r="AK88" s="2">
        <f t="shared" si="154"/>
        <v>0.53071669406263977</v>
      </c>
      <c r="AL88" s="2">
        <f t="shared" si="154"/>
        <v>0.54433748064651921</v>
      </c>
      <c r="AM88" s="2">
        <f t="shared" si="154"/>
        <v>0.5583078432456986</v>
      </c>
      <c r="AN88" s="2">
        <f t="shared" si="154"/>
        <v>0.57263675369082234</v>
      </c>
      <c r="AO88" s="2">
        <f t="shared" si="154"/>
        <v>0.58733341407359829</v>
      </c>
      <c r="AP88" s="2">
        <f t="shared" si="154"/>
        <v>0.60240726265642353</v>
      </c>
      <c r="AQ88" s="2">
        <f t="shared" si="154"/>
        <v>0.61786797993367903</v>
      </c>
      <c r="AR88" s="2">
        <f t="shared" si="154"/>
        <v>0.63372549484858776</v>
      </c>
      <c r="AS88" s="2">
        <f t="shared" si="154"/>
        <v>0.64998999116962719</v>
      </c>
      <c r="AT88" s="2">
        <f t="shared" si="154"/>
        <v>0.66667191403059189</v>
      </c>
      <c r="AU88" s="2">
        <f t="shared" si="154"/>
        <v>0.68378197663850626</v>
      </c>
      <c r="AV88" s="2">
        <f t="shared" si="154"/>
        <v>0.70133116715369492</v>
      </c>
      <c r="AW88" s="2">
        <f t="shared" si="154"/>
        <v>0.71933075574642924</v>
      </c>
      <c r="AX88" s="2">
        <f t="shared" si="154"/>
        <v>0.73779230183468247</v>
      </c>
      <c r="AY88" s="2">
        <f t="shared" si="154"/>
        <v>0.75672766150764059</v>
      </c>
      <c r="AZ88" s="2">
        <f t="shared" si="154"/>
        <v>0.77614899513973701</v>
      </c>
      <c r="BA88" s="2">
        <f t="shared" si="154"/>
        <v>0.79606877520010022</v>
      </c>
      <c r="BB88" s="2">
        <f t="shared" si="154"/>
        <v>0.8164997942624308</v>
      </c>
      <c r="BC88" s="2">
        <f t="shared" si="154"/>
        <v>0.8374551732204506</v>
      </c>
      <c r="BD88" s="2">
        <f t="shared" si="154"/>
        <v>0.8589483697142003</v>
      </c>
      <c r="BE88" s="2">
        <f t="shared" si="154"/>
        <v>0.88099318677259764</v>
      </c>
      <c r="BF88" s="2">
        <f t="shared" si="154"/>
        <v>0.90360378167780531</v>
      </c>
      <c r="BG88" s="2">
        <f t="shared" si="154"/>
        <v>0.92679467505710256</v>
      </c>
      <c r="BH88" s="2">
        <f t="shared" si="154"/>
        <v>0.9505807602080979</v>
      </c>
      <c r="BI88" s="2">
        <f t="shared" si="154"/>
        <v>0.97497731266327314</v>
      </c>
      <c r="BJ88" s="2">
        <f t="shared" si="154"/>
        <v>1</v>
      </c>
    </row>
    <row r="89" spans="1:62" outlineLevel="1">
      <c r="A89" s="11">
        <f t="shared" si="142"/>
        <v>7</v>
      </c>
      <c r="B89" s="2" t="str">
        <f t="shared" ref="B89:AG89" si="155">IF(B$80&gt;T,"",IF($A89&gt;B$81,"",IF(T=B$80,1,EXP(-B21*h)*((C89+C90)/2+cc*h))))</f>
        <v/>
      </c>
      <c r="C89" s="2" t="str">
        <f t="shared" si="155"/>
        <v/>
      </c>
      <c r="D89" s="2" t="str">
        <f t="shared" si="155"/>
        <v/>
      </c>
      <c r="E89" s="2" t="str">
        <f t="shared" si="155"/>
        <v/>
      </c>
      <c r="F89" s="2" t="str">
        <f t="shared" si="155"/>
        <v/>
      </c>
      <c r="G89" s="2" t="str">
        <f t="shared" si="155"/>
        <v/>
      </c>
      <c r="H89" s="2" t="str">
        <f t="shared" si="155"/>
        <v/>
      </c>
      <c r="I89" s="2">
        <f t="shared" si="155"/>
        <v>0.26104118220733014</v>
      </c>
      <c r="J89" s="2">
        <f t="shared" si="155"/>
        <v>0.26774077593073764</v>
      </c>
      <c r="K89" s="2">
        <f t="shared" si="155"/>
        <v>0.27461231400284591</v>
      </c>
      <c r="L89" s="2">
        <f t="shared" si="155"/>
        <v>0.2816602093567776</v>
      </c>
      <c r="M89" s="2">
        <f t="shared" si="155"/>
        <v>0.28888898818310688</v>
      </c>
      <c r="N89" s="2">
        <f t="shared" si="155"/>
        <v>0.29630329283659973</v>
      </c>
      <c r="O89" s="2">
        <f t="shared" si="155"/>
        <v>0.30390788481755543</v>
      </c>
      <c r="P89" s="2">
        <f t="shared" si="155"/>
        <v>0.31170764782966365</v>
      </c>
      <c r="Q89" s="2">
        <f t="shared" si="155"/>
        <v>0.31970759091634143</v>
      </c>
      <c r="R89" s="2">
        <f t="shared" si="155"/>
        <v>0.32791285167756362</v>
      </c>
      <c r="S89" s="2">
        <f t="shared" si="155"/>
        <v>0.33632869956925299</v>
      </c>
      <c r="T89" s="2">
        <f t="shared" si="155"/>
        <v>0.34496053928734899</v>
      </c>
      <c r="U89" s="2">
        <f t="shared" si="155"/>
        <v>0.35381391423872816</v>
      </c>
      <c r="V89" s="2">
        <f t="shared" si="155"/>
        <v>0.36289451010120527</v>
      </c>
      <c r="W89" s="2">
        <f t="shared" si="155"/>
        <v>0.37220815847490163</v>
      </c>
      <c r="X89" s="2">
        <f t="shared" si="155"/>
        <v>0.38176084062732518</v>
      </c>
      <c r="Y89" s="2">
        <f t="shared" si="155"/>
        <v>0.391558691334568</v>
      </c>
      <c r="Z89" s="2">
        <f t="shared" si="155"/>
        <v>0.40160800282108738</v>
      </c>
      <c r="AA89" s="2">
        <f t="shared" si="155"/>
        <v>0.41191522880060111</v>
      </c>
      <c r="AB89" s="2">
        <f t="shared" si="155"/>
        <v>0.42248698862069195</v>
      </c>
      <c r="AC89" s="2">
        <f t="shared" si="155"/>
        <v>0.43333007151378283</v>
      </c>
      <c r="AD89" s="2">
        <f t="shared" si="155"/>
        <v>0.4444514409572129</v>
      </c>
      <c r="AE89" s="2">
        <f t="shared" si="155"/>
        <v>0.45585823914521445</v>
      </c>
      <c r="AF89" s="2">
        <f t="shared" si="155"/>
        <v>0.46755779157566274</v>
      </c>
      <c r="AG89" s="2">
        <f t="shared" si="155"/>
        <v>0.47955761175454414</v>
      </c>
      <c r="AH89" s="2">
        <f t="shared" ref="AH89:BJ89" si="156">IF(AH$80&gt;T,"",IF($A89&gt;AH$81,"",IF(T=AH$80,1,EXP(-AH21*h)*((AI89+AI90)/2+cc*h))))</f>
        <v>0.49186540602116391</v>
      </c>
      <c r="AI89" s="2">
        <f t="shared" si="156"/>
        <v>0.5044890784971926</v>
      </c>
      <c r="AJ89" s="2">
        <f t="shared" si="156"/>
        <v>0.51743673616272901</v>
      </c>
      <c r="AK89" s="2">
        <f t="shared" si="156"/>
        <v>0.53071669406263977</v>
      </c>
      <c r="AL89" s="2">
        <f t="shared" si="156"/>
        <v>0.54433748064651921</v>
      </c>
      <c r="AM89" s="2">
        <f t="shared" si="156"/>
        <v>0.5583078432456986</v>
      </c>
      <c r="AN89" s="2">
        <f t="shared" si="156"/>
        <v>0.57263675369082234</v>
      </c>
      <c r="AO89" s="2">
        <f t="shared" si="156"/>
        <v>0.58733341407359829</v>
      </c>
      <c r="AP89" s="2">
        <f t="shared" si="156"/>
        <v>0.60240726265642353</v>
      </c>
      <c r="AQ89" s="2">
        <f t="shared" si="156"/>
        <v>0.61786797993367903</v>
      </c>
      <c r="AR89" s="2">
        <f t="shared" si="156"/>
        <v>0.63372549484858776</v>
      </c>
      <c r="AS89" s="2">
        <f t="shared" si="156"/>
        <v>0.64998999116962719</v>
      </c>
      <c r="AT89" s="2">
        <f t="shared" si="156"/>
        <v>0.66667191403059189</v>
      </c>
      <c r="AU89" s="2">
        <f t="shared" si="156"/>
        <v>0.68378197663850626</v>
      </c>
      <c r="AV89" s="2">
        <f t="shared" si="156"/>
        <v>0.70133116715369492</v>
      </c>
      <c r="AW89" s="2">
        <f t="shared" si="156"/>
        <v>0.71933075574642924</v>
      </c>
      <c r="AX89" s="2">
        <f t="shared" si="156"/>
        <v>0.73779230183468247</v>
      </c>
      <c r="AY89" s="2">
        <f t="shared" si="156"/>
        <v>0.75672766150764059</v>
      </c>
      <c r="AZ89" s="2">
        <f t="shared" si="156"/>
        <v>0.77614899513973701</v>
      </c>
      <c r="BA89" s="2">
        <f t="shared" si="156"/>
        <v>0.79606877520010022</v>
      </c>
      <c r="BB89" s="2">
        <f t="shared" si="156"/>
        <v>0.8164997942624308</v>
      </c>
      <c r="BC89" s="2">
        <f t="shared" si="156"/>
        <v>0.8374551732204506</v>
      </c>
      <c r="BD89" s="2">
        <f t="shared" si="156"/>
        <v>0.8589483697142003</v>
      </c>
      <c r="BE89" s="2">
        <f t="shared" si="156"/>
        <v>0.88099318677259764</v>
      </c>
      <c r="BF89" s="2">
        <f t="shared" si="156"/>
        <v>0.90360378167780531</v>
      </c>
      <c r="BG89" s="2">
        <f t="shared" si="156"/>
        <v>0.92679467505710256</v>
      </c>
      <c r="BH89" s="2">
        <f t="shared" si="156"/>
        <v>0.9505807602080979</v>
      </c>
      <c r="BI89" s="2">
        <f t="shared" si="156"/>
        <v>0.97497731266327314</v>
      </c>
      <c r="BJ89" s="2">
        <f t="shared" si="156"/>
        <v>1</v>
      </c>
    </row>
    <row r="90" spans="1:62" outlineLevel="1">
      <c r="A90" s="11">
        <f t="shared" si="142"/>
        <v>8</v>
      </c>
      <c r="B90" s="2" t="str">
        <f t="shared" ref="B90:AG90" si="157">IF(B$80&gt;T,"",IF($A90&gt;B$81,"",IF(T=B$80,1,EXP(-B22*h)*((C90+C91)/2+cc*h))))</f>
        <v/>
      </c>
      <c r="C90" s="2" t="str">
        <f t="shared" si="157"/>
        <v/>
      </c>
      <c r="D90" s="2" t="str">
        <f t="shared" si="157"/>
        <v/>
      </c>
      <c r="E90" s="2" t="str">
        <f t="shared" si="157"/>
        <v/>
      </c>
      <c r="F90" s="2" t="str">
        <f t="shared" si="157"/>
        <v/>
      </c>
      <c r="G90" s="2" t="str">
        <f t="shared" si="157"/>
        <v/>
      </c>
      <c r="H90" s="2" t="str">
        <f t="shared" si="157"/>
        <v/>
      </c>
      <c r="I90" s="2" t="str">
        <f t="shared" si="157"/>
        <v/>
      </c>
      <c r="J90" s="2">
        <f t="shared" si="157"/>
        <v>0.26774077593073764</v>
      </c>
      <c r="K90" s="2">
        <f t="shared" si="157"/>
        <v>0.27461231400284591</v>
      </c>
      <c r="L90" s="2">
        <f t="shared" si="157"/>
        <v>0.2816602093567776</v>
      </c>
      <c r="M90" s="2">
        <f t="shared" si="157"/>
        <v>0.28888898818310688</v>
      </c>
      <c r="N90" s="2">
        <f t="shared" si="157"/>
        <v>0.29630329283659973</v>
      </c>
      <c r="O90" s="2">
        <f t="shared" si="157"/>
        <v>0.30390788481755543</v>
      </c>
      <c r="P90" s="2">
        <f t="shared" si="157"/>
        <v>0.31170764782966365</v>
      </c>
      <c r="Q90" s="2">
        <f t="shared" si="157"/>
        <v>0.31970759091634143</v>
      </c>
      <c r="R90" s="2">
        <f t="shared" si="157"/>
        <v>0.32791285167756362</v>
      </c>
      <c r="S90" s="2">
        <f t="shared" si="157"/>
        <v>0.33632869956925299</v>
      </c>
      <c r="T90" s="2">
        <f t="shared" si="157"/>
        <v>0.34496053928734899</v>
      </c>
      <c r="U90" s="2">
        <f t="shared" si="157"/>
        <v>0.35381391423872816</v>
      </c>
      <c r="V90" s="2">
        <f t="shared" si="157"/>
        <v>0.36289451010120527</v>
      </c>
      <c r="W90" s="2">
        <f t="shared" si="157"/>
        <v>0.37220815847490163</v>
      </c>
      <c r="X90" s="2">
        <f t="shared" si="157"/>
        <v>0.38176084062732518</v>
      </c>
      <c r="Y90" s="2">
        <f t="shared" si="157"/>
        <v>0.391558691334568</v>
      </c>
      <c r="Z90" s="2">
        <f t="shared" si="157"/>
        <v>0.40160800282108738</v>
      </c>
      <c r="AA90" s="2">
        <f t="shared" si="157"/>
        <v>0.41191522880060111</v>
      </c>
      <c r="AB90" s="2">
        <f t="shared" si="157"/>
        <v>0.42248698862069195</v>
      </c>
      <c r="AC90" s="2">
        <f t="shared" si="157"/>
        <v>0.43333007151378283</v>
      </c>
      <c r="AD90" s="2">
        <f t="shared" si="157"/>
        <v>0.4444514409572129</v>
      </c>
      <c r="AE90" s="2">
        <f t="shared" si="157"/>
        <v>0.45585823914521445</v>
      </c>
      <c r="AF90" s="2">
        <f t="shared" si="157"/>
        <v>0.46755779157566274</v>
      </c>
      <c r="AG90" s="2">
        <f t="shared" si="157"/>
        <v>0.47955761175454414</v>
      </c>
      <c r="AH90" s="2">
        <f t="shared" ref="AH90:BJ90" si="158">IF(AH$80&gt;T,"",IF($A90&gt;AH$81,"",IF(T=AH$80,1,EXP(-AH22*h)*((AI90+AI91)/2+cc*h))))</f>
        <v>0.49186540602116391</v>
      </c>
      <c r="AI90" s="2">
        <f t="shared" si="158"/>
        <v>0.5044890784971926</v>
      </c>
      <c r="AJ90" s="2">
        <f t="shared" si="158"/>
        <v>0.51743673616272901</v>
      </c>
      <c r="AK90" s="2">
        <f t="shared" si="158"/>
        <v>0.53071669406263977</v>
      </c>
      <c r="AL90" s="2">
        <f t="shared" si="158"/>
        <v>0.54433748064651921</v>
      </c>
      <c r="AM90" s="2">
        <f t="shared" si="158"/>
        <v>0.5583078432456986</v>
      </c>
      <c r="AN90" s="2">
        <f t="shared" si="158"/>
        <v>0.57263675369082234</v>
      </c>
      <c r="AO90" s="2">
        <f t="shared" si="158"/>
        <v>0.58733341407359829</v>
      </c>
      <c r="AP90" s="2">
        <f t="shared" si="158"/>
        <v>0.60240726265642353</v>
      </c>
      <c r="AQ90" s="2">
        <f t="shared" si="158"/>
        <v>0.61786797993367903</v>
      </c>
      <c r="AR90" s="2">
        <f t="shared" si="158"/>
        <v>0.63372549484858776</v>
      </c>
      <c r="AS90" s="2">
        <f t="shared" si="158"/>
        <v>0.64998999116962719</v>
      </c>
      <c r="AT90" s="2">
        <f t="shared" si="158"/>
        <v>0.66667191403059189</v>
      </c>
      <c r="AU90" s="2">
        <f t="shared" si="158"/>
        <v>0.68378197663850626</v>
      </c>
      <c r="AV90" s="2">
        <f t="shared" si="158"/>
        <v>0.70133116715369492</v>
      </c>
      <c r="AW90" s="2">
        <f t="shared" si="158"/>
        <v>0.71933075574642924</v>
      </c>
      <c r="AX90" s="2">
        <f t="shared" si="158"/>
        <v>0.73779230183468247</v>
      </c>
      <c r="AY90" s="2">
        <f t="shared" si="158"/>
        <v>0.75672766150764059</v>
      </c>
      <c r="AZ90" s="2">
        <f t="shared" si="158"/>
        <v>0.77614899513973701</v>
      </c>
      <c r="BA90" s="2">
        <f t="shared" si="158"/>
        <v>0.79606877520010022</v>
      </c>
      <c r="BB90" s="2">
        <f t="shared" si="158"/>
        <v>0.8164997942624308</v>
      </c>
      <c r="BC90" s="2">
        <f t="shared" si="158"/>
        <v>0.8374551732204506</v>
      </c>
      <c r="BD90" s="2">
        <f t="shared" si="158"/>
        <v>0.8589483697142003</v>
      </c>
      <c r="BE90" s="2">
        <f t="shared" si="158"/>
        <v>0.88099318677259764</v>
      </c>
      <c r="BF90" s="2">
        <f t="shared" si="158"/>
        <v>0.90360378167780531</v>
      </c>
      <c r="BG90" s="2">
        <f t="shared" si="158"/>
        <v>0.92679467505710256</v>
      </c>
      <c r="BH90" s="2">
        <f t="shared" si="158"/>
        <v>0.9505807602080979</v>
      </c>
      <c r="BI90" s="2">
        <f t="shared" si="158"/>
        <v>0.97497731266327314</v>
      </c>
      <c r="BJ90" s="2">
        <f t="shared" si="158"/>
        <v>1</v>
      </c>
    </row>
    <row r="91" spans="1:62" outlineLevel="1">
      <c r="A91" s="11">
        <f t="shared" si="142"/>
        <v>9</v>
      </c>
      <c r="B91" s="2" t="str">
        <f t="shared" ref="B91:AG91" si="159">IF(B$80&gt;T,"",IF($A91&gt;B$81,"",IF(T=B$80,1,EXP(-B23*h)*((C91+C92)/2+cc*h))))</f>
        <v/>
      </c>
      <c r="C91" s="2" t="str">
        <f t="shared" si="159"/>
        <v/>
      </c>
      <c r="D91" s="2" t="str">
        <f t="shared" si="159"/>
        <v/>
      </c>
      <c r="E91" s="2" t="str">
        <f t="shared" si="159"/>
        <v/>
      </c>
      <c r="F91" s="2" t="str">
        <f t="shared" si="159"/>
        <v/>
      </c>
      <c r="G91" s="2" t="str">
        <f t="shared" si="159"/>
        <v/>
      </c>
      <c r="H91" s="2" t="str">
        <f t="shared" si="159"/>
        <v/>
      </c>
      <c r="I91" s="2" t="str">
        <f t="shared" si="159"/>
        <v/>
      </c>
      <c r="J91" s="2" t="str">
        <f t="shared" si="159"/>
        <v/>
      </c>
      <c r="K91" s="2">
        <f t="shared" si="159"/>
        <v>0.27461231400284591</v>
      </c>
      <c r="L91" s="2">
        <f t="shared" si="159"/>
        <v>0.2816602093567776</v>
      </c>
      <c r="M91" s="2">
        <f t="shared" si="159"/>
        <v>0.28888898818310688</v>
      </c>
      <c r="N91" s="2">
        <f t="shared" si="159"/>
        <v>0.29630329283659973</v>
      </c>
      <c r="O91" s="2">
        <f t="shared" si="159"/>
        <v>0.30390788481755543</v>
      </c>
      <c r="P91" s="2">
        <f t="shared" si="159"/>
        <v>0.31170764782966365</v>
      </c>
      <c r="Q91" s="2">
        <f t="shared" si="159"/>
        <v>0.31970759091634143</v>
      </c>
      <c r="R91" s="2">
        <f t="shared" si="159"/>
        <v>0.32791285167756362</v>
      </c>
      <c r="S91" s="2">
        <f t="shared" si="159"/>
        <v>0.33632869956925299</v>
      </c>
      <c r="T91" s="2">
        <f t="shared" si="159"/>
        <v>0.34496053928734899</v>
      </c>
      <c r="U91" s="2">
        <f t="shared" si="159"/>
        <v>0.35381391423872816</v>
      </c>
      <c r="V91" s="2">
        <f t="shared" si="159"/>
        <v>0.36289451010120527</v>
      </c>
      <c r="W91" s="2">
        <f t="shared" si="159"/>
        <v>0.37220815847490163</v>
      </c>
      <c r="X91" s="2">
        <f t="shared" si="159"/>
        <v>0.38176084062732518</v>
      </c>
      <c r="Y91" s="2">
        <f t="shared" si="159"/>
        <v>0.391558691334568</v>
      </c>
      <c r="Z91" s="2">
        <f t="shared" si="159"/>
        <v>0.40160800282108738</v>
      </c>
      <c r="AA91" s="2">
        <f t="shared" si="159"/>
        <v>0.41191522880060111</v>
      </c>
      <c r="AB91" s="2">
        <f t="shared" si="159"/>
        <v>0.42248698862069195</v>
      </c>
      <c r="AC91" s="2">
        <f t="shared" si="159"/>
        <v>0.43333007151378283</v>
      </c>
      <c r="AD91" s="2">
        <f t="shared" si="159"/>
        <v>0.4444514409572129</v>
      </c>
      <c r="AE91" s="2">
        <f t="shared" si="159"/>
        <v>0.45585823914521445</v>
      </c>
      <c r="AF91" s="2">
        <f t="shared" si="159"/>
        <v>0.46755779157566274</v>
      </c>
      <c r="AG91" s="2">
        <f t="shared" si="159"/>
        <v>0.47955761175454414</v>
      </c>
      <c r="AH91" s="2">
        <f t="shared" ref="AH91:BJ91" si="160">IF(AH$80&gt;T,"",IF($A91&gt;AH$81,"",IF(T=AH$80,1,EXP(-AH23*h)*((AI91+AI92)/2+cc*h))))</f>
        <v>0.49186540602116391</v>
      </c>
      <c r="AI91" s="2">
        <f t="shared" si="160"/>
        <v>0.5044890784971926</v>
      </c>
      <c r="AJ91" s="2">
        <f t="shared" si="160"/>
        <v>0.51743673616272901</v>
      </c>
      <c r="AK91" s="2">
        <f t="shared" si="160"/>
        <v>0.53071669406263977</v>
      </c>
      <c r="AL91" s="2">
        <f t="shared" si="160"/>
        <v>0.54433748064651921</v>
      </c>
      <c r="AM91" s="2">
        <f t="shared" si="160"/>
        <v>0.5583078432456986</v>
      </c>
      <c r="AN91" s="2">
        <f t="shared" si="160"/>
        <v>0.57263675369082234</v>
      </c>
      <c r="AO91" s="2">
        <f t="shared" si="160"/>
        <v>0.58733341407359829</v>
      </c>
      <c r="AP91" s="2">
        <f t="shared" si="160"/>
        <v>0.60240726265642353</v>
      </c>
      <c r="AQ91" s="2">
        <f t="shared" si="160"/>
        <v>0.61786797993367903</v>
      </c>
      <c r="AR91" s="2">
        <f t="shared" si="160"/>
        <v>0.63372549484858776</v>
      </c>
      <c r="AS91" s="2">
        <f t="shared" si="160"/>
        <v>0.64998999116962719</v>
      </c>
      <c r="AT91" s="2">
        <f t="shared" si="160"/>
        <v>0.66667191403059189</v>
      </c>
      <c r="AU91" s="2">
        <f t="shared" si="160"/>
        <v>0.68378197663850626</v>
      </c>
      <c r="AV91" s="2">
        <f t="shared" si="160"/>
        <v>0.70133116715369492</v>
      </c>
      <c r="AW91" s="2">
        <f t="shared" si="160"/>
        <v>0.71933075574642924</v>
      </c>
      <c r="AX91" s="2">
        <f t="shared" si="160"/>
        <v>0.73779230183468247</v>
      </c>
      <c r="AY91" s="2">
        <f t="shared" si="160"/>
        <v>0.75672766150764059</v>
      </c>
      <c r="AZ91" s="2">
        <f t="shared" si="160"/>
        <v>0.77614899513973701</v>
      </c>
      <c r="BA91" s="2">
        <f t="shared" si="160"/>
        <v>0.79606877520010022</v>
      </c>
      <c r="BB91" s="2">
        <f t="shared" si="160"/>
        <v>0.8164997942624308</v>
      </c>
      <c r="BC91" s="2">
        <f t="shared" si="160"/>
        <v>0.8374551732204506</v>
      </c>
      <c r="BD91" s="2">
        <f t="shared" si="160"/>
        <v>0.8589483697142003</v>
      </c>
      <c r="BE91" s="2">
        <f t="shared" si="160"/>
        <v>0.88099318677259764</v>
      </c>
      <c r="BF91" s="2">
        <f t="shared" si="160"/>
        <v>0.90360378167780531</v>
      </c>
      <c r="BG91" s="2">
        <f t="shared" si="160"/>
        <v>0.92679467505710256</v>
      </c>
      <c r="BH91" s="2">
        <f t="shared" si="160"/>
        <v>0.9505807602080979</v>
      </c>
      <c r="BI91" s="2">
        <f t="shared" si="160"/>
        <v>0.97497731266327314</v>
      </c>
      <c r="BJ91" s="2">
        <f t="shared" si="160"/>
        <v>1</v>
      </c>
    </row>
    <row r="92" spans="1:62" outlineLevel="1">
      <c r="A92" s="11">
        <f t="shared" si="142"/>
        <v>10</v>
      </c>
      <c r="B92" s="2" t="str">
        <f t="shared" ref="B92:AG92" si="161">IF(B$80&gt;T,"",IF($A92&gt;B$81,"",IF(T=B$80,1,EXP(-B24*h)*((C92+C93)/2+cc*h))))</f>
        <v/>
      </c>
      <c r="C92" s="2" t="str">
        <f t="shared" si="161"/>
        <v/>
      </c>
      <c r="D92" s="2" t="str">
        <f t="shared" si="161"/>
        <v/>
      </c>
      <c r="E92" s="2" t="str">
        <f t="shared" si="161"/>
        <v/>
      </c>
      <c r="F92" s="2" t="str">
        <f t="shared" si="161"/>
        <v/>
      </c>
      <c r="G92" s="2" t="str">
        <f t="shared" si="161"/>
        <v/>
      </c>
      <c r="H92" s="2" t="str">
        <f t="shared" si="161"/>
        <v/>
      </c>
      <c r="I92" s="2" t="str">
        <f t="shared" si="161"/>
        <v/>
      </c>
      <c r="J92" s="2" t="str">
        <f t="shared" si="161"/>
        <v/>
      </c>
      <c r="K92" s="2" t="str">
        <f t="shared" si="161"/>
        <v/>
      </c>
      <c r="L92" s="2">
        <f t="shared" si="161"/>
        <v>0.2816602093567776</v>
      </c>
      <c r="M92" s="2">
        <f t="shared" si="161"/>
        <v>0.28888898818310688</v>
      </c>
      <c r="N92" s="2">
        <f t="shared" si="161"/>
        <v>0.29630329283659973</v>
      </c>
      <c r="O92" s="2">
        <f t="shared" si="161"/>
        <v>0.30390788481755543</v>
      </c>
      <c r="P92" s="2">
        <f t="shared" si="161"/>
        <v>0.31170764782966365</v>
      </c>
      <c r="Q92" s="2">
        <f t="shared" si="161"/>
        <v>0.31970759091634143</v>
      </c>
      <c r="R92" s="2">
        <f t="shared" si="161"/>
        <v>0.32791285167756362</v>
      </c>
      <c r="S92" s="2">
        <f t="shared" si="161"/>
        <v>0.33632869956925299</v>
      </c>
      <c r="T92" s="2">
        <f t="shared" si="161"/>
        <v>0.34496053928734899</v>
      </c>
      <c r="U92" s="2">
        <f t="shared" si="161"/>
        <v>0.35381391423872816</v>
      </c>
      <c r="V92" s="2">
        <f t="shared" si="161"/>
        <v>0.36289451010120527</v>
      </c>
      <c r="W92" s="2">
        <f t="shared" si="161"/>
        <v>0.37220815847490163</v>
      </c>
      <c r="X92" s="2">
        <f t="shared" si="161"/>
        <v>0.38176084062732518</v>
      </c>
      <c r="Y92" s="2">
        <f t="shared" si="161"/>
        <v>0.391558691334568</v>
      </c>
      <c r="Z92" s="2">
        <f t="shared" si="161"/>
        <v>0.40160800282108738</v>
      </c>
      <c r="AA92" s="2">
        <f t="shared" si="161"/>
        <v>0.41191522880060111</v>
      </c>
      <c r="AB92" s="2">
        <f t="shared" si="161"/>
        <v>0.42248698862069195</v>
      </c>
      <c r="AC92" s="2">
        <f t="shared" si="161"/>
        <v>0.43333007151378283</v>
      </c>
      <c r="AD92" s="2">
        <f t="shared" si="161"/>
        <v>0.4444514409572129</v>
      </c>
      <c r="AE92" s="2">
        <f t="shared" si="161"/>
        <v>0.45585823914521445</v>
      </c>
      <c r="AF92" s="2">
        <f t="shared" si="161"/>
        <v>0.46755779157566274</v>
      </c>
      <c r="AG92" s="2">
        <f t="shared" si="161"/>
        <v>0.47955761175454414</v>
      </c>
      <c r="AH92" s="2">
        <f t="shared" ref="AH92:BJ92" si="162">IF(AH$80&gt;T,"",IF($A92&gt;AH$81,"",IF(T=AH$80,1,EXP(-AH24*h)*((AI92+AI93)/2+cc*h))))</f>
        <v>0.49186540602116391</v>
      </c>
      <c r="AI92" s="2">
        <f t="shared" si="162"/>
        <v>0.5044890784971926</v>
      </c>
      <c r="AJ92" s="2">
        <f t="shared" si="162"/>
        <v>0.51743673616272901</v>
      </c>
      <c r="AK92" s="2">
        <f t="shared" si="162"/>
        <v>0.53071669406263977</v>
      </c>
      <c r="AL92" s="2">
        <f t="shared" si="162"/>
        <v>0.54433748064651921</v>
      </c>
      <c r="AM92" s="2">
        <f t="shared" si="162"/>
        <v>0.5583078432456986</v>
      </c>
      <c r="AN92" s="2">
        <f t="shared" si="162"/>
        <v>0.57263675369082234</v>
      </c>
      <c r="AO92" s="2">
        <f t="shared" si="162"/>
        <v>0.58733341407359829</v>
      </c>
      <c r="AP92" s="2">
        <f t="shared" si="162"/>
        <v>0.60240726265642353</v>
      </c>
      <c r="AQ92" s="2">
        <f t="shared" si="162"/>
        <v>0.61786797993367903</v>
      </c>
      <c r="AR92" s="2">
        <f t="shared" si="162"/>
        <v>0.63372549484858776</v>
      </c>
      <c r="AS92" s="2">
        <f t="shared" si="162"/>
        <v>0.64998999116962719</v>
      </c>
      <c r="AT92" s="2">
        <f t="shared" si="162"/>
        <v>0.66667191403059189</v>
      </c>
      <c r="AU92" s="2">
        <f t="shared" si="162"/>
        <v>0.68378197663850626</v>
      </c>
      <c r="AV92" s="2">
        <f t="shared" si="162"/>
        <v>0.70133116715369492</v>
      </c>
      <c r="AW92" s="2">
        <f t="shared" si="162"/>
        <v>0.71933075574642924</v>
      </c>
      <c r="AX92" s="2">
        <f t="shared" si="162"/>
        <v>0.73779230183468247</v>
      </c>
      <c r="AY92" s="2">
        <f t="shared" si="162"/>
        <v>0.75672766150764059</v>
      </c>
      <c r="AZ92" s="2">
        <f t="shared" si="162"/>
        <v>0.77614899513973701</v>
      </c>
      <c r="BA92" s="2">
        <f t="shared" si="162"/>
        <v>0.79606877520010022</v>
      </c>
      <c r="BB92" s="2">
        <f t="shared" si="162"/>
        <v>0.8164997942624308</v>
      </c>
      <c r="BC92" s="2">
        <f t="shared" si="162"/>
        <v>0.8374551732204506</v>
      </c>
      <c r="BD92" s="2">
        <f t="shared" si="162"/>
        <v>0.8589483697142003</v>
      </c>
      <c r="BE92" s="2">
        <f t="shared" si="162"/>
        <v>0.88099318677259764</v>
      </c>
      <c r="BF92" s="2">
        <f t="shared" si="162"/>
        <v>0.90360378167780531</v>
      </c>
      <c r="BG92" s="2">
        <f t="shared" si="162"/>
        <v>0.92679467505710256</v>
      </c>
      <c r="BH92" s="2">
        <f t="shared" si="162"/>
        <v>0.9505807602080979</v>
      </c>
      <c r="BI92" s="2">
        <f t="shared" si="162"/>
        <v>0.97497731266327314</v>
      </c>
      <c r="BJ92" s="2">
        <f t="shared" si="162"/>
        <v>1</v>
      </c>
    </row>
    <row r="93" spans="1:62" outlineLevel="1">
      <c r="A93" s="11">
        <f t="shared" si="142"/>
        <v>11</v>
      </c>
      <c r="B93" s="2" t="str">
        <f t="shared" ref="B93:AG93" si="163">IF(B$80&gt;T,"",IF($A93&gt;B$81,"",IF(T=B$80,1,EXP(-B25*h)*((C93+C94)/2+cc*h))))</f>
        <v/>
      </c>
      <c r="C93" s="2" t="str">
        <f t="shared" si="163"/>
        <v/>
      </c>
      <c r="D93" s="2" t="str">
        <f t="shared" si="163"/>
        <v/>
      </c>
      <c r="E93" s="2" t="str">
        <f t="shared" si="163"/>
        <v/>
      </c>
      <c r="F93" s="2" t="str">
        <f t="shared" si="163"/>
        <v/>
      </c>
      <c r="G93" s="2" t="str">
        <f t="shared" si="163"/>
        <v/>
      </c>
      <c r="H93" s="2" t="str">
        <f t="shared" si="163"/>
        <v/>
      </c>
      <c r="I93" s="2" t="str">
        <f t="shared" si="163"/>
        <v/>
      </c>
      <c r="J93" s="2" t="str">
        <f t="shared" si="163"/>
        <v/>
      </c>
      <c r="K93" s="2" t="str">
        <f t="shared" si="163"/>
        <v/>
      </c>
      <c r="L93" s="2" t="str">
        <f t="shared" si="163"/>
        <v/>
      </c>
      <c r="M93" s="2">
        <f t="shared" si="163"/>
        <v>0.28888898818310688</v>
      </c>
      <c r="N93" s="2">
        <f t="shared" si="163"/>
        <v>0.29630329283659973</v>
      </c>
      <c r="O93" s="2">
        <f t="shared" si="163"/>
        <v>0.30390788481755543</v>
      </c>
      <c r="P93" s="2">
        <f t="shared" si="163"/>
        <v>0.31170764782966365</v>
      </c>
      <c r="Q93" s="2">
        <f t="shared" si="163"/>
        <v>0.31970759091634143</v>
      </c>
      <c r="R93" s="2">
        <f t="shared" si="163"/>
        <v>0.32791285167756362</v>
      </c>
      <c r="S93" s="2">
        <f t="shared" si="163"/>
        <v>0.33632869956925299</v>
      </c>
      <c r="T93" s="2">
        <f t="shared" si="163"/>
        <v>0.34496053928734899</v>
      </c>
      <c r="U93" s="2">
        <f t="shared" si="163"/>
        <v>0.35381391423872816</v>
      </c>
      <c r="V93" s="2">
        <f t="shared" si="163"/>
        <v>0.36289451010120527</v>
      </c>
      <c r="W93" s="2">
        <f t="shared" si="163"/>
        <v>0.37220815847490163</v>
      </c>
      <c r="X93" s="2">
        <f t="shared" si="163"/>
        <v>0.38176084062732518</v>
      </c>
      <c r="Y93" s="2">
        <f t="shared" si="163"/>
        <v>0.391558691334568</v>
      </c>
      <c r="Z93" s="2">
        <f t="shared" si="163"/>
        <v>0.40160800282108738</v>
      </c>
      <c r="AA93" s="2">
        <f t="shared" si="163"/>
        <v>0.41191522880060111</v>
      </c>
      <c r="AB93" s="2">
        <f t="shared" si="163"/>
        <v>0.42248698862069195</v>
      </c>
      <c r="AC93" s="2">
        <f t="shared" si="163"/>
        <v>0.43333007151378283</v>
      </c>
      <c r="AD93" s="2">
        <f t="shared" si="163"/>
        <v>0.4444514409572129</v>
      </c>
      <c r="AE93" s="2">
        <f t="shared" si="163"/>
        <v>0.45585823914521445</v>
      </c>
      <c r="AF93" s="2">
        <f t="shared" si="163"/>
        <v>0.46755779157566274</v>
      </c>
      <c r="AG93" s="2">
        <f t="shared" si="163"/>
        <v>0.47955761175454414</v>
      </c>
      <c r="AH93" s="2">
        <f t="shared" ref="AH93:BJ93" si="164">IF(AH$80&gt;T,"",IF($A93&gt;AH$81,"",IF(T=AH$80,1,EXP(-AH25*h)*((AI93+AI94)/2+cc*h))))</f>
        <v>0.49186540602116391</v>
      </c>
      <c r="AI93" s="2">
        <f t="shared" si="164"/>
        <v>0.5044890784971926</v>
      </c>
      <c r="AJ93" s="2">
        <f t="shared" si="164"/>
        <v>0.51743673616272901</v>
      </c>
      <c r="AK93" s="2">
        <f t="shared" si="164"/>
        <v>0.53071669406263977</v>
      </c>
      <c r="AL93" s="2">
        <f t="shared" si="164"/>
        <v>0.54433748064651921</v>
      </c>
      <c r="AM93" s="2">
        <f t="shared" si="164"/>
        <v>0.5583078432456986</v>
      </c>
      <c r="AN93" s="2">
        <f t="shared" si="164"/>
        <v>0.57263675369082234</v>
      </c>
      <c r="AO93" s="2">
        <f t="shared" si="164"/>
        <v>0.58733341407359829</v>
      </c>
      <c r="AP93" s="2">
        <f t="shared" si="164"/>
        <v>0.60240726265642353</v>
      </c>
      <c r="AQ93" s="2">
        <f t="shared" si="164"/>
        <v>0.61786797993367903</v>
      </c>
      <c r="AR93" s="2">
        <f t="shared" si="164"/>
        <v>0.63372549484858776</v>
      </c>
      <c r="AS93" s="2">
        <f t="shared" si="164"/>
        <v>0.64998999116962719</v>
      </c>
      <c r="AT93" s="2">
        <f t="shared" si="164"/>
        <v>0.66667191403059189</v>
      </c>
      <c r="AU93" s="2">
        <f t="shared" si="164"/>
        <v>0.68378197663850626</v>
      </c>
      <c r="AV93" s="2">
        <f t="shared" si="164"/>
        <v>0.70133116715369492</v>
      </c>
      <c r="AW93" s="2">
        <f t="shared" si="164"/>
        <v>0.71933075574642924</v>
      </c>
      <c r="AX93" s="2">
        <f t="shared" si="164"/>
        <v>0.73779230183468247</v>
      </c>
      <c r="AY93" s="2">
        <f t="shared" si="164"/>
        <v>0.75672766150764059</v>
      </c>
      <c r="AZ93" s="2">
        <f t="shared" si="164"/>
        <v>0.77614899513973701</v>
      </c>
      <c r="BA93" s="2">
        <f t="shared" si="164"/>
        <v>0.79606877520010022</v>
      </c>
      <c r="BB93" s="2">
        <f t="shared" si="164"/>
        <v>0.8164997942624308</v>
      </c>
      <c r="BC93" s="2">
        <f t="shared" si="164"/>
        <v>0.8374551732204506</v>
      </c>
      <c r="BD93" s="2">
        <f t="shared" si="164"/>
        <v>0.8589483697142003</v>
      </c>
      <c r="BE93" s="2">
        <f t="shared" si="164"/>
        <v>0.88099318677259764</v>
      </c>
      <c r="BF93" s="2">
        <f t="shared" si="164"/>
        <v>0.90360378167780531</v>
      </c>
      <c r="BG93" s="2">
        <f t="shared" si="164"/>
        <v>0.92679467505710256</v>
      </c>
      <c r="BH93" s="2">
        <f t="shared" si="164"/>
        <v>0.9505807602080979</v>
      </c>
      <c r="BI93" s="2">
        <f t="shared" si="164"/>
        <v>0.97497731266327314</v>
      </c>
      <c r="BJ93" s="2">
        <f t="shared" si="164"/>
        <v>1</v>
      </c>
    </row>
    <row r="94" spans="1:62" outlineLevel="1">
      <c r="A94" s="11">
        <f t="shared" si="142"/>
        <v>12</v>
      </c>
      <c r="B94" s="2" t="str">
        <f t="shared" ref="B94:AG94" si="165">IF(B$80&gt;T,"",IF($A94&gt;B$81,"",IF(T=B$80,1,EXP(-B26*h)*((C94+C95)/2+cc*h))))</f>
        <v/>
      </c>
      <c r="C94" s="2" t="str">
        <f t="shared" si="165"/>
        <v/>
      </c>
      <c r="D94" s="2" t="str">
        <f t="shared" si="165"/>
        <v/>
      </c>
      <c r="E94" s="2" t="str">
        <f t="shared" si="165"/>
        <v/>
      </c>
      <c r="F94" s="2" t="str">
        <f t="shared" si="165"/>
        <v/>
      </c>
      <c r="G94" s="2" t="str">
        <f t="shared" si="165"/>
        <v/>
      </c>
      <c r="H94" s="2" t="str">
        <f t="shared" si="165"/>
        <v/>
      </c>
      <c r="I94" s="2" t="str">
        <f t="shared" si="165"/>
        <v/>
      </c>
      <c r="J94" s="2" t="str">
        <f t="shared" si="165"/>
        <v/>
      </c>
      <c r="K94" s="2" t="str">
        <f t="shared" si="165"/>
        <v/>
      </c>
      <c r="L94" s="2" t="str">
        <f t="shared" si="165"/>
        <v/>
      </c>
      <c r="M94" s="2" t="str">
        <f t="shared" si="165"/>
        <v/>
      </c>
      <c r="N94" s="2">
        <f t="shared" si="165"/>
        <v>0.29630329283659973</v>
      </c>
      <c r="O94" s="2">
        <f t="shared" si="165"/>
        <v>0.30390788481755543</v>
      </c>
      <c r="P94" s="2">
        <f t="shared" si="165"/>
        <v>0.31170764782966365</v>
      </c>
      <c r="Q94" s="2">
        <f t="shared" si="165"/>
        <v>0.31970759091634143</v>
      </c>
      <c r="R94" s="2">
        <f t="shared" si="165"/>
        <v>0.32791285167756362</v>
      </c>
      <c r="S94" s="2">
        <f t="shared" si="165"/>
        <v>0.33632869956925299</v>
      </c>
      <c r="T94" s="2">
        <f t="shared" si="165"/>
        <v>0.34496053928734899</v>
      </c>
      <c r="U94" s="2">
        <f t="shared" si="165"/>
        <v>0.35381391423872816</v>
      </c>
      <c r="V94" s="2">
        <f t="shared" si="165"/>
        <v>0.36289451010120527</v>
      </c>
      <c r="W94" s="2">
        <f t="shared" si="165"/>
        <v>0.37220815847490163</v>
      </c>
      <c r="X94" s="2">
        <f t="shared" si="165"/>
        <v>0.38176084062732518</v>
      </c>
      <c r="Y94" s="2">
        <f t="shared" si="165"/>
        <v>0.391558691334568</v>
      </c>
      <c r="Z94" s="2">
        <f t="shared" si="165"/>
        <v>0.40160800282108738</v>
      </c>
      <c r="AA94" s="2">
        <f t="shared" si="165"/>
        <v>0.41191522880060111</v>
      </c>
      <c r="AB94" s="2">
        <f t="shared" si="165"/>
        <v>0.42248698862069195</v>
      </c>
      <c r="AC94" s="2">
        <f t="shared" si="165"/>
        <v>0.43333007151378283</v>
      </c>
      <c r="AD94" s="2">
        <f t="shared" si="165"/>
        <v>0.4444514409572129</v>
      </c>
      <c r="AE94" s="2">
        <f t="shared" si="165"/>
        <v>0.45585823914521445</v>
      </c>
      <c r="AF94" s="2">
        <f t="shared" si="165"/>
        <v>0.46755779157566274</v>
      </c>
      <c r="AG94" s="2">
        <f t="shared" si="165"/>
        <v>0.47955761175454414</v>
      </c>
      <c r="AH94" s="2">
        <f t="shared" ref="AH94:BJ94" si="166">IF(AH$80&gt;T,"",IF($A94&gt;AH$81,"",IF(T=AH$80,1,EXP(-AH26*h)*((AI94+AI95)/2+cc*h))))</f>
        <v>0.49186540602116391</v>
      </c>
      <c r="AI94" s="2">
        <f t="shared" si="166"/>
        <v>0.5044890784971926</v>
      </c>
      <c r="AJ94" s="2">
        <f t="shared" si="166"/>
        <v>0.51743673616272901</v>
      </c>
      <c r="AK94" s="2">
        <f t="shared" si="166"/>
        <v>0.53071669406263977</v>
      </c>
      <c r="AL94" s="2">
        <f t="shared" si="166"/>
        <v>0.54433748064651921</v>
      </c>
      <c r="AM94" s="2">
        <f t="shared" si="166"/>
        <v>0.5583078432456986</v>
      </c>
      <c r="AN94" s="2">
        <f t="shared" si="166"/>
        <v>0.57263675369082234</v>
      </c>
      <c r="AO94" s="2">
        <f t="shared" si="166"/>
        <v>0.58733341407359829</v>
      </c>
      <c r="AP94" s="2">
        <f t="shared" si="166"/>
        <v>0.60240726265642353</v>
      </c>
      <c r="AQ94" s="2">
        <f t="shared" si="166"/>
        <v>0.61786797993367903</v>
      </c>
      <c r="AR94" s="2">
        <f t="shared" si="166"/>
        <v>0.63372549484858776</v>
      </c>
      <c r="AS94" s="2">
        <f t="shared" si="166"/>
        <v>0.64998999116962719</v>
      </c>
      <c r="AT94" s="2">
        <f t="shared" si="166"/>
        <v>0.66667191403059189</v>
      </c>
      <c r="AU94" s="2">
        <f t="shared" si="166"/>
        <v>0.68378197663850626</v>
      </c>
      <c r="AV94" s="2">
        <f t="shared" si="166"/>
        <v>0.70133116715369492</v>
      </c>
      <c r="AW94" s="2">
        <f t="shared" si="166"/>
        <v>0.71933075574642924</v>
      </c>
      <c r="AX94" s="2">
        <f t="shared" si="166"/>
        <v>0.73779230183468247</v>
      </c>
      <c r="AY94" s="2">
        <f t="shared" si="166"/>
        <v>0.75672766150764059</v>
      </c>
      <c r="AZ94" s="2">
        <f t="shared" si="166"/>
        <v>0.77614899513973701</v>
      </c>
      <c r="BA94" s="2">
        <f t="shared" si="166"/>
        <v>0.79606877520010022</v>
      </c>
      <c r="BB94" s="2">
        <f t="shared" si="166"/>
        <v>0.8164997942624308</v>
      </c>
      <c r="BC94" s="2">
        <f t="shared" si="166"/>
        <v>0.8374551732204506</v>
      </c>
      <c r="BD94" s="2">
        <f t="shared" si="166"/>
        <v>0.8589483697142003</v>
      </c>
      <c r="BE94" s="2">
        <f t="shared" si="166"/>
        <v>0.88099318677259764</v>
      </c>
      <c r="BF94" s="2">
        <f t="shared" si="166"/>
        <v>0.90360378167780531</v>
      </c>
      <c r="BG94" s="2">
        <f t="shared" si="166"/>
        <v>0.92679467505710256</v>
      </c>
      <c r="BH94" s="2">
        <f t="shared" si="166"/>
        <v>0.9505807602080979</v>
      </c>
      <c r="BI94" s="2">
        <f t="shared" si="166"/>
        <v>0.97497731266327314</v>
      </c>
      <c r="BJ94" s="2">
        <f t="shared" si="166"/>
        <v>1</v>
      </c>
    </row>
    <row r="95" spans="1:62" outlineLevel="1">
      <c r="A95" s="11">
        <f t="shared" si="142"/>
        <v>13</v>
      </c>
      <c r="B95" s="2" t="str">
        <f t="shared" ref="B95:AG95" si="167">IF(B$80&gt;T,"",IF($A95&gt;B$81,"",IF(T=B$80,1,EXP(-B27*h)*((C95+C96)/2+cc*h))))</f>
        <v/>
      </c>
      <c r="C95" s="2" t="str">
        <f t="shared" si="167"/>
        <v/>
      </c>
      <c r="D95" s="2" t="str">
        <f t="shared" si="167"/>
        <v/>
      </c>
      <c r="E95" s="2" t="str">
        <f t="shared" si="167"/>
        <v/>
      </c>
      <c r="F95" s="2" t="str">
        <f t="shared" si="167"/>
        <v/>
      </c>
      <c r="G95" s="2" t="str">
        <f t="shared" si="167"/>
        <v/>
      </c>
      <c r="H95" s="2" t="str">
        <f t="shared" si="167"/>
        <v/>
      </c>
      <c r="I95" s="2" t="str">
        <f t="shared" si="167"/>
        <v/>
      </c>
      <c r="J95" s="2" t="str">
        <f t="shared" si="167"/>
        <v/>
      </c>
      <c r="K95" s="2" t="str">
        <f t="shared" si="167"/>
        <v/>
      </c>
      <c r="L95" s="2" t="str">
        <f t="shared" si="167"/>
        <v/>
      </c>
      <c r="M95" s="2" t="str">
        <f t="shared" si="167"/>
        <v/>
      </c>
      <c r="N95" s="2" t="str">
        <f t="shared" si="167"/>
        <v/>
      </c>
      <c r="O95" s="2">
        <f t="shared" si="167"/>
        <v>0.30390788481755543</v>
      </c>
      <c r="P95" s="2">
        <f t="shared" si="167"/>
        <v>0.31170764782966365</v>
      </c>
      <c r="Q95" s="2">
        <f t="shared" si="167"/>
        <v>0.31970759091634143</v>
      </c>
      <c r="R95" s="2">
        <f t="shared" si="167"/>
        <v>0.32791285167756362</v>
      </c>
      <c r="S95" s="2">
        <f t="shared" si="167"/>
        <v>0.33632869956925299</v>
      </c>
      <c r="T95" s="2">
        <f t="shared" si="167"/>
        <v>0.34496053928734899</v>
      </c>
      <c r="U95" s="2">
        <f t="shared" si="167"/>
        <v>0.35381391423872816</v>
      </c>
      <c r="V95" s="2">
        <f t="shared" si="167"/>
        <v>0.36289451010120527</v>
      </c>
      <c r="W95" s="2">
        <f t="shared" si="167"/>
        <v>0.37220815847490163</v>
      </c>
      <c r="X95" s="2">
        <f t="shared" si="167"/>
        <v>0.38176084062732518</v>
      </c>
      <c r="Y95" s="2">
        <f t="shared" si="167"/>
        <v>0.391558691334568</v>
      </c>
      <c r="Z95" s="2">
        <f t="shared" si="167"/>
        <v>0.40160800282108738</v>
      </c>
      <c r="AA95" s="2">
        <f t="shared" si="167"/>
        <v>0.41191522880060111</v>
      </c>
      <c r="AB95" s="2">
        <f t="shared" si="167"/>
        <v>0.42248698862069195</v>
      </c>
      <c r="AC95" s="2">
        <f t="shared" si="167"/>
        <v>0.43333007151378283</v>
      </c>
      <c r="AD95" s="2">
        <f t="shared" si="167"/>
        <v>0.4444514409572129</v>
      </c>
      <c r="AE95" s="2">
        <f t="shared" si="167"/>
        <v>0.45585823914521445</v>
      </c>
      <c r="AF95" s="2">
        <f t="shared" si="167"/>
        <v>0.46755779157566274</v>
      </c>
      <c r="AG95" s="2">
        <f t="shared" si="167"/>
        <v>0.47955761175454414</v>
      </c>
      <c r="AH95" s="2">
        <f t="shared" ref="AH95:BJ95" si="168">IF(AH$80&gt;T,"",IF($A95&gt;AH$81,"",IF(T=AH$80,1,EXP(-AH27*h)*((AI95+AI96)/2+cc*h))))</f>
        <v>0.49186540602116391</v>
      </c>
      <c r="AI95" s="2">
        <f t="shared" si="168"/>
        <v>0.5044890784971926</v>
      </c>
      <c r="AJ95" s="2">
        <f t="shared" si="168"/>
        <v>0.51743673616272901</v>
      </c>
      <c r="AK95" s="2">
        <f t="shared" si="168"/>
        <v>0.53071669406263977</v>
      </c>
      <c r="AL95" s="2">
        <f t="shared" si="168"/>
        <v>0.54433748064651921</v>
      </c>
      <c r="AM95" s="2">
        <f t="shared" si="168"/>
        <v>0.5583078432456986</v>
      </c>
      <c r="AN95" s="2">
        <f t="shared" si="168"/>
        <v>0.57263675369082234</v>
      </c>
      <c r="AO95" s="2">
        <f t="shared" si="168"/>
        <v>0.58733341407359829</v>
      </c>
      <c r="AP95" s="2">
        <f t="shared" si="168"/>
        <v>0.60240726265642353</v>
      </c>
      <c r="AQ95" s="2">
        <f t="shared" si="168"/>
        <v>0.61786797993367903</v>
      </c>
      <c r="AR95" s="2">
        <f t="shared" si="168"/>
        <v>0.63372549484858776</v>
      </c>
      <c r="AS95" s="2">
        <f t="shared" si="168"/>
        <v>0.64998999116962719</v>
      </c>
      <c r="AT95" s="2">
        <f t="shared" si="168"/>
        <v>0.66667191403059189</v>
      </c>
      <c r="AU95" s="2">
        <f t="shared" si="168"/>
        <v>0.68378197663850626</v>
      </c>
      <c r="AV95" s="2">
        <f t="shared" si="168"/>
        <v>0.70133116715369492</v>
      </c>
      <c r="AW95" s="2">
        <f t="shared" si="168"/>
        <v>0.71933075574642924</v>
      </c>
      <c r="AX95" s="2">
        <f t="shared" si="168"/>
        <v>0.73779230183468247</v>
      </c>
      <c r="AY95" s="2">
        <f t="shared" si="168"/>
        <v>0.75672766150764059</v>
      </c>
      <c r="AZ95" s="2">
        <f t="shared" si="168"/>
        <v>0.77614899513973701</v>
      </c>
      <c r="BA95" s="2">
        <f t="shared" si="168"/>
        <v>0.79606877520010022</v>
      </c>
      <c r="BB95" s="2">
        <f t="shared" si="168"/>
        <v>0.8164997942624308</v>
      </c>
      <c r="BC95" s="2">
        <f t="shared" si="168"/>
        <v>0.8374551732204506</v>
      </c>
      <c r="BD95" s="2">
        <f t="shared" si="168"/>
        <v>0.8589483697142003</v>
      </c>
      <c r="BE95" s="2">
        <f t="shared" si="168"/>
        <v>0.88099318677259764</v>
      </c>
      <c r="BF95" s="2">
        <f t="shared" si="168"/>
        <v>0.90360378167780531</v>
      </c>
      <c r="BG95" s="2">
        <f t="shared" si="168"/>
        <v>0.92679467505710256</v>
      </c>
      <c r="BH95" s="2">
        <f t="shared" si="168"/>
        <v>0.9505807602080979</v>
      </c>
      <c r="BI95" s="2">
        <f t="shared" si="168"/>
        <v>0.97497731266327314</v>
      </c>
      <c r="BJ95" s="2">
        <f t="shared" si="168"/>
        <v>1</v>
      </c>
    </row>
    <row r="96" spans="1:62" outlineLevel="1">
      <c r="A96" s="11">
        <f t="shared" si="142"/>
        <v>14</v>
      </c>
      <c r="B96" s="2" t="str">
        <f t="shared" ref="B96:AG96" si="169">IF(B$80&gt;T,"",IF($A96&gt;B$81,"",IF(T=B$80,1,EXP(-B28*h)*((C96+C97)/2+cc*h))))</f>
        <v/>
      </c>
      <c r="C96" s="2" t="str">
        <f t="shared" si="169"/>
        <v/>
      </c>
      <c r="D96" s="2" t="str">
        <f t="shared" si="169"/>
        <v/>
      </c>
      <c r="E96" s="2" t="str">
        <f t="shared" si="169"/>
        <v/>
      </c>
      <c r="F96" s="2" t="str">
        <f t="shared" si="169"/>
        <v/>
      </c>
      <c r="G96" s="2" t="str">
        <f t="shared" si="169"/>
        <v/>
      </c>
      <c r="H96" s="2" t="str">
        <f t="shared" si="169"/>
        <v/>
      </c>
      <c r="I96" s="2" t="str">
        <f t="shared" si="169"/>
        <v/>
      </c>
      <c r="J96" s="2" t="str">
        <f t="shared" si="169"/>
        <v/>
      </c>
      <c r="K96" s="2" t="str">
        <f t="shared" si="169"/>
        <v/>
      </c>
      <c r="L96" s="2" t="str">
        <f t="shared" si="169"/>
        <v/>
      </c>
      <c r="M96" s="2" t="str">
        <f t="shared" si="169"/>
        <v/>
      </c>
      <c r="N96" s="2" t="str">
        <f t="shared" si="169"/>
        <v/>
      </c>
      <c r="O96" s="2" t="str">
        <f t="shared" si="169"/>
        <v/>
      </c>
      <c r="P96" s="2">
        <f t="shared" si="169"/>
        <v>0.31170764782966365</v>
      </c>
      <c r="Q96" s="2">
        <f t="shared" si="169"/>
        <v>0.31970759091634143</v>
      </c>
      <c r="R96" s="2">
        <f t="shared" si="169"/>
        <v>0.32791285167756362</v>
      </c>
      <c r="S96" s="2">
        <f t="shared" si="169"/>
        <v>0.33632869956925299</v>
      </c>
      <c r="T96" s="2">
        <f t="shared" si="169"/>
        <v>0.34496053928734899</v>
      </c>
      <c r="U96" s="2">
        <f t="shared" si="169"/>
        <v>0.35381391423872816</v>
      </c>
      <c r="V96" s="2">
        <f t="shared" si="169"/>
        <v>0.36289451010120527</v>
      </c>
      <c r="W96" s="2">
        <f t="shared" si="169"/>
        <v>0.37220815847490163</v>
      </c>
      <c r="X96" s="2">
        <f t="shared" si="169"/>
        <v>0.38176084062732518</v>
      </c>
      <c r="Y96" s="2">
        <f t="shared" si="169"/>
        <v>0.391558691334568</v>
      </c>
      <c r="Z96" s="2">
        <f t="shared" si="169"/>
        <v>0.40160800282108738</v>
      </c>
      <c r="AA96" s="2">
        <f t="shared" si="169"/>
        <v>0.41191522880060111</v>
      </c>
      <c r="AB96" s="2">
        <f t="shared" si="169"/>
        <v>0.42248698862069195</v>
      </c>
      <c r="AC96" s="2">
        <f t="shared" si="169"/>
        <v>0.43333007151378283</v>
      </c>
      <c r="AD96" s="2">
        <f t="shared" si="169"/>
        <v>0.4444514409572129</v>
      </c>
      <c r="AE96" s="2">
        <f t="shared" si="169"/>
        <v>0.45585823914521445</v>
      </c>
      <c r="AF96" s="2">
        <f t="shared" si="169"/>
        <v>0.46755779157566274</v>
      </c>
      <c r="AG96" s="2">
        <f t="shared" si="169"/>
        <v>0.47955761175454414</v>
      </c>
      <c r="AH96" s="2">
        <f t="shared" ref="AH96:BJ96" si="170">IF(AH$80&gt;T,"",IF($A96&gt;AH$81,"",IF(T=AH$80,1,EXP(-AH28*h)*((AI96+AI97)/2+cc*h))))</f>
        <v>0.49186540602116391</v>
      </c>
      <c r="AI96" s="2">
        <f t="shared" si="170"/>
        <v>0.5044890784971926</v>
      </c>
      <c r="AJ96" s="2">
        <f t="shared" si="170"/>
        <v>0.51743673616272901</v>
      </c>
      <c r="AK96" s="2">
        <f t="shared" si="170"/>
        <v>0.53071669406263977</v>
      </c>
      <c r="AL96" s="2">
        <f t="shared" si="170"/>
        <v>0.54433748064651921</v>
      </c>
      <c r="AM96" s="2">
        <f t="shared" si="170"/>
        <v>0.5583078432456986</v>
      </c>
      <c r="AN96" s="2">
        <f t="shared" si="170"/>
        <v>0.57263675369082234</v>
      </c>
      <c r="AO96" s="2">
        <f t="shared" si="170"/>
        <v>0.58733341407359829</v>
      </c>
      <c r="AP96" s="2">
        <f t="shared" si="170"/>
        <v>0.60240726265642353</v>
      </c>
      <c r="AQ96" s="2">
        <f t="shared" si="170"/>
        <v>0.61786797993367903</v>
      </c>
      <c r="AR96" s="2">
        <f t="shared" si="170"/>
        <v>0.63372549484858776</v>
      </c>
      <c r="AS96" s="2">
        <f t="shared" si="170"/>
        <v>0.64998999116962719</v>
      </c>
      <c r="AT96" s="2">
        <f t="shared" si="170"/>
        <v>0.66667191403059189</v>
      </c>
      <c r="AU96" s="2">
        <f t="shared" si="170"/>
        <v>0.68378197663850626</v>
      </c>
      <c r="AV96" s="2">
        <f t="shared" si="170"/>
        <v>0.70133116715369492</v>
      </c>
      <c r="AW96" s="2">
        <f t="shared" si="170"/>
        <v>0.71933075574642924</v>
      </c>
      <c r="AX96" s="2">
        <f t="shared" si="170"/>
        <v>0.73779230183468247</v>
      </c>
      <c r="AY96" s="2">
        <f t="shared" si="170"/>
        <v>0.75672766150764059</v>
      </c>
      <c r="AZ96" s="2">
        <f t="shared" si="170"/>
        <v>0.77614899513973701</v>
      </c>
      <c r="BA96" s="2">
        <f t="shared" si="170"/>
        <v>0.79606877520010022</v>
      </c>
      <c r="BB96" s="2">
        <f t="shared" si="170"/>
        <v>0.8164997942624308</v>
      </c>
      <c r="BC96" s="2">
        <f t="shared" si="170"/>
        <v>0.8374551732204506</v>
      </c>
      <c r="BD96" s="2">
        <f t="shared" si="170"/>
        <v>0.8589483697142003</v>
      </c>
      <c r="BE96" s="2">
        <f t="shared" si="170"/>
        <v>0.88099318677259764</v>
      </c>
      <c r="BF96" s="2">
        <f t="shared" si="170"/>
        <v>0.90360378167780531</v>
      </c>
      <c r="BG96" s="2">
        <f t="shared" si="170"/>
        <v>0.92679467505710256</v>
      </c>
      <c r="BH96" s="2">
        <f t="shared" si="170"/>
        <v>0.9505807602080979</v>
      </c>
      <c r="BI96" s="2">
        <f t="shared" si="170"/>
        <v>0.97497731266327314</v>
      </c>
      <c r="BJ96" s="2">
        <f t="shared" si="170"/>
        <v>1</v>
      </c>
    </row>
    <row r="97" spans="1:62" outlineLevel="1">
      <c r="A97" s="11">
        <f t="shared" si="142"/>
        <v>15</v>
      </c>
      <c r="B97" s="2" t="str">
        <f t="shared" ref="B97:AG97" si="171">IF(B$80&gt;T,"",IF($A97&gt;B$81,"",IF(T=B$80,1,EXP(-B29*h)*((C97+C98)/2+cc*h))))</f>
        <v/>
      </c>
      <c r="C97" s="2" t="str">
        <f t="shared" si="171"/>
        <v/>
      </c>
      <c r="D97" s="2" t="str">
        <f t="shared" si="171"/>
        <v/>
      </c>
      <c r="E97" s="2" t="str">
        <f t="shared" si="171"/>
        <v/>
      </c>
      <c r="F97" s="2" t="str">
        <f t="shared" si="171"/>
        <v/>
      </c>
      <c r="G97" s="2" t="str">
        <f t="shared" si="171"/>
        <v/>
      </c>
      <c r="H97" s="2" t="str">
        <f t="shared" si="171"/>
        <v/>
      </c>
      <c r="I97" s="2" t="str">
        <f t="shared" si="171"/>
        <v/>
      </c>
      <c r="J97" s="2" t="str">
        <f t="shared" si="171"/>
        <v/>
      </c>
      <c r="K97" s="2" t="str">
        <f t="shared" si="171"/>
        <v/>
      </c>
      <c r="L97" s="2" t="str">
        <f t="shared" si="171"/>
        <v/>
      </c>
      <c r="M97" s="2" t="str">
        <f t="shared" si="171"/>
        <v/>
      </c>
      <c r="N97" s="2" t="str">
        <f t="shared" si="171"/>
        <v/>
      </c>
      <c r="O97" s="2" t="str">
        <f t="shared" si="171"/>
        <v/>
      </c>
      <c r="P97" s="2" t="str">
        <f t="shared" si="171"/>
        <v/>
      </c>
      <c r="Q97" s="2">
        <f t="shared" si="171"/>
        <v>0.31970759091634143</v>
      </c>
      <c r="R97" s="2">
        <f t="shared" si="171"/>
        <v>0.32791285167756362</v>
      </c>
      <c r="S97" s="2">
        <f t="shared" si="171"/>
        <v>0.33632869956925299</v>
      </c>
      <c r="T97" s="2">
        <f t="shared" si="171"/>
        <v>0.34496053928734899</v>
      </c>
      <c r="U97" s="2">
        <f t="shared" si="171"/>
        <v>0.35381391423872816</v>
      </c>
      <c r="V97" s="2">
        <f t="shared" si="171"/>
        <v>0.36289451010120527</v>
      </c>
      <c r="W97" s="2">
        <f t="shared" si="171"/>
        <v>0.37220815847490163</v>
      </c>
      <c r="X97" s="2">
        <f t="shared" si="171"/>
        <v>0.38176084062732518</v>
      </c>
      <c r="Y97" s="2">
        <f t="shared" si="171"/>
        <v>0.391558691334568</v>
      </c>
      <c r="Z97" s="2">
        <f t="shared" si="171"/>
        <v>0.40160800282108738</v>
      </c>
      <c r="AA97" s="2">
        <f t="shared" si="171"/>
        <v>0.41191522880060111</v>
      </c>
      <c r="AB97" s="2">
        <f t="shared" si="171"/>
        <v>0.42248698862069195</v>
      </c>
      <c r="AC97" s="2">
        <f t="shared" si="171"/>
        <v>0.43333007151378283</v>
      </c>
      <c r="AD97" s="2">
        <f t="shared" si="171"/>
        <v>0.4444514409572129</v>
      </c>
      <c r="AE97" s="2">
        <f t="shared" si="171"/>
        <v>0.45585823914521445</v>
      </c>
      <c r="AF97" s="2">
        <f t="shared" si="171"/>
        <v>0.46755779157566274</v>
      </c>
      <c r="AG97" s="2">
        <f t="shared" si="171"/>
        <v>0.47955761175454414</v>
      </c>
      <c r="AH97" s="2">
        <f t="shared" ref="AH97:BJ97" si="172">IF(AH$80&gt;T,"",IF($A97&gt;AH$81,"",IF(T=AH$80,1,EXP(-AH29*h)*((AI97+AI98)/2+cc*h))))</f>
        <v>0.49186540602116391</v>
      </c>
      <c r="AI97" s="2">
        <f t="shared" si="172"/>
        <v>0.5044890784971926</v>
      </c>
      <c r="AJ97" s="2">
        <f t="shared" si="172"/>
        <v>0.51743673616272901</v>
      </c>
      <c r="AK97" s="2">
        <f t="shared" si="172"/>
        <v>0.53071669406263977</v>
      </c>
      <c r="AL97" s="2">
        <f t="shared" si="172"/>
        <v>0.54433748064651921</v>
      </c>
      <c r="AM97" s="2">
        <f t="shared" si="172"/>
        <v>0.5583078432456986</v>
      </c>
      <c r="AN97" s="2">
        <f t="shared" si="172"/>
        <v>0.57263675369082234</v>
      </c>
      <c r="AO97" s="2">
        <f t="shared" si="172"/>
        <v>0.58733341407359829</v>
      </c>
      <c r="AP97" s="2">
        <f t="shared" si="172"/>
        <v>0.60240726265642353</v>
      </c>
      <c r="AQ97" s="2">
        <f t="shared" si="172"/>
        <v>0.61786797993367903</v>
      </c>
      <c r="AR97" s="2">
        <f t="shared" si="172"/>
        <v>0.63372549484858776</v>
      </c>
      <c r="AS97" s="2">
        <f t="shared" si="172"/>
        <v>0.64998999116962719</v>
      </c>
      <c r="AT97" s="2">
        <f t="shared" si="172"/>
        <v>0.66667191403059189</v>
      </c>
      <c r="AU97" s="2">
        <f t="shared" si="172"/>
        <v>0.68378197663850626</v>
      </c>
      <c r="AV97" s="2">
        <f t="shared" si="172"/>
        <v>0.70133116715369492</v>
      </c>
      <c r="AW97" s="2">
        <f t="shared" si="172"/>
        <v>0.71933075574642924</v>
      </c>
      <c r="AX97" s="2">
        <f t="shared" si="172"/>
        <v>0.73779230183468247</v>
      </c>
      <c r="AY97" s="2">
        <f t="shared" si="172"/>
        <v>0.75672766150764059</v>
      </c>
      <c r="AZ97" s="2">
        <f t="shared" si="172"/>
        <v>0.77614899513973701</v>
      </c>
      <c r="BA97" s="2">
        <f t="shared" si="172"/>
        <v>0.79606877520010022</v>
      </c>
      <c r="BB97" s="2">
        <f t="shared" si="172"/>
        <v>0.8164997942624308</v>
      </c>
      <c r="BC97" s="2">
        <f t="shared" si="172"/>
        <v>0.8374551732204506</v>
      </c>
      <c r="BD97" s="2">
        <f t="shared" si="172"/>
        <v>0.8589483697142003</v>
      </c>
      <c r="BE97" s="2">
        <f t="shared" si="172"/>
        <v>0.88099318677259764</v>
      </c>
      <c r="BF97" s="2">
        <f t="shared" si="172"/>
        <v>0.90360378167780531</v>
      </c>
      <c r="BG97" s="2">
        <f t="shared" si="172"/>
        <v>0.92679467505710256</v>
      </c>
      <c r="BH97" s="2">
        <f t="shared" si="172"/>
        <v>0.9505807602080979</v>
      </c>
      <c r="BI97" s="2">
        <f t="shared" si="172"/>
        <v>0.97497731266327314</v>
      </c>
      <c r="BJ97" s="2">
        <f t="shared" si="172"/>
        <v>1</v>
      </c>
    </row>
    <row r="98" spans="1:62" outlineLevel="1">
      <c r="A98" s="11">
        <f t="shared" si="142"/>
        <v>16</v>
      </c>
      <c r="B98" s="2" t="str">
        <f t="shared" ref="B98:AG98" si="173">IF(B$80&gt;T,"",IF($A98&gt;B$81,"",IF(T=B$80,1,EXP(-B30*h)*((C98+C99)/2+cc*h))))</f>
        <v/>
      </c>
      <c r="C98" s="2" t="str">
        <f t="shared" si="173"/>
        <v/>
      </c>
      <c r="D98" s="2" t="str">
        <f t="shared" si="173"/>
        <v/>
      </c>
      <c r="E98" s="2" t="str">
        <f t="shared" si="173"/>
        <v/>
      </c>
      <c r="F98" s="2" t="str">
        <f t="shared" si="173"/>
        <v/>
      </c>
      <c r="G98" s="2" t="str">
        <f t="shared" si="173"/>
        <v/>
      </c>
      <c r="H98" s="2" t="str">
        <f t="shared" si="173"/>
        <v/>
      </c>
      <c r="I98" s="2" t="str">
        <f t="shared" si="173"/>
        <v/>
      </c>
      <c r="J98" s="2" t="str">
        <f t="shared" si="173"/>
        <v/>
      </c>
      <c r="K98" s="2" t="str">
        <f t="shared" si="173"/>
        <v/>
      </c>
      <c r="L98" s="2" t="str">
        <f t="shared" si="173"/>
        <v/>
      </c>
      <c r="M98" s="2" t="str">
        <f t="shared" si="173"/>
        <v/>
      </c>
      <c r="N98" s="2" t="str">
        <f t="shared" si="173"/>
        <v/>
      </c>
      <c r="O98" s="2" t="str">
        <f t="shared" si="173"/>
        <v/>
      </c>
      <c r="P98" s="2" t="str">
        <f t="shared" si="173"/>
        <v/>
      </c>
      <c r="Q98" s="2" t="str">
        <f t="shared" si="173"/>
        <v/>
      </c>
      <c r="R98" s="2">
        <f t="shared" si="173"/>
        <v>0.32791285167756362</v>
      </c>
      <c r="S98" s="2">
        <f t="shared" si="173"/>
        <v>0.33632869956925299</v>
      </c>
      <c r="T98" s="2">
        <f t="shared" si="173"/>
        <v>0.34496053928734899</v>
      </c>
      <c r="U98" s="2">
        <f t="shared" si="173"/>
        <v>0.35381391423872816</v>
      </c>
      <c r="V98" s="2">
        <f t="shared" si="173"/>
        <v>0.36289451010120527</v>
      </c>
      <c r="W98" s="2">
        <f t="shared" si="173"/>
        <v>0.37220815847490163</v>
      </c>
      <c r="X98" s="2">
        <f t="shared" si="173"/>
        <v>0.38176084062732518</v>
      </c>
      <c r="Y98" s="2">
        <f t="shared" si="173"/>
        <v>0.391558691334568</v>
      </c>
      <c r="Z98" s="2">
        <f t="shared" si="173"/>
        <v>0.40160800282108738</v>
      </c>
      <c r="AA98" s="2">
        <f t="shared" si="173"/>
        <v>0.41191522880060111</v>
      </c>
      <c r="AB98" s="2">
        <f t="shared" si="173"/>
        <v>0.42248698862069195</v>
      </c>
      <c r="AC98" s="2">
        <f t="shared" si="173"/>
        <v>0.43333007151378283</v>
      </c>
      <c r="AD98" s="2">
        <f t="shared" si="173"/>
        <v>0.4444514409572129</v>
      </c>
      <c r="AE98" s="2">
        <f t="shared" si="173"/>
        <v>0.45585823914521445</v>
      </c>
      <c r="AF98" s="2">
        <f t="shared" si="173"/>
        <v>0.46755779157566274</v>
      </c>
      <c r="AG98" s="2">
        <f t="shared" si="173"/>
        <v>0.47955761175454414</v>
      </c>
      <c r="AH98" s="2">
        <f t="shared" ref="AH98:BJ98" si="174">IF(AH$80&gt;T,"",IF($A98&gt;AH$81,"",IF(T=AH$80,1,EXP(-AH30*h)*((AI98+AI99)/2+cc*h))))</f>
        <v>0.49186540602116391</v>
      </c>
      <c r="AI98" s="2">
        <f t="shared" si="174"/>
        <v>0.5044890784971926</v>
      </c>
      <c r="AJ98" s="2">
        <f t="shared" si="174"/>
        <v>0.51743673616272901</v>
      </c>
      <c r="AK98" s="2">
        <f t="shared" si="174"/>
        <v>0.53071669406263977</v>
      </c>
      <c r="AL98" s="2">
        <f t="shared" si="174"/>
        <v>0.54433748064651921</v>
      </c>
      <c r="AM98" s="2">
        <f t="shared" si="174"/>
        <v>0.5583078432456986</v>
      </c>
      <c r="AN98" s="2">
        <f t="shared" si="174"/>
        <v>0.57263675369082234</v>
      </c>
      <c r="AO98" s="2">
        <f t="shared" si="174"/>
        <v>0.58733341407359829</v>
      </c>
      <c r="AP98" s="2">
        <f t="shared" si="174"/>
        <v>0.60240726265642353</v>
      </c>
      <c r="AQ98" s="2">
        <f t="shared" si="174"/>
        <v>0.61786797993367903</v>
      </c>
      <c r="AR98" s="2">
        <f t="shared" si="174"/>
        <v>0.63372549484858776</v>
      </c>
      <c r="AS98" s="2">
        <f t="shared" si="174"/>
        <v>0.64998999116962719</v>
      </c>
      <c r="AT98" s="2">
        <f t="shared" si="174"/>
        <v>0.66667191403059189</v>
      </c>
      <c r="AU98" s="2">
        <f t="shared" si="174"/>
        <v>0.68378197663850626</v>
      </c>
      <c r="AV98" s="2">
        <f t="shared" si="174"/>
        <v>0.70133116715369492</v>
      </c>
      <c r="AW98" s="2">
        <f t="shared" si="174"/>
        <v>0.71933075574642924</v>
      </c>
      <c r="AX98" s="2">
        <f t="shared" si="174"/>
        <v>0.73779230183468247</v>
      </c>
      <c r="AY98" s="2">
        <f t="shared" si="174"/>
        <v>0.75672766150764059</v>
      </c>
      <c r="AZ98" s="2">
        <f t="shared" si="174"/>
        <v>0.77614899513973701</v>
      </c>
      <c r="BA98" s="2">
        <f t="shared" si="174"/>
        <v>0.79606877520010022</v>
      </c>
      <c r="BB98" s="2">
        <f t="shared" si="174"/>
        <v>0.8164997942624308</v>
      </c>
      <c r="BC98" s="2">
        <f t="shared" si="174"/>
        <v>0.8374551732204506</v>
      </c>
      <c r="BD98" s="2">
        <f t="shared" si="174"/>
        <v>0.8589483697142003</v>
      </c>
      <c r="BE98" s="2">
        <f t="shared" si="174"/>
        <v>0.88099318677259764</v>
      </c>
      <c r="BF98" s="2">
        <f t="shared" si="174"/>
        <v>0.90360378167780531</v>
      </c>
      <c r="BG98" s="2">
        <f t="shared" si="174"/>
        <v>0.92679467505710256</v>
      </c>
      <c r="BH98" s="2">
        <f t="shared" si="174"/>
        <v>0.9505807602080979</v>
      </c>
      <c r="BI98" s="2">
        <f t="shared" si="174"/>
        <v>0.97497731266327314</v>
      </c>
      <c r="BJ98" s="2">
        <f t="shared" si="174"/>
        <v>1</v>
      </c>
    </row>
    <row r="99" spans="1:62" outlineLevel="1">
      <c r="A99" s="11">
        <f t="shared" si="142"/>
        <v>17</v>
      </c>
      <c r="B99" s="2" t="str">
        <f t="shared" ref="B99:AG99" si="175">IF(B$80&gt;T,"",IF($A99&gt;B$81,"",IF(T=B$80,1,EXP(-B31*h)*((C99+C100)/2+cc*h))))</f>
        <v/>
      </c>
      <c r="C99" s="2" t="str">
        <f t="shared" si="175"/>
        <v/>
      </c>
      <c r="D99" s="2" t="str">
        <f t="shared" si="175"/>
        <v/>
      </c>
      <c r="E99" s="2" t="str">
        <f t="shared" si="175"/>
        <v/>
      </c>
      <c r="F99" s="2" t="str">
        <f t="shared" si="175"/>
        <v/>
      </c>
      <c r="G99" s="2" t="str">
        <f t="shared" si="175"/>
        <v/>
      </c>
      <c r="H99" s="2" t="str">
        <f t="shared" si="175"/>
        <v/>
      </c>
      <c r="I99" s="2" t="str">
        <f t="shared" si="175"/>
        <v/>
      </c>
      <c r="J99" s="2" t="str">
        <f t="shared" si="175"/>
        <v/>
      </c>
      <c r="K99" s="2" t="str">
        <f t="shared" si="175"/>
        <v/>
      </c>
      <c r="L99" s="2" t="str">
        <f t="shared" si="175"/>
        <v/>
      </c>
      <c r="M99" s="2" t="str">
        <f t="shared" si="175"/>
        <v/>
      </c>
      <c r="N99" s="2" t="str">
        <f t="shared" si="175"/>
        <v/>
      </c>
      <c r="O99" s="2" t="str">
        <f t="shared" si="175"/>
        <v/>
      </c>
      <c r="P99" s="2" t="str">
        <f t="shared" si="175"/>
        <v/>
      </c>
      <c r="Q99" s="2" t="str">
        <f t="shared" si="175"/>
        <v/>
      </c>
      <c r="R99" s="2" t="str">
        <f t="shared" si="175"/>
        <v/>
      </c>
      <c r="S99" s="2">
        <f t="shared" si="175"/>
        <v>0.33632869956925299</v>
      </c>
      <c r="T99" s="2">
        <f t="shared" si="175"/>
        <v>0.34496053928734899</v>
      </c>
      <c r="U99" s="2">
        <f t="shared" si="175"/>
        <v>0.35381391423872816</v>
      </c>
      <c r="V99" s="2">
        <f t="shared" si="175"/>
        <v>0.36289451010120527</v>
      </c>
      <c r="W99" s="2">
        <f t="shared" si="175"/>
        <v>0.37220815847490163</v>
      </c>
      <c r="X99" s="2">
        <f t="shared" si="175"/>
        <v>0.38176084062732518</v>
      </c>
      <c r="Y99" s="2">
        <f t="shared" si="175"/>
        <v>0.391558691334568</v>
      </c>
      <c r="Z99" s="2">
        <f t="shared" si="175"/>
        <v>0.40160800282108738</v>
      </c>
      <c r="AA99" s="2">
        <f t="shared" si="175"/>
        <v>0.41191522880060111</v>
      </c>
      <c r="AB99" s="2">
        <f t="shared" si="175"/>
        <v>0.42248698862069195</v>
      </c>
      <c r="AC99" s="2">
        <f t="shared" si="175"/>
        <v>0.43333007151378283</v>
      </c>
      <c r="AD99" s="2">
        <f t="shared" si="175"/>
        <v>0.4444514409572129</v>
      </c>
      <c r="AE99" s="2">
        <f t="shared" si="175"/>
        <v>0.45585823914521445</v>
      </c>
      <c r="AF99" s="2">
        <f t="shared" si="175"/>
        <v>0.46755779157566274</v>
      </c>
      <c r="AG99" s="2">
        <f t="shared" si="175"/>
        <v>0.47955761175454414</v>
      </c>
      <c r="AH99" s="2">
        <f t="shared" ref="AH99:BJ99" si="176">IF(AH$80&gt;T,"",IF($A99&gt;AH$81,"",IF(T=AH$80,1,EXP(-AH31*h)*((AI99+AI100)/2+cc*h))))</f>
        <v>0.49186540602116391</v>
      </c>
      <c r="AI99" s="2">
        <f t="shared" si="176"/>
        <v>0.5044890784971926</v>
      </c>
      <c r="AJ99" s="2">
        <f t="shared" si="176"/>
        <v>0.51743673616272901</v>
      </c>
      <c r="AK99" s="2">
        <f t="shared" si="176"/>
        <v>0.53071669406263977</v>
      </c>
      <c r="AL99" s="2">
        <f t="shared" si="176"/>
        <v>0.54433748064651921</v>
      </c>
      <c r="AM99" s="2">
        <f t="shared" si="176"/>
        <v>0.5583078432456986</v>
      </c>
      <c r="AN99" s="2">
        <f t="shared" si="176"/>
        <v>0.57263675369082234</v>
      </c>
      <c r="AO99" s="2">
        <f t="shared" si="176"/>
        <v>0.58733341407359829</v>
      </c>
      <c r="AP99" s="2">
        <f t="shared" si="176"/>
        <v>0.60240726265642353</v>
      </c>
      <c r="AQ99" s="2">
        <f t="shared" si="176"/>
        <v>0.61786797993367903</v>
      </c>
      <c r="AR99" s="2">
        <f t="shared" si="176"/>
        <v>0.63372549484858776</v>
      </c>
      <c r="AS99" s="2">
        <f t="shared" si="176"/>
        <v>0.64998999116962719</v>
      </c>
      <c r="AT99" s="2">
        <f t="shared" si="176"/>
        <v>0.66667191403059189</v>
      </c>
      <c r="AU99" s="2">
        <f t="shared" si="176"/>
        <v>0.68378197663850626</v>
      </c>
      <c r="AV99" s="2">
        <f t="shared" si="176"/>
        <v>0.70133116715369492</v>
      </c>
      <c r="AW99" s="2">
        <f t="shared" si="176"/>
        <v>0.71933075574642924</v>
      </c>
      <c r="AX99" s="2">
        <f t="shared" si="176"/>
        <v>0.73779230183468247</v>
      </c>
      <c r="AY99" s="2">
        <f t="shared" si="176"/>
        <v>0.75672766150764059</v>
      </c>
      <c r="AZ99" s="2">
        <f t="shared" si="176"/>
        <v>0.77614899513973701</v>
      </c>
      <c r="BA99" s="2">
        <f t="shared" si="176"/>
        <v>0.79606877520010022</v>
      </c>
      <c r="BB99" s="2">
        <f t="shared" si="176"/>
        <v>0.8164997942624308</v>
      </c>
      <c r="BC99" s="2">
        <f t="shared" si="176"/>
        <v>0.8374551732204506</v>
      </c>
      <c r="BD99" s="2">
        <f t="shared" si="176"/>
        <v>0.8589483697142003</v>
      </c>
      <c r="BE99" s="2">
        <f t="shared" si="176"/>
        <v>0.88099318677259764</v>
      </c>
      <c r="BF99" s="2">
        <f t="shared" si="176"/>
        <v>0.90360378167780531</v>
      </c>
      <c r="BG99" s="2">
        <f t="shared" si="176"/>
        <v>0.92679467505710256</v>
      </c>
      <c r="BH99" s="2">
        <f t="shared" si="176"/>
        <v>0.9505807602080979</v>
      </c>
      <c r="BI99" s="2">
        <f t="shared" si="176"/>
        <v>0.97497731266327314</v>
      </c>
      <c r="BJ99" s="2">
        <f t="shared" si="176"/>
        <v>1</v>
      </c>
    </row>
    <row r="100" spans="1:62" outlineLevel="1">
      <c r="A100" s="11">
        <f t="shared" si="142"/>
        <v>18</v>
      </c>
      <c r="B100" s="2" t="str">
        <f t="shared" ref="B100:AG100" si="177">IF(B$80&gt;T,"",IF($A100&gt;B$81,"",IF(T=B$80,1,EXP(-B32*h)*((C100+C101)/2+cc*h))))</f>
        <v/>
      </c>
      <c r="C100" s="2" t="str">
        <f t="shared" si="177"/>
        <v/>
      </c>
      <c r="D100" s="2" t="str">
        <f t="shared" si="177"/>
        <v/>
      </c>
      <c r="E100" s="2" t="str">
        <f t="shared" si="177"/>
        <v/>
      </c>
      <c r="F100" s="2" t="str">
        <f t="shared" si="177"/>
        <v/>
      </c>
      <c r="G100" s="2" t="str">
        <f t="shared" si="177"/>
        <v/>
      </c>
      <c r="H100" s="2" t="str">
        <f t="shared" si="177"/>
        <v/>
      </c>
      <c r="I100" s="2" t="str">
        <f t="shared" si="177"/>
        <v/>
      </c>
      <c r="J100" s="2" t="str">
        <f t="shared" si="177"/>
        <v/>
      </c>
      <c r="K100" s="2" t="str">
        <f t="shared" si="177"/>
        <v/>
      </c>
      <c r="L100" s="2" t="str">
        <f t="shared" si="177"/>
        <v/>
      </c>
      <c r="M100" s="2" t="str">
        <f t="shared" si="177"/>
        <v/>
      </c>
      <c r="N100" s="2" t="str">
        <f t="shared" si="177"/>
        <v/>
      </c>
      <c r="O100" s="2" t="str">
        <f t="shared" si="177"/>
        <v/>
      </c>
      <c r="P100" s="2" t="str">
        <f t="shared" si="177"/>
        <v/>
      </c>
      <c r="Q100" s="2" t="str">
        <f t="shared" si="177"/>
        <v/>
      </c>
      <c r="R100" s="2" t="str">
        <f t="shared" si="177"/>
        <v/>
      </c>
      <c r="S100" s="2" t="str">
        <f t="shared" si="177"/>
        <v/>
      </c>
      <c r="T100" s="2">
        <f t="shared" si="177"/>
        <v>0.34496053928734899</v>
      </c>
      <c r="U100" s="2">
        <f t="shared" si="177"/>
        <v>0.35381391423872816</v>
      </c>
      <c r="V100" s="2">
        <f t="shared" si="177"/>
        <v>0.36289451010120527</v>
      </c>
      <c r="W100" s="2">
        <f t="shared" si="177"/>
        <v>0.37220815847490163</v>
      </c>
      <c r="X100" s="2">
        <f t="shared" si="177"/>
        <v>0.38176084062732518</v>
      </c>
      <c r="Y100" s="2">
        <f t="shared" si="177"/>
        <v>0.391558691334568</v>
      </c>
      <c r="Z100" s="2">
        <f t="shared" si="177"/>
        <v>0.40160800282108738</v>
      </c>
      <c r="AA100" s="2">
        <f t="shared" si="177"/>
        <v>0.41191522880060111</v>
      </c>
      <c r="AB100" s="2">
        <f t="shared" si="177"/>
        <v>0.42248698862069195</v>
      </c>
      <c r="AC100" s="2">
        <f t="shared" si="177"/>
        <v>0.43333007151378283</v>
      </c>
      <c r="AD100" s="2">
        <f t="shared" si="177"/>
        <v>0.4444514409572129</v>
      </c>
      <c r="AE100" s="2">
        <f t="shared" si="177"/>
        <v>0.45585823914521445</v>
      </c>
      <c r="AF100" s="2">
        <f t="shared" si="177"/>
        <v>0.46755779157566274</v>
      </c>
      <c r="AG100" s="2">
        <f t="shared" si="177"/>
        <v>0.47955761175454414</v>
      </c>
      <c r="AH100" s="2">
        <f t="shared" ref="AH100:BJ100" si="178">IF(AH$80&gt;T,"",IF($A100&gt;AH$81,"",IF(T=AH$80,1,EXP(-AH32*h)*((AI100+AI101)/2+cc*h))))</f>
        <v>0.49186540602116391</v>
      </c>
      <c r="AI100" s="2">
        <f t="shared" si="178"/>
        <v>0.5044890784971926</v>
      </c>
      <c r="AJ100" s="2">
        <f t="shared" si="178"/>
        <v>0.51743673616272901</v>
      </c>
      <c r="AK100" s="2">
        <f t="shared" si="178"/>
        <v>0.53071669406263977</v>
      </c>
      <c r="AL100" s="2">
        <f t="shared" si="178"/>
        <v>0.54433748064651921</v>
      </c>
      <c r="AM100" s="2">
        <f t="shared" si="178"/>
        <v>0.5583078432456986</v>
      </c>
      <c r="AN100" s="2">
        <f t="shared" si="178"/>
        <v>0.57263675369082234</v>
      </c>
      <c r="AO100" s="2">
        <f t="shared" si="178"/>
        <v>0.58733341407359829</v>
      </c>
      <c r="AP100" s="2">
        <f t="shared" si="178"/>
        <v>0.60240726265642353</v>
      </c>
      <c r="AQ100" s="2">
        <f t="shared" si="178"/>
        <v>0.61786797993367903</v>
      </c>
      <c r="AR100" s="2">
        <f t="shared" si="178"/>
        <v>0.63372549484858776</v>
      </c>
      <c r="AS100" s="2">
        <f t="shared" si="178"/>
        <v>0.64998999116962719</v>
      </c>
      <c r="AT100" s="2">
        <f t="shared" si="178"/>
        <v>0.66667191403059189</v>
      </c>
      <c r="AU100" s="2">
        <f t="shared" si="178"/>
        <v>0.68378197663850626</v>
      </c>
      <c r="AV100" s="2">
        <f t="shared" si="178"/>
        <v>0.70133116715369492</v>
      </c>
      <c r="AW100" s="2">
        <f t="shared" si="178"/>
        <v>0.71933075574642924</v>
      </c>
      <c r="AX100" s="2">
        <f t="shared" si="178"/>
        <v>0.73779230183468247</v>
      </c>
      <c r="AY100" s="2">
        <f t="shared" si="178"/>
        <v>0.75672766150764059</v>
      </c>
      <c r="AZ100" s="2">
        <f t="shared" si="178"/>
        <v>0.77614899513973701</v>
      </c>
      <c r="BA100" s="2">
        <f t="shared" si="178"/>
        <v>0.79606877520010022</v>
      </c>
      <c r="BB100" s="2">
        <f t="shared" si="178"/>
        <v>0.8164997942624308</v>
      </c>
      <c r="BC100" s="2">
        <f t="shared" si="178"/>
        <v>0.8374551732204506</v>
      </c>
      <c r="BD100" s="2">
        <f t="shared" si="178"/>
        <v>0.8589483697142003</v>
      </c>
      <c r="BE100" s="2">
        <f t="shared" si="178"/>
        <v>0.88099318677259764</v>
      </c>
      <c r="BF100" s="2">
        <f t="shared" si="178"/>
        <v>0.90360378167780531</v>
      </c>
      <c r="BG100" s="2">
        <f t="shared" si="178"/>
        <v>0.92679467505710256</v>
      </c>
      <c r="BH100" s="2">
        <f t="shared" si="178"/>
        <v>0.9505807602080979</v>
      </c>
      <c r="BI100" s="2">
        <f t="shared" si="178"/>
        <v>0.97497731266327314</v>
      </c>
      <c r="BJ100" s="2">
        <f t="shared" si="178"/>
        <v>1</v>
      </c>
    </row>
    <row r="101" spans="1:62" outlineLevel="1">
      <c r="A101" s="11">
        <f t="shared" si="142"/>
        <v>19</v>
      </c>
      <c r="B101" s="2" t="str">
        <f t="shared" ref="B101:AG101" si="179">IF(B$80&gt;T,"",IF($A101&gt;B$81,"",IF(T=B$80,1,EXP(-B33*h)*((C101+C102)/2+cc*h))))</f>
        <v/>
      </c>
      <c r="C101" s="2" t="str">
        <f t="shared" si="179"/>
        <v/>
      </c>
      <c r="D101" s="2" t="str">
        <f t="shared" si="179"/>
        <v/>
      </c>
      <c r="E101" s="2" t="str">
        <f t="shared" si="179"/>
        <v/>
      </c>
      <c r="F101" s="2" t="str">
        <f t="shared" si="179"/>
        <v/>
      </c>
      <c r="G101" s="2" t="str">
        <f t="shared" si="179"/>
        <v/>
      </c>
      <c r="H101" s="2" t="str">
        <f t="shared" si="179"/>
        <v/>
      </c>
      <c r="I101" s="2" t="str">
        <f t="shared" si="179"/>
        <v/>
      </c>
      <c r="J101" s="2" t="str">
        <f t="shared" si="179"/>
        <v/>
      </c>
      <c r="K101" s="2" t="str">
        <f t="shared" si="179"/>
        <v/>
      </c>
      <c r="L101" s="2" t="str">
        <f t="shared" si="179"/>
        <v/>
      </c>
      <c r="M101" s="2" t="str">
        <f t="shared" si="179"/>
        <v/>
      </c>
      <c r="N101" s="2" t="str">
        <f t="shared" si="179"/>
        <v/>
      </c>
      <c r="O101" s="2" t="str">
        <f t="shared" si="179"/>
        <v/>
      </c>
      <c r="P101" s="2" t="str">
        <f t="shared" si="179"/>
        <v/>
      </c>
      <c r="Q101" s="2" t="str">
        <f t="shared" si="179"/>
        <v/>
      </c>
      <c r="R101" s="2" t="str">
        <f t="shared" si="179"/>
        <v/>
      </c>
      <c r="S101" s="2" t="str">
        <f t="shared" si="179"/>
        <v/>
      </c>
      <c r="T101" s="2" t="str">
        <f t="shared" si="179"/>
        <v/>
      </c>
      <c r="U101" s="2">
        <f t="shared" si="179"/>
        <v>0.35381391423872816</v>
      </c>
      <c r="V101" s="2">
        <f t="shared" si="179"/>
        <v>0.36289451010120527</v>
      </c>
      <c r="W101" s="2">
        <f t="shared" si="179"/>
        <v>0.37220815847490163</v>
      </c>
      <c r="X101" s="2">
        <f t="shared" si="179"/>
        <v>0.38176084062732518</v>
      </c>
      <c r="Y101" s="2">
        <f t="shared" si="179"/>
        <v>0.391558691334568</v>
      </c>
      <c r="Z101" s="2">
        <f t="shared" si="179"/>
        <v>0.40160800282108738</v>
      </c>
      <c r="AA101" s="2">
        <f t="shared" si="179"/>
        <v>0.41191522880060111</v>
      </c>
      <c r="AB101" s="2">
        <f t="shared" si="179"/>
        <v>0.42248698862069195</v>
      </c>
      <c r="AC101" s="2">
        <f t="shared" si="179"/>
        <v>0.43333007151378283</v>
      </c>
      <c r="AD101" s="2">
        <f t="shared" si="179"/>
        <v>0.4444514409572129</v>
      </c>
      <c r="AE101" s="2">
        <f t="shared" si="179"/>
        <v>0.45585823914521445</v>
      </c>
      <c r="AF101" s="2">
        <f t="shared" si="179"/>
        <v>0.46755779157566274</v>
      </c>
      <c r="AG101" s="2">
        <f t="shared" si="179"/>
        <v>0.47955761175454414</v>
      </c>
      <c r="AH101" s="2">
        <f t="shared" ref="AH101:BJ101" si="180">IF(AH$80&gt;T,"",IF($A101&gt;AH$81,"",IF(T=AH$80,1,EXP(-AH33*h)*((AI101+AI102)/2+cc*h))))</f>
        <v>0.49186540602116391</v>
      </c>
      <c r="AI101" s="2">
        <f t="shared" si="180"/>
        <v>0.5044890784971926</v>
      </c>
      <c r="AJ101" s="2">
        <f t="shared" si="180"/>
        <v>0.51743673616272901</v>
      </c>
      <c r="AK101" s="2">
        <f t="shared" si="180"/>
        <v>0.53071669406263977</v>
      </c>
      <c r="AL101" s="2">
        <f t="shared" si="180"/>
        <v>0.54433748064651921</v>
      </c>
      <c r="AM101" s="2">
        <f t="shared" si="180"/>
        <v>0.5583078432456986</v>
      </c>
      <c r="AN101" s="2">
        <f t="shared" si="180"/>
        <v>0.57263675369082234</v>
      </c>
      <c r="AO101" s="2">
        <f t="shared" si="180"/>
        <v>0.58733341407359829</v>
      </c>
      <c r="AP101" s="2">
        <f t="shared" si="180"/>
        <v>0.60240726265642353</v>
      </c>
      <c r="AQ101" s="2">
        <f t="shared" si="180"/>
        <v>0.61786797993367903</v>
      </c>
      <c r="AR101" s="2">
        <f t="shared" si="180"/>
        <v>0.63372549484858776</v>
      </c>
      <c r="AS101" s="2">
        <f t="shared" si="180"/>
        <v>0.64998999116962719</v>
      </c>
      <c r="AT101" s="2">
        <f t="shared" si="180"/>
        <v>0.66667191403059189</v>
      </c>
      <c r="AU101" s="2">
        <f t="shared" si="180"/>
        <v>0.68378197663850626</v>
      </c>
      <c r="AV101" s="2">
        <f t="shared" si="180"/>
        <v>0.70133116715369492</v>
      </c>
      <c r="AW101" s="2">
        <f t="shared" si="180"/>
        <v>0.71933075574642924</v>
      </c>
      <c r="AX101" s="2">
        <f t="shared" si="180"/>
        <v>0.73779230183468247</v>
      </c>
      <c r="AY101" s="2">
        <f t="shared" si="180"/>
        <v>0.75672766150764059</v>
      </c>
      <c r="AZ101" s="2">
        <f t="shared" si="180"/>
        <v>0.77614899513973701</v>
      </c>
      <c r="BA101" s="2">
        <f t="shared" si="180"/>
        <v>0.79606877520010022</v>
      </c>
      <c r="BB101" s="2">
        <f t="shared" si="180"/>
        <v>0.8164997942624308</v>
      </c>
      <c r="BC101" s="2">
        <f t="shared" si="180"/>
        <v>0.8374551732204506</v>
      </c>
      <c r="BD101" s="2">
        <f t="shared" si="180"/>
        <v>0.8589483697142003</v>
      </c>
      <c r="BE101" s="2">
        <f t="shared" si="180"/>
        <v>0.88099318677259764</v>
      </c>
      <c r="BF101" s="2">
        <f t="shared" si="180"/>
        <v>0.90360378167780531</v>
      </c>
      <c r="BG101" s="2">
        <f t="shared" si="180"/>
        <v>0.92679467505710256</v>
      </c>
      <c r="BH101" s="2">
        <f t="shared" si="180"/>
        <v>0.9505807602080979</v>
      </c>
      <c r="BI101" s="2">
        <f t="shared" si="180"/>
        <v>0.97497731266327314</v>
      </c>
      <c r="BJ101" s="2">
        <f t="shared" si="180"/>
        <v>1</v>
      </c>
    </row>
    <row r="102" spans="1:62" outlineLevel="1">
      <c r="A102" s="11">
        <f t="shared" si="142"/>
        <v>20</v>
      </c>
      <c r="B102" s="2" t="str">
        <f t="shared" ref="B102:AG102" si="181">IF(B$80&gt;T,"",IF($A102&gt;B$81,"",IF(T=B$80,1,EXP(-B34*h)*((C102+C103)/2+cc*h))))</f>
        <v/>
      </c>
      <c r="C102" s="2" t="str">
        <f t="shared" si="181"/>
        <v/>
      </c>
      <c r="D102" s="2" t="str">
        <f t="shared" si="181"/>
        <v/>
      </c>
      <c r="E102" s="2" t="str">
        <f t="shared" si="181"/>
        <v/>
      </c>
      <c r="F102" s="2" t="str">
        <f t="shared" si="181"/>
        <v/>
      </c>
      <c r="G102" s="2" t="str">
        <f t="shared" si="181"/>
        <v/>
      </c>
      <c r="H102" s="2" t="str">
        <f t="shared" si="181"/>
        <v/>
      </c>
      <c r="I102" s="2" t="str">
        <f t="shared" si="181"/>
        <v/>
      </c>
      <c r="J102" s="2" t="str">
        <f t="shared" si="181"/>
        <v/>
      </c>
      <c r="K102" s="2" t="str">
        <f t="shared" si="181"/>
        <v/>
      </c>
      <c r="L102" s="2" t="str">
        <f t="shared" si="181"/>
        <v/>
      </c>
      <c r="M102" s="2" t="str">
        <f t="shared" si="181"/>
        <v/>
      </c>
      <c r="N102" s="2" t="str">
        <f t="shared" si="181"/>
        <v/>
      </c>
      <c r="O102" s="2" t="str">
        <f t="shared" si="181"/>
        <v/>
      </c>
      <c r="P102" s="2" t="str">
        <f t="shared" si="181"/>
        <v/>
      </c>
      <c r="Q102" s="2" t="str">
        <f t="shared" si="181"/>
        <v/>
      </c>
      <c r="R102" s="2" t="str">
        <f t="shared" si="181"/>
        <v/>
      </c>
      <c r="S102" s="2" t="str">
        <f t="shared" si="181"/>
        <v/>
      </c>
      <c r="T102" s="2" t="str">
        <f t="shared" si="181"/>
        <v/>
      </c>
      <c r="U102" s="2" t="str">
        <f t="shared" si="181"/>
        <v/>
      </c>
      <c r="V102" s="2">
        <f t="shared" si="181"/>
        <v>0.36289451010120527</v>
      </c>
      <c r="W102" s="2">
        <f t="shared" si="181"/>
        <v>0.37220815847490163</v>
      </c>
      <c r="X102" s="2">
        <f t="shared" si="181"/>
        <v>0.38176084062732518</v>
      </c>
      <c r="Y102" s="2">
        <f t="shared" si="181"/>
        <v>0.391558691334568</v>
      </c>
      <c r="Z102" s="2">
        <f t="shared" si="181"/>
        <v>0.40160800282108738</v>
      </c>
      <c r="AA102" s="2">
        <f t="shared" si="181"/>
        <v>0.41191522880060111</v>
      </c>
      <c r="AB102" s="2">
        <f t="shared" si="181"/>
        <v>0.42248698862069195</v>
      </c>
      <c r="AC102" s="2">
        <f t="shared" si="181"/>
        <v>0.43333007151378283</v>
      </c>
      <c r="AD102" s="2">
        <f t="shared" si="181"/>
        <v>0.4444514409572129</v>
      </c>
      <c r="AE102" s="2">
        <f t="shared" si="181"/>
        <v>0.45585823914521445</v>
      </c>
      <c r="AF102" s="2">
        <f t="shared" si="181"/>
        <v>0.46755779157566274</v>
      </c>
      <c r="AG102" s="2">
        <f t="shared" si="181"/>
        <v>0.47955761175454414</v>
      </c>
      <c r="AH102" s="2">
        <f t="shared" ref="AH102:BJ102" si="182">IF(AH$80&gt;T,"",IF($A102&gt;AH$81,"",IF(T=AH$80,1,EXP(-AH34*h)*((AI102+AI103)/2+cc*h))))</f>
        <v>0.49186540602116391</v>
      </c>
      <c r="AI102" s="2">
        <f t="shared" si="182"/>
        <v>0.5044890784971926</v>
      </c>
      <c r="AJ102" s="2">
        <f t="shared" si="182"/>
        <v>0.51743673616272901</v>
      </c>
      <c r="AK102" s="2">
        <f t="shared" si="182"/>
        <v>0.53071669406263977</v>
      </c>
      <c r="AL102" s="2">
        <f t="shared" si="182"/>
        <v>0.54433748064651921</v>
      </c>
      <c r="AM102" s="2">
        <f t="shared" si="182"/>
        <v>0.5583078432456986</v>
      </c>
      <c r="AN102" s="2">
        <f t="shared" si="182"/>
        <v>0.57263675369082234</v>
      </c>
      <c r="AO102" s="2">
        <f t="shared" si="182"/>
        <v>0.58733341407359829</v>
      </c>
      <c r="AP102" s="2">
        <f t="shared" si="182"/>
        <v>0.60240726265642353</v>
      </c>
      <c r="AQ102" s="2">
        <f t="shared" si="182"/>
        <v>0.61786797993367903</v>
      </c>
      <c r="AR102" s="2">
        <f t="shared" si="182"/>
        <v>0.63372549484858776</v>
      </c>
      <c r="AS102" s="2">
        <f t="shared" si="182"/>
        <v>0.64998999116962719</v>
      </c>
      <c r="AT102" s="2">
        <f t="shared" si="182"/>
        <v>0.66667191403059189</v>
      </c>
      <c r="AU102" s="2">
        <f t="shared" si="182"/>
        <v>0.68378197663850626</v>
      </c>
      <c r="AV102" s="2">
        <f t="shared" si="182"/>
        <v>0.70133116715369492</v>
      </c>
      <c r="AW102" s="2">
        <f t="shared" si="182"/>
        <v>0.71933075574642924</v>
      </c>
      <c r="AX102" s="2">
        <f t="shared" si="182"/>
        <v>0.73779230183468247</v>
      </c>
      <c r="AY102" s="2">
        <f t="shared" si="182"/>
        <v>0.75672766150764059</v>
      </c>
      <c r="AZ102" s="2">
        <f t="shared" si="182"/>
        <v>0.77614899513973701</v>
      </c>
      <c r="BA102" s="2">
        <f t="shared" si="182"/>
        <v>0.79606877520010022</v>
      </c>
      <c r="BB102" s="2">
        <f t="shared" si="182"/>
        <v>0.8164997942624308</v>
      </c>
      <c r="BC102" s="2">
        <f t="shared" si="182"/>
        <v>0.8374551732204506</v>
      </c>
      <c r="BD102" s="2">
        <f t="shared" si="182"/>
        <v>0.8589483697142003</v>
      </c>
      <c r="BE102" s="2">
        <f t="shared" si="182"/>
        <v>0.88099318677259764</v>
      </c>
      <c r="BF102" s="2">
        <f t="shared" si="182"/>
        <v>0.90360378167780531</v>
      </c>
      <c r="BG102" s="2">
        <f t="shared" si="182"/>
        <v>0.92679467505710256</v>
      </c>
      <c r="BH102" s="2">
        <f t="shared" si="182"/>
        <v>0.9505807602080979</v>
      </c>
      <c r="BI102" s="2">
        <f t="shared" si="182"/>
        <v>0.97497731266327314</v>
      </c>
      <c r="BJ102" s="2">
        <f t="shared" si="182"/>
        <v>1</v>
      </c>
    </row>
    <row r="103" spans="1:62" outlineLevel="1">
      <c r="A103" s="11">
        <f t="shared" si="142"/>
        <v>21</v>
      </c>
      <c r="B103" s="2" t="str">
        <f t="shared" ref="B103:AG103" si="183">IF(B$80&gt;T,"",IF($A103&gt;B$81,"",IF(T=B$80,1,EXP(-B35*h)*((C103+C104)/2+cc*h))))</f>
        <v/>
      </c>
      <c r="C103" s="2" t="str">
        <f t="shared" si="183"/>
        <v/>
      </c>
      <c r="D103" s="2" t="str">
        <f t="shared" si="183"/>
        <v/>
      </c>
      <c r="E103" s="2" t="str">
        <f t="shared" si="183"/>
        <v/>
      </c>
      <c r="F103" s="2" t="str">
        <f t="shared" si="183"/>
        <v/>
      </c>
      <c r="G103" s="2" t="str">
        <f t="shared" si="183"/>
        <v/>
      </c>
      <c r="H103" s="2" t="str">
        <f t="shared" si="183"/>
        <v/>
      </c>
      <c r="I103" s="2" t="str">
        <f t="shared" si="183"/>
        <v/>
      </c>
      <c r="J103" s="2" t="str">
        <f t="shared" si="183"/>
        <v/>
      </c>
      <c r="K103" s="2" t="str">
        <f t="shared" si="183"/>
        <v/>
      </c>
      <c r="L103" s="2" t="str">
        <f t="shared" si="183"/>
        <v/>
      </c>
      <c r="M103" s="2" t="str">
        <f t="shared" si="183"/>
        <v/>
      </c>
      <c r="N103" s="2" t="str">
        <f t="shared" si="183"/>
        <v/>
      </c>
      <c r="O103" s="2" t="str">
        <f t="shared" si="183"/>
        <v/>
      </c>
      <c r="P103" s="2" t="str">
        <f t="shared" si="183"/>
        <v/>
      </c>
      <c r="Q103" s="2" t="str">
        <f t="shared" si="183"/>
        <v/>
      </c>
      <c r="R103" s="2" t="str">
        <f t="shared" si="183"/>
        <v/>
      </c>
      <c r="S103" s="2" t="str">
        <f t="shared" si="183"/>
        <v/>
      </c>
      <c r="T103" s="2" t="str">
        <f t="shared" si="183"/>
        <v/>
      </c>
      <c r="U103" s="2" t="str">
        <f t="shared" si="183"/>
        <v/>
      </c>
      <c r="V103" s="2" t="str">
        <f t="shared" si="183"/>
        <v/>
      </c>
      <c r="W103" s="2">
        <f t="shared" si="183"/>
        <v>0.37220815847490163</v>
      </c>
      <c r="X103" s="2">
        <f t="shared" si="183"/>
        <v>0.38176084062732518</v>
      </c>
      <c r="Y103" s="2">
        <f t="shared" si="183"/>
        <v>0.391558691334568</v>
      </c>
      <c r="Z103" s="2">
        <f t="shared" si="183"/>
        <v>0.40160800282108738</v>
      </c>
      <c r="AA103" s="2">
        <f t="shared" si="183"/>
        <v>0.41191522880060111</v>
      </c>
      <c r="AB103" s="2">
        <f t="shared" si="183"/>
        <v>0.42248698862069195</v>
      </c>
      <c r="AC103" s="2">
        <f t="shared" si="183"/>
        <v>0.43333007151378283</v>
      </c>
      <c r="AD103" s="2">
        <f t="shared" si="183"/>
        <v>0.4444514409572129</v>
      </c>
      <c r="AE103" s="2">
        <f t="shared" si="183"/>
        <v>0.45585823914521445</v>
      </c>
      <c r="AF103" s="2">
        <f t="shared" si="183"/>
        <v>0.46755779157566274</v>
      </c>
      <c r="AG103" s="2">
        <f t="shared" si="183"/>
        <v>0.47955761175454414</v>
      </c>
      <c r="AH103" s="2">
        <f t="shared" ref="AH103:BJ103" si="184">IF(AH$80&gt;T,"",IF($A103&gt;AH$81,"",IF(T=AH$80,1,EXP(-AH35*h)*((AI103+AI104)/2+cc*h))))</f>
        <v>0.49186540602116391</v>
      </c>
      <c r="AI103" s="2">
        <f t="shared" si="184"/>
        <v>0.5044890784971926</v>
      </c>
      <c r="AJ103" s="2">
        <f t="shared" si="184"/>
        <v>0.51743673616272901</v>
      </c>
      <c r="AK103" s="2">
        <f t="shared" si="184"/>
        <v>0.53071669406263977</v>
      </c>
      <c r="AL103" s="2">
        <f t="shared" si="184"/>
        <v>0.54433748064651921</v>
      </c>
      <c r="AM103" s="2">
        <f t="shared" si="184"/>
        <v>0.5583078432456986</v>
      </c>
      <c r="AN103" s="2">
        <f t="shared" si="184"/>
        <v>0.57263675369082234</v>
      </c>
      <c r="AO103" s="2">
        <f t="shared" si="184"/>
        <v>0.58733341407359829</v>
      </c>
      <c r="AP103" s="2">
        <f t="shared" si="184"/>
        <v>0.60240726265642353</v>
      </c>
      <c r="AQ103" s="2">
        <f t="shared" si="184"/>
        <v>0.61786797993367903</v>
      </c>
      <c r="AR103" s="2">
        <f t="shared" si="184"/>
        <v>0.63372549484858776</v>
      </c>
      <c r="AS103" s="2">
        <f t="shared" si="184"/>
        <v>0.64998999116962719</v>
      </c>
      <c r="AT103" s="2">
        <f t="shared" si="184"/>
        <v>0.66667191403059189</v>
      </c>
      <c r="AU103" s="2">
        <f t="shared" si="184"/>
        <v>0.68378197663850626</v>
      </c>
      <c r="AV103" s="2">
        <f t="shared" si="184"/>
        <v>0.70133116715369492</v>
      </c>
      <c r="AW103" s="2">
        <f t="shared" si="184"/>
        <v>0.71933075574642924</v>
      </c>
      <c r="AX103" s="2">
        <f t="shared" si="184"/>
        <v>0.73779230183468247</v>
      </c>
      <c r="AY103" s="2">
        <f t="shared" si="184"/>
        <v>0.75672766150764059</v>
      </c>
      <c r="AZ103" s="2">
        <f t="shared" si="184"/>
        <v>0.77614899513973701</v>
      </c>
      <c r="BA103" s="2">
        <f t="shared" si="184"/>
        <v>0.79606877520010022</v>
      </c>
      <c r="BB103" s="2">
        <f t="shared" si="184"/>
        <v>0.8164997942624308</v>
      </c>
      <c r="BC103" s="2">
        <f t="shared" si="184"/>
        <v>0.8374551732204506</v>
      </c>
      <c r="BD103" s="2">
        <f t="shared" si="184"/>
        <v>0.8589483697142003</v>
      </c>
      <c r="BE103" s="2">
        <f t="shared" si="184"/>
        <v>0.88099318677259764</v>
      </c>
      <c r="BF103" s="2">
        <f t="shared" si="184"/>
        <v>0.90360378167780531</v>
      </c>
      <c r="BG103" s="2">
        <f t="shared" si="184"/>
        <v>0.92679467505710256</v>
      </c>
      <c r="BH103" s="2">
        <f t="shared" si="184"/>
        <v>0.9505807602080979</v>
      </c>
      <c r="BI103" s="2">
        <f t="shared" si="184"/>
        <v>0.97497731266327314</v>
      </c>
      <c r="BJ103" s="2">
        <f t="shared" si="184"/>
        <v>1</v>
      </c>
    </row>
    <row r="104" spans="1:62" outlineLevel="1">
      <c r="A104" s="11">
        <f t="shared" si="142"/>
        <v>22</v>
      </c>
      <c r="B104" s="2" t="str">
        <f t="shared" ref="B104:AG104" si="185">IF(B$80&gt;T,"",IF($A104&gt;B$81,"",IF(T=B$80,1,EXP(-B36*h)*((C104+C105)/2+cc*h))))</f>
        <v/>
      </c>
      <c r="C104" s="2" t="str">
        <f t="shared" si="185"/>
        <v/>
      </c>
      <c r="D104" s="2" t="str">
        <f t="shared" si="185"/>
        <v/>
      </c>
      <c r="E104" s="2" t="str">
        <f t="shared" si="185"/>
        <v/>
      </c>
      <c r="F104" s="2" t="str">
        <f t="shared" si="185"/>
        <v/>
      </c>
      <c r="G104" s="2" t="str">
        <f t="shared" si="185"/>
        <v/>
      </c>
      <c r="H104" s="2" t="str">
        <f t="shared" si="185"/>
        <v/>
      </c>
      <c r="I104" s="2" t="str">
        <f t="shared" si="185"/>
        <v/>
      </c>
      <c r="J104" s="2" t="str">
        <f t="shared" si="185"/>
        <v/>
      </c>
      <c r="K104" s="2" t="str">
        <f t="shared" si="185"/>
        <v/>
      </c>
      <c r="L104" s="2" t="str">
        <f t="shared" si="185"/>
        <v/>
      </c>
      <c r="M104" s="2" t="str">
        <f t="shared" si="185"/>
        <v/>
      </c>
      <c r="N104" s="2" t="str">
        <f t="shared" si="185"/>
        <v/>
      </c>
      <c r="O104" s="2" t="str">
        <f t="shared" si="185"/>
        <v/>
      </c>
      <c r="P104" s="2" t="str">
        <f t="shared" si="185"/>
        <v/>
      </c>
      <c r="Q104" s="2" t="str">
        <f t="shared" si="185"/>
        <v/>
      </c>
      <c r="R104" s="2" t="str">
        <f t="shared" si="185"/>
        <v/>
      </c>
      <c r="S104" s="2" t="str">
        <f t="shared" si="185"/>
        <v/>
      </c>
      <c r="T104" s="2" t="str">
        <f t="shared" si="185"/>
        <v/>
      </c>
      <c r="U104" s="2" t="str">
        <f t="shared" si="185"/>
        <v/>
      </c>
      <c r="V104" s="2" t="str">
        <f t="shared" si="185"/>
        <v/>
      </c>
      <c r="W104" s="2" t="str">
        <f t="shared" si="185"/>
        <v/>
      </c>
      <c r="X104" s="2">
        <f t="shared" si="185"/>
        <v>0.38176084062732518</v>
      </c>
      <c r="Y104" s="2">
        <f t="shared" si="185"/>
        <v>0.391558691334568</v>
      </c>
      <c r="Z104" s="2">
        <f t="shared" si="185"/>
        <v>0.40160800282108738</v>
      </c>
      <c r="AA104" s="2">
        <f t="shared" si="185"/>
        <v>0.41191522880060111</v>
      </c>
      <c r="AB104" s="2">
        <f t="shared" si="185"/>
        <v>0.42248698862069195</v>
      </c>
      <c r="AC104" s="2">
        <f t="shared" si="185"/>
        <v>0.43333007151378283</v>
      </c>
      <c r="AD104" s="2">
        <f t="shared" si="185"/>
        <v>0.4444514409572129</v>
      </c>
      <c r="AE104" s="2">
        <f t="shared" si="185"/>
        <v>0.45585823914521445</v>
      </c>
      <c r="AF104" s="2">
        <f t="shared" si="185"/>
        <v>0.46755779157566274</v>
      </c>
      <c r="AG104" s="2">
        <f t="shared" si="185"/>
        <v>0.47955761175454414</v>
      </c>
      <c r="AH104" s="2">
        <f t="shared" ref="AH104:BJ104" si="186">IF(AH$80&gt;T,"",IF($A104&gt;AH$81,"",IF(T=AH$80,1,EXP(-AH36*h)*((AI104+AI105)/2+cc*h))))</f>
        <v>0.49186540602116391</v>
      </c>
      <c r="AI104" s="2">
        <f t="shared" si="186"/>
        <v>0.5044890784971926</v>
      </c>
      <c r="AJ104" s="2">
        <f t="shared" si="186"/>
        <v>0.51743673616272901</v>
      </c>
      <c r="AK104" s="2">
        <f t="shared" si="186"/>
        <v>0.53071669406263977</v>
      </c>
      <c r="AL104" s="2">
        <f t="shared" si="186"/>
        <v>0.54433748064651921</v>
      </c>
      <c r="AM104" s="2">
        <f t="shared" si="186"/>
        <v>0.5583078432456986</v>
      </c>
      <c r="AN104" s="2">
        <f t="shared" si="186"/>
        <v>0.57263675369082234</v>
      </c>
      <c r="AO104" s="2">
        <f t="shared" si="186"/>
        <v>0.58733341407359829</v>
      </c>
      <c r="AP104" s="2">
        <f t="shared" si="186"/>
        <v>0.60240726265642353</v>
      </c>
      <c r="AQ104" s="2">
        <f t="shared" si="186"/>
        <v>0.61786797993367903</v>
      </c>
      <c r="AR104" s="2">
        <f t="shared" si="186"/>
        <v>0.63372549484858776</v>
      </c>
      <c r="AS104" s="2">
        <f t="shared" si="186"/>
        <v>0.64998999116962719</v>
      </c>
      <c r="AT104" s="2">
        <f t="shared" si="186"/>
        <v>0.66667191403059189</v>
      </c>
      <c r="AU104" s="2">
        <f t="shared" si="186"/>
        <v>0.68378197663850626</v>
      </c>
      <c r="AV104" s="2">
        <f t="shared" si="186"/>
        <v>0.70133116715369492</v>
      </c>
      <c r="AW104" s="2">
        <f t="shared" si="186"/>
        <v>0.71933075574642924</v>
      </c>
      <c r="AX104" s="2">
        <f t="shared" si="186"/>
        <v>0.73779230183468247</v>
      </c>
      <c r="AY104" s="2">
        <f t="shared" si="186"/>
        <v>0.75672766150764059</v>
      </c>
      <c r="AZ104" s="2">
        <f t="shared" si="186"/>
        <v>0.77614899513973701</v>
      </c>
      <c r="BA104" s="2">
        <f t="shared" si="186"/>
        <v>0.79606877520010022</v>
      </c>
      <c r="BB104" s="2">
        <f t="shared" si="186"/>
        <v>0.8164997942624308</v>
      </c>
      <c r="BC104" s="2">
        <f t="shared" si="186"/>
        <v>0.8374551732204506</v>
      </c>
      <c r="BD104" s="2">
        <f t="shared" si="186"/>
        <v>0.8589483697142003</v>
      </c>
      <c r="BE104" s="2">
        <f t="shared" si="186"/>
        <v>0.88099318677259764</v>
      </c>
      <c r="BF104" s="2">
        <f t="shared" si="186"/>
        <v>0.90360378167780531</v>
      </c>
      <c r="BG104" s="2">
        <f t="shared" si="186"/>
        <v>0.92679467505710256</v>
      </c>
      <c r="BH104" s="2">
        <f t="shared" si="186"/>
        <v>0.9505807602080979</v>
      </c>
      <c r="BI104" s="2">
        <f t="shared" si="186"/>
        <v>0.97497731266327314</v>
      </c>
      <c r="BJ104" s="2">
        <f t="shared" si="186"/>
        <v>1</v>
      </c>
    </row>
    <row r="105" spans="1:62" outlineLevel="1">
      <c r="A105" s="11">
        <f t="shared" si="142"/>
        <v>23</v>
      </c>
      <c r="B105" s="2" t="str">
        <f t="shared" ref="B105:AG105" si="187">IF(B$80&gt;T,"",IF($A105&gt;B$81,"",IF(T=B$80,1,EXP(-B37*h)*((C105+C106)/2+cc*h))))</f>
        <v/>
      </c>
      <c r="C105" s="2" t="str">
        <f t="shared" si="187"/>
        <v/>
      </c>
      <c r="D105" s="2" t="str">
        <f t="shared" si="187"/>
        <v/>
      </c>
      <c r="E105" s="2" t="str">
        <f t="shared" si="187"/>
        <v/>
      </c>
      <c r="F105" s="2" t="str">
        <f t="shared" si="187"/>
        <v/>
      </c>
      <c r="G105" s="2" t="str">
        <f t="shared" si="187"/>
        <v/>
      </c>
      <c r="H105" s="2" t="str">
        <f t="shared" si="187"/>
        <v/>
      </c>
      <c r="I105" s="2" t="str">
        <f t="shared" si="187"/>
        <v/>
      </c>
      <c r="J105" s="2" t="str">
        <f t="shared" si="187"/>
        <v/>
      </c>
      <c r="K105" s="2" t="str">
        <f t="shared" si="187"/>
        <v/>
      </c>
      <c r="L105" s="2" t="str">
        <f t="shared" si="187"/>
        <v/>
      </c>
      <c r="M105" s="2" t="str">
        <f t="shared" si="187"/>
        <v/>
      </c>
      <c r="N105" s="2" t="str">
        <f t="shared" si="187"/>
        <v/>
      </c>
      <c r="O105" s="2" t="str">
        <f t="shared" si="187"/>
        <v/>
      </c>
      <c r="P105" s="2" t="str">
        <f t="shared" si="187"/>
        <v/>
      </c>
      <c r="Q105" s="2" t="str">
        <f t="shared" si="187"/>
        <v/>
      </c>
      <c r="R105" s="2" t="str">
        <f t="shared" si="187"/>
        <v/>
      </c>
      <c r="S105" s="2" t="str">
        <f t="shared" si="187"/>
        <v/>
      </c>
      <c r="T105" s="2" t="str">
        <f t="shared" si="187"/>
        <v/>
      </c>
      <c r="U105" s="2" t="str">
        <f t="shared" si="187"/>
        <v/>
      </c>
      <c r="V105" s="2" t="str">
        <f t="shared" si="187"/>
        <v/>
      </c>
      <c r="W105" s="2" t="str">
        <f t="shared" si="187"/>
        <v/>
      </c>
      <c r="X105" s="2" t="str">
        <f t="shared" si="187"/>
        <v/>
      </c>
      <c r="Y105" s="2">
        <f t="shared" si="187"/>
        <v>0.391558691334568</v>
      </c>
      <c r="Z105" s="2">
        <f t="shared" si="187"/>
        <v>0.40160800282108738</v>
      </c>
      <c r="AA105" s="2">
        <f t="shared" si="187"/>
        <v>0.41191522880060111</v>
      </c>
      <c r="AB105" s="2">
        <f t="shared" si="187"/>
        <v>0.42248698862069195</v>
      </c>
      <c r="AC105" s="2">
        <f t="shared" si="187"/>
        <v>0.43333007151378283</v>
      </c>
      <c r="AD105" s="2">
        <f t="shared" si="187"/>
        <v>0.4444514409572129</v>
      </c>
      <c r="AE105" s="2">
        <f t="shared" si="187"/>
        <v>0.45585823914521445</v>
      </c>
      <c r="AF105" s="2">
        <f t="shared" si="187"/>
        <v>0.46755779157566274</v>
      </c>
      <c r="AG105" s="2">
        <f t="shared" si="187"/>
        <v>0.47955761175454414</v>
      </c>
      <c r="AH105" s="2">
        <f t="shared" ref="AH105:BJ105" si="188">IF(AH$80&gt;T,"",IF($A105&gt;AH$81,"",IF(T=AH$80,1,EXP(-AH37*h)*((AI105+AI106)/2+cc*h))))</f>
        <v>0.49186540602116391</v>
      </c>
      <c r="AI105" s="2">
        <f t="shared" si="188"/>
        <v>0.5044890784971926</v>
      </c>
      <c r="AJ105" s="2">
        <f t="shared" si="188"/>
        <v>0.51743673616272901</v>
      </c>
      <c r="AK105" s="2">
        <f t="shared" si="188"/>
        <v>0.53071669406263977</v>
      </c>
      <c r="AL105" s="2">
        <f t="shared" si="188"/>
        <v>0.54433748064651921</v>
      </c>
      <c r="AM105" s="2">
        <f t="shared" si="188"/>
        <v>0.5583078432456986</v>
      </c>
      <c r="AN105" s="2">
        <f t="shared" si="188"/>
        <v>0.57263675369082234</v>
      </c>
      <c r="AO105" s="2">
        <f t="shared" si="188"/>
        <v>0.58733341407359829</v>
      </c>
      <c r="AP105" s="2">
        <f t="shared" si="188"/>
        <v>0.60240726265642353</v>
      </c>
      <c r="AQ105" s="2">
        <f t="shared" si="188"/>
        <v>0.61786797993367903</v>
      </c>
      <c r="AR105" s="2">
        <f t="shared" si="188"/>
        <v>0.63372549484858776</v>
      </c>
      <c r="AS105" s="2">
        <f t="shared" si="188"/>
        <v>0.64998999116962719</v>
      </c>
      <c r="AT105" s="2">
        <f t="shared" si="188"/>
        <v>0.66667191403059189</v>
      </c>
      <c r="AU105" s="2">
        <f t="shared" si="188"/>
        <v>0.68378197663850626</v>
      </c>
      <c r="AV105" s="2">
        <f t="shared" si="188"/>
        <v>0.70133116715369492</v>
      </c>
      <c r="AW105" s="2">
        <f t="shared" si="188"/>
        <v>0.71933075574642924</v>
      </c>
      <c r="AX105" s="2">
        <f t="shared" si="188"/>
        <v>0.73779230183468247</v>
      </c>
      <c r="AY105" s="2">
        <f t="shared" si="188"/>
        <v>0.75672766150764059</v>
      </c>
      <c r="AZ105" s="2">
        <f t="shared" si="188"/>
        <v>0.77614899513973701</v>
      </c>
      <c r="BA105" s="2">
        <f t="shared" si="188"/>
        <v>0.79606877520010022</v>
      </c>
      <c r="BB105" s="2">
        <f t="shared" si="188"/>
        <v>0.8164997942624308</v>
      </c>
      <c r="BC105" s="2">
        <f t="shared" si="188"/>
        <v>0.8374551732204506</v>
      </c>
      <c r="BD105" s="2">
        <f t="shared" si="188"/>
        <v>0.8589483697142003</v>
      </c>
      <c r="BE105" s="2">
        <f t="shared" si="188"/>
        <v>0.88099318677259764</v>
      </c>
      <c r="BF105" s="2">
        <f t="shared" si="188"/>
        <v>0.90360378167780531</v>
      </c>
      <c r="BG105" s="2">
        <f t="shared" si="188"/>
        <v>0.92679467505710256</v>
      </c>
      <c r="BH105" s="2">
        <f t="shared" si="188"/>
        <v>0.9505807602080979</v>
      </c>
      <c r="BI105" s="2">
        <f t="shared" si="188"/>
        <v>0.97497731266327314</v>
      </c>
      <c r="BJ105" s="2">
        <f t="shared" si="188"/>
        <v>1</v>
      </c>
    </row>
    <row r="106" spans="1:62" outlineLevel="1">
      <c r="A106" s="11">
        <f t="shared" si="142"/>
        <v>24</v>
      </c>
      <c r="B106" s="2" t="str">
        <f t="shared" ref="B106:AG106" si="189">IF(B$80&gt;T,"",IF($A106&gt;B$81,"",IF(T=B$80,1,EXP(-B38*h)*((C106+C107)/2+cc*h))))</f>
        <v/>
      </c>
      <c r="C106" s="2" t="str">
        <f t="shared" si="189"/>
        <v/>
      </c>
      <c r="D106" s="2" t="str">
        <f t="shared" si="189"/>
        <v/>
      </c>
      <c r="E106" s="2" t="str">
        <f t="shared" si="189"/>
        <v/>
      </c>
      <c r="F106" s="2" t="str">
        <f t="shared" si="189"/>
        <v/>
      </c>
      <c r="G106" s="2" t="str">
        <f t="shared" si="189"/>
        <v/>
      </c>
      <c r="H106" s="2" t="str">
        <f t="shared" si="189"/>
        <v/>
      </c>
      <c r="I106" s="2" t="str">
        <f t="shared" si="189"/>
        <v/>
      </c>
      <c r="J106" s="2" t="str">
        <f t="shared" si="189"/>
        <v/>
      </c>
      <c r="K106" s="2" t="str">
        <f t="shared" si="189"/>
        <v/>
      </c>
      <c r="L106" s="2" t="str">
        <f t="shared" si="189"/>
        <v/>
      </c>
      <c r="M106" s="2" t="str">
        <f t="shared" si="189"/>
        <v/>
      </c>
      <c r="N106" s="2" t="str">
        <f t="shared" si="189"/>
        <v/>
      </c>
      <c r="O106" s="2" t="str">
        <f t="shared" si="189"/>
        <v/>
      </c>
      <c r="P106" s="2" t="str">
        <f t="shared" si="189"/>
        <v/>
      </c>
      <c r="Q106" s="2" t="str">
        <f t="shared" si="189"/>
        <v/>
      </c>
      <c r="R106" s="2" t="str">
        <f t="shared" si="189"/>
        <v/>
      </c>
      <c r="S106" s="2" t="str">
        <f t="shared" si="189"/>
        <v/>
      </c>
      <c r="T106" s="2" t="str">
        <f t="shared" si="189"/>
        <v/>
      </c>
      <c r="U106" s="2" t="str">
        <f t="shared" si="189"/>
        <v/>
      </c>
      <c r="V106" s="2" t="str">
        <f t="shared" si="189"/>
        <v/>
      </c>
      <c r="W106" s="2" t="str">
        <f t="shared" si="189"/>
        <v/>
      </c>
      <c r="X106" s="2" t="str">
        <f t="shared" si="189"/>
        <v/>
      </c>
      <c r="Y106" s="2" t="str">
        <f t="shared" si="189"/>
        <v/>
      </c>
      <c r="Z106" s="2">
        <f t="shared" si="189"/>
        <v>0.40160800282108738</v>
      </c>
      <c r="AA106" s="2">
        <f t="shared" si="189"/>
        <v>0.41191522880060111</v>
      </c>
      <c r="AB106" s="2">
        <f t="shared" si="189"/>
        <v>0.42248698862069195</v>
      </c>
      <c r="AC106" s="2">
        <f t="shared" si="189"/>
        <v>0.43333007151378283</v>
      </c>
      <c r="AD106" s="2">
        <f t="shared" si="189"/>
        <v>0.4444514409572129</v>
      </c>
      <c r="AE106" s="2">
        <f t="shared" si="189"/>
        <v>0.45585823914521445</v>
      </c>
      <c r="AF106" s="2">
        <f t="shared" si="189"/>
        <v>0.46755779157566274</v>
      </c>
      <c r="AG106" s="2">
        <f t="shared" si="189"/>
        <v>0.47955761175454414</v>
      </c>
      <c r="AH106" s="2">
        <f t="shared" ref="AH106:BJ106" si="190">IF(AH$80&gt;T,"",IF($A106&gt;AH$81,"",IF(T=AH$80,1,EXP(-AH38*h)*((AI106+AI107)/2+cc*h))))</f>
        <v>0.49186540602116391</v>
      </c>
      <c r="AI106" s="2">
        <f t="shared" si="190"/>
        <v>0.5044890784971926</v>
      </c>
      <c r="AJ106" s="2">
        <f t="shared" si="190"/>
        <v>0.51743673616272901</v>
      </c>
      <c r="AK106" s="2">
        <f t="shared" si="190"/>
        <v>0.53071669406263977</v>
      </c>
      <c r="AL106" s="2">
        <f t="shared" si="190"/>
        <v>0.54433748064651921</v>
      </c>
      <c r="AM106" s="2">
        <f t="shared" si="190"/>
        <v>0.5583078432456986</v>
      </c>
      <c r="AN106" s="2">
        <f t="shared" si="190"/>
        <v>0.57263675369082234</v>
      </c>
      <c r="AO106" s="2">
        <f t="shared" si="190"/>
        <v>0.58733341407359829</v>
      </c>
      <c r="AP106" s="2">
        <f t="shared" si="190"/>
        <v>0.60240726265642353</v>
      </c>
      <c r="AQ106" s="2">
        <f t="shared" si="190"/>
        <v>0.61786797993367903</v>
      </c>
      <c r="AR106" s="2">
        <f t="shared" si="190"/>
        <v>0.63372549484858776</v>
      </c>
      <c r="AS106" s="2">
        <f t="shared" si="190"/>
        <v>0.64998999116962719</v>
      </c>
      <c r="AT106" s="2">
        <f t="shared" si="190"/>
        <v>0.66667191403059189</v>
      </c>
      <c r="AU106" s="2">
        <f t="shared" si="190"/>
        <v>0.68378197663850626</v>
      </c>
      <c r="AV106" s="2">
        <f t="shared" si="190"/>
        <v>0.70133116715369492</v>
      </c>
      <c r="AW106" s="2">
        <f t="shared" si="190"/>
        <v>0.71933075574642924</v>
      </c>
      <c r="AX106" s="2">
        <f t="shared" si="190"/>
        <v>0.73779230183468247</v>
      </c>
      <c r="AY106" s="2">
        <f t="shared" si="190"/>
        <v>0.75672766150764059</v>
      </c>
      <c r="AZ106" s="2">
        <f t="shared" si="190"/>
        <v>0.77614899513973701</v>
      </c>
      <c r="BA106" s="2">
        <f t="shared" si="190"/>
        <v>0.79606877520010022</v>
      </c>
      <c r="BB106" s="2">
        <f t="shared" si="190"/>
        <v>0.8164997942624308</v>
      </c>
      <c r="BC106" s="2">
        <f t="shared" si="190"/>
        <v>0.8374551732204506</v>
      </c>
      <c r="BD106" s="2">
        <f t="shared" si="190"/>
        <v>0.8589483697142003</v>
      </c>
      <c r="BE106" s="2">
        <f t="shared" si="190"/>
        <v>0.88099318677259764</v>
      </c>
      <c r="BF106" s="2">
        <f t="shared" si="190"/>
        <v>0.90360378167780531</v>
      </c>
      <c r="BG106" s="2">
        <f t="shared" si="190"/>
        <v>0.92679467505710256</v>
      </c>
      <c r="BH106" s="2">
        <f t="shared" si="190"/>
        <v>0.9505807602080979</v>
      </c>
      <c r="BI106" s="2">
        <f t="shared" si="190"/>
        <v>0.97497731266327314</v>
      </c>
      <c r="BJ106" s="2">
        <f t="shared" si="190"/>
        <v>1</v>
      </c>
    </row>
    <row r="107" spans="1:62" outlineLevel="1">
      <c r="A107" s="11">
        <f t="shared" si="142"/>
        <v>25</v>
      </c>
      <c r="B107" s="2" t="str">
        <f t="shared" ref="B107:AG107" si="191">IF(B$80&gt;T,"",IF($A107&gt;B$81,"",IF(T=B$80,1,EXP(-B39*h)*((C107+C108)/2+cc*h))))</f>
        <v/>
      </c>
      <c r="C107" s="2" t="str">
        <f t="shared" si="191"/>
        <v/>
      </c>
      <c r="D107" s="2" t="str">
        <f t="shared" si="191"/>
        <v/>
      </c>
      <c r="E107" s="2" t="str">
        <f t="shared" si="191"/>
        <v/>
      </c>
      <c r="F107" s="2" t="str">
        <f t="shared" si="191"/>
        <v/>
      </c>
      <c r="G107" s="2" t="str">
        <f t="shared" si="191"/>
        <v/>
      </c>
      <c r="H107" s="2" t="str">
        <f t="shared" si="191"/>
        <v/>
      </c>
      <c r="I107" s="2" t="str">
        <f t="shared" si="191"/>
        <v/>
      </c>
      <c r="J107" s="2" t="str">
        <f t="shared" si="191"/>
        <v/>
      </c>
      <c r="K107" s="2" t="str">
        <f t="shared" si="191"/>
        <v/>
      </c>
      <c r="L107" s="2" t="str">
        <f t="shared" si="191"/>
        <v/>
      </c>
      <c r="M107" s="2" t="str">
        <f t="shared" si="191"/>
        <v/>
      </c>
      <c r="N107" s="2" t="str">
        <f t="shared" si="191"/>
        <v/>
      </c>
      <c r="O107" s="2" t="str">
        <f t="shared" si="191"/>
        <v/>
      </c>
      <c r="P107" s="2" t="str">
        <f t="shared" si="191"/>
        <v/>
      </c>
      <c r="Q107" s="2" t="str">
        <f t="shared" si="191"/>
        <v/>
      </c>
      <c r="R107" s="2" t="str">
        <f t="shared" si="191"/>
        <v/>
      </c>
      <c r="S107" s="2" t="str">
        <f t="shared" si="191"/>
        <v/>
      </c>
      <c r="T107" s="2" t="str">
        <f t="shared" si="191"/>
        <v/>
      </c>
      <c r="U107" s="2" t="str">
        <f t="shared" si="191"/>
        <v/>
      </c>
      <c r="V107" s="2" t="str">
        <f t="shared" si="191"/>
        <v/>
      </c>
      <c r="W107" s="2" t="str">
        <f t="shared" si="191"/>
        <v/>
      </c>
      <c r="X107" s="2" t="str">
        <f t="shared" si="191"/>
        <v/>
      </c>
      <c r="Y107" s="2" t="str">
        <f t="shared" si="191"/>
        <v/>
      </c>
      <c r="Z107" s="2" t="str">
        <f t="shared" si="191"/>
        <v/>
      </c>
      <c r="AA107" s="2">
        <f t="shared" si="191"/>
        <v>0.41191522880060111</v>
      </c>
      <c r="AB107" s="2">
        <f t="shared" si="191"/>
        <v>0.42248698862069195</v>
      </c>
      <c r="AC107" s="2">
        <f t="shared" si="191"/>
        <v>0.43333007151378283</v>
      </c>
      <c r="AD107" s="2">
        <f t="shared" si="191"/>
        <v>0.4444514409572129</v>
      </c>
      <c r="AE107" s="2">
        <f t="shared" si="191"/>
        <v>0.45585823914521445</v>
      </c>
      <c r="AF107" s="2">
        <f t="shared" si="191"/>
        <v>0.46755779157566274</v>
      </c>
      <c r="AG107" s="2">
        <f t="shared" si="191"/>
        <v>0.47955761175454414</v>
      </c>
      <c r="AH107" s="2">
        <f t="shared" ref="AH107:BJ107" si="192">IF(AH$80&gt;T,"",IF($A107&gt;AH$81,"",IF(T=AH$80,1,EXP(-AH39*h)*((AI107+AI108)/2+cc*h))))</f>
        <v>0.49186540602116391</v>
      </c>
      <c r="AI107" s="2">
        <f t="shared" si="192"/>
        <v>0.5044890784971926</v>
      </c>
      <c r="AJ107" s="2">
        <f t="shared" si="192"/>
        <v>0.51743673616272901</v>
      </c>
      <c r="AK107" s="2">
        <f t="shared" si="192"/>
        <v>0.53071669406263977</v>
      </c>
      <c r="AL107" s="2">
        <f t="shared" si="192"/>
        <v>0.54433748064651921</v>
      </c>
      <c r="AM107" s="2">
        <f t="shared" si="192"/>
        <v>0.5583078432456986</v>
      </c>
      <c r="AN107" s="2">
        <f t="shared" si="192"/>
        <v>0.57263675369082234</v>
      </c>
      <c r="AO107" s="2">
        <f t="shared" si="192"/>
        <v>0.58733341407359829</v>
      </c>
      <c r="AP107" s="2">
        <f t="shared" si="192"/>
        <v>0.60240726265642353</v>
      </c>
      <c r="AQ107" s="2">
        <f t="shared" si="192"/>
        <v>0.61786797993367903</v>
      </c>
      <c r="AR107" s="2">
        <f t="shared" si="192"/>
        <v>0.63372549484858776</v>
      </c>
      <c r="AS107" s="2">
        <f t="shared" si="192"/>
        <v>0.64998999116962719</v>
      </c>
      <c r="AT107" s="2">
        <f t="shared" si="192"/>
        <v>0.66667191403059189</v>
      </c>
      <c r="AU107" s="2">
        <f t="shared" si="192"/>
        <v>0.68378197663850626</v>
      </c>
      <c r="AV107" s="2">
        <f t="shared" si="192"/>
        <v>0.70133116715369492</v>
      </c>
      <c r="AW107" s="2">
        <f t="shared" si="192"/>
        <v>0.71933075574642924</v>
      </c>
      <c r="AX107" s="2">
        <f t="shared" si="192"/>
        <v>0.73779230183468247</v>
      </c>
      <c r="AY107" s="2">
        <f t="shared" si="192"/>
        <v>0.75672766150764059</v>
      </c>
      <c r="AZ107" s="2">
        <f t="shared" si="192"/>
        <v>0.77614899513973701</v>
      </c>
      <c r="BA107" s="2">
        <f t="shared" si="192"/>
        <v>0.79606877520010022</v>
      </c>
      <c r="BB107" s="2">
        <f t="shared" si="192"/>
        <v>0.8164997942624308</v>
      </c>
      <c r="BC107" s="2">
        <f t="shared" si="192"/>
        <v>0.8374551732204506</v>
      </c>
      <c r="BD107" s="2">
        <f t="shared" si="192"/>
        <v>0.8589483697142003</v>
      </c>
      <c r="BE107" s="2">
        <f t="shared" si="192"/>
        <v>0.88099318677259764</v>
      </c>
      <c r="BF107" s="2">
        <f t="shared" si="192"/>
        <v>0.90360378167780531</v>
      </c>
      <c r="BG107" s="2">
        <f t="shared" si="192"/>
        <v>0.92679467505710256</v>
      </c>
      <c r="BH107" s="2">
        <f t="shared" si="192"/>
        <v>0.9505807602080979</v>
      </c>
      <c r="BI107" s="2">
        <f t="shared" si="192"/>
        <v>0.97497731266327314</v>
      </c>
      <c r="BJ107" s="2">
        <f t="shared" si="192"/>
        <v>1</v>
      </c>
    </row>
    <row r="108" spans="1:62" outlineLevel="1">
      <c r="A108" s="11">
        <f t="shared" si="142"/>
        <v>26</v>
      </c>
      <c r="B108" s="2" t="str">
        <f t="shared" ref="B108:AG108" si="193">IF(B$80&gt;T,"",IF($A108&gt;B$81,"",IF(T=B$80,1,EXP(-B40*h)*((C108+C109)/2+cc*h))))</f>
        <v/>
      </c>
      <c r="C108" s="2" t="str">
        <f t="shared" si="193"/>
        <v/>
      </c>
      <c r="D108" s="2" t="str">
        <f t="shared" si="193"/>
        <v/>
      </c>
      <c r="E108" s="2" t="str">
        <f t="shared" si="193"/>
        <v/>
      </c>
      <c r="F108" s="2" t="str">
        <f t="shared" si="193"/>
        <v/>
      </c>
      <c r="G108" s="2" t="str">
        <f t="shared" si="193"/>
        <v/>
      </c>
      <c r="H108" s="2" t="str">
        <f t="shared" si="193"/>
        <v/>
      </c>
      <c r="I108" s="2" t="str">
        <f t="shared" si="193"/>
        <v/>
      </c>
      <c r="J108" s="2" t="str">
        <f t="shared" si="193"/>
        <v/>
      </c>
      <c r="K108" s="2" t="str">
        <f t="shared" si="193"/>
        <v/>
      </c>
      <c r="L108" s="2" t="str">
        <f t="shared" si="193"/>
        <v/>
      </c>
      <c r="M108" s="2" t="str">
        <f t="shared" si="193"/>
        <v/>
      </c>
      <c r="N108" s="2" t="str">
        <f t="shared" si="193"/>
        <v/>
      </c>
      <c r="O108" s="2" t="str">
        <f t="shared" si="193"/>
        <v/>
      </c>
      <c r="P108" s="2" t="str">
        <f t="shared" si="193"/>
        <v/>
      </c>
      <c r="Q108" s="2" t="str">
        <f t="shared" si="193"/>
        <v/>
      </c>
      <c r="R108" s="2" t="str">
        <f t="shared" si="193"/>
        <v/>
      </c>
      <c r="S108" s="2" t="str">
        <f t="shared" si="193"/>
        <v/>
      </c>
      <c r="T108" s="2" t="str">
        <f t="shared" si="193"/>
        <v/>
      </c>
      <c r="U108" s="2" t="str">
        <f t="shared" si="193"/>
        <v/>
      </c>
      <c r="V108" s="2" t="str">
        <f t="shared" si="193"/>
        <v/>
      </c>
      <c r="W108" s="2" t="str">
        <f t="shared" si="193"/>
        <v/>
      </c>
      <c r="X108" s="2" t="str">
        <f t="shared" si="193"/>
        <v/>
      </c>
      <c r="Y108" s="2" t="str">
        <f t="shared" si="193"/>
        <v/>
      </c>
      <c r="Z108" s="2" t="str">
        <f t="shared" si="193"/>
        <v/>
      </c>
      <c r="AA108" s="2" t="str">
        <f t="shared" si="193"/>
        <v/>
      </c>
      <c r="AB108" s="2">
        <f t="shared" si="193"/>
        <v>0.42248698862069195</v>
      </c>
      <c r="AC108" s="2">
        <f t="shared" si="193"/>
        <v>0.43333007151378283</v>
      </c>
      <c r="AD108" s="2">
        <f t="shared" si="193"/>
        <v>0.4444514409572129</v>
      </c>
      <c r="AE108" s="2">
        <f t="shared" si="193"/>
        <v>0.45585823914521445</v>
      </c>
      <c r="AF108" s="2">
        <f t="shared" si="193"/>
        <v>0.46755779157566274</v>
      </c>
      <c r="AG108" s="2">
        <f t="shared" si="193"/>
        <v>0.47955761175454414</v>
      </c>
      <c r="AH108" s="2">
        <f t="shared" ref="AH108:BJ108" si="194">IF(AH$80&gt;T,"",IF($A108&gt;AH$81,"",IF(T=AH$80,1,EXP(-AH40*h)*((AI108+AI109)/2+cc*h))))</f>
        <v>0.49186540602116391</v>
      </c>
      <c r="AI108" s="2">
        <f t="shared" si="194"/>
        <v>0.5044890784971926</v>
      </c>
      <c r="AJ108" s="2">
        <f t="shared" si="194"/>
        <v>0.51743673616272901</v>
      </c>
      <c r="AK108" s="2">
        <f t="shared" si="194"/>
        <v>0.53071669406263977</v>
      </c>
      <c r="AL108" s="2">
        <f t="shared" si="194"/>
        <v>0.54433748064651921</v>
      </c>
      <c r="AM108" s="2">
        <f t="shared" si="194"/>
        <v>0.5583078432456986</v>
      </c>
      <c r="AN108" s="2">
        <f t="shared" si="194"/>
        <v>0.57263675369082234</v>
      </c>
      <c r="AO108" s="2">
        <f t="shared" si="194"/>
        <v>0.58733341407359829</v>
      </c>
      <c r="AP108" s="2">
        <f t="shared" si="194"/>
        <v>0.60240726265642353</v>
      </c>
      <c r="AQ108" s="2">
        <f t="shared" si="194"/>
        <v>0.61786797993367903</v>
      </c>
      <c r="AR108" s="2">
        <f t="shared" si="194"/>
        <v>0.63372549484858776</v>
      </c>
      <c r="AS108" s="2">
        <f t="shared" si="194"/>
        <v>0.64998999116962719</v>
      </c>
      <c r="AT108" s="2">
        <f t="shared" si="194"/>
        <v>0.66667191403059189</v>
      </c>
      <c r="AU108" s="2">
        <f t="shared" si="194"/>
        <v>0.68378197663850626</v>
      </c>
      <c r="AV108" s="2">
        <f t="shared" si="194"/>
        <v>0.70133116715369492</v>
      </c>
      <c r="AW108" s="2">
        <f t="shared" si="194"/>
        <v>0.71933075574642924</v>
      </c>
      <c r="AX108" s="2">
        <f t="shared" si="194"/>
        <v>0.73779230183468247</v>
      </c>
      <c r="AY108" s="2">
        <f t="shared" si="194"/>
        <v>0.75672766150764059</v>
      </c>
      <c r="AZ108" s="2">
        <f t="shared" si="194"/>
        <v>0.77614899513973701</v>
      </c>
      <c r="BA108" s="2">
        <f t="shared" si="194"/>
        <v>0.79606877520010022</v>
      </c>
      <c r="BB108" s="2">
        <f t="shared" si="194"/>
        <v>0.8164997942624308</v>
      </c>
      <c r="BC108" s="2">
        <f t="shared" si="194"/>
        <v>0.8374551732204506</v>
      </c>
      <c r="BD108" s="2">
        <f t="shared" si="194"/>
        <v>0.8589483697142003</v>
      </c>
      <c r="BE108" s="2">
        <f t="shared" si="194"/>
        <v>0.88099318677259764</v>
      </c>
      <c r="BF108" s="2">
        <f t="shared" si="194"/>
        <v>0.90360378167780531</v>
      </c>
      <c r="BG108" s="2">
        <f t="shared" si="194"/>
        <v>0.92679467505710256</v>
      </c>
      <c r="BH108" s="2">
        <f t="shared" si="194"/>
        <v>0.9505807602080979</v>
      </c>
      <c r="BI108" s="2">
        <f t="shared" si="194"/>
        <v>0.97497731266327314</v>
      </c>
      <c r="BJ108" s="2">
        <f t="shared" si="194"/>
        <v>1</v>
      </c>
    </row>
    <row r="109" spans="1:62" outlineLevel="1">
      <c r="A109" s="11">
        <f t="shared" si="142"/>
        <v>27</v>
      </c>
      <c r="B109" s="2" t="str">
        <f t="shared" ref="B109:AG109" si="195">IF(B$80&gt;T,"",IF($A109&gt;B$81,"",IF(T=B$80,1,EXP(-B41*h)*((C109+C110)/2+cc*h))))</f>
        <v/>
      </c>
      <c r="C109" s="2" t="str">
        <f t="shared" si="195"/>
        <v/>
      </c>
      <c r="D109" s="2" t="str">
        <f t="shared" si="195"/>
        <v/>
      </c>
      <c r="E109" s="2" t="str">
        <f t="shared" si="195"/>
        <v/>
      </c>
      <c r="F109" s="2" t="str">
        <f t="shared" si="195"/>
        <v/>
      </c>
      <c r="G109" s="2" t="str">
        <f t="shared" si="195"/>
        <v/>
      </c>
      <c r="H109" s="2" t="str">
        <f t="shared" si="195"/>
        <v/>
      </c>
      <c r="I109" s="2" t="str">
        <f t="shared" si="195"/>
        <v/>
      </c>
      <c r="J109" s="2" t="str">
        <f t="shared" si="195"/>
        <v/>
      </c>
      <c r="K109" s="2" t="str">
        <f t="shared" si="195"/>
        <v/>
      </c>
      <c r="L109" s="2" t="str">
        <f t="shared" si="195"/>
        <v/>
      </c>
      <c r="M109" s="2" t="str">
        <f t="shared" si="195"/>
        <v/>
      </c>
      <c r="N109" s="2" t="str">
        <f t="shared" si="195"/>
        <v/>
      </c>
      <c r="O109" s="2" t="str">
        <f t="shared" si="195"/>
        <v/>
      </c>
      <c r="P109" s="2" t="str">
        <f t="shared" si="195"/>
        <v/>
      </c>
      <c r="Q109" s="2" t="str">
        <f t="shared" si="195"/>
        <v/>
      </c>
      <c r="R109" s="2" t="str">
        <f t="shared" si="195"/>
        <v/>
      </c>
      <c r="S109" s="2" t="str">
        <f t="shared" si="195"/>
        <v/>
      </c>
      <c r="T109" s="2" t="str">
        <f t="shared" si="195"/>
        <v/>
      </c>
      <c r="U109" s="2" t="str">
        <f t="shared" si="195"/>
        <v/>
      </c>
      <c r="V109" s="2" t="str">
        <f t="shared" si="195"/>
        <v/>
      </c>
      <c r="W109" s="2" t="str">
        <f t="shared" si="195"/>
        <v/>
      </c>
      <c r="X109" s="2" t="str">
        <f t="shared" si="195"/>
        <v/>
      </c>
      <c r="Y109" s="2" t="str">
        <f t="shared" si="195"/>
        <v/>
      </c>
      <c r="Z109" s="2" t="str">
        <f t="shared" si="195"/>
        <v/>
      </c>
      <c r="AA109" s="2" t="str">
        <f t="shared" si="195"/>
        <v/>
      </c>
      <c r="AB109" s="2" t="str">
        <f t="shared" si="195"/>
        <v/>
      </c>
      <c r="AC109" s="2">
        <f t="shared" si="195"/>
        <v>0.43333007151378283</v>
      </c>
      <c r="AD109" s="2">
        <f t="shared" si="195"/>
        <v>0.4444514409572129</v>
      </c>
      <c r="AE109" s="2">
        <f t="shared" si="195"/>
        <v>0.45585823914521445</v>
      </c>
      <c r="AF109" s="2">
        <f t="shared" si="195"/>
        <v>0.46755779157566274</v>
      </c>
      <c r="AG109" s="2">
        <f t="shared" si="195"/>
        <v>0.47955761175454414</v>
      </c>
      <c r="AH109" s="2">
        <f t="shared" ref="AH109:BJ109" si="196">IF(AH$80&gt;T,"",IF($A109&gt;AH$81,"",IF(T=AH$80,1,EXP(-AH41*h)*((AI109+AI110)/2+cc*h))))</f>
        <v>0.49186540602116391</v>
      </c>
      <c r="AI109" s="2">
        <f t="shared" si="196"/>
        <v>0.5044890784971926</v>
      </c>
      <c r="AJ109" s="2">
        <f t="shared" si="196"/>
        <v>0.51743673616272901</v>
      </c>
      <c r="AK109" s="2">
        <f t="shared" si="196"/>
        <v>0.53071669406263977</v>
      </c>
      <c r="AL109" s="2">
        <f t="shared" si="196"/>
        <v>0.54433748064651921</v>
      </c>
      <c r="AM109" s="2">
        <f t="shared" si="196"/>
        <v>0.5583078432456986</v>
      </c>
      <c r="AN109" s="2">
        <f t="shared" si="196"/>
        <v>0.57263675369082234</v>
      </c>
      <c r="AO109" s="2">
        <f t="shared" si="196"/>
        <v>0.58733341407359829</v>
      </c>
      <c r="AP109" s="2">
        <f t="shared" si="196"/>
        <v>0.60240726265642353</v>
      </c>
      <c r="AQ109" s="2">
        <f t="shared" si="196"/>
        <v>0.61786797993367903</v>
      </c>
      <c r="AR109" s="2">
        <f t="shared" si="196"/>
        <v>0.63372549484858776</v>
      </c>
      <c r="AS109" s="2">
        <f t="shared" si="196"/>
        <v>0.64998999116962719</v>
      </c>
      <c r="AT109" s="2">
        <f t="shared" si="196"/>
        <v>0.66667191403059189</v>
      </c>
      <c r="AU109" s="2">
        <f t="shared" si="196"/>
        <v>0.68378197663850626</v>
      </c>
      <c r="AV109" s="2">
        <f t="shared" si="196"/>
        <v>0.70133116715369492</v>
      </c>
      <c r="AW109" s="2">
        <f t="shared" si="196"/>
        <v>0.71933075574642924</v>
      </c>
      <c r="AX109" s="2">
        <f t="shared" si="196"/>
        <v>0.73779230183468247</v>
      </c>
      <c r="AY109" s="2">
        <f t="shared" si="196"/>
        <v>0.75672766150764059</v>
      </c>
      <c r="AZ109" s="2">
        <f t="shared" si="196"/>
        <v>0.77614899513973701</v>
      </c>
      <c r="BA109" s="2">
        <f t="shared" si="196"/>
        <v>0.79606877520010022</v>
      </c>
      <c r="BB109" s="2">
        <f t="shared" si="196"/>
        <v>0.8164997942624308</v>
      </c>
      <c r="BC109" s="2">
        <f t="shared" si="196"/>
        <v>0.8374551732204506</v>
      </c>
      <c r="BD109" s="2">
        <f t="shared" si="196"/>
        <v>0.8589483697142003</v>
      </c>
      <c r="BE109" s="2">
        <f t="shared" si="196"/>
        <v>0.88099318677259764</v>
      </c>
      <c r="BF109" s="2">
        <f t="shared" si="196"/>
        <v>0.90360378167780531</v>
      </c>
      <c r="BG109" s="2">
        <f t="shared" si="196"/>
        <v>0.92679467505710256</v>
      </c>
      <c r="BH109" s="2">
        <f t="shared" si="196"/>
        <v>0.9505807602080979</v>
      </c>
      <c r="BI109" s="2">
        <f t="shared" si="196"/>
        <v>0.97497731266327314</v>
      </c>
      <c r="BJ109" s="2">
        <f t="shared" si="196"/>
        <v>1</v>
      </c>
    </row>
    <row r="110" spans="1:62" outlineLevel="1">
      <c r="A110" s="11">
        <f t="shared" si="142"/>
        <v>28</v>
      </c>
      <c r="B110" s="2" t="str">
        <f t="shared" ref="B110:AG110" si="197">IF(B$80&gt;T,"",IF($A110&gt;B$81,"",IF(T=B$80,1,EXP(-B42*h)*((C110+C111)/2+cc*h))))</f>
        <v/>
      </c>
      <c r="C110" s="2" t="str">
        <f t="shared" si="197"/>
        <v/>
      </c>
      <c r="D110" s="2" t="str">
        <f t="shared" si="197"/>
        <v/>
      </c>
      <c r="E110" s="2" t="str">
        <f t="shared" si="197"/>
        <v/>
      </c>
      <c r="F110" s="2" t="str">
        <f t="shared" si="197"/>
        <v/>
      </c>
      <c r="G110" s="2" t="str">
        <f t="shared" si="197"/>
        <v/>
      </c>
      <c r="H110" s="2" t="str">
        <f t="shared" si="197"/>
        <v/>
      </c>
      <c r="I110" s="2" t="str">
        <f t="shared" si="197"/>
        <v/>
      </c>
      <c r="J110" s="2" t="str">
        <f t="shared" si="197"/>
        <v/>
      </c>
      <c r="K110" s="2" t="str">
        <f t="shared" si="197"/>
        <v/>
      </c>
      <c r="L110" s="2" t="str">
        <f t="shared" si="197"/>
        <v/>
      </c>
      <c r="M110" s="2" t="str">
        <f t="shared" si="197"/>
        <v/>
      </c>
      <c r="N110" s="2" t="str">
        <f t="shared" si="197"/>
        <v/>
      </c>
      <c r="O110" s="2" t="str">
        <f t="shared" si="197"/>
        <v/>
      </c>
      <c r="P110" s="2" t="str">
        <f t="shared" si="197"/>
        <v/>
      </c>
      <c r="Q110" s="2" t="str">
        <f t="shared" si="197"/>
        <v/>
      </c>
      <c r="R110" s="2" t="str">
        <f t="shared" si="197"/>
        <v/>
      </c>
      <c r="S110" s="2" t="str">
        <f t="shared" si="197"/>
        <v/>
      </c>
      <c r="T110" s="2" t="str">
        <f t="shared" si="197"/>
        <v/>
      </c>
      <c r="U110" s="2" t="str">
        <f t="shared" si="197"/>
        <v/>
      </c>
      <c r="V110" s="2" t="str">
        <f t="shared" si="197"/>
        <v/>
      </c>
      <c r="W110" s="2" t="str">
        <f t="shared" si="197"/>
        <v/>
      </c>
      <c r="X110" s="2" t="str">
        <f t="shared" si="197"/>
        <v/>
      </c>
      <c r="Y110" s="2" t="str">
        <f t="shared" si="197"/>
        <v/>
      </c>
      <c r="Z110" s="2" t="str">
        <f t="shared" si="197"/>
        <v/>
      </c>
      <c r="AA110" s="2" t="str">
        <f t="shared" si="197"/>
        <v/>
      </c>
      <c r="AB110" s="2" t="str">
        <f t="shared" si="197"/>
        <v/>
      </c>
      <c r="AC110" s="2" t="str">
        <f t="shared" si="197"/>
        <v/>
      </c>
      <c r="AD110" s="2">
        <f t="shared" si="197"/>
        <v>0.4444514409572129</v>
      </c>
      <c r="AE110" s="2">
        <f t="shared" si="197"/>
        <v>0.45585823914521445</v>
      </c>
      <c r="AF110" s="2">
        <f t="shared" si="197"/>
        <v>0.46755779157566274</v>
      </c>
      <c r="AG110" s="2">
        <f t="shared" si="197"/>
        <v>0.47955761175454414</v>
      </c>
      <c r="AH110" s="2">
        <f t="shared" ref="AH110:BJ110" si="198">IF(AH$80&gt;T,"",IF($A110&gt;AH$81,"",IF(T=AH$80,1,EXP(-AH42*h)*((AI110+AI111)/2+cc*h))))</f>
        <v>0.49186540602116391</v>
      </c>
      <c r="AI110" s="2">
        <f t="shared" si="198"/>
        <v>0.5044890784971926</v>
      </c>
      <c r="AJ110" s="2">
        <f t="shared" si="198"/>
        <v>0.51743673616272901</v>
      </c>
      <c r="AK110" s="2">
        <f t="shared" si="198"/>
        <v>0.53071669406263977</v>
      </c>
      <c r="AL110" s="2">
        <f t="shared" si="198"/>
        <v>0.54433748064651921</v>
      </c>
      <c r="AM110" s="2">
        <f t="shared" si="198"/>
        <v>0.5583078432456986</v>
      </c>
      <c r="AN110" s="2">
        <f t="shared" si="198"/>
        <v>0.57263675369082234</v>
      </c>
      <c r="AO110" s="2">
        <f t="shared" si="198"/>
        <v>0.58733341407359829</v>
      </c>
      <c r="AP110" s="2">
        <f t="shared" si="198"/>
        <v>0.60240726265642353</v>
      </c>
      <c r="AQ110" s="2">
        <f t="shared" si="198"/>
        <v>0.61786797993367903</v>
      </c>
      <c r="AR110" s="2">
        <f t="shared" si="198"/>
        <v>0.63372549484858776</v>
      </c>
      <c r="AS110" s="2">
        <f t="shared" si="198"/>
        <v>0.64998999116962719</v>
      </c>
      <c r="AT110" s="2">
        <f t="shared" si="198"/>
        <v>0.66667191403059189</v>
      </c>
      <c r="AU110" s="2">
        <f t="shared" si="198"/>
        <v>0.68378197663850626</v>
      </c>
      <c r="AV110" s="2">
        <f t="shared" si="198"/>
        <v>0.70133116715369492</v>
      </c>
      <c r="AW110" s="2">
        <f t="shared" si="198"/>
        <v>0.71933075574642924</v>
      </c>
      <c r="AX110" s="2">
        <f t="shared" si="198"/>
        <v>0.73779230183468247</v>
      </c>
      <c r="AY110" s="2">
        <f t="shared" si="198"/>
        <v>0.75672766150764059</v>
      </c>
      <c r="AZ110" s="2">
        <f t="shared" si="198"/>
        <v>0.77614899513973701</v>
      </c>
      <c r="BA110" s="2">
        <f t="shared" si="198"/>
        <v>0.79606877520010022</v>
      </c>
      <c r="BB110" s="2">
        <f t="shared" si="198"/>
        <v>0.8164997942624308</v>
      </c>
      <c r="BC110" s="2">
        <f t="shared" si="198"/>
        <v>0.8374551732204506</v>
      </c>
      <c r="BD110" s="2">
        <f t="shared" si="198"/>
        <v>0.8589483697142003</v>
      </c>
      <c r="BE110" s="2">
        <f t="shared" si="198"/>
        <v>0.88099318677259764</v>
      </c>
      <c r="BF110" s="2">
        <f t="shared" si="198"/>
        <v>0.90360378167780531</v>
      </c>
      <c r="BG110" s="2">
        <f t="shared" si="198"/>
        <v>0.92679467505710256</v>
      </c>
      <c r="BH110" s="2">
        <f t="shared" si="198"/>
        <v>0.9505807602080979</v>
      </c>
      <c r="BI110" s="2">
        <f t="shared" si="198"/>
        <v>0.97497731266327314</v>
      </c>
      <c r="BJ110" s="2">
        <f t="shared" si="198"/>
        <v>1</v>
      </c>
    </row>
    <row r="111" spans="1:62" outlineLevel="1">
      <c r="A111" s="11">
        <f t="shared" si="142"/>
        <v>29</v>
      </c>
      <c r="B111" s="2" t="str">
        <f t="shared" ref="B111:AG111" si="199">IF(B$80&gt;T,"",IF($A111&gt;B$81,"",IF(T=B$80,1,EXP(-B43*h)*((C111+C112)/2+cc*h))))</f>
        <v/>
      </c>
      <c r="C111" s="2" t="str">
        <f t="shared" si="199"/>
        <v/>
      </c>
      <c r="D111" s="2" t="str">
        <f t="shared" si="199"/>
        <v/>
      </c>
      <c r="E111" s="2" t="str">
        <f t="shared" si="199"/>
        <v/>
      </c>
      <c r="F111" s="2" t="str">
        <f t="shared" si="199"/>
        <v/>
      </c>
      <c r="G111" s="2" t="str">
        <f t="shared" si="199"/>
        <v/>
      </c>
      <c r="H111" s="2" t="str">
        <f t="shared" si="199"/>
        <v/>
      </c>
      <c r="I111" s="2" t="str">
        <f t="shared" si="199"/>
        <v/>
      </c>
      <c r="J111" s="2" t="str">
        <f t="shared" si="199"/>
        <v/>
      </c>
      <c r="K111" s="2" t="str">
        <f t="shared" si="199"/>
        <v/>
      </c>
      <c r="L111" s="2" t="str">
        <f t="shared" si="199"/>
        <v/>
      </c>
      <c r="M111" s="2" t="str">
        <f t="shared" si="199"/>
        <v/>
      </c>
      <c r="N111" s="2" t="str">
        <f t="shared" si="199"/>
        <v/>
      </c>
      <c r="O111" s="2" t="str">
        <f t="shared" si="199"/>
        <v/>
      </c>
      <c r="P111" s="2" t="str">
        <f t="shared" si="199"/>
        <v/>
      </c>
      <c r="Q111" s="2" t="str">
        <f t="shared" si="199"/>
        <v/>
      </c>
      <c r="R111" s="2" t="str">
        <f t="shared" si="199"/>
        <v/>
      </c>
      <c r="S111" s="2" t="str">
        <f t="shared" si="199"/>
        <v/>
      </c>
      <c r="T111" s="2" t="str">
        <f t="shared" si="199"/>
        <v/>
      </c>
      <c r="U111" s="2" t="str">
        <f t="shared" si="199"/>
        <v/>
      </c>
      <c r="V111" s="2" t="str">
        <f t="shared" si="199"/>
        <v/>
      </c>
      <c r="W111" s="2" t="str">
        <f t="shared" si="199"/>
        <v/>
      </c>
      <c r="X111" s="2" t="str">
        <f t="shared" si="199"/>
        <v/>
      </c>
      <c r="Y111" s="2" t="str">
        <f t="shared" si="199"/>
        <v/>
      </c>
      <c r="Z111" s="2" t="str">
        <f t="shared" si="199"/>
        <v/>
      </c>
      <c r="AA111" s="2" t="str">
        <f t="shared" si="199"/>
        <v/>
      </c>
      <c r="AB111" s="2" t="str">
        <f t="shared" si="199"/>
        <v/>
      </c>
      <c r="AC111" s="2" t="str">
        <f t="shared" si="199"/>
        <v/>
      </c>
      <c r="AD111" s="2" t="str">
        <f t="shared" si="199"/>
        <v/>
      </c>
      <c r="AE111" s="2">
        <f t="shared" si="199"/>
        <v>0.45585823914521445</v>
      </c>
      <c r="AF111" s="2">
        <f t="shared" si="199"/>
        <v>0.46755779157566274</v>
      </c>
      <c r="AG111" s="2">
        <f t="shared" si="199"/>
        <v>0.47955761175454414</v>
      </c>
      <c r="AH111" s="2">
        <f t="shared" ref="AH111:BJ111" si="200">IF(AH$80&gt;T,"",IF($A111&gt;AH$81,"",IF(T=AH$80,1,EXP(-AH43*h)*((AI111+AI112)/2+cc*h))))</f>
        <v>0.49186540602116391</v>
      </c>
      <c r="AI111" s="2">
        <f t="shared" si="200"/>
        <v>0.5044890784971926</v>
      </c>
      <c r="AJ111" s="2">
        <f t="shared" si="200"/>
        <v>0.51743673616272901</v>
      </c>
      <c r="AK111" s="2">
        <f t="shared" si="200"/>
        <v>0.53071669406263977</v>
      </c>
      <c r="AL111" s="2">
        <f t="shared" si="200"/>
        <v>0.54433748064651921</v>
      </c>
      <c r="AM111" s="2">
        <f t="shared" si="200"/>
        <v>0.5583078432456986</v>
      </c>
      <c r="AN111" s="2">
        <f t="shared" si="200"/>
        <v>0.57263675369082234</v>
      </c>
      <c r="AO111" s="2">
        <f t="shared" si="200"/>
        <v>0.58733341407359829</v>
      </c>
      <c r="AP111" s="2">
        <f t="shared" si="200"/>
        <v>0.60240726265642353</v>
      </c>
      <c r="AQ111" s="2">
        <f t="shared" si="200"/>
        <v>0.61786797993367903</v>
      </c>
      <c r="AR111" s="2">
        <f t="shared" si="200"/>
        <v>0.63372549484858776</v>
      </c>
      <c r="AS111" s="2">
        <f t="shared" si="200"/>
        <v>0.64998999116962719</v>
      </c>
      <c r="AT111" s="2">
        <f t="shared" si="200"/>
        <v>0.66667191403059189</v>
      </c>
      <c r="AU111" s="2">
        <f t="shared" si="200"/>
        <v>0.68378197663850626</v>
      </c>
      <c r="AV111" s="2">
        <f t="shared" si="200"/>
        <v>0.70133116715369492</v>
      </c>
      <c r="AW111" s="2">
        <f t="shared" si="200"/>
        <v>0.71933075574642924</v>
      </c>
      <c r="AX111" s="2">
        <f t="shared" si="200"/>
        <v>0.73779230183468247</v>
      </c>
      <c r="AY111" s="2">
        <f t="shared" si="200"/>
        <v>0.75672766150764059</v>
      </c>
      <c r="AZ111" s="2">
        <f t="shared" si="200"/>
        <v>0.77614899513973701</v>
      </c>
      <c r="BA111" s="2">
        <f t="shared" si="200"/>
        <v>0.79606877520010022</v>
      </c>
      <c r="BB111" s="2">
        <f t="shared" si="200"/>
        <v>0.8164997942624308</v>
      </c>
      <c r="BC111" s="2">
        <f t="shared" si="200"/>
        <v>0.8374551732204506</v>
      </c>
      <c r="BD111" s="2">
        <f t="shared" si="200"/>
        <v>0.8589483697142003</v>
      </c>
      <c r="BE111" s="2">
        <f t="shared" si="200"/>
        <v>0.88099318677259764</v>
      </c>
      <c r="BF111" s="2">
        <f t="shared" si="200"/>
        <v>0.90360378167780531</v>
      </c>
      <c r="BG111" s="2">
        <f t="shared" si="200"/>
        <v>0.92679467505710256</v>
      </c>
      <c r="BH111" s="2">
        <f t="shared" si="200"/>
        <v>0.9505807602080979</v>
      </c>
      <c r="BI111" s="2">
        <f t="shared" si="200"/>
        <v>0.97497731266327314</v>
      </c>
      <c r="BJ111" s="2">
        <f t="shared" si="200"/>
        <v>1</v>
      </c>
    </row>
    <row r="112" spans="1:62" outlineLevel="1">
      <c r="A112" s="11">
        <f t="shared" si="142"/>
        <v>30</v>
      </c>
      <c r="B112" s="2" t="str">
        <f t="shared" ref="B112:AG112" si="201">IF(B$80&gt;T,"",IF($A112&gt;B$81,"",IF(T=B$80,1,EXP(-B44*h)*((C112+C113)/2+cc*h))))</f>
        <v/>
      </c>
      <c r="C112" s="2" t="str">
        <f t="shared" si="201"/>
        <v/>
      </c>
      <c r="D112" s="2" t="str">
        <f t="shared" si="201"/>
        <v/>
      </c>
      <c r="E112" s="2" t="str">
        <f t="shared" si="201"/>
        <v/>
      </c>
      <c r="F112" s="2" t="str">
        <f t="shared" si="201"/>
        <v/>
      </c>
      <c r="G112" s="2" t="str">
        <f t="shared" si="201"/>
        <v/>
      </c>
      <c r="H112" s="2" t="str">
        <f t="shared" si="201"/>
        <v/>
      </c>
      <c r="I112" s="2" t="str">
        <f t="shared" si="201"/>
        <v/>
      </c>
      <c r="J112" s="2" t="str">
        <f t="shared" si="201"/>
        <v/>
      </c>
      <c r="K112" s="2" t="str">
        <f t="shared" si="201"/>
        <v/>
      </c>
      <c r="L112" s="2" t="str">
        <f t="shared" si="201"/>
        <v/>
      </c>
      <c r="M112" s="2" t="str">
        <f t="shared" si="201"/>
        <v/>
      </c>
      <c r="N112" s="2" t="str">
        <f t="shared" si="201"/>
        <v/>
      </c>
      <c r="O112" s="2" t="str">
        <f t="shared" si="201"/>
        <v/>
      </c>
      <c r="P112" s="2" t="str">
        <f t="shared" si="201"/>
        <v/>
      </c>
      <c r="Q112" s="2" t="str">
        <f t="shared" si="201"/>
        <v/>
      </c>
      <c r="R112" s="2" t="str">
        <f t="shared" si="201"/>
        <v/>
      </c>
      <c r="S112" s="2" t="str">
        <f t="shared" si="201"/>
        <v/>
      </c>
      <c r="T112" s="2" t="str">
        <f t="shared" si="201"/>
        <v/>
      </c>
      <c r="U112" s="2" t="str">
        <f t="shared" si="201"/>
        <v/>
      </c>
      <c r="V112" s="2" t="str">
        <f t="shared" si="201"/>
        <v/>
      </c>
      <c r="W112" s="2" t="str">
        <f t="shared" si="201"/>
        <v/>
      </c>
      <c r="X112" s="2" t="str">
        <f t="shared" si="201"/>
        <v/>
      </c>
      <c r="Y112" s="2" t="str">
        <f t="shared" si="201"/>
        <v/>
      </c>
      <c r="Z112" s="2" t="str">
        <f t="shared" si="201"/>
        <v/>
      </c>
      <c r="AA112" s="2" t="str">
        <f t="shared" si="201"/>
        <v/>
      </c>
      <c r="AB112" s="2" t="str">
        <f t="shared" si="201"/>
        <v/>
      </c>
      <c r="AC112" s="2" t="str">
        <f t="shared" si="201"/>
        <v/>
      </c>
      <c r="AD112" s="2" t="str">
        <f t="shared" si="201"/>
        <v/>
      </c>
      <c r="AE112" s="2" t="str">
        <f t="shared" si="201"/>
        <v/>
      </c>
      <c r="AF112" s="2">
        <f t="shared" si="201"/>
        <v>0.46755779157566274</v>
      </c>
      <c r="AG112" s="2">
        <f t="shared" si="201"/>
        <v>0.47955761175454414</v>
      </c>
      <c r="AH112" s="2">
        <f t="shared" ref="AH112:BJ112" si="202">IF(AH$80&gt;T,"",IF($A112&gt;AH$81,"",IF(T=AH$80,1,EXP(-AH44*h)*((AI112+AI113)/2+cc*h))))</f>
        <v>0.49186540602116391</v>
      </c>
      <c r="AI112" s="2">
        <f t="shared" si="202"/>
        <v>0.5044890784971926</v>
      </c>
      <c r="AJ112" s="2">
        <f t="shared" si="202"/>
        <v>0.51743673616272901</v>
      </c>
      <c r="AK112" s="2">
        <f t="shared" si="202"/>
        <v>0.53071669406263977</v>
      </c>
      <c r="AL112" s="2">
        <f t="shared" si="202"/>
        <v>0.54433748064651921</v>
      </c>
      <c r="AM112" s="2">
        <f t="shared" si="202"/>
        <v>0.5583078432456986</v>
      </c>
      <c r="AN112" s="2">
        <f t="shared" si="202"/>
        <v>0.57263675369082234</v>
      </c>
      <c r="AO112" s="2">
        <f t="shared" si="202"/>
        <v>0.58733341407359829</v>
      </c>
      <c r="AP112" s="2">
        <f t="shared" si="202"/>
        <v>0.60240726265642353</v>
      </c>
      <c r="AQ112" s="2">
        <f t="shared" si="202"/>
        <v>0.61786797993367903</v>
      </c>
      <c r="AR112" s="2">
        <f t="shared" si="202"/>
        <v>0.63372549484858776</v>
      </c>
      <c r="AS112" s="2">
        <f t="shared" si="202"/>
        <v>0.64998999116962719</v>
      </c>
      <c r="AT112" s="2">
        <f t="shared" si="202"/>
        <v>0.66667191403059189</v>
      </c>
      <c r="AU112" s="2">
        <f t="shared" si="202"/>
        <v>0.68378197663850626</v>
      </c>
      <c r="AV112" s="2">
        <f t="shared" si="202"/>
        <v>0.70133116715369492</v>
      </c>
      <c r="AW112" s="2">
        <f t="shared" si="202"/>
        <v>0.71933075574642924</v>
      </c>
      <c r="AX112" s="2">
        <f t="shared" si="202"/>
        <v>0.73779230183468247</v>
      </c>
      <c r="AY112" s="2">
        <f t="shared" si="202"/>
        <v>0.75672766150764059</v>
      </c>
      <c r="AZ112" s="2">
        <f t="shared" si="202"/>
        <v>0.77614899513973701</v>
      </c>
      <c r="BA112" s="2">
        <f t="shared" si="202"/>
        <v>0.79606877520010022</v>
      </c>
      <c r="BB112" s="2">
        <f t="shared" si="202"/>
        <v>0.8164997942624308</v>
      </c>
      <c r="BC112" s="2">
        <f t="shared" si="202"/>
        <v>0.8374551732204506</v>
      </c>
      <c r="BD112" s="2">
        <f t="shared" si="202"/>
        <v>0.8589483697142003</v>
      </c>
      <c r="BE112" s="2">
        <f t="shared" si="202"/>
        <v>0.88099318677259764</v>
      </c>
      <c r="BF112" s="2">
        <f t="shared" si="202"/>
        <v>0.90360378167780531</v>
      </c>
      <c r="BG112" s="2">
        <f t="shared" si="202"/>
        <v>0.92679467505710256</v>
      </c>
      <c r="BH112" s="2">
        <f t="shared" si="202"/>
        <v>0.9505807602080979</v>
      </c>
      <c r="BI112" s="2">
        <f t="shared" si="202"/>
        <v>0.97497731266327314</v>
      </c>
      <c r="BJ112" s="2">
        <f t="shared" si="202"/>
        <v>1</v>
      </c>
    </row>
    <row r="113" spans="1:62" outlineLevel="1">
      <c r="A113" s="11">
        <f t="shared" si="142"/>
        <v>31</v>
      </c>
      <c r="B113" s="2" t="str">
        <f t="shared" ref="B113:AG113" si="203">IF(B$80&gt;T,"",IF($A113&gt;B$81,"",IF(T=B$80,1,EXP(-B45*h)*((C113+C114)/2+cc*h))))</f>
        <v/>
      </c>
      <c r="C113" s="2" t="str">
        <f t="shared" si="203"/>
        <v/>
      </c>
      <c r="D113" s="2" t="str">
        <f t="shared" si="203"/>
        <v/>
      </c>
      <c r="E113" s="2" t="str">
        <f t="shared" si="203"/>
        <v/>
      </c>
      <c r="F113" s="2" t="str">
        <f t="shared" si="203"/>
        <v/>
      </c>
      <c r="G113" s="2" t="str">
        <f t="shared" si="203"/>
        <v/>
      </c>
      <c r="H113" s="2" t="str">
        <f t="shared" si="203"/>
        <v/>
      </c>
      <c r="I113" s="2" t="str">
        <f t="shared" si="203"/>
        <v/>
      </c>
      <c r="J113" s="2" t="str">
        <f t="shared" si="203"/>
        <v/>
      </c>
      <c r="K113" s="2" t="str">
        <f t="shared" si="203"/>
        <v/>
      </c>
      <c r="L113" s="2" t="str">
        <f t="shared" si="203"/>
        <v/>
      </c>
      <c r="M113" s="2" t="str">
        <f t="shared" si="203"/>
        <v/>
      </c>
      <c r="N113" s="2" t="str">
        <f t="shared" si="203"/>
        <v/>
      </c>
      <c r="O113" s="2" t="str">
        <f t="shared" si="203"/>
        <v/>
      </c>
      <c r="P113" s="2" t="str">
        <f t="shared" si="203"/>
        <v/>
      </c>
      <c r="Q113" s="2" t="str">
        <f t="shared" si="203"/>
        <v/>
      </c>
      <c r="R113" s="2" t="str">
        <f t="shared" si="203"/>
        <v/>
      </c>
      <c r="S113" s="2" t="str">
        <f t="shared" si="203"/>
        <v/>
      </c>
      <c r="T113" s="2" t="str">
        <f t="shared" si="203"/>
        <v/>
      </c>
      <c r="U113" s="2" t="str">
        <f t="shared" si="203"/>
        <v/>
      </c>
      <c r="V113" s="2" t="str">
        <f t="shared" si="203"/>
        <v/>
      </c>
      <c r="W113" s="2" t="str">
        <f t="shared" si="203"/>
        <v/>
      </c>
      <c r="X113" s="2" t="str">
        <f t="shared" si="203"/>
        <v/>
      </c>
      <c r="Y113" s="2" t="str">
        <f t="shared" si="203"/>
        <v/>
      </c>
      <c r="Z113" s="2" t="str">
        <f t="shared" si="203"/>
        <v/>
      </c>
      <c r="AA113" s="2" t="str">
        <f t="shared" si="203"/>
        <v/>
      </c>
      <c r="AB113" s="2" t="str">
        <f t="shared" si="203"/>
        <v/>
      </c>
      <c r="AC113" s="2" t="str">
        <f t="shared" si="203"/>
        <v/>
      </c>
      <c r="AD113" s="2" t="str">
        <f t="shared" si="203"/>
        <v/>
      </c>
      <c r="AE113" s="2" t="str">
        <f t="shared" si="203"/>
        <v/>
      </c>
      <c r="AF113" s="2" t="str">
        <f t="shared" si="203"/>
        <v/>
      </c>
      <c r="AG113" s="2">
        <f t="shared" si="203"/>
        <v>0.47955761175454414</v>
      </c>
      <c r="AH113" s="2">
        <f t="shared" ref="AH113:BJ113" si="204">IF(AH$80&gt;T,"",IF($A113&gt;AH$81,"",IF(T=AH$80,1,EXP(-AH45*h)*((AI113+AI114)/2+cc*h))))</f>
        <v>0.49186540602116391</v>
      </c>
      <c r="AI113" s="2">
        <f t="shared" si="204"/>
        <v>0.5044890784971926</v>
      </c>
      <c r="AJ113" s="2">
        <f t="shared" si="204"/>
        <v>0.51743673616272901</v>
      </c>
      <c r="AK113" s="2">
        <f t="shared" si="204"/>
        <v>0.53071669406263977</v>
      </c>
      <c r="AL113" s="2">
        <f t="shared" si="204"/>
        <v>0.54433748064651921</v>
      </c>
      <c r="AM113" s="2">
        <f t="shared" si="204"/>
        <v>0.5583078432456986</v>
      </c>
      <c r="AN113" s="2">
        <f t="shared" si="204"/>
        <v>0.57263675369082234</v>
      </c>
      <c r="AO113" s="2">
        <f t="shared" si="204"/>
        <v>0.58733341407359829</v>
      </c>
      <c r="AP113" s="2">
        <f t="shared" si="204"/>
        <v>0.60240726265642353</v>
      </c>
      <c r="AQ113" s="2">
        <f t="shared" si="204"/>
        <v>0.61786797993367903</v>
      </c>
      <c r="AR113" s="2">
        <f t="shared" si="204"/>
        <v>0.63372549484858776</v>
      </c>
      <c r="AS113" s="2">
        <f t="shared" si="204"/>
        <v>0.64998999116962719</v>
      </c>
      <c r="AT113" s="2">
        <f t="shared" si="204"/>
        <v>0.66667191403059189</v>
      </c>
      <c r="AU113" s="2">
        <f t="shared" si="204"/>
        <v>0.68378197663850626</v>
      </c>
      <c r="AV113" s="2">
        <f t="shared" si="204"/>
        <v>0.70133116715369492</v>
      </c>
      <c r="AW113" s="2">
        <f t="shared" si="204"/>
        <v>0.71933075574642924</v>
      </c>
      <c r="AX113" s="2">
        <f t="shared" si="204"/>
        <v>0.73779230183468247</v>
      </c>
      <c r="AY113" s="2">
        <f t="shared" si="204"/>
        <v>0.75672766150764059</v>
      </c>
      <c r="AZ113" s="2">
        <f t="shared" si="204"/>
        <v>0.77614899513973701</v>
      </c>
      <c r="BA113" s="2">
        <f t="shared" si="204"/>
        <v>0.79606877520010022</v>
      </c>
      <c r="BB113" s="2">
        <f t="shared" si="204"/>
        <v>0.8164997942624308</v>
      </c>
      <c r="BC113" s="2">
        <f t="shared" si="204"/>
        <v>0.8374551732204506</v>
      </c>
      <c r="BD113" s="2">
        <f t="shared" si="204"/>
        <v>0.8589483697142003</v>
      </c>
      <c r="BE113" s="2">
        <f t="shared" si="204"/>
        <v>0.88099318677259764</v>
      </c>
      <c r="BF113" s="2">
        <f t="shared" si="204"/>
        <v>0.90360378167780531</v>
      </c>
      <c r="BG113" s="2">
        <f t="shared" si="204"/>
        <v>0.92679467505710256</v>
      </c>
      <c r="BH113" s="2">
        <f t="shared" si="204"/>
        <v>0.9505807602080979</v>
      </c>
      <c r="BI113" s="2">
        <f t="shared" si="204"/>
        <v>0.97497731266327314</v>
      </c>
      <c r="BJ113" s="2">
        <f t="shared" si="204"/>
        <v>1</v>
      </c>
    </row>
    <row r="114" spans="1:62" outlineLevel="1">
      <c r="A114" s="11">
        <f t="shared" si="142"/>
        <v>32</v>
      </c>
      <c r="B114" s="2" t="str">
        <f t="shared" ref="B114:AG114" si="205">IF(B$80&gt;T,"",IF($A114&gt;B$81,"",IF(T=B$80,1,EXP(-B46*h)*((C114+C115)/2+cc*h))))</f>
        <v/>
      </c>
      <c r="C114" s="2" t="str">
        <f t="shared" si="205"/>
        <v/>
      </c>
      <c r="D114" s="2" t="str">
        <f t="shared" si="205"/>
        <v/>
      </c>
      <c r="E114" s="2" t="str">
        <f t="shared" si="205"/>
        <v/>
      </c>
      <c r="F114" s="2" t="str">
        <f t="shared" si="205"/>
        <v/>
      </c>
      <c r="G114" s="2" t="str">
        <f t="shared" si="205"/>
        <v/>
      </c>
      <c r="H114" s="2" t="str">
        <f t="shared" si="205"/>
        <v/>
      </c>
      <c r="I114" s="2" t="str">
        <f t="shared" si="205"/>
        <v/>
      </c>
      <c r="J114" s="2" t="str">
        <f t="shared" si="205"/>
        <v/>
      </c>
      <c r="K114" s="2" t="str">
        <f t="shared" si="205"/>
        <v/>
      </c>
      <c r="L114" s="2" t="str">
        <f t="shared" si="205"/>
        <v/>
      </c>
      <c r="M114" s="2" t="str">
        <f t="shared" si="205"/>
        <v/>
      </c>
      <c r="N114" s="2" t="str">
        <f t="shared" si="205"/>
        <v/>
      </c>
      <c r="O114" s="2" t="str">
        <f t="shared" si="205"/>
        <v/>
      </c>
      <c r="P114" s="2" t="str">
        <f t="shared" si="205"/>
        <v/>
      </c>
      <c r="Q114" s="2" t="str">
        <f t="shared" si="205"/>
        <v/>
      </c>
      <c r="R114" s="2" t="str">
        <f t="shared" si="205"/>
        <v/>
      </c>
      <c r="S114" s="2" t="str">
        <f t="shared" si="205"/>
        <v/>
      </c>
      <c r="T114" s="2" t="str">
        <f t="shared" si="205"/>
        <v/>
      </c>
      <c r="U114" s="2" t="str">
        <f t="shared" si="205"/>
        <v/>
      </c>
      <c r="V114" s="2" t="str">
        <f t="shared" si="205"/>
        <v/>
      </c>
      <c r="W114" s="2" t="str">
        <f t="shared" si="205"/>
        <v/>
      </c>
      <c r="X114" s="2" t="str">
        <f t="shared" si="205"/>
        <v/>
      </c>
      <c r="Y114" s="2" t="str">
        <f t="shared" si="205"/>
        <v/>
      </c>
      <c r="Z114" s="2" t="str">
        <f t="shared" si="205"/>
        <v/>
      </c>
      <c r="AA114" s="2" t="str">
        <f t="shared" si="205"/>
        <v/>
      </c>
      <c r="AB114" s="2" t="str">
        <f t="shared" si="205"/>
        <v/>
      </c>
      <c r="AC114" s="2" t="str">
        <f t="shared" si="205"/>
        <v/>
      </c>
      <c r="AD114" s="2" t="str">
        <f t="shared" si="205"/>
        <v/>
      </c>
      <c r="AE114" s="2" t="str">
        <f t="shared" si="205"/>
        <v/>
      </c>
      <c r="AF114" s="2" t="str">
        <f t="shared" si="205"/>
        <v/>
      </c>
      <c r="AG114" s="2" t="str">
        <f t="shared" si="205"/>
        <v/>
      </c>
      <c r="AH114" s="2">
        <f t="shared" ref="AH114:BJ114" si="206">IF(AH$80&gt;T,"",IF($A114&gt;AH$81,"",IF(T=AH$80,1,EXP(-AH46*h)*((AI114+AI115)/2+cc*h))))</f>
        <v>0.49186540602116391</v>
      </c>
      <c r="AI114" s="2">
        <f t="shared" si="206"/>
        <v>0.5044890784971926</v>
      </c>
      <c r="AJ114" s="2">
        <f t="shared" si="206"/>
        <v>0.51743673616272901</v>
      </c>
      <c r="AK114" s="2">
        <f t="shared" si="206"/>
        <v>0.53071669406263977</v>
      </c>
      <c r="AL114" s="2">
        <f t="shared" si="206"/>
        <v>0.54433748064651921</v>
      </c>
      <c r="AM114" s="2">
        <f t="shared" si="206"/>
        <v>0.5583078432456986</v>
      </c>
      <c r="AN114" s="2">
        <f t="shared" si="206"/>
        <v>0.57263675369082234</v>
      </c>
      <c r="AO114" s="2">
        <f t="shared" si="206"/>
        <v>0.58733341407359829</v>
      </c>
      <c r="AP114" s="2">
        <f t="shared" si="206"/>
        <v>0.60240726265642353</v>
      </c>
      <c r="AQ114" s="2">
        <f t="shared" si="206"/>
        <v>0.61786797993367903</v>
      </c>
      <c r="AR114" s="2">
        <f t="shared" si="206"/>
        <v>0.63372549484858776</v>
      </c>
      <c r="AS114" s="2">
        <f t="shared" si="206"/>
        <v>0.64998999116962719</v>
      </c>
      <c r="AT114" s="2">
        <f t="shared" si="206"/>
        <v>0.66667191403059189</v>
      </c>
      <c r="AU114" s="2">
        <f t="shared" si="206"/>
        <v>0.68378197663850626</v>
      </c>
      <c r="AV114" s="2">
        <f t="shared" si="206"/>
        <v>0.70133116715369492</v>
      </c>
      <c r="AW114" s="2">
        <f t="shared" si="206"/>
        <v>0.71933075574642924</v>
      </c>
      <c r="AX114" s="2">
        <f t="shared" si="206"/>
        <v>0.73779230183468247</v>
      </c>
      <c r="AY114" s="2">
        <f t="shared" si="206"/>
        <v>0.75672766150764059</v>
      </c>
      <c r="AZ114" s="2">
        <f t="shared" si="206"/>
        <v>0.77614899513973701</v>
      </c>
      <c r="BA114" s="2">
        <f t="shared" si="206"/>
        <v>0.79606877520010022</v>
      </c>
      <c r="BB114" s="2">
        <f t="shared" si="206"/>
        <v>0.8164997942624308</v>
      </c>
      <c r="BC114" s="2">
        <f t="shared" si="206"/>
        <v>0.8374551732204506</v>
      </c>
      <c r="BD114" s="2">
        <f t="shared" si="206"/>
        <v>0.8589483697142003</v>
      </c>
      <c r="BE114" s="2">
        <f t="shared" si="206"/>
        <v>0.88099318677259764</v>
      </c>
      <c r="BF114" s="2">
        <f t="shared" si="206"/>
        <v>0.90360378167780531</v>
      </c>
      <c r="BG114" s="2">
        <f t="shared" si="206"/>
        <v>0.92679467505710256</v>
      </c>
      <c r="BH114" s="2">
        <f t="shared" si="206"/>
        <v>0.9505807602080979</v>
      </c>
      <c r="BI114" s="2">
        <f t="shared" si="206"/>
        <v>0.97497731266327314</v>
      </c>
      <c r="BJ114" s="2">
        <f t="shared" si="206"/>
        <v>1</v>
      </c>
    </row>
    <row r="115" spans="1:62" outlineLevel="1">
      <c r="A115" s="11">
        <f t="shared" ref="A115:A142" si="207">A114+1</f>
        <v>33</v>
      </c>
      <c r="B115" s="2" t="str">
        <f t="shared" ref="B115:AG115" si="208">IF(B$80&gt;T,"",IF($A115&gt;B$81,"",IF(T=B$80,1,EXP(-B47*h)*((C115+C116)/2+cc*h))))</f>
        <v/>
      </c>
      <c r="C115" s="2" t="str">
        <f t="shared" si="208"/>
        <v/>
      </c>
      <c r="D115" s="2" t="str">
        <f t="shared" si="208"/>
        <v/>
      </c>
      <c r="E115" s="2" t="str">
        <f t="shared" si="208"/>
        <v/>
      </c>
      <c r="F115" s="2" t="str">
        <f t="shared" si="208"/>
        <v/>
      </c>
      <c r="G115" s="2" t="str">
        <f t="shared" si="208"/>
        <v/>
      </c>
      <c r="H115" s="2" t="str">
        <f t="shared" si="208"/>
        <v/>
      </c>
      <c r="I115" s="2" t="str">
        <f t="shared" si="208"/>
        <v/>
      </c>
      <c r="J115" s="2" t="str">
        <f t="shared" si="208"/>
        <v/>
      </c>
      <c r="K115" s="2" t="str">
        <f t="shared" si="208"/>
        <v/>
      </c>
      <c r="L115" s="2" t="str">
        <f t="shared" si="208"/>
        <v/>
      </c>
      <c r="M115" s="2" t="str">
        <f t="shared" si="208"/>
        <v/>
      </c>
      <c r="N115" s="2" t="str">
        <f t="shared" si="208"/>
        <v/>
      </c>
      <c r="O115" s="2" t="str">
        <f t="shared" si="208"/>
        <v/>
      </c>
      <c r="P115" s="2" t="str">
        <f t="shared" si="208"/>
        <v/>
      </c>
      <c r="Q115" s="2" t="str">
        <f t="shared" si="208"/>
        <v/>
      </c>
      <c r="R115" s="2" t="str">
        <f t="shared" si="208"/>
        <v/>
      </c>
      <c r="S115" s="2" t="str">
        <f t="shared" si="208"/>
        <v/>
      </c>
      <c r="T115" s="2" t="str">
        <f t="shared" si="208"/>
        <v/>
      </c>
      <c r="U115" s="2" t="str">
        <f t="shared" si="208"/>
        <v/>
      </c>
      <c r="V115" s="2" t="str">
        <f t="shared" si="208"/>
        <v/>
      </c>
      <c r="W115" s="2" t="str">
        <f t="shared" si="208"/>
        <v/>
      </c>
      <c r="X115" s="2" t="str">
        <f t="shared" si="208"/>
        <v/>
      </c>
      <c r="Y115" s="2" t="str">
        <f t="shared" si="208"/>
        <v/>
      </c>
      <c r="Z115" s="2" t="str">
        <f t="shared" si="208"/>
        <v/>
      </c>
      <c r="AA115" s="2" t="str">
        <f t="shared" si="208"/>
        <v/>
      </c>
      <c r="AB115" s="2" t="str">
        <f t="shared" si="208"/>
        <v/>
      </c>
      <c r="AC115" s="2" t="str">
        <f t="shared" si="208"/>
        <v/>
      </c>
      <c r="AD115" s="2" t="str">
        <f t="shared" si="208"/>
        <v/>
      </c>
      <c r="AE115" s="2" t="str">
        <f t="shared" si="208"/>
        <v/>
      </c>
      <c r="AF115" s="2" t="str">
        <f t="shared" si="208"/>
        <v/>
      </c>
      <c r="AG115" s="2" t="str">
        <f t="shared" si="208"/>
        <v/>
      </c>
      <c r="AH115" s="2" t="str">
        <f t="shared" ref="AH115:BJ115" si="209">IF(AH$80&gt;T,"",IF($A115&gt;AH$81,"",IF(T=AH$80,1,EXP(-AH47*h)*((AI115+AI116)/2+cc*h))))</f>
        <v/>
      </c>
      <c r="AI115" s="2">
        <f t="shared" si="209"/>
        <v>0.5044890784971926</v>
      </c>
      <c r="AJ115" s="2">
        <f t="shared" si="209"/>
        <v>0.51743673616272901</v>
      </c>
      <c r="AK115" s="2">
        <f t="shared" si="209"/>
        <v>0.53071669406263977</v>
      </c>
      <c r="AL115" s="2">
        <f t="shared" si="209"/>
        <v>0.54433748064651921</v>
      </c>
      <c r="AM115" s="2">
        <f t="shared" si="209"/>
        <v>0.5583078432456986</v>
      </c>
      <c r="AN115" s="2">
        <f t="shared" si="209"/>
        <v>0.57263675369082234</v>
      </c>
      <c r="AO115" s="2">
        <f t="shared" si="209"/>
        <v>0.58733341407359829</v>
      </c>
      <c r="AP115" s="2">
        <f t="shared" si="209"/>
        <v>0.60240726265642353</v>
      </c>
      <c r="AQ115" s="2">
        <f t="shared" si="209"/>
        <v>0.61786797993367903</v>
      </c>
      <c r="AR115" s="2">
        <f t="shared" si="209"/>
        <v>0.63372549484858776</v>
      </c>
      <c r="AS115" s="2">
        <f t="shared" si="209"/>
        <v>0.64998999116962719</v>
      </c>
      <c r="AT115" s="2">
        <f t="shared" si="209"/>
        <v>0.66667191403059189</v>
      </c>
      <c r="AU115" s="2">
        <f t="shared" si="209"/>
        <v>0.68378197663850626</v>
      </c>
      <c r="AV115" s="2">
        <f t="shared" si="209"/>
        <v>0.70133116715369492</v>
      </c>
      <c r="AW115" s="2">
        <f t="shared" si="209"/>
        <v>0.71933075574642924</v>
      </c>
      <c r="AX115" s="2">
        <f t="shared" si="209"/>
        <v>0.73779230183468247</v>
      </c>
      <c r="AY115" s="2">
        <f t="shared" si="209"/>
        <v>0.75672766150764059</v>
      </c>
      <c r="AZ115" s="2">
        <f t="shared" si="209"/>
        <v>0.77614899513973701</v>
      </c>
      <c r="BA115" s="2">
        <f t="shared" si="209"/>
        <v>0.79606877520010022</v>
      </c>
      <c r="BB115" s="2">
        <f t="shared" si="209"/>
        <v>0.8164997942624308</v>
      </c>
      <c r="BC115" s="2">
        <f t="shared" si="209"/>
        <v>0.8374551732204506</v>
      </c>
      <c r="BD115" s="2">
        <f t="shared" si="209"/>
        <v>0.8589483697142003</v>
      </c>
      <c r="BE115" s="2">
        <f t="shared" si="209"/>
        <v>0.88099318677259764</v>
      </c>
      <c r="BF115" s="2">
        <f t="shared" si="209"/>
        <v>0.90360378167780531</v>
      </c>
      <c r="BG115" s="2">
        <f t="shared" si="209"/>
        <v>0.92679467505710256</v>
      </c>
      <c r="BH115" s="2">
        <f t="shared" si="209"/>
        <v>0.9505807602080979</v>
      </c>
      <c r="BI115" s="2">
        <f t="shared" si="209"/>
        <v>0.97497731266327314</v>
      </c>
      <c r="BJ115" s="2">
        <f t="shared" si="209"/>
        <v>1</v>
      </c>
    </row>
    <row r="116" spans="1:62" outlineLevel="1">
      <c r="A116" s="11">
        <f t="shared" si="207"/>
        <v>34</v>
      </c>
      <c r="B116" s="2" t="str">
        <f t="shared" ref="B116:AG116" si="210">IF(B$80&gt;T,"",IF($A116&gt;B$81,"",IF(T=B$80,1,EXP(-B48*h)*((C116+C117)/2+cc*h))))</f>
        <v/>
      </c>
      <c r="C116" s="2" t="str">
        <f t="shared" si="210"/>
        <v/>
      </c>
      <c r="D116" s="2" t="str">
        <f t="shared" si="210"/>
        <v/>
      </c>
      <c r="E116" s="2" t="str">
        <f t="shared" si="210"/>
        <v/>
      </c>
      <c r="F116" s="2" t="str">
        <f t="shared" si="210"/>
        <v/>
      </c>
      <c r="G116" s="2" t="str">
        <f t="shared" si="210"/>
        <v/>
      </c>
      <c r="H116" s="2" t="str">
        <f t="shared" si="210"/>
        <v/>
      </c>
      <c r="I116" s="2" t="str">
        <f t="shared" si="210"/>
        <v/>
      </c>
      <c r="J116" s="2" t="str">
        <f t="shared" si="210"/>
        <v/>
      </c>
      <c r="K116" s="2" t="str">
        <f t="shared" si="210"/>
        <v/>
      </c>
      <c r="L116" s="2" t="str">
        <f t="shared" si="210"/>
        <v/>
      </c>
      <c r="M116" s="2" t="str">
        <f t="shared" si="210"/>
        <v/>
      </c>
      <c r="N116" s="2" t="str">
        <f t="shared" si="210"/>
        <v/>
      </c>
      <c r="O116" s="2" t="str">
        <f t="shared" si="210"/>
        <v/>
      </c>
      <c r="P116" s="2" t="str">
        <f t="shared" si="210"/>
        <v/>
      </c>
      <c r="Q116" s="2" t="str">
        <f t="shared" si="210"/>
        <v/>
      </c>
      <c r="R116" s="2" t="str">
        <f t="shared" si="210"/>
        <v/>
      </c>
      <c r="S116" s="2" t="str">
        <f t="shared" si="210"/>
        <v/>
      </c>
      <c r="T116" s="2" t="str">
        <f t="shared" si="210"/>
        <v/>
      </c>
      <c r="U116" s="2" t="str">
        <f t="shared" si="210"/>
        <v/>
      </c>
      <c r="V116" s="2" t="str">
        <f t="shared" si="210"/>
        <v/>
      </c>
      <c r="W116" s="2" t="str">
        <f t="shared" si="210"/>
        <v/>
      </c>
      <c r="X116" s="2" t="str">
        <f t="shared" si="210"/>
        <v/>
      </c>
      <c r="Y116" s="2" t="str">
        <f t="shared" si="210"/>
        <v/>
      </c>
      <c r="Z116" s="2" t="str">
        <f t="shared" si="210"/>
        <v/>
      </c>
      <c r="AA116" s="2" t="str">
        <f t="shared" si="210"/>
        <v/>
      </c>
      <c r="AB116" s="2" t="str">
        <f t="shared" si="210"/>
        <v/>
      </c>
      <c r="AC116" s="2" t="str">
        <f t="shared" si="210"/>
        <v/>
      </c>
      <c r="AD116" s="2" t="str">
        <f t="shared" si="210"/>
        <v/>
      </c>
      <c r="AE116" s="2" t="str">
        <f t="shared" si="210"/>
        <v/>
      </c>
      <c r="AF116" s="2" t="str">
        <f t="shared" si="210"/>
        <v/>
      </c>
      <c r="AG116" s="2" t="str">
        <f t="shared" si="210"/>
        <v/>
      </c>
      <c r="AH116" s="2" t="str">
        <f t="shared" ref="AH116:BJ116" si="211">IF(AH$80&gt;T,"",IF($A116&gt;AH$81,"",IF(T=AH$80,1,EXP(-AH48*h)*((AI116+AI117)/2+cc*h))))</f>
        <v/>
      </c>
      <c r="AI116" s="2" t="str">
        <f t="shared" si="211"/>
        <v/>
      </c>
      <c r="AJ116" s="2">
        <f t="shared" si="211"/>
        <v>0.51743673616272901</v>
      </c>
      <c r="AK116" s="2">
        <f t="shared" si="211"/>
        <v>0.53071669406263977</v>
      </c>
      <c r="AL116" s="2">
        <f t="shared" si="211"/>
        <v>0.54433748064651921</v>
      </c>
      <c r="AM116" s="2">
        <f t="shared" si="211"/>
        <v>0.5583078432456986</v>
      </c>
      <c r="AN116" s="2">
        <f t="shared" si="211"/>
        <v>0.57263675369082234</v>
      </c>
      <c r="AO116" s="2">
        <f t="shared" si="211"/>
        <v>0.58733341407359829</v>
      </c>
      <c r="AP116" s="2">
        <f t="shared" si="211"/>
        <v>0.60240726265642353</v>
      </c>
      <c r="AQ116" s="2">
        <f t="shared" si="211"/>
        <v>0.61786797993367903</v>
      </c>
      <c r="AR116" s="2">
        <f t="shared" si="211"/>
        <v>0.63372549484858776</v>
      </c>
      <c r="AS116" s="2">
        <f t="shared" si="211"/>
        <v>0.64998999116962719</v>
      </c>
      <c r="AT116" s="2">
        <f t="shared" si="211"/>
        <v>0.66667191403059189</v>
      </c>
      <c r="AU116" s="2">
        <f t="shared" si="211"/>
        <v>0.68378197663850626</v>
      </c>
      <c r="AV116" s="2">
        <f t="shared" si="211"/>
        <v>0.70133116715369492</v>
      </c>
      <c r="AW116" s="2">
        <f t="shared" si="211"/>
        <v>0.71933075574642924</v>
      </c>
      <c r="AX116" s="2">
        <f t="shared" si="211"/>
        <v>0.73779230183468247</v>
      </c>
      <c r="AY116" s="2">
        <f t="shared" si="211"/>
        <v>0.75672766150764059</v>
      </c>
      <c r="AZ116" s="2">
        <f t="shared" si="211"/>
        <v>0.77614899513973701</v>
      </c>
      <c r="BA116" s="2">
        <f t="shared" si="211"/>
        <v>0.79606877520010022</v>
      </c>
      <c r="BB116" s="2">
        <f t="shared" si="211"/>
        <v>0.8164997942624308</v>
      </c>
      <c r="BC116" s="2">
        <f t="shared" si="211"/>
        <v>0.8374551732204506</v>
      </c>
      <c r="BD116" s="2">
        <f t="shared" si="211"/>
        <v>0.8589483697142003</v>
      </c>
      <c r="BE116" s="2">
        <f t="shared" si="211"/>
        <v>0.88099318677259764</v>
      </c>
      <c r="BF116" s="2">
        <f t="shared" si="211"/>
        <v>0.90360378167780531</v>
      </c>
      <c r="BG116" s="2">
        <f t="shared" si="211"/>
        <v>0.92679467505710256</v>
      </c>
      <c r="BH116" s="2">
        <f t="shared" si="211"/>
        <v>0.9505807602080979</v>
      </c>
      <c r="BI116" s="2">
        <f t="shared" si="211"/>
        <v>0.97497731266327314</v>
      </c>
      <c r="BJ116" s="2">
        <f t="shared" si="211"/>
        <v>1</v>
      </c>
    </row>
    <row r="117" spans="1:62" outlineLevel="1">
      <c r="A117" s="11">
        <f t="shared" si="207"/>
        <v>35</v>
      </c>
      <c r="B117" s="2" t="str">
        <f t="shared" ref="B117:AG117" si="212">IF(B$80&gt;T,"",IF($A117&gt;B$81,"",IF(T=B$80,1,EXP(-B49*h)*((C117+C118)/2+cc*h))))</f>
        <v/>
      </c>
      <c r="C117" s="2" t="str">
        <f t="shared" si="212"/>
        <v/>
      </c>
      <c r="D117" s="2" t="str">
        <f t="shared" si="212"/>
        <v/>
      </c>
      <c r="E117" s="2" t="str">
        <f t="shared" si="212"/>
        <v/>
      </c>
      <c r="F117" s="2" t="str">
        <f t="shared" si="212"/>
        <v/>
      </c>
      <c r="G117" s="2" t="str">
        <f t="shared" si="212"/>
        <v/>
      </c>
      <c r="H117" s="2" t="str">
        <f t="shared" si="212"/>
        <v/>
      </c>
      <c r="I117" s="2" t="str">
        <f t="shared" si="212"/>
        <v/>
      </c>
      <c r="J117" s="2" t="str">
        <f t="shared" si="212"/>
        <v/>
      </c>
      <c r="K117" s="2" t="str">
        <f t="shared" si="212"/>
        <v/>
      </c>
      <c r="L117" s="2" t="str">
        <f t="shared" si="212"/>
        <v/>
      </c>
      <c r="M117" s="2" t="str">
        <f t="shared" si="212"/>
        <v/>
      </c>
      <c r="N117" s="2" t="str">
        <f t="shared" si="212"/>
        <v/>
      </c>
      <c r="O117" s="2" t="str">
        <f t="shared" si="212"/>
        <v/>
      </c>
      <c r="P117" s="2" t="str">
        <f t="shared" si="212"/>
        <v/>
      </c>
      <c r="Q117" s="2" t="str">
        <f t="shared" si="212"/>
        <v/>
      </c>
      <c r="R117" s="2" t="str">
        <f t="shared" si="212"/>
        <v/>
      </c>
      <c r="S117" s="2" t="str">
        <f t="shared" si="212"/>
        <v/>
      </c>
      <c r="T117" s="2" t="str">
        <f t="shared" si="212"/>
        <v/>
      </c>
      <c r="U117" s="2" t="str">
        <f t="shared" si="212"/>
        <v/>
      </c>
      <c r="V117" s="2" t="str">
        <f t="shared" si="212"/>
        <v/>
      </c>
      <c r="W117" s="2" t="str">
        <f t="shared" si="212"/>
        <v/>
      </c>
      <c r="X117" s="2" t="str">
        <f t="shared" si="212"/>
        <v/>
      </c>
      <c r="Y117" s="2" t="str">
        <f t="shared" si="212"/>
        <v/>
      </c>
      <c r="Z117" s="2" t="str">
        <f t="shared" si="212"/>
        <v/>
      </c>
      <c r="AA117" s="2" t="str">
        <f t="shared" si="212"/>
        <v/>
      </c>
      <c r="AB117" s="2" t="str">
        <f t="shared" si="212"/>
        <v/>
      </c>
      <c r="AC117" s="2" t="str">
        <f t="shared" si="212"/>
        <v/>
      </c>
      <c r="AD117" s="2" t="str">
        <f t="shared" si="212"/>
        <v/>
      </c>
      <c r="AE117" s="2" t="str">
        <f t="shared" si="212"/>
        <v/>
      </c>
      <c r="AF117" s="2" t="str">
        <f t="shared" si="212"/>
        <v/>
      </c>
      <c r="AG117" s="2" t="str">
        <f t="shared" si="212"/>
        <v/>
      </c>
      <c r="AH117" s="2" t="str">
        <f t="shared" ref="AH117:BJ117" si="213">IF(AH$80&gt;T,"",IF($A117&gt;AH$81,"",IF(T=AH$80,1,EXP(-AH49*h)*((AI117+AI118)/2+cc*h))))</f>
        <v/>
      </c>
      <c r="AI117" s="2" t="str">
        <f t="shared" si="213"/>
        <v/>
      </c>
      <c r="AJ117" s="2" t="str">
        <f t="shared" si="213"/>
        <v/>
      </c>
      <c r="AK117" s="2">
        <f t="shared" si="213"/>
        <v>0.53071669406263977</v>
      </c>
      <c r="AL117" s="2">
        <f t="shared" si="213"/>
        <v>0.54433748064651921</v>
      </c>
      <c r="AM117" s="2">
        <f t="shared" si="213"/>
        <v>0.5583078432456986</v>
      </c>
      <c r="AN117" s="2">
        <f t="shared" si="213"/>
        <v>0.57263675369082234</v>
      </c>
      <c r="AO117" s="2">
        <f t="shared" si="213"/>
        <v>0.58733341407359829</v>
      </c>
      <c r="AP117" s="2">
        <f t="shared" si="213"/>
        <v>0.60240726265642353</v>
      </c>
      <c r="AQ117" s="2">
        <f t="shared" si="213"/>
        <v>0.61786797993367903</v>
      </c>
      <c r="AR117" s="2">
        <f t="shared" si="213"/>
        <v>0.63372549484858776</v>
      </c>
      <c r="AS117" s="2">
        <f t="shared" si="213"/>
        <v>0.64998999116962719</v>
      </c>
      <c r="AT117" s="2">
        <f t="shared" si="213"/>
        <v>0.66667191403059189</v>
      </c>
      <c r="AU117" s="2">
        <f t="shared" si="213"/>
        <v>0.68378197663850626</v>
      </c>
      <c r="AV117" s="2">
        <f t="shared" si="213"/>
        <v>0.70133116715369492</v>
      </c>
      <c r="AW117" s="2">
        <f t="shared" si="213"/>
        <v>0.71933075574642924</v>
      </c>
      <c r="AX117" s="2">
        <f t="shared" si="213"/>
        <v>0.73779230183468247</v>
      </c>
      <c r="AY117" s="2">
        <f t="shared" si="213"/>
        <v>0.75672766150764059</v>
      </c>
      <c r="AZ117" s="2">
        <f t="shared" si="213"/>
        <v>0.77614899513973701</v>
      </c>
      <c r="BA117" s="2">
        <f t="shared" si="213"/>
        <v>0.79606877520010022</v>
      </c>
      <c r="BB117" s="2">
        <f t="shared" si="213"/>
        <v>0.8164997942624308</v>
      </c>
      <c r="BC117" s="2">
        <f t="shared" si="213"/>
        <v>0.8374551732204506</v>
      </c>
      <c r="BD117" s="2">
        <f t="shared" si="213"/>
        <v>0.8589483697142003</v>
      </c>
      <c r="BE117" s="2">
        <f t="shared" si="213"/>
        <v>0.88099318677259764</v>
      </c>
      <c r="BF117" s="2">
        <f t="shared" si="213"/>
        <v>0.90360378167780531</v>
      </c>
      <c r="BG117" s="2">
        <f t="shared" si="213"/>
        <v>0.92679467505710256</v>
      </c>
      <c r="BH117" s="2">
        <f t="shared" si="213"/>
        <v>0.9505807602080979</v>
      </c>
      <c r="BI117" s="2">
        <f t="shared" si="213"/>
        <v>0.97497731266327314</v>
      </c>
      <c r="BJ117" s="2">
        <f t="shared" si="213"/>
        <v>1</v>
      </c>
    </row>
    <row r="118" spans="1:62" outlineLevel="1">
      <c r="A118" s="11">
        <f t="shared" si="207"/>
        <v>36</v>
      </c>
      <c r="B118" s="2" t="str">
        <f t="shared" ref="B118:AG118" si="214">IF(B$80&gt;T,"",IF($A118&gt;B$81,"",IF(T=B$80,1,EXP(-B50*h)*((C118+C119)/2+cc*h))))</f>
        <v/>
      </c>
      <c r="C118" s="2" t="str">
        <f t="shared" si="214"/>
        <v/>
      </c>
      <c r="D118" s="2" t="str">
        <f t="shared" si="214"/>
        <v/>
      </c>
      <c r="E118" s="2" t="str">
        <f t="shared" si="214"/>
        <v/>
      </c>
      <c r="F118" s="2" t="str">
        <f t="shared" si="214"/>
        <v/>
      </c>
      <c r="G118" s="2" t="str">
        <f t="shared" si="214"/>
        <v/>
      </c>
      <c r="H118" s="2" t="str">
        <f t="shared" si="214"/>
        <v/>
      </c>
      <c r="I118" s="2" t="str">
        <f t="shared" si="214"/>
        <v/>
      </c>
      <c r="J118" s="2" t="str">
        <f t="shared" si="214"/>
        <v/>
      </c>
      <c r="K118" s="2" t="str">
        <f t="shared" si="214"/>
        <v/>
      </c>
      <c r="L118" s="2" t="str">
        <f t="shared" si="214"/>
        <v/>
      </c>
      <c r="M118" s="2" t="str">
        <f t="shared" si="214"/>
        <v/>
      </c>
      <c r="N118" s="2" t="str">
        <f t="shared" si="214"/>
        <v/>
      </c>
      <c r="O118" s="2" t="str">
        <f t="shared" si="214"/>
        <v/>
      </c>
      <c r="P118" s="2" t="str">
        <f t="shared" si="214"/>
        <v/>
      </c>
      <c r="Q118" s="2" t="str">
        <f t="shared" si="214"/>
        <v/>
      </c>
      <c r="R118" s="2" t="str">
        <f t="shared" si="214"/>
        <v/>
      </c>
      <c r="S118" s="2" t="str">
        <f t="shared" si="214"/>
        <v/>
      </c>
      <c r="T118" s="2" t="str">
        <f t="shared" si="214"/>
        <v/>
      </c>
      <c r="U118" s="2" t="str">
        <f t="shared" si="214"/>
        <v/>
      </c>
      <c r="V118" s="2" t="str">
        <f t="shared" si="214"/>
        <v/>
      </c>
      <c r="W118" s="2" t="str">
        <f t="shared" si="214"/>
        <v/>
      </c>
      <c r="X118" s="2" t="str">
        <f t="shared" si="214"/>
        <v/>
      </c>
      <c r="Y118" s="2" t="str">
        <f t="shared" si="214"/>
        <v/>
      </c>
      <c r="Z118" s="2" t="str">
        <f t="shared" si="214"/>
        <v/>
      </c>
      <c r="AA118" s="2" t="str">
        <f t="shared" si="214"/>
        <v/>
      </c>
      <c r="AB118" s="2" t="str">
        <f t="shared" si="214"/>
        <v/>
      </c>
      <c r="AC118" s="2" t="str">
        <f t="shared" si="214"/>
        <v/>
      </c>
      <c r="AD118" s="2" t="str">
        <f t="shared" si="214"/>
        <v/>
      </c>
      <c r="AE118" s="2" t="str">
        <f t="shared" si="214"/>
        <v/>
      </c>
      <c r="AF118" s="2" t="str">
        <f t="shared" si="214"/>
        <v/>
      </c>
      <c r="AG118" s="2" t="str">
        <f t="shared" si="214"/>
        <v/>
      </c>
      <c r="AH118" s="2" t="str">
        <f t="shared" ref="AH118:BJ118" si="215">IF(AH$80&gt;T,"",IF($A118&gt;AH$81,"",IF(T=AH$80,1,EXP(-AH50*h)*((AI118+AI119)/2+cc*h))))</f>
        <v/>
      </c>
      <c r="AI118" s="2" t="str">
        <f t="shared" si="215"/>
        <v/>
      </c>
      <c r="AJ118" s="2" t="str">
        <f t="shared" si="215"/>
        <v/>
      </c>
      <c r="AK118" s="2" t="str">
        <f t="shared" si="215"/>
        <v/>
      </c>
      <c r="AL118" s="2">
        <f t="shared" si="215"/>
        <v>0.54433748064651921</v>
      </c>
      <c r="AM118" s="2">
        <f t="shared" si="215"/>
        <v>0.5583078432456986</v>
      </c>
      <c r="AN118" s="2">
        <f t="shared" si="215"/>
        <v>0.57263675369082234</v>
      </c>
      <c r="AO118" s="2">
        <f t="shared" si="215"/>
        <v>0.58733341407359829</v>
      </c>
      <c r="AP118" s="2">
        <f t="shared" si="215"/>
        <v>0.60240726265642353</v>
      </c>
      <c r="AQ118" s="2">
        <f t="shared" si="215"/>
        <v>0.61786797993367903</v>
      </c>
      <c r="AR118" s="2">
        <f t="shared" si="215"/>
        <v>0.63372549484858776</v>
      </c>
      <c r="AS118" s="2">
        <f t="shared" si="215"/>
        <v>0.64998999116962719</v>
      </c>
      <c r="AT118" s="2">
        <f t="shared" si="215"/>
        <v>0.66667191403059189</v>
      </c>
      <c r="AU118" s="2">
        <f t="shared" si="215"/>
        <v>0.68378197663850626</v>
      </c>
      <c r="AV118" s="2">
        <f t="shared" si="215"/>
        <v>0.70133116715369492</v>
      </c>
      <c r="AW118" s="2">
        <f t="shared" si="215"/>
        <v>0.71933075574642924</v>
      </c>
      <c r="AX118" s="2">
        <f t="shared" si="215"/>
        <v>0.73779230183468247</v>
      </c>
      <c r="AY118" s="2">
        <f t="shared" si="215"/>
        <v>0.75672766150764059</v>
      </c>
      <c r="AZ118" s="2">
        <f t="shared" si="215"/>
        <v>0.77614899513973701</v>
      </c>
      <c r="BA118" s="2">
        <f t="shared" si="215"/>
        <v>0.79606877520010022</v>
      </c>
      <c r="BB118" s="2">
        <f t="shared" si="215"/>
        <v>0.8164997942624308</v>
      </c>
      <c r="BC118" s="2">
        <f t="shared" si="215"/>
        <v>0.8374551732204506</v>
      </c>
      <c r="BD118" s="2">
        <f t="shared" si="215"/>
        <v>0.8589483697142003</v>
      </c>
      <c r="BE118" s="2">
        <f t="shared" si="215"/>
        <v>0.88099318677259764</v>
      </c>
      <c r="BF118" s="2">
        <f t="shared" si="215"/>
        <v>0.90360378167780531</v>
      </c>
      <c r="BG118" s="2">
        <f t="shared" si="215"/>
        <v>0.92679467505710256</v>
      </c>
      <c r="BH118" s="2">
        <f t="shared" si="215"/>
        <v>0.9505807602080979</v>
      </c>
      <c r="BI118" s="2">
        <f t="shared" si="215"/>
        <v>0.97497731266327314</v>
      </c>
      <c r="BJ118" s="2">
        <f t="shared" si="215"/>
        <v>1</v>
      </c>
    </row>
    <row r="119" spans="1:62" outlineLevel="1">
      <c r="A119" s="11">
        <f t="shared" si="207"/>
        <v>37</v>
      </c>
      <c r="B119" s="2" t="str">
        <f t="shared" ref="B119:AG119" si="216">IF(B$80&gt;T,"",IF($A119&gt;B$81,"",IF(T=B$80,1,EXP(-B51*h)*((C119+C120)/2+cc*h))))</f>
        <v/>
      </c>
      <c r="C119" s="2" t="str">
        <f t="shared" si="216"/>
        <v/>
      </c>
      <c r="D119" s="2" t="str">
        <f t="shared" si="216"/>
        <v/>
      </c>
      <c r="E119" s="2" t="str">
        <f t="shared" si="216"/>
        <v/>
      </c>
      <c r="F119" s="2" t="str">
        <f t="shared" si="216"/>
        <v/>
      </c>
      <c r="G119" s="2" t="str">
        <f t="shared" si="216"/>
        <v/>
      </c>
      <c r="H119" s="2" t="str">
        <f t="shared" si="216"/>
        <v/>
      </c>
      <c r="I119" s="2" t="str">
        <f t="shared" si="216"/>
        <v/>
      </c>
      <c r="J119" s="2" t="str">
        <f t="shared" si="216"/>
        <v/>
      </c>
      <c r="K119" s="2" t="str">
        <f t="shared" si="216"/>
        <v/>
      </c>
      <c r="L119" s="2" t="str">
        <f t="shared" si="216"/>
        <v/>
      </c>
      <c r="M119" s="2" t="str">
        <f t="shared" si="216"/>
        <v/>
      </c>
      <c r="N119" s="2" t="str">
        <f t="shared" si="216"/>
        <v/>
      </c>
      <c r="O119" s="2" t="str">
        <f t="shared" si="216"/>
        <v/>
      </c>
      <c r="P119" s="2" t="str">
        <f t="shared" si="216"/>
        <v/>
      </c>
      <c r="Q119" s="2" t="str">
        <f t="shared" si="216"/>
        <v/>
      </c>
      <c r="R119" s="2" t="str">
        <f t="shared" si="216"/>
        <v/>
      </c>
      <c r="S119" s="2" t="str">
        <f t="shared" si="216"/>
        <v/>
      </c>
      <c r="T119" s="2" t="str">
        <f t="shared" si="216"/>
        <v/>
      </c>
      <c r="U119" s="2" t="str">
        <f t="shared" si="216"/>
        <v/>
      </c>
      <c r="V119" s="2" t="str">
        <f t="shared" si="216"/>
        <v/>
      </c>
      <c r="W119" s="2" t="str">
        <f t="shared" si="216"/>
        <v/>
      </c>
      <c r="X119" s="2" t="str">
        <f t="shared" si="216"/>
        <v/>
      </c>
      <c r="Y119" s="2" t="str">
        <f t="shared" si="216"/>
        <v/>
      </c>
      <c r="Z119" s="2" t="str">
        <f t="shared" si="216"/>
        <v/>
      </c>
      <c r="AA119" s="2" t="str">
        <f t="shared" si="216"/>
        <v/>
      </c>
      <c r="AB119" s="2" t="str">
        <f t="shared" si="216"/>
        <v/>
      </c>
      <c r="AC119" s="2" t="str">
        <f t="shared" si="216"/>
        <v/>
      </c>
      <c r="AD119" s="2" t="str">
        <f t="shared" si="216"/>
        <v/>
      </c>
      <c r="AE119" s="2" t="str">
        <f t="shared" si="216"/>
        <v/>
      </c>
      <c r="AF119" s="2" t="str">
        <f t="shared" si="216"/>
        <v/>
      </c>
      <c r="AG119" s="2" t="str">
        <f t="shared" si="216"/>
        <v/>
      </c>
      <c r="AH119" s="2" t="str">
        <f t="shared" ref="AH119:BJ119" si="217">IF(AH$80&gt;T,"",IF($A119&gt;AH$81,"",IF(T=AH$80,1,EXP(-AH51*h)*((AI119+AI120)/2+cc*h))))</f>
        <v/>
      </c>
      <c r="AI119" s="2" t="str">
        <f t="shared" si="217"/>
        <v/>
      </c>
      <c r="AJ119" s="2" t="str">
        <f t="shared" si="217"/>
        <v/>
      </c>
      <c r="AK119" s="2" t="str">
        <f t="shared" si="217"/>
        <v/>
      </c>
      <c r="AL119" s="2" t="str">
        <f t="shared" si="217"/>
        <v/>
      </c>
      <c r="AM119" s="2">
        <f t="shared" si="217"/>
        <v>0.5583078432456986</v>
      </c>
      <c r="AN119" s="2">
        <f t="shared" si="217"/>
        <v>0.57263675369082234</v>
      </c>
      <c r="AO119" s="2">
        <f t="shared" si="217"/>
        <v>0.58733341407359829</v>
      </c>
      <c r="AP119" s="2">
        <f t="shared" si="217"/>
        <v>0.60240726265642353</v>
      </c>
      <c r="AQ119" s="2">
        <f t="shared" si="217"/>
        <v>0.61786797993367903</v>
      </c>
      <c r="AR119" s="2">
        <f t="shared" si="217"/>
        <v>0.63372549484858776</v>
      </c>
      <c r="AS119" s="2">
        <f t="shared" si="217"/>
        <v>0.64998999116962719</v>
      </c>
      <c r="AT119" s="2">
        <f t="shared" si="217"/>
        <v>0.66667191403059189</v>
      </c>
      <c r="AU119" s="2">
        <f t="shared" si="217"/>
        <v>0.68378197663850626</v>
      </c>
      <c r="AV119" s="2">
        <f t="shared" si="217"/>
        <v>0.70133116715369492</v>
      </c>
      <c r="AW119" s="2">
        <f t="shared" si="217"/>
        <v>0.71933075574642924</v>
      </c>
      <c r="AX119" s="2">
        <f t="shared" si="217"/>
        <v>0.73779230183468247</v>
      </c>
      <c r="AY119" s="2">
        <f t="shared" si="217"/>
        <v>0.75672766150764059</v>
      </c>
      <c r="AZ119" s="2">
        <f t="shared" si="217"/>
        <v>0.77614899513973701</v>
      </c>
      <c r="BA119" s="2">
        <f t="shared" si="217"/>
        <v>0.79606877520010022</v>
      </c>
      <c r="BB119" s="2">
        <f t="shared" si="217"/>
        <v>0.8164997942624308</v>
      </c>
      <c r="BC119" s="2">
        <f t="shared" si="217"/>
        <v>0.8374551732204506</v>
      </c>
      <c r="BD119" s="2">
        <f t="shared" si="217"/>
        <v>0.8589483697142003</v>
      </c>
      <c r="BE119" s="2">
        <f t="shared" si="217"/>
        <v>0.88099318677259764</v>
      </c>
      <c r="BF119" s="2">
        <f t="shared" si="217"/>
        <v>0.90360378167780531</v>
      </c>
      <c r="BG119" s="2">
        <f t="shared" si="217"/>
        <v>0.92679467505710256</v>
      </c>
      <c r="BH119" s="2">
        <f t="shared" si="217"/>
        <v>0.9505807602080979</v>
      </c>
      <c r="BI119" s="2">
        <f t="shared" si="217"/>
        <v>0.97497731266327314</v>
      </c>
      <c r="BJ119" s="2">
        <f t="shared" si="217"/>
        <v>1</v>
      </c>
    </row>
    <row r="120" spans="1:62" outlineLevel="1">
      <c r="A120" s="11">
        <f t="shared" si="207"/>
        <v>38</v>
      </c>
      <c r="B120" s="2" t="str">
        <f t="shared" ref="B120:AG120" si="218">IF(B$80&gt;T,"",IF($A120&gt;B$81,"",IF(T=B$80,1,EXP(-B52*h)*((C120+C121)/2+cc*h))))</f>
        <v/>
      </c>
      <c r="C120" s="2" t="str">
        <f t="shared" si="218"/>
        <v/>
      </c>
      <c r="D120" s="2" t="str">
        <f t="shared" si="218"/>
        <v/>
      </c>
      <c r="E120" s="2" t="str">
        <f t="shared" si="218"/>
        <v/>
      </c>
      <c r="F120" s="2" t="str">
        <f t="shared" si="218"/>
        <v/>
      </c>
      <c r="G120" s="2" t="str">
        <f t="shared" si="218"/>
        <v/>
      </c>
      <c r="H120" s="2" t="str">
        <f t="shared" si="218"/>
        <v/>
      </c>
      <c r="I120" s="2" t="str">
        <f t="shared" si="218"/>
        <v/>
      </c>
      <c r="J120" s="2" t="str">
        <f t="shared" si="218"/>
        <v/>
      </c>
      <c r="K120" s="2" t="str">
        <f t="shared" si="218"/>
        <v/>
      </c>
      <c r="L120" s="2" t="str">
        <f t="shared" si="218"/>
        <v/>
      </c>
      <c r="M120" s="2" t="str">
        <f t="shared" si="218"/>
        <v/>
      </c>
      <c r="N120" s="2" t="str">
        <f t="shared" si="218"/>
        <v/>
      </c>
      <c r="O120" s="2" t="str">
        <f t="shared" si="218"/>
        <v/>
      </c>
      <c r="P120" s="2" t="str">
        <f t="shared" si="218"/>
        <v/>
      </c>
      <c r="Q120" s="2" t="str">
        <f t="shared" si="218"/>
        <v/>
      </c>
      <c r="R120" s="2" t="str">
        <f t="shared" si="218"/>
        <v/>
      </c>
      <c r="S120" s="2" t="str">
        <f t="shared" si="218"/>
        <v/>
      </c>
      <c r="T120" s="2" t="str">
        <f t="shared" si="218"/>
        <v/>
      </c>
      <c r="U120" s="2" t="str">
        <f t="shared" si="218"/>
        <v/>
      </c>
      <c r="V120" s="2" t="str">
        <f t="shared" si="218"/>
        <v/>
      </c>
      <c r="W120" s="2" t="str">
        <f t="shared" si="218"/>
        <v/>
      </c>
      <c r="X120" s="2" t="str">
        <f t="shared" si="218"/>
        <v/>
      </c>
      <c r="Y120" s="2" t="str">
        <f t="shared" si="218"/>
        <v/>
      </c>
      <c r="Z120" s="2" t="str">
        <f t="shared" si="218"/>
        <v/>
      </c>
      <c r="AA120" s="2" t="str">
        <f t="shared" si="218"/>
        <v/>
      </c>
      <c r="AB120" s="2" t="str">
        <f t="shared" si="218"/>
        <v/>
      </c>
      <c r="AC120" s="2" t="str">
        <f t="shared" si="218"/>
        <v/>
      </c>
      <c r="AD120" s="2" t="str">
        <f t="shared" si="218"/>
        <v/>
      </c>
      <c r="AE120" s="2" t="str">
        <f t="shared" si="218"/>
        <v/>
      </c>
      <c r="AF120" s="2" t="str">
        <f t="shared" si="218"/>
        <v/>
      </c>
      <c r="AG120" s="2" t="str">
        <f t="shared" si="218"/>
        <v/>
      </c>
      <c r="AH120" s="2" t="str">
        <f t="shared" ref="AH120:BJ120" si="219">IF(AH$80&gt;T,"",IF($A120&gt;AH$81,"",IF(T=AH$80,1,EXP(-AH52*h)*((AI120+AI121)/2+cc*h))))</f>
        <v/>
      </c>
      <c r="AI120" s="2" t="str">
        <f t="shared" si="219"/>
        <v/>
      </c>
      <c r="AJ120" s="2" t="str">
        <f t="shared" si="219"/>
        <v/>
      </c>
      <c r="AK120" s="2" t="str">
        <f t="shared" si="219"/>
        <v/>
      </c>
      <c r="AL120" s="2" t="str">
        <f t="shared" si="219"/>
        <v/>
      </c>
      <c r="AM120" s="2" t="str">
        <f t="shared" si="219"/>
        <v/>
      </c>
      <c r="AN120" s="2">
        <f t="shared" si="219"/>
        <v>0.57263675369082234</v>
      </c>
      <c r="AO120" s="2">
        <f t="shared" si="219"/>
        <v>0.58733341407359829</v>
      </c>
      <c r="AP120" s="2">
        <f t="shared" si="219"/>
        <v>0.60240726265642353</v>
      </c>
      <c r="AQ120" s="2">
        <f t="shared" si="219"/>
        <v>0.61786797993367903</v>
      </c>
      <c r="AR120" s="2">
        <f t="shared" si="219"/>
        <v>0.63372549484858776</v>
      </c>
      <c r="AS120" s="2">
        <f t="shared" si="219"/>
        <v>0.64998999116962719</v>
      </c>
      <c r="AT120" s="2">
        <f t="shared" si="219"/>
        <v>0.66667191403059189</v>
      </c>
      <c r="AU120" s="2">
        <f t="shared" si="219"/>
        <v>0.68378197663850626</v>
      </c>
      <c r="AV120" s="2">
        <f t="shared" si="219"/>
        <v>0.70133116715369492</v>
      </c>
      <c r="AW120" s="2">
        <f t="shared" si="219"/>
        <v>0.71933075574642924</v>
      </c>
      <c r="AX120" s="2">
        <f t="shared" si="219"/>
        <v>0.73779230183468247</v>
      </c>
      <c r="AY120" s="2">
        <f t="shared" si="219"/>
        <v>0.75672766150764059</v>
      </c>
      <c r="AZ120" s="2">
        <f t="shared" si="219"/>
        <v>0.77614899513973701</v>
      </c>
      <c r="BA120" s="2">
        <f t="shared" si="219"/>
        <v>0.79606877520010022</v>
      </c>
      <c r="BB120" s="2">
        <f t="shared" si="219"/>
        <v>0.8164997942624308</v>
      </c>
      <c r="BC120" s="2">
        <f t="shared" si="219"/>
        <v>0.8374551732204506</v>
      </c>
      <c r="BD120" s="2">
        <f t="shared" si="219"/>
        <v>0.8589483697142003</v>
      </c>
      <c r="BE120" s="2">
        <f t="shared" si="219"/>
        <v>0.88099318677259764</v>
      </c>
      <c r="BF120" s="2">
        <f t="shared" si="219"/>
        <v>0.90360378167780531</v>
      </c>
      <c r="BG120" s="2">
        <f t="shared" si="219"/>
        <v>0.92679467505710256</v>
      </c>
      <c r="BH120" s="2">
        <f t="shared" si="219"/>
        <v>0.9505807602080979</v>
      </c>
      <c r="BI120" s="2">
        <f t="shared" si="219"/>
        <v>0.97497731266327314</v>
      </c>
      <c r="BJ120" s="2">
        <f t="shared" si="219"/>
        <v>1</v>
      </c>
    </row>
    <row r="121" spans="1:62" outlineLevel="1">
      <c r="A121" s="11">
        <f t="shared" si="207"/>
        <v>39</v>
      </c>
      <c r="B121" s="2" t="str">
        <f t="shared" ref="B121:AG121" si="220">IF(B$80&gt;T,"",IF($A121&gt;B$81,"",IF(T=B$80,1,EXP(-B53*h)*((C121+C122)/2+cc*h))))</f>
        <v/>
      </c>
      <c r="C121" s="2" t="str">
        <f t="shared" si="220"/>
        <v/>
      </c>
      <c r="D121" s="2" t="str">
        <f t="shared" si="220"/>
        <v/>
      </c>
      <c r="E121" s="2" t="str">
        <f t="shared" si="220"/>
        <v/>
      </c>
      <c r="F121" s="2" t="str">
        <f t="shared" si="220"/>
        <v/>
      </c>
      <c r="G121" s="2" t="str">
        <f t="shared" si="220"/>
        <v/>
      </c>
      <c r="H121" s="2" t="str">
        <f t="shared" si="220"/>
        <v/>
      </c>
      <c r="I121" s="2" t="str">
        <f t="shared" si="220"/>
        <v/>
      </c>
      <c r="J121" s="2" t="str">
        <f t="shared" si="220"/>
        <v/>
      </c>
      <c r="K121" s="2" t="str">
        <f t="shared" si="220"/>
        <v/>
      </c>
      <c r="L121" s="2" t="str">
        <f t="shared" si="220"/>
        <v/>
      </c>
      <c r="M121" s="2" t="str">
        <f t="shared" si="220"/>
        <v/>
      </c>
      <c r="N121" s="2" t="str">
        <f t="shared" si="220"/>
        <v/>
      </c>
      <c r="O121" s="2" t="str">
        <f t="shared" si="220"/>
        <v/>
      </c>
      <c r="P121" s="2" t="str">
        <f t="shared" si="220"/>
        <v/>
      </c>
      <c r="Q121" s="2" t="str">
        <f t="shared" si="220"/>
        <v/>
      </c>
      <c r="R121" s="2" t="str">
        <f t="shared" si="220"/>
        <v/>
      </c>
      <c r="S121" s="2" t="str">
        <f t="shared" si="220"/>
        <v/>
      </c>
      <c r="T121" s="2" t="str">
        <f t="shared" si="220"/>
        <v/>
      </c>
      <c r="U121" s="2" t="str">
        <f t="shared" si="220"/>
        <v/>
      </c>
      <c r="V121" s="2" t="str">
        <f t="shared" si="220"/>
        <v/>
      </c>
      <c r="W121" s="2" t="str">
        <f t="shared" si="220"/>
        <v/>
      </c>
      <c r="X121" s="2" t="str">
        <f t="shared" si="220"/>
        <v/>
      </c>
      <c r="Y121" s="2" t="str">
        <f t="shared" si="220"/>
        <v/>
      </c>
      <c r="Z121" s="2" t="str">
        <f t="shared" si="220"/>
        <v/>
      </c>
      <c r="AA121" s="2" t="str">
        <f t="shared" si="220"/>
        <v/>
      </c>
      <c r="AB121" s="2" t="str">
        <f t="shared" si="220"/>
        <v/>
      </c>
      <c r="AC121" s="2" t="str">
        <f t="shared" si="220"/>
        <v/>
      </c>
      <c r="AD121" s="2" t="str">
        <f t="shared" si="220"/>
        <v/>
      </c>
      <c r="AE121" s="2" t="str">
        <f t="shared" si="220"/>
        <v/>
      </c>
      <c r="AF121" s="2" t="str">
        <f t="shared" si="220"/>
        <v/>
      </c>
      <c r="AG121" s="2" t="str">
        <f t="shared" si="220"/>
        <v/>
      </c>
      <c r="AH121" s="2" t="str">
        <f t="shared" ref="AH121:BJ121" si="221">IF(AH$80&gt;T,"",IF($A121&gt;AH$81,"",IF(T=AH$80,1,EXP(-AH53*h)*((AI121+AI122)/2+cc*h))))</f>
        <v/>
      </c>
      <c r="AI121" s="2" t="str">
        <f t="shared" si="221"/>
        <v/>
      </c>
      <c r="AJ121" s="2" t="str">
        <f t="shared" si="221"/>
        <v/>
      </c>
      <c r="AK121" s="2" t="str">
        <f t="shared" si="221"/>
        <v/>
      </c>
      <c r="AL121" s="2" t="str">
        <f t="shared" si="221"/>
        <v/>
      </c>
      <c r="AM121" s="2" t="str">
        <f t="shared" si="221"/>
        <v/>
      </c>
      <c r="AN121" s="2" t="str">
        <f t="shared" si="221"/>
        <v/>
      </c>
      <c r="AO121" s="2">
        <f t="shared" si="221"/>
        <v>0.58733341407359829</v>
      </c>
      <c r="AP121" s="2">
        <f t="shared" si="221"/>
        <v>0.60240726265642353</v>
      </c>
      <c r="AQ121" s="2">
        <f t="shared" si="221"/>
        <v>0.61786797993367903</v>
      </c>
      <c r="AR121" s="2">
        <f t="shared" si="221"/>
        <v>0.63372549484858776</v>
      </c>
      <c r="AS121" s="2">
        <f t="shared" si="221"/>
        <v>0.64998999116962719</v>
      </c>
      <c r="AT121" s="2">
        <f t="shared" si="221"/>
        <v>0.66667191403059189</v>
      </c>
      <c r="AU121" s="2">
        <f t="shared" si="221"/>
        <v>0.68378197663850626</v>
      </c>
      <c r="AV121" s="2">
        <f t="shared" si="221"/>
        <v>0.70133116715369492</v>
      </c>
      <c r="AW121" s="2">
        <f t="shared" si="221"/>
        <v>0.71933075574642924</v>
      </c>
      <c r="AX121" s="2">
        <f t="shared" si="221"/>
        <v>0.73779230183468247</v>
      </c>
      <c r="AY121" s="2">
        <f t="shared" si="221"/>
        <v>0.75672766150764059</v>
      </c>
      <c r="AZ121" s="2">
        <f t="shared" si="221"/>
        <v>0.77614899513973701</v>
      </c>
      <c r="BA121" s="2">
        <f t="shared" si="221"/>
        <v>0.79606877520010022</v>
      </c>
      <c r="BB121" s="2">
        <f t="shared" si="221"/>
        <v>0.8164997942624308</v>
      </c>
      <c r="BC121" s="2">
        <f t="shared" si="221"/>
        <v>0.8374551732204506</v>
      </c>
      <c r="BD121" s="2">
        <f t="shared" si="221"/>
        <v>0.8589483697142003</v>
      </c>
      <c r="BE121" s="2">
        <f t="shared" si="221"/>
        <v>0.88099318677259764</v>
      </c>
      <c r="BF121" s="2">
        <f t="shared" si="221"/>
        <v>0.90360378167780531</v>
      </c>
      <c r="BG121" s="2">
        <f t="shared" si="221"/>
        <v>0.92679467505710256</v>
      </c>
      <c r="BH121" s="2">
        <f t="shared" si="221"/>
        <v>0.9505807602080979</v>
      </c>
      <c r="BI121" s="2">
        <f t="shared" si="221"/>
        <v>0.97497731266327314</v>
      </c>
      <c r="BJ121" s="2">
        <f t="shared" si="221"/>
        <v>1</v>
      </c>
    </row>
    <row r="122" spans="1:62" outlineLevel="1">
      <c r="A122" s="11">
        <f t="shared" si="207"/>
        <v>40</v>
      </c>
      <c r="B122" s="2" t="str">
        <f t="shared" ref="B122:AG122" si="222">IF(B$80&gt;T,"",IF($A122&gt;B$81,"",IF(T=B$80,1,EXP(-B54*h)*((C122+C123)/2+cc*h))))</f>
        <v/>
      </c>
      <c r="C122" s="2" t="str">
        <f t="shared" si="222"/>
        <v/>
      </c>
      <c r="D122" s="2" t="str">
        <f t="shared" si="222"/>
        <v/>
      </c>
      <c r="E122" s="2" t="str">
        <f t="shared" si="222"/>
        <v/>
      </c>
      <c r="F122" s="2" t="str">
        <f t="shared" si="222"/>
        <v/>
      </c>
      <c r="G122" s="2" t="str">
        <f t="shared" si="222"/>
        <v/>
      </c>
      <c r="H122" s="2" t="str">
        <f t="shared" si="222"/>
        <v/>
      </c>
      <c r="I122" s="2" t="str">
        <f t="shared" si="222"/>
        <v/>
      </c>
      <c r="J122" s="2" t="str">
        <f t="shared" si="222"/>
        <v/>
      </c>
      <c r="K122" s="2" t="str">
        <f t="shared" si="222"/>
        <v/>
      </c>
      <c r="L122" s="2" t="str">
        <f t="shared" si="222"/>
        <v/>
      </c>
      <c r="M122" s="2" t="str">
        <f t="shared" si="222"/>
        <v/>
      </c>
      <c r="N122" s="2" t="str">
        <f t="shared" si="222"/>
        <v/>
      </c>
      <c r="O122" s="2" t="str">
        <f t="shared" si="222"/>
        <v/>
      </c>
      <c r="P122" s="2" t="str">
        <f t="shared" si="222"/>
        <v/>
      </c>
      <c r="Q122" s="2" t="str">
        <f t="shared" si="222"/>
        <v/>
      </c>
      <c r="R122" s="2" t="str">
        <f t="shared" si="222"/>
        <v/>
      </c>
      <c r="S122" s="2" t="str">
        <f t="shared" si="222"/>
        <v/>
      </c>
      <c r="T122" s="2" t="str">
        <f t="shared" si="222"/>
        <v/>
      </c>
      <c r="U122" s="2" t="str">
        <f t="shared" si="222"/>
        <v/>
      </c>
      <c r="V122" s="2" t="str">
        <f t="shared" si="222"/>
        <v/>
      </c>
      <c r="W122" s="2" t="str">
        <f t="shared" si="222"/>
        <v/>
      </c>
      <c r="X122" s="2" t="str">
        <f t="shared" si="222"/>
        <v/>
      </c>
      <c r="Y122" s="2" t="str">
        <f t="shared" si="222"/>
        <v/>
      </c>
      <c r="Z122" s="2" t="str">
        <f t="shared" si="222"/>
        <v/>
      </c>
      <c r="AA122" s="2" t="str">
        <f t="shared" si="222"/>
        <v/>
      </c>
      <c r="AB122" s="2" t="str">
        <f t="shared" si="222"/>
        <v/>
      </c>
      <c r="AC122" s="2" t="str">
        <f t="shared" si="222"/>
        <v/>
      </c>
      <c r="AD122" s="2" t="str">
        <f t="shared" si="222"/>
        <v/>
      </c>
      <c r="AE122" s="2" t="str">
        <f t="shared" si="222"/>
        <v/>
      </c>
      <c r="AF122" s="2" t="str">
        <f t="shared" si="222"/>
        <v/>
      </c>
      <c r="AG122" s="2" t="str">
        <f t="shared" si="222"/>
        <v/>
      </c>
      <c r="AH122" s="2" t="str">
        <f t="shared" ref="AH122:BJ122" si="223">IF(AH$80&gt;T,"",IF($A122&gt;AH$81,"",IF(T=AH$80,1,EXP(-AH54*h)*((AI122+AI123)/2+cc*h))))</f>
        <v/>
      </c>
      <c r="AI122" s="2" t="str">
        <f t="shared" si="223"/>
        <v/>
      </c>
      <c r="AJ122" s="2" t="str">
        <f t="shared" si="223"/>
        <v/>
      </c>
      <c r="AK122" s="2" t="str">
        <f t="shared" si="223"/>
        <v/>
      </c>
      <c r="AL122" s="2" t="str">
        <f t="shared" si="223"/>
        <v/>
      </c>
      <c r="AM122" s="2" t="str">
        <f t="shared" si="223"/>
        <v/>
      </c>
      <c r="AN122" s="2" t="str">
        <f t="shared" si="223"/>
        <v/>
      </c>
      <c r="AO122" s="2" t="str">
        <f t="shared" si="223"/>
        <v/>
      </c>
      <c r="AP122" s="2">
        <f t="shared" si="223"/>
        <v>0.60240726265642353</v>
      </c>
      <c r="AQ122" s="2">
        <f t="shared" si="223"/>
        <v>0.61786797993367903</v>
      </c>
      <c r="AR122" s="2">
        <f t="shared" si="223"/>
        <v>0.63372549484858776</v>
      </c>
      <c r="AS122" s="2">
        <f t="shared" si="223"/>
        <v>0.64998999116962719</v>
      </c>
      <c r="AT122" s="2">
        <f t="shared" si="223"/>
        <v>0.66667191403059189</v>
      </c>
      <c r="AU122" s="2">
        <f t="shared" si="223"/>
        <v>0.68378197663850626</v>
      </c>
      <c r="AV122" s="2">
        <f t="shared" si="223"/>
        <v>0.70133116715369492</v>
      </c>
      <c r="AW122" s="2">
        <f t="shared" si="223"/>
        <v>0.71933075574642924</v>
      </c>
      <c r="AX122" s="2">
        <f t="shared" si="223"/>
        <v>0.73779230183468247</v>
      </c>
      <c r="AY122" s="2">
        <f t="shared" si="223"/>
        <v>0.75672766150764059</v>
      </c>
      <c r="AZ122" s="2">
        <f t="shared" si="223"/>
        <v>0.77614899513973701</v>
      </c>
      <c r="BA122" s="2">
        <f t="shared" si="223"/>
        <v>0.79606877520010022</v>
      </c>
      <c r="BB122" s="2">
        <f t="shared" si="223"/>
        <v>0.8164997942624308</v>
      </c>
      <c r="BC122" s="2">
        <f t="shared" si="223"/>
        <v>0.8374551732204506</v>
      </c>
      <c r="BD122" s="2">
        <f t="shared" si="223"/>
        <v>0.8589483697142003</v>
      </c>
      <c r="BE122" s="2">
        <f t="shared" si="223"/>
        <v>0.88099318677259764</v>
      </c>
      <c r="BF122" s="2">
        <f t="shared" si="223"/>
        <v>0.90360378167780531</v>
      </c>
      <c r="BG122" s="2">
        <f t="shared" si="223"/>
        <v>0.92679467505710256</v>
      </c>
      <c r="BH122" s="2">
        <f t="shared" si="223"/>
        <v>0.9505807602080979</v>
      </c>
      <c r="BI122" s="2">
        <f t="shared" si="223"/>
        <v>0.97497731266327314</v>
      </c>
      <c r="BJ122" s="2">
        <f t="shared" si="223"/>
        <v>1</v>
      </c>
    </row>
    <row r="123" spans="1:62" outlineLevel="1">
      <c r="A123" s="11">
        <f t="shared" si="207"/>
        <v>41</v>
      </c>
      <c r="B123" s="2" t="str">
        <f t="shared" ref="B123:AG123" si="224">IF(B$80&gt;T,"",IF($A123&gt;B$81,"",IF(T=B$80,1,EXP(-B55*h)*((C123+C124)/2+cc*h))))</f>
        <v/>
      </c>
      <c r="C123" s="2" t="str">
        <f t="shared" si="224"/>
        <v/>
      </c>
      <c r="D123" s="2" t="str">
        <f t="shared" si="224"/>
        <v/>
      </c>
      <c r="E123" s="2" t="str">
        <f t="shared" si="224"/>
        <v/>
      </c>
      <c r="F123" s="2" t="str">
        <f t="shared" si="224"/>
        <v/>
      </c>
      <c r="G123" s="2" t="str">
        <f t="shared" si="224"/>
        <v/>
      </c>
      <c r="H123" s="2" t="str">
        <f t="shared" si="224"/>
        <v/>
      </c>
      <c r="I123" s="2" t="str">
        <f t="shared" si="224"/>
        <v/>
      </c>
      <c r="J123" s="2" t="str">
        <f t="shared" si="224"/>
        <v/>
      </c>
      <c r="K123" s="2" t="str">
        <f t="shared" si="224"/>
        <v/>
      </c>
      <c r="L123" s="2" t="str">
        <f t="shared" si="224"/>
        <v/>
      </c>
      <c r="M123" s="2" t="str">
        <f t="shared" si="224"/>
        <v/>
      </c>
      <c r="N123" s="2" t="str">
        <f t="shared" si="224"/>
        <v/>
      </c>
      <c r="O123" s="2" t="str">
        <f t="shared" si="224"/>
        <v/>
      </c>
      <c r="P123" s="2" t="str">
        <f t="shared" si="224"/>
        <v/>
      </c>
      <c r="Q123" s="2" t="str">
        <f t="shared" si="224"/>
        <v/>
      </c>
      <c r="R123" s="2" t="str">
        <f t="shared" si="224"/>
        <v/>
      </c>
      <c r="S123" s="2" t="str">
        <f t="shared" si="224"/>
        <v/>
      </c>
      <c r="T123" s="2" t="str">
        <f t="shared" si="224"/>
        <v/>
      </c>
      <c r="U123" s="2" t="str">
        <f t="shared" si="224"/>
        <v/>
      </c>
      <c r="V123" s="2" t="str">
        <f t="shared" si="224"/>
        <v/>
      </c>
      <c r="W123" s="2" t="str">
        <f t="shared" si="224"/>
        <v/>
      </c>
      <c r="X123" s="2" t="str">
        <f t="shared" si="224"/>
        <v/>
      </c>
      <c r="Y123" s="2" t="str">
        <f t="shared" si="224"/>
        <v/>
      </c>
      <c r="Z123" s="2" t="str">
        <f t="shared" si="224"/>
        <v/>
      </c>
      <c r="AA123" s="2" t="str">
        <f t="shared" si="224"/>
        <v/>
      </c>
      <c r="AB123" s="2" t="str">
        <f t="shared" si="224"/>
        <v/>
      </c>
      <c r="AC123" s="2" t="str">
        <f t="shared" si="224"/>
        <v/>
      </c>
      <c r="AD123" s="2" t="str">
        <f t="shared" si="224"/>
        <v/>
      </c>
      <c r="AE123" s="2" t="str">
        <f t="shared" si="224"/>
        <v/>
      </c>
      <c r="AF123" s="2" t="str">
        <f t="shared" si="224"/>
        <v/>
      </c>
      <c r="AG123" s="2" t="str">
        <f t="shared" si="224"/>
        <v/>
      </c>
      <c r="AH123" s="2" t="str">
        <f t="shared" ref="AH123:BJ123" si="225">IF(AH$80&gt;T,"",IF($A123&gt;AH$81,"",IF(T=AH$80,1,EXP(-AH55*h)*((AI123+AI124)/2+cc*h))))</f>
        <v/>
      </c>
      <c r="AI123" s="2" t="str">
        <f t="shared" si="225"/>
        <v/>
      </c>
      <c r="AJ123" s="2" t="str">
        <f t="shared" si="225"/>
        <v/>
      </c>
      <c r="AK123" s="2" t="str">
        <f t="shared" si="225"/>
        <v/>
      </c>
      <c r="AL123" s="2" t="str">
        <f t="shared" si="225"/>
        <v/>
      </c>
      <c r="AM123" s="2" t="str">
        <f t="shared" si="225"/>
        <v/>
      </c>
      <c r="AN123" s="2" t="str">
        <f t="shared" si="225"/>
        <v/>
      </c>
      <c r="AO123" s="2" t="str">
        <f t="shared" si="225"/>
        <v/>
      </c>
      <c r="AP123" s="2" t="str">
        <f t="shared" si="225"/>
        <v/>
      </c>
      <c r="AQ123" s="2">
        <f t="shared" si="225"/>
        <v>0.61786797993367903</v>
      </c>
      <c r="AR123" s="2">
        <f t="shared" si="225"/>
        <v>0.63372549484858776</v>
      </c>
      <c r="AS123" s="2">
        <f t="shared" si="225"/>
        <v>0.64998999116962719</v>
      </c>
      <c r="AT123" s="2">
        <f t="shared" si="225"/>
        <v>0.66667191403059189</v>
      </c>
      <c r="AU123" s="2">
        <f t="shared" si="225"/>
        <v>0.68378197663850626</v>
      </c>
      <c r="AV123" s="2">
        <f t="shared" si="225"/>
        <v>0.70133116715369492</v>
      </c>
      <c r="AW123" s="2">
        <f t="shared" si="225"/>
        <v>0.71933075574642924</v>
      </c>
      <c r="AX123" s="2">
        <f t="shared" si="225"/>
        <v>0.73779230183468247</v>
      </c>
      <c r="AY123" s="2">
        <f t="shared" si="225"/>
        <v>0.75672766150764059</v>
      </c>
      <c r="AZ123" s="2">
        <f t="shared" si="225"/>
        <v>0.77614899513973701</v>
      </c>
      <c r="BA123" s="2">
        <f t="shared" si="225"/>
        <v>0.79606877520010022</v>
      </c>
      <c r="BB123" s="2">
        <f t="shared" si="225"/>
        <v>0.8164997942624308</v>
      </c>
      <c r="BC123" s="2">
        <f t="shared" si="225"/>
        <v>0.8374551732204506</v>
      </c>
      <c r="BD123" s="2">
        <f t="shared" si="225"/>
        <v>0.8589483697142003</v>
      </c>
      <c r="BE123" s="2">
        <f t="shared" si="225"/>
        <v>0.88099318677259764</v>
      </c>
      <c r="BF123" s="2">
        <f t="shared" si="225"/>
        <v>0.90360378167780531</v>
      </c>
      <c r="BG123" s="2">
        <f t="shared" si="225"/>
        <v>0.92679467505710256</v>
      </c>
      <c r="BH123" s="2">
        <f t="shared" si="225"/>
        <v>0.9505807602080979</v>
      </c>
      <c r="BI123" s="2">
        <f t="shared" si="225"/>
        <v>0.97497731266327314</v>
      </c>
      <c r="BJ123" s="2">
        <f t="shared" si="225"/>
        <v>1</v>
      </c>
    </row>
    <row r="124" spans="1:62" outlineLevel="1">
      <c r="A124" s="11">
        <f t="shared" si="207"/>
        <v>42</v>
      </c>
      <c r="B124" s="2" t="str">
        <f t="shared" ref="B124:AG124" si="226">IF(B$80&gt;T,"",IF($A124&gt;B$81,"",IF(T=B$80,1,EXP(-B56*h)*((C124+C125)/2+cc*h))))</f>
        <v/>
      </c>
      <c r="C124" s="2" t="str">
        <f t="shared" si="226"/>
        <v/>
      </c>
      <c r="D124" s="2" t="str">
        <f t="shared" si="226"/>
        <v/>
      </c>
      <c r="E124" s="2" t="str">
        <f t="shared" si="226"/>
        <v/>
      </c>
      <c r="F124" s="2" t="str">
        <f t="shared" si="226"/>
        <v/>
      </c>
      <c r="G124" s="2" t="str">
        <f t="shared" si="226"/>
        <v/>
      </c>
      <c r="H124" s="2" t="str">
        <f t="shared" si="226"/>
        <v/>
      </c>
      <c r="I124" s="2" t="str">
        <f t="shared" si="226"/>
        <v/>
      </c>
      <c r="J124" s="2" t="str">
        <f t="shared" si="226"/>
        <v/>
      </c>
      <c r="K124" s="2" t="str">
        <f t="shared" si="226"/>
        <v/>
      </c>
      <c r="L124" s="2" t="str">
        <f t="shared" si="226"/>
        <v/>
      </c>
      <c r="M124" s="2" t="str">
        <f t="shared" si="226"/>
        <v/>
      </c>
      <c r="N124" s="2" t="str">
        <f t="shared" si="226"/>
        <v/>
      </c>
      <c r="O124" s="2" t="str">
        <f t="shared" si="226"/>
        <v/>
      </c>
      <c r="P124" s="2" t="str">
        <f t="shared" si="226"/>
        <v/>
      </c>
      <c r="Q124" s="2" t="str">
        <f t="shared" si="226"/>
        <v/>
      </c>
      <c r="R124" s="2" t="str">
        <f t="shared" si="226"/>
        <v/>
      </c>
      <c r="S124" s="2" t="str">
        <f t="shared" si="226"/>
        <v/>
      </c>
      <c r="T124" s="2" t="str">
        <f t="shared" si="226"/>
        <v/>
      </c>
      <c r="U124" s="2" t="str">
        <f t="shared" si="226"/>
        <v/>
      </c>
      <c r="V124" s="2" t="str">
        <f t="shared" si="226"/>
        <v/>
      </c>
      <c r="W124" s="2" t="str">
        <f t="shared" si="226"/>
        <v/>
      </c>
      <c r="X124" s="2" t="str">
        <f t="shared" si="226"/>
        <v/>
      </c>
      <c r="Y124" s="2" t="str">
        <f t="shared" si="226"/>
        <v/>
      </c>
      <c r="Z124" s="2" t="str">
        <f t="shared" si="226"/>
        <v/>
      </c>
      <c r="AA124" s="2" t="str">
        <f t="shared" si="226"/>
        <v/>
      </c>
      <c r="AB124" s="2" t="str">
        <f t="shared" si="226"/>
        <v/>
      </c>
      <c r="AC124" s="2" t="str">
        <f t="shared" si="226"/>
        <v/>
      </c>
      <c r="AD124" s="2" t="str">
        <f t="shared" si="226"/>
        <v/>
      </c>
      <c r="AE124" s="2" t="str">
        <f t="shared" si="226"/>
        <v/>
      </c>
      <c r="AF124" s="2" t="str">
        <f t="shared" si="226"/>
        <v/>
      </c>
      <c r="AG124" s="2" t="str">
        <f t="shared" si="226"/>
        <v/>
      </c>
      <c r="AH124" s="2" t="str">
        <f t="shared" ref="AH124:BJ124" si="227">IF(AH$80&gt;T,"",IF($A124&gt;AH$81,"",IF(T=AH$80,1,EXP(-AH56*h)*((AI124+AI125)/2+cc*h))))</f>
        <v/>
      </c>
      <c r="AI124" s="2" t="str">
        <f t="shared" si="227"/>
        <v/>
      </c>
      <c r="AJ124" s="2" t="str">
        <f t="shared" si="227"/>
        <v/>
      </c>
      <c r="AK124" s="2" t="str">
        <f t="shared" si="227"/>
        <v/>
      </c>
      <c r="AL124" s="2" t="str">
        <f t="shared" si="227"/>
        <v/>
      </c>
      <c r="AM124" s="2" t="str">
        <f t="shared" si="227"/>
        <v/>
      </c>
      <c r="AN124" s="2" t="str">
        <f t="shared" si="227"/>
        <v/>
      </c>
      <c r="AO124" s="2" t="str">
        <f t="shared" si="227"/>
        <v/>
      </c>
      <c r="AP124" s="2" t="str">
        <f t="shared" si="227"/>
        <v/>
      </c>
      <c r="AQ124" s="2" t="str">
        <f t="shared" si="227"/>
        <v/>
      </c>
      <c r="AR124" s="2">
        <f t="shared" si="227"/>
        <v>0.63372549484858776</v>
      </c>
      <c r="AS124" s="2">
        <f t="shared" si="227"/>
        <v>0.64998999116962719</v>
      </c>
      <c r="AT124" s="2">
        <f t="shared" si="227"/>
        <v>0.66667191403059189</v>
      </c>
      <c r="AU124" s="2">
        <f t="shared" si="227"/>
        <v>0.68378197663850626</v>
      </c>
      <c r="AV124" s="2">
        <f t="shared" si="227"/>
        <v>0.70133116715369492</v>
      </c>
      <c r="AW124" s="2">
        <f t="shared" si="227"/>
        <v>0.71933075574642924</v>
      </c>
      <c r="AX124" s="2">
        <f t="shared" si="227"/>
        <v>0.73779230183468247</v>
      </c>
      <c r="AY124" s="2">
        <f t="shared" si="227"/>
        <v>0.75672766150764059</v>
      </c>
      <c r="AZ124" s="2">
        <f t="shared" si="227"/>
        <v>0.77614899513973701</v>
      </c>
      <c r="BA124" s="2">
        <f t="shared" si="227"/>
        <v>0.79606877520010022</v>
      </c>
      <c r="BB124" s="2">
        <f t="shared" si="227"/>
        <v>0.8164997942624308</v>
      </c>
      <c r="BC124" s="2">
        <f t="shared" si="227"/>
        <v>0.8374551732204506</v>
      </c>
      <c r="BD124" s="2">
        <f t="shared" si="227"/>
        <v>0.8589483697142003</v>
      </c>
      <c r="BE124" s="2">
        <f t="shared" si="227"/>
        <v>0.88099318677259764</v>
      </c>
      <c r="BF124" s="2">
        <f t="shared" si="227"/>
        <v>0.90360378167780531</v>
      </c>
      <c r="BG124" s="2">
        <f t="shared" si="227"/>
        <v>0.92679467505710256</v>
      </c>
      <c r="BH124" s="2">
        <f t="shared" si="227"/>
        <v>0.9505807602080979</v>
      </c>
      <c r="BI124" s="2">
        <f t="shared" si="227"/>
        <v>0.97497731266327314</v>
      </c>
      <c r="BJ124" s="2">
        <f t="shared" si="227"/>
        <v>1</v>
      </c>
    </row>
    <row r="125" spans="1:62" outlineLevel="1">
      <c r="A125" s="11">
        <f t="shared" si="207"/>
        <v>43</v>
      </c>
      <c r="B125" s="2" t="str">
        <f t="shared" ref="B125:AG125" si="228">IF(B$80&gt;T,"",IF($A125&gt;B$81,"",IF(T=B$80,1,EXP(-B57*h)*((C125+C126)/2+cc*h))))</f>
        <v/>
      </c>
      <c r="C125" s="2" t="str">
        <f t="shared" si="228"/>
        <v/>
      </c>
      <c r="D125" s="2" t="str">
        <f t="shared" si="228"/>
        <v/>
      </c>
      <c r="E125" s="2" t="str">
        <f t="shared" si="228"/>
        <v/>
      </c>
      <c r="F125" s="2" t="str">
        <f t="shared" si="228"/>
        <v/>
      </c>
      <c r="G125" s="2" t="str">
        <f t="shared" si="228"/>
        <v/>
      </c>
      <c r="H125" s="2" t="str">
        <f t="shared" si="228"/>
        <v/>
      </c>
      <c r="I125" s="2" t="str">
        <f t="shared" si="228"/>
        <v/>
      </c>
      <c r="J125" s="2" t="str">
        <f t="shared" si="228"/>
        <v/>
      </c>
      <c r="K125" s="2" t="str">
        <f t="shared" si="228"/>
        <v/>
      </c>
      <c r="L125" s="2" t="str">
        <f t="shared" si="228"/>
        <v/>
      </c>
      <c r="M125" s="2" t="str">
        <f t="shared" si="228"/>
        <v/>
      </c>
      <c r="N125" s="2" t="str">
        <f t="shared" si="228"/>
        <v/>
      </c>
      <c r="O125" s="2" t="str">
        <f t="shared" si="228"/>
        <v/>
      </c>
      <c r="P125" s="2" t="str">
        <f t="shared" si="228"/>
        <v/>
      </c>
      <c r="Q125" s="2" t="str">
        <f t="shared" si="228"/>
        <v/>
      </c>
      <c r="R125" s="2" t="str">
        <f t="shared" si="228"/>
        <v/>
      </c>
      <c r="S125" s="2" t="str">
        <f t="shared" si="228"/>
        <v/>
      </c>
      <c r="T125" s="2" t="str">
        <f t="shared" si="228"/>
        <v/>
      </c>
      <c r="U125" s="2" t="str">
        <f t="shared" si="228"/>
        <v/>
      </c>
      <c r="V125" s="2" t="str">
        <f t="shared" si="228"/>
        <v/>
      </c>
      <c r="W125" s="2" t="str">
        <f t="shared" si="228"/>
        <v/>
      </c>
      <c r="X125" s="2" t="str">
        <f t="shared" si="228"/>
        <v/>
      </c>
      <c r="Y125" s="2" t="str">
        <f t="shared" si="228"/>
        <v/>
      </c>
      <c r="Z125" s="2" t="str">
        <f t="shared" si="228"/>
        <v/>
      </c>
      <c r="AA125" s="2" t="str">
        <f t="shared" si="228"/>
        <v/>
      </c>
      <c r="AB125" s="2" t="str">
        <f t="shared" si="228"/>
        <v/>
      </c>
      <c r="AC125" s="2" t="str">
        <f t="shared" si="228"/>
        <v/>
      </c>
      <c r="AD125" s="2" t="str">
        <f t="shared" si="228"/>
        <v/>
      </c>
      <c r="AE125" s="2" t="str">
        <f t="shared" si="228"/>
        <v/>
      </c>
      <c r="AF125" s="2" t="str">
        <f t="shared" si="228"/>
        <v/>
      </c>
      <c r="AG125" s="2" t="str">
        <f t="shared" si="228"/>
        <v/>
      </c>
      <c r="AH125" s="2" t="str">
        <f t="shared" ref="AH125:BJ125" si="229">IF(AH$80&gt;T,"",IF($A125&gt;AH$81,"",IF(T=AH$80,1,EXP(-AH57*h)*((AI125+AI126)/2+cc*h))))</f>
        <v/>
      </c>
      <c r="AI125" s="2" t="str">
        <f t="shared" si="229"/>
        <v/>
      </c>
      <c r="AJ125" s="2" t="str">
        <f t="shared" si="229"/>
        <v/>
      </c>
      <c r="AK125" s="2" t="str">
        <f t="shared" si="229"/>
        <v/>
      </c>
      <c r="AL125" s="2" t="str">
        <f t="shared" si="229"/>
        <v/>
      </c>
      <c r="AM125" s="2" t="str">
        <f t="shared" si="229"/>
        <v/>
      </c>
      <c r="AN125" s="2" t="str">
        <f t="shared" si="229"/>
        <v/>
      </c>
      <c r="AO125" s="2" t="str">
        <f t="shared" si="229"/>
        <v/>
      </c>
      <c r="AP125" s="2" t="str">
        <f t="shared" si="229"/>
        <v/>
      </c>
      <c r="AQ125" s="2" t="str">
        <f t="shared" si="229"/>
        <v/>
      </c>
      <c r="AR125" s="2" t="str">
        <f t="shared" si="229"/>
        <v/>
      </c>
      <c r="AS125" s="2">
        <f t="shared" si="229"/>
        <v>0.64998999116962719</v>
      </c>
      <c r="AT125" s="2">
        <f t="shared" si="229"/>
        <v>0.66667191403059189</v>
      </c>
      <c r="AU125" s="2">
        <f t="shared" si="229"/>
        <v>0.68378197663850626</v>
      </c>
      <c r="AV125" s="2">
        <f t="shared" si="229"/>
        <v>0.70133116715369492</v>
      </c>
      <c r="AW125" s="2">
        <f t="shared" si="229"/>
        <v>0.71933075574642924</v>
      </c>
      <c r="AX125" s="2">
        <f t="shared" si="229"/>
        <v>0.73779230183468247</v>
      </c>
      <c r="AY125" s="2">
        <f t="shared" si="229"/>
        <v>0.75672766150764059</v>
      </c>
      <c r="AZ125" s="2">
        <f t="shared" si="229"/>
        <v>0.77614899513973701</v>
      </c>
      <c r="BA125" s="2">
        <f t="shared" si="229"/>
        <v>0.79606877520010022</v>
      </c>
      <c r="BB125" s="2">
        <f t="shared" si="229"/>
        <v>0.8164997942624308</v>
      </c>
      <c r="BC125" s="2">
        <f t="shared" si="229"/>
        <v>0.8374551732204506</v>
      </c>
      <c r="BD125" s="2">
        <f t="shared" si="229"/>
        <v>0.8589483697142003</v>
      </c>
      <c r="BE125" s="2">
        <f t="shared" si="229"/>
        <v>0.88099318677259764</v>
      </c>
      <c r="BF125" s="2">
        <f t="shared" si="229"/>
        <v>0.90360378167780531</v>
      </c>
      <c r="BG125" s="2">
        <f t="shared" si="229"/>
        <v>0.92679467505710256</v>
      </c>
      <c r="BH125" s="2">
        <f t="shared" si="229"/>
        <v>0.9505807602080979</v>
      </c>
      <c r="BI125" s="2">
        <f t="shared" si="229"/>
        <v>0.97497731266327314</v>
      </c>
      <c r="BJ125" s="2">
        <f t="shared" si="229"/>
        <v>1</v>
      </c>
    </row>
    <row r="126" spans="1:62" outlineLevel="1">
      <c r="A126" s="11">
        <f t="shared" si="207"/>
        <v>44</v>
      </c>
      <c r="B126" s="2" t="str">
        <f t="shared" ref="B126:AG126" si="230">IF(B$80&gt;T,"",IF($A126&gt;B$81,"",IF(T=B$80,1,EXP(-B58*h)*((C126+C127)/2+cc*h))))</f>
        <v/>
      </c>
      <c r="C126" s="2" t="str">
        <f t="shared" si="230"/>
        <v/>
      </c>
      <c r="D126" s="2" t="str">
        <f t="shared" si="230"/>
        <v/>
      </c>
      <c r="E126" s="2" t="str">
        <f t="shared" si="230"/>
        <v/>
      </c>
      <c r="F126" s="2" t="str">
        <f t="shared" si="230"/>
        <v/>
      </c>
      <c r="G126" s="2" t="str">
        <f t="shared" si="230"/>
        <v/>
      </c>
      <c r="H126" s="2" t="str">
        <f t="shared" si="230"/>
        <v/>
      </c>
      <c r="I126" s="2" t="str">
        <f t="shared" si="230"/>
        <v/>
      </c>
      <c r="J126" s="2" t="str">
        <f t="shared" si="230"/>
        <v/>
      </c>
      <c r="K126" s="2" t="str">
        <f t="shared" si="230"/>
        <v/>
      </c>
      <c r="L126" s="2" t="str">
        <f t="shared" si="230"/>
        <v/>
      </c>
      <c r="M126" s="2" t="str">
        <f t="shared" si="230"/>
        <v/>
      </c>
      <c r="N126" s="2" t="str">
        <f t="shared" si="230"/>
        <v/>
      </c>
      <c r="O126" s="2" t="str">
        <f t="shared" si="230"/>
        <v/>
      </c>
      <c r="P126" s="2" t="str">
        <f t="shared" si="230"/>
        <v/>
      </c>
      <c r="Q126" s="2" t="str">
        <f t="shared" si="230"/>
        <v/>
      </c>
      <c r="R126" s="2" t="str">
        <f t="shared" si="230"/>
        <v/>
      </c>
      <c r="S126" s="2" t="str">
        <f t="shared" si="230"/>
        <v/>
      </c>
      <c r="T126" s="2" t="str">
        <f t="shared" si="230"/>
        <v/>
      </c>
      <c r="U126" s="2" t="str">
        <f t="shared" si="230"/>
        <v/>
      </c>
      <c r="V126" s="2" t="str">
        <f t="shared" si="230"/>
        <v/>
      </c>
      <c r="W126" s="2" t="str">
        <f t="shared" si="230"/>
        <v/>
      </c>
      <c r="X126" s="2" t="str">
        <f t="shared" si="230"/>
        <v/>
      </c>
      <c r="Y126" s="2" t="str">
        <f t="shared" si="230"/>
        <v/>
      </c>
      <c r="Z126" s="2" t="str">
        <f t="shared" si="230"/>
        <v/>
      </c>
      <c r="AA126" s="2" t="str">
        <f t="shared" si="230"/>
        <v/>
      </c>
      <c r="AB126" s="2" t="str">
        <f t="shared" si="230"/>
        <v/>
      </c>
      <c r="AC126" s="2" t="str">
        <f t="shared" si="230"/>
        <v/>
      </c>
      <c r="AD126" s="2" t="str">
        <f t="shared" si="230"/>
        <v/>
      </c>
      <c r="AE126" s="2" t="str">
        <f t="shared" si="230"/>
        <v/>
      </c>
      <c r="AF126" s="2" t="str">
        <f t="shared" si="230"/>
        <v/>
      </c>
      <c r="AG126" s="2" t="str">
        <f t="shared" si="230"/>
        <v/>
      </c>
      <c r="AH126" s="2" t="str">
        <f t="shared" ref="AH126:BJ126" si="231">IF(AH$80&gt;T,"",IF($A126&gt;AH$81,"",IF(T=AH$80,1,EXP(-AH58*h)*((AI126+AI127)/2+cc*h))))</f>
        <v/>
      </c>
      <c r="AI126" s="2" t="str">
        <f t="shared" si="231"/>
        <v/>
      </c>
      <c r="AJ126" s="2" t="str">
        <f t="shared" si="231"/>
        <v/>
      </c>
      <c r="AK126" s="2" t="str">
        <f t="shared" si="231"/>
        <v/>
      </c>
      <c r="AL126" s="2" t="str">
        <f t="shared" si="231"/>
        <v/>
      </c>
      <c r="AM126" s="2" t="str">
        <f t="shared" si="231"/>
        <v/>
      </c>
      <c r="AN126" s="2" t="str">
        <f t="shared" si="231"/>
        <v/>
      </c>
      <c r="AO126" s="2" t="str">
        <f t="shared" si="231"/>
        <v/>
      </c>
      <c r="AP126" s="2" t="str">
        <f t="shared" si="231"/>
        <v/>
      </c>
      <c r="AQ126" s="2" t="str">
        <f t="shared" si="231"/>
        <v/>
      </c>
      <c r="AR126" s="2" t="str">
        <f t="shared" si="231"/>
        <v/>
      </c>
      <c r="AS126" s="2" t="str">
        <f t="shared" si="231"/>
        <v/>
      </c>
      <c r="AT126" s="2">
        <f t="shared" si="231"/>
        <v>0.66667191403059189</v>
      </c>
      <c r="AU126" s="2">
        <f t="shared" si="231"/>
        <v>0.68378197663850626</v>
      </c>
      <c r="AV126" s="2">
        <f t="shared" si="231"/>
        <v>0.70133116715369492</v>
      </c>
      <c r="AW126" s="2">
        <f t="shared" si="231"/>
        <v>0.71933075574642924</v>
      </c>
      <c r="AX126" s="2">
        <f t="shared" si="231"/>
        <v>0.73779230183468247</v>
      </c>
      <c r="AY126" s="2">
        <f t="shared" si="231"/>
        <v>0.75672766150764059</v>
      </c>
      <c r="AZ126" s="2">
        <f t="shared" si="231"/>
        <v>0.77614899513973701</v>
      </c>
      <c r="BA126" s="2">
        <f t="shared" si="231"/>
        <v>0.79606877520010022</v>
      </c>
      <c r="BB126" s="2">
        <f t="shared" si="231"/>
        <v>0.8164997942624308</v>
      </c>
      <c r="BC126" s="2">
        <f t="shared" si="231"/>
        <v>0.8374551732204506</v>
      </c>
      <c r="BD126" s="2">
        <f t="shared" si="231"/>
        <v>0.8589483697142003</v>
      </c>
      <c r="BE126" s="2">
        <f t="shared" si="231"/>
        <v>0.88099318677259764</v>
      </c>
      <c r="BF126" s="2">
        <f t="shared" si="231"/>
        <v>0.90360378167780531</v>
      </c>
      <c r="BG126" s="2">
        <f t="shared" si="231"/>
        <v>0.92679467505710256</v>
      </c>
      <c r="BH126" s="2">
        <f t="shared" si="231"/>
        <v>0.9505807602080979</v>
      </c>
      <c r="BI126" s="2">
        <f t="shared" si="231"/>
        <v>0.97497731266327314</v>
      </c>
      <c r="BJ126" s="2">
        <f t="shared" si="231"/>
        <v>1</v>
      </c>
    </row>
    <row r="127" spans="1:62" outlineLevel="1">
      <c r="A127" s="11">
        <f t="shared" si="207"/>
        <v>45</v>
      </c>
      <c r="B127" s="2" t="str">
        <f t="shared" ref="B127:AG127" si="232">IF(B$80&gt;T,"",IF($A127&gt;B$81,"",IF(T=B$80,1,EXP(-B59*h)*((C127+C128)/2+cc*h))))</f>
        <v/>
      </c>
      <c r="C127" s="2" t="str">
        <f t="shared" si="232"/>
        <v/>
      </c>
      <c r="D127" s="2" t="str">
        <f t="shared" si="232"/>
        <v/>
      </c>
      <c r="E127" s="2" t="str">
        <f t="shared" si="232"/>
        <v/>
      </c>
      <c r="F127" s="2" t="str">
        <f t="shared" si="232"/>
        <v/>
      </c>
      <c r="G127" s="2" t="str">
        <f t="shared" si="232"/>
        <v/>
      </c>
      <c r="H127" s="2" t="str">
        <f t="shared" si="232"/>
        <v/>
      </c>
      <c r="I127" s="2" t="str">
        <f t="shared" si="232"/>
        <v/>
      </c>
      <c r="J127" s="2" t="str">
        <f t="shared" si="232"/>
        <v/>
      </c>
      <c r="K127" s="2" t="str">
        <f t="shared" si="232"/>
        <v/>
      </c>
      <c r="L127" s="2" t="str">
        <f t="shared" si="232"/>
        <v/>
      </c>
      <c r="M127" s="2" t="str">
        <f t="shared" si="232"/>
        <v/>
      </c>
      <c r="N127" s="2" t="str">
        <f t="shared" si="232"/>
        <v/>
      </c>
      <c r="O127" s="2" t="str">
        <f t="shared" si="232"/>
        <v/>
      </c>
      <c r="P127" s="2" t="str">
        <f t="shared" si="232"/>
        <v/>
      </c>
      <c r="Q127" s="2" t="str">
        <f t="shared" si="232"/>
        <v/>
      </c>
      <c r="R127" s="2" t="str">
        <f t="shared" si="232"/>
        <v/>
      </c>
      <c r="S127" s="2" t="str">
        <f t="shared" si="232"/>
        <v/>
      </c>
      <c r="T127" s="2" t="str">
        <f t="shared" si="232"/>
        <v/>
      </c>
      <c r="U127" s="2" t="str">
        <f t="shared" si="232"/>
        <v/>
      </c>
      <c r="V127" s="2" t="str">
        <f t="shared" si="232"/>
        <v/>
      </c>
      <c r="W127" s="2" t="str">
        <f t="shared" si="232"/>
        <v/>
      </c>
      <c r="X127" s="2" t="str">
        <f t="shared" si="232"/>
        <v/>
      </c>
      <c r="Y127" s="2" t="str">
        <f t="shared" si="232"/>
        <v/>
      </c>
      <c r="Z127" s="2" t="str">
        <f t="shared" si="232"/>
        <v/>
      </c>
      <c r="AA127" s="2" t="str">
        <f t="shared" si="232"/>
        <v/>
      </c>
      <c r="AB127" s="2" t="str">
        <f t="shared" si="232"/>
        <v/>
      </c>
      <c r="AC127" s="2" t="str">
        <f t="shared" si="232"/>
        <v/>
      </c>
      <c r="AD127" s="2" t="str">
        <f t="shared" si="232"/>
        <v/>
      </c>
      <c r="AE127" s="2" t="str">
        <f t="shared" si="232"/>
        <v/>
      </c>
      <c r="AF127" s="2" t="str">
        <f t="shared" si="232"/>
        <v/>
      </c>
      <c r="AG127" s="2" t="str">
        <f t="shared" si="232"/>
        <v/>
      </c>
      <c r="AH127" s="2" t="str">
        <f t="shared" ref="AH127:BJ127" si="233">IF(AH$80&gt;T,"",IF($A127&gt;AH$81,"",IF(T=AH$80,1,EXP(-AH59*h)*((AI127+AI128)/2+cc*h))))</f>
        <v/>
      </c>
      <c r="AI127" s="2" t="str">
        <f t="shared" si="233"/>
        <v/>
      </c>
      <c r="AJ127" s="2" t="str">
        <f t="shared" si="233"/>
        <v/>
      </c>
      <c r="AK127" s="2" t="str">
        <f t="shared" si="233"/>
        <v/>
      </c>
      <c r="AL127" s="2" t="str">
        <f t="shared" si="233"/>
        <v/>
      </c>
      <c r="AM127" s="2" t="str">
        <f t="shared" si="233"/>
        <v/>
      </c>
      <c r="AN127" s="2" t="str">
        <f t="shared" si="233"/>
        <v/>
      </c>
      <c r="AO127" s="2" t="str">
        <f t="shared" si="233"/>
        <v/>
      </c>
      <c r="AP127" s="2" t="str">
        <f t="shared" si="233"/>
        <v/>
      </c>
      <c r="AQ127" s="2" t="str">
        <f t="shared" si="233"/>
        <v/>
      </c>
      <c r="AR127" s="2" t="str">
        <f t="shared" si="233"/>
        <v/>
      </c>
      <c r="AS127" s="2" t="str">
        <f t="shared" si="233"/>
        <v/>
      </c>
      <c r="AT127" s="2" t="str">
        <f t="shared" si="233"/>
        <v/>
      </c>
      <c r="AU127" s="2">
        <f t="shared" si="233"/>
        <v>0.68378197663850626</v>
      </c>
      <c r="AV127" s="2">
        <f t="shared" si="233"/>
        <v>0.70133116715369492</v>
      </c>
      <c r="AW127" s="2">
        <f t="shared" si="233"/>
        <v>0.71933075574642924</v>
      </c>
      <c r="AX127" s="2">
        <f t="shared" si="233"/>
        <v>0.73779230183468247</v>
      </c>
      <c r="AY127" s="2">
        <f t="shared" si="233"/>
        <v>0.75672766150764059</v>
      </c>
      <c r="AZ127" s="2">
        <f t="shared" si="233"/>
        <v>0.77614899513973701</v>
      </c>
      <c r="BA127" s="2">
        <f t="shared" si="233"/>
        <v>0.79606877520010022</v>
      </c>
      <c r="BB127" s="2">
        <f t="shared" si="233"/>
        <v>0.8164997942624308</v>
      </c>
      <c r="BC127" s="2">
        <f t="shared" si="233"/>
        <v>0.8374551732204506</v>
      </c>
      <c r="BD127" s="2">
        <f t="shared" si="233"/>
        <v>0.8589483697142003</v>
      </c>
      <c r="BE127" s="2">
        <f t="shared" si="233"/>
        <v>0.88099318677259764</v>
      </c>
      <c r="BF127" s="2">
        <f t="shared" si="233"/>
        <v>0.90360378167780531</v>
      </c>
      <c r="BG127" s="2">
        <f t="shared" si="233"/>
        <v>0.92679467505710256</v>
      </c>
      <c r="BH127" s="2">
        <f t="shared" si="233"/>
        <v>0.9505807602080979</v>
      </c>
      <c r="BI127" s="2">
        <f t="shared" si="233"/>
        <v>0.97497731266327314</v>
      </c>
      <c r="BJ127" s="2">
        <f t="shared" si="233"/>
        <v>1</v>
      </c>
    </row>
    <row r="128" spans="1:62" outlineLevel="1">
      <c r="A128" s="11">
        <f t="shared" si="207"/>
        <v>46</v>
      </c>
      <c r="B128" s="2" t="str">
        <f t="shared" ref="B128:AG128" si="234">IF(B$80&gt;T,"",IF($A128&gt;B$81,"",IF(T=B$80,1,EXP(-B60*h)*((C128+C129)/2+cc*h))))</f>
        <v/>
      </c>
      <c r="C128" s="2" t="str">
        <f t="shared" si="234"/>
        <v/>
      </c>
      <c r="D128" s="2" t="str">
        <f t="shared" si="234"/>
        <v/>
      </c>
      <c r="E128" s="2" t="str">
        <f t="shared" si="234"/>
        <v/>
      </c>
      <c r="F128" s="2" t="str">
        <f t="shared" si="234"/>
        <v/>
      </c>
      <c r="G128" s="2" t="str">
        <f t="shared" si="234"/>
        <v/>
      </c>
      <c r="H128" s="2" t="str">
        <f t="shared" si="234"/>
        <v/>
      </c>
      <c r="I128" s="2" t="str">
        <f t="shared" si="234"/>
        <v/>
      </c>
      <c r="J128" s="2" t="str">
        <f t="shared" si="234"/>
        <v/>
      </c>
      <c r="K128" s="2" t="str">
        <f t="shared" si="234"/>
        <v/>
      </c>
      <c r="L128" s="2" t="str">
        <f t="shared" si="234"/>
        <v/>
      </c>
      <c r="M128" s="2" t="str">
        <f t="shared" si="234"/>
        <v/>
      </c>
      <c r="N128" s="2" t="str">
        <f t="shared" si="234"/>
        <v/>
      </c>
      <c r="O128" s="2" t="str">
        <f t="shared" si="234"/>
        <v/>
      </c>
      <c r="P128" s="2" t="str">
        <f t="shared" si="234"/>
        <v/>
      </c>
      <c r="Q128" s="2" t="str">
        <f t="shared" si="234"/>
        <v/>
      </c>
      <c r="R128" s="2" t="str">
        <f t="shared" si="234"/>
        <v/>
      </c>
      <c r="S128" s="2" t="str">
        <f t="shared" si="234"/>
        <v/>
      </c>
      <c r="T128" s="2" t="str">
        <f t="shared" si="234"/>
        <v/>
      </c>
      <c r="U128" s="2" t="str">
        <f t="shared" si="234"/>
        <v/>
      </c>
      <c r="V128" s="2" t="str">
        <f t="shared" si="234"/>
        <v/>
      </c>
      <c r="W128" s="2" t="str">
        <f t="shared" si="234"/>
        <v/>
      </c>
      <c r="X128" s="2" t="str">
        <f t="shared" si="234"/>
        <v/>
      </c>
      <c r="Y128" s="2" t="str">
        <f t="shared" si="234"/>
        <v/>
      </c>
      <c r="Z128" s="2" t="str">
        <f t="shared" si="234"/>
        <v/>
      </c>
      <c r="AA128" s="2" t="str">
        <f t="shared" si="234"/>
        <v/>
      </c>
      <c r="AB128" s="2" t="str">
        <f t="shared" si="234"/>
        <v/>
      </c>
      <c r="AC128" s="2" t="str">
        <f t="shared" si="234"/>
        <v/>
      </c>
      <c r="AD128" s="2" t="str">
        <f t="shared" si="234"/>
        <v/>
      </c>
      <c r="AE128" s="2" t="str">
        <f t="shared" si="234"/>
        <v/>
      </c>
      <c r="AF128" s="2" t="str">
        <f t="shared" si="234"/>
        <v/>
      </c>
      <c r="AG128" s="2" t="str">
        <f t="shared" si="234"/>
        <v/>
      </c>
      <c r="AH128" s="2" t="str">
        <f t="shared" ref="AH128:BJ128" si="235">IF(AH$80&gt;T,"",IF($A128&gt;AH$81,"",IF(T=AH$80,1,EXP(-AH60*h)*((AI128+AI129)/2+cc*h))))</f>
        <v/>
      </c>
      <c r="AI128" s="2" t="str">
        <f t="shared" si="235"/>
        <v/>
      </c>
      <c r="AJ128" s="2" t="str">
        <f t="shared" si="235"/>
        <v/>
      </c>
      <c r="AK128" s="2" t="str">
        <f t="shared" si="235"/>
        <v/>
      </c>
      <c r="AL128" s="2" t="str">
        <f t="shared" si="235"/>
        <v/>
      </c>
      <c r="AM128" s="2" t="str">
        <f t="shared" si="235"/>
        <v/>
      </c>
      <c r="AN128" s="2" t="str">
        <f t="shared" si="235"/>
        <v/>
      </c>
      <c r="AO128" s="2" t="str">
        <f t="shared" si="235"/>
        <v/>
      </c>
      <c r="AP128" s="2" t="str">
        <f t="shared" si="235"/>
        <v/>
      </c>
      <c r="AQ128" s="2" t="str">
        <f t="shared" si="235"/>
        <v/>
      </c>
      <c r="AR128" s="2" t="str">
        <f t="shared" si="235"/>
        <v/>
      </c>
      <c r="AS128" s="2" t="str">
        <f t="shared" si="235"/>
        <v/>
      </c>
      <c r="AT128" s="2" t="str">
        <f t="shared" si="235"/>
        <v/>
      </c>
      <c r="AU128" s="2" t="str">
        <f t="shared" si="235"/>
        <v/>
      </c>
      <c r="AV128" s="2">
        <f t="shared" si="235"/>
        <v>0.70133116715369492</v>
      </c>
      <c r="AW128" s="2">
        <f t="shared" si="235"/>
        <v>0.71933075574642924</v>
      </c>
      <c r="AX128" s="2">
        <f t="shared" si="235"/>
        <v>0.73779230183468247</v>
      </c>
      <c r="AY128" s="2">
        <f t="shared" si="235"/>
        <v>0.75672766150764059</v>
      </c>
      <c r="AZ128" s="2">
        <f t="shared" si="235"/>
        <v>0.77614899513973701</v>
      </c>
      <c r="BA128" s="2">
        <f t="shared" si="235"/>
        <v>0.79606877520010022</v>
      </c>
      <c r="BB128" s="2">
        <f t="shared" si="235"/>
        <v>0.8164997942624308</v>
      </c>
      <c r="BC128" s="2">
        <f t="shared" si="235"/>
        <v>0.8374551732204506</v>
      </c>
      <c r="BD128" s="2">
        <f t="shared" si="235"/>
        <v>0.8589483697142003</v>
      </c>
      <c r="BE128" s="2">
        <f t="shared" si="235"/>
        <v>0.88099318677259764</v>
      </c>
      <c r="BF128" s="2">
        <f t="shared" si="235"/>
        <v>0.90360378167780531</v>
      </c>
      <c r="BG128" s="2">
        <f t="shared" si="235"/>
        <v>0.92679467505710256</v>
      </c>
      <c r="BH128" s="2">
        <f t="shared" si="235"/>
        <v>0.9505807602080979</v>
      </c>
      <c r="BI128" s="2">
        <f t="shared" si="235"/>
        <v>0.97497731266327314</v>
      </c>
      <c r="BJ128" s="2">
        <f t="shared" si="235"/>
        <v>1</v>
      </c>
    </row>
    <row r="129" spans="1:62" outlineLevel="1">
      <c r="A129" s="11">
        <f t="shared" si="207"/>
        <v>47</v>
      </c>
      <c r="B129" s="2" t="str">
        <f t="shared" ref="B129:AG129" si="236">IF(B$80&gt;T,"",IF($A129&gt;B$81,"",IF(T=B$80,1,EXP(-B61*h)*((C129+C130)/2+cc*h))))</f>
        <v/>
      </c>
      <c r="C129" s="2" t="str">
        <f t="shared" si="236"/>
        <v/>
      </c>
      <c r="D129" s="2" t="str">
        <f t="shared" si="236"/>
        <v/>
      </c>
      <c r="E129" s="2" t="str">
        <f t="shared" si="236"/>
        <v/>
      </c>
      <c r="F129" s="2" t="str">
        <f t="shared" si="236"/>
        <v/>
      </c>
      <c r="G129" s="2" t="str">
        <f t="shared" si="236"/>
        <v/>
      </c>
      <c r="H129" s="2" t="str">
        <f t="shared" si="236"/>
        <v/>
      </c>
      <c r="I129" s="2" t="str">
        <f t="shared" si="236"/>
        <v/>
      </c>
      <c r="J129" s="2" t="str">
        <f t="shared" si="236"/>
        <v/>
      </c>
      <c r="K129" s="2" t="str">
        <f t="shared" si="236"/>
        <v/>
      </c>
      <c r="L129" s="2" t="str">
        <f t="shared" si="236"/>
        <v/>
      </c>
      <c r="M129" s="2" t="str">
        <f t="shared" si="236"/>
        <v/>
      </c>
      <c r="N129" s="2" t="str">
        <f t="shared" si="236"/>
        <v/>
      </c>
      <c r="O129" s="2" t="str">
        <f t="shared" si="236"/>
        <v/>
      </c>
      <c r="P129" s="2" t="str">
        <f t="shared" si="236"/>
        <v/>
      </c>
      <c r="Q129" s="2" t="str">
        <f t="shared" si="236"/>
        <v/>
      </c>
      <c r="R129" s="2" t="str">
        <f t="shared" si="236"/>
        <v/>
      </c>
      <c r="S129" s="2" t="str">
        <f t="shared" si="236"/>
        <v/>
      </c>
      <c r="T129" s="2" t="str">
        <f t="shared" si="236"/>
        <v/>
      </c>
      <c r="U129" s="2" t="str">
        <f t="shared" si="236"/>
        <v/>
      </c>
      <c r="V129" s="2" t="str">
        <f t="shared" si="236"/>
        <v/>
      </c>
      <c r="W129" s="2" t="str">
        <f t="shared" si="236"/>
        <v/>
      </c>
      <c r="X129" s="2" t="str">
        <f t="shared" si="236"/>
        <v/>
      </c>
      <c r="Y129" s="2" t="str">
        <f t="shared" si="236"/>
        <v/>
      </c>
      <c r="Z129" s="2" t="str">
        <f t="shared" si="236"/>
        <v/>
      </c>
      <c r="AA129" s="2" t="str">
        <f t="shared" si="236"/>
        <v/>
      </c>
      <c r="AB129" s="2" t="str">
        <f t="shared" si="236"/>
        <v/>
      </c>
      <c r="AC129" s="2" t="str">
        <f t="shared" si="236"/>
        <v/>
      </c>
      <c r="AD129" s="2" t="str">
        <f t="shared" si="236"/>
        <v/>
      </c>
      <c r="AE129" s="2" t="str">
        <f t="shared" si="236"/>
        <v/>
      </c>
      <c r="AF129" s="2" t="str">
        <f t="shared" si="236"/>
        <v/>
      </c>
      <c r="AG129" s="2" t="str">
        <f t="shared" si="236"/>
        <v/>
      </c>
      <c r="AH129" s="2" t="str">
        <f t="shared" ref="AH129:BJ129" si="237">IF(AH$80&gt;T,"",IF($A129&gt;AH$81,"",IF(T=AH$80,1,EXP(-AH61*h)*((AI129+AI130)/2+cc*h))))</f>
        <v/>
      </c>
      <c r="AI129" s="2" t="str">
        <f t="shared" si="237"/>
        <v/>
      </c>
      <c r="AJ129" s="2" t="str">
        <f t="shared" si="237"/>
        <v/>
      </c>
      <c r="AK129" s="2" t="str">
        <f t="shared" si="237"/>
        <v/>
      </c>
      <c r="AL129" s="2" t="str">
        <f t="shared" si="237"/>
        <v/>
      </c>
      <c r="AM129" s="2" t="str">
        <f t="shared" si="237"/>
        <v/>
      </c>
      <c r="AN129" s="2" t="str">
        <f t="shared" si="237"/>
        <v/>
      </c>
      <c r="AO129" s="2" t="str">
        <f t="shared" si="237"/>
        <v/>
      </c>
      <c r="AP129" s="2" t="str">
        <f t="shared" si="237"/>
        <v/>
      </c>
      <c r="AQ129" s="2" t="str">
        <f t="shared" si="237"/>
        <v/>
      </c>
      <c r="AR129" s="2" t="str">
        <f t="shared" si="237"/>
        <v/>
      </c>
      <c r="AS129" s="2" t="str">
        <f t="shared" si="237"/>
        <v/>
      </c>
      <c r="AT129" s="2" t="str">
        <f t="shared" si="237"/>
        <v/>
      </c>
      <c r="AU129" s="2" t="str">
        <f t="shared" si="237"/>
        <v/>
      </c>
      <c r="AV129" s="2" t="str">
        <f t="shared" si="237"/>
        <v/>
      </c>
      <c r="AW129" s="2">
        <f t="shared" si="237"/>
        <v>0.71933075574642924</v>
      </c>
      <c r="AX129" s="2">
        <f t="shared" si="237"/>
        <v>0.73779230183468247</v>
      </c>
      <c r="AY129" s="2">
        <f t="shared" si="237"/>
        <v>0.75672766150764059</v>
      </c>
      <c r="AZ129" s="2">
        <f t="shared" si="237"/>
        <v>0.77614899513973701</v>
      </c>
      <c r="BA129" s="2">
        <f t="shared" si="237"/>
        <v>0.79606877520010022</v>
      </c>
      <c r="BB129" s="2">
        <f t="shared" si="237"/>
        <v>0.8164997942624308</v>
      </c>
      <c r="BC129" s="2">
        <f t="shared" si="237"/>
        <v>0.8374551732204506</v>
      </c>
      <c r="BD129" s="2">
        <f t="shared" si="237"/>
        <v>0.8589483697142003</v>
      </c>
      <c r="BE129" s="2">
        <f t="shared" si="237"/>
        <v>0.88099318677259764</v>
      </c>
      <c r="BF129" s="2">
        <f t="shared" si="237"/>
        <v>0.90360378167780531</v>
      </c>
      <c r="BG129" s="2">
        <f t="shared" si="237"/>
        <v>0.92679467505710256</v>
      </c>
      <c r="BH129" s="2">
        <f t="shared" si="237"/>
        <v>0.9505807602080979</v>
      </c>
      <c r="BI129" s="2">
        <f t="shared" si="237"/>
        <v>0.97497731266327314</v>
      </c>
      <c r="BJ129" s="2">
        <f t="shared" si="237"/>
        <v>1</v>
      </c>
    </row>
    <row r="130" spans="1:62" outlineLevel="1">
      <c r="A130" s="11">
        <f t="shared" si="207"/>
        <v>48</v>
      </c>
      <c r="B130" s="2" t="str">
        <f t="shared" ref="B130:AG130" si="238">IF(B$80&gt;T,"",IF($A130&gt;B$81,"",IF(T=B$80,1,EXP(-B62*h)*((C130+C131)/2+cc*h))))</f>
        <v/>
      </c>
      <c r="C130" s="2" t="str">
        <f t="shared" si="238"/>
        <v/>
      </c>
      <c r="D130" s="2" t="str">
        <f t="shared" si="238"/>
        <v/>
      </c>
      <c r="E130" s="2" t="str">
        <f t="shared" si="238"/>
        <v/>
      </c>
      <c r="F130" s="2" t="str">
        <f t="shared" si="238"/>
        <v/>
      </c>
      <c r="G130" s="2" t="str">
        <f t="shared" si="238"/>
        <v/>
      </c>
      <c r="H130" s="2" t="str">
        <f t="shared" si="238"/>
        <v/>
      </c>
      <c r="I130" s="2" t="str">
        <f t="shared" si="238"/>
        <v/>
      </c>
      <c r="J130" s="2" t="str">
        <f t="shared" si="238"/>
        <v/>
      </c>
      <c r="K130" s="2" t="str">
        <f t="shared" si="238"/>
        <v/>
      </c>
      <c r="L130" s="2" t="str">
        <f t="shared" si="238"/>
        <v/>
      </c>
      <c r="M130" s="2" t="str">
        <f t="shared" si="238"/>
        <v/>
      </c>
      <c r="N130" s="2" t="str">
        <f t="shared" si="238"/>
        <v/>
      </c>
      <c r="O130" s="2" t="str">
        <f t="shared" si="238"/>
        <v/>
      </c>
      <c r="P130" s="2" t="str">
        <f t="shared" si="238"/>
        <v/>
      </c>
      <c r="Q130" s="2" t="str">
        <f t="shared" si="238"/>
        <v/>
      </c>
      <c r="R130" s="2" t="str">
        <f t="shared" si="238"/>
        <v/>
      </c>
      <c r="S130" s="2" t="str">
        <f t="shared" si="238"/>
        <v/>
      </c>
      <c r="T130" s="2" t="str">
        <f t="shared" si="238"/>
        <v/>
      </c>
      <c r="U130" s="2" t="str">
        <f t="shared" si="238"/>
        <v/>
      </c>
      <c r="V130" s="2" t="str">
        <f t="shared" si="238"/>
        <v/>
      </c>
      <c r="W130" s="2" t="str">
        <f t="shared" si="238"/>
        <v/>
      </c>
      <c r="X130" s="2" t="str">
        <f t="shared" si="238"/>
        <v/>
      </c>
      <c r="Y130" s="2" t="str">
        <f t="shared" si="238"/>
        <v/>
      </c>
      <c r="Z130" s="2" t="str">
        <f t="shared" si="238"/>
        <v/>
      </c>
      <c r="AA130" s="2" t="str">
        <f t="shared" si="238"/>
        <v/>
      </c>
      <c r="AB130" s="2" t="str">
        <f t="shared" si="238"/>
        <v/>
      </c>
      <c r="AC130" s="2" t="str">
        <f t="shared" si="238"/>
        <v/>
      </c>
      <c r="AD130" s="2" t="str">
        <f t="shared" si="238"/>
        <v/>
      </c>
      <c r="AE130" s="2" t="str">
        <f t="shared" si="238"/>
        <v/>
      </c>
      <c r="AF130" s="2" t="str">
        <f t="shared" si="238"/>
        <v/>
      </c>
      <c r="AG130" s="2" t="str">
        <f t="shared" si="238"/>
        <v/>
      </c>
      <c r="AH130" s="2" t="str">
        <f t="shared" ref="AH130:BJ130" si="239">IF(AH$80&gt;T,"",IF($A130&gt;AH$81,"",IF(T=AH$80,1,EXP(-AH62*h)*((AI130+AI131)/2+cc*h))))</f>
        <v/>
      </c>
      <c r="AI130" s="2" t="str">
        <f t="shared" si="239"/>
        <v/>
      </c>
      <c r="AJ130" s="2" t="str">
        <f t="shared" si="239"/>
        <v/>
      </c>
      <c r="AK130" s="2" t="str">
        <f t="shared" si="239"/>
        <v/>
      </c>
      <c r="AL130" s="2" t="str">
        <f t="shared" si="239"/>
        <v/>
      </c>
      <c r="AM130" s="2" t="str">
        <f t="shared" si="239"/>
        <v/>
      </c>
      <c r="AN130" s="2" t="str">
        <f t="shared" si="239"/>
        <v/>
      </c>
      <c r="AO130" s="2" t="str">
        <f t="shared" si="239"/>
        <v/>
      </c>
      <c r="AP130" s="2" t="str">
        <f t="shared" si="239"/>
        <v/>
      </c>
      <c r="AQ130" s="2" t="str">
        <f t="shared" si="239"/>
        <v/>
      </c>
      <c r="AR130" s="2" t="str">
        <f t="shared" si="239"/>
        <v/>
      </c>
      <c r="AS130" s="2" t="str">
        <f t="shared" si="239"/>
        <v/>
      </c>
      <c r="AT130" s="2" t="str">
        <f t="shared" si="239"/>
        <v/>
      </c>
      <c r="AU130" s="2" t="str">
        <f t="shared" si="239"/>
        <v/>
      </c>
      <c r="AV130" s="2" t="str">
        <f t="shared" si="239"/>
        <v/>
      </c>
      <c r="AW130" s="2" t="str">
        <f t="shared" si="239"/>
        <v/>
      </c>
      <c r="AX130" s="2">
        <f t="shared" si="239"/>
        <v>0.73779230183468247</v>
      </c>
      <c r="AY130" s="2">
        <f t="shared" si="239"/>
        <v>0.75672766150764059</v>
      </c>
      <c r="AZ130" s="2">
        <f t="shared" si="239"/>
        <v>0.77614899513973701</v>
      </c>
      <c r="BA130" s="2">
        <f t="shared" si="239"/>
        <v>0.79606877520010022</v>
      </c>
      <c r="BB130" s="2">
        <f t="shared" si="239"/>
        <v>0.8164997942624308</v>
      </c>
      <c r="BC130" s="2">
        <f t="shared" si="239"/>
        <v>0.8374551732204506</v>
      </c>
      <c r="BD130" s="2">
        <f t="shared" si="239"/>
        <v>0.8589483697142003</v>
      </c>
      <c r="BE130" s="2">
        <f t="shared" si="239"/>
        <v>0.88099318677259764</v>
      </c>
      <c r="BF130" s="2">
        <f t="shared" si="239"/>
        <v>0.90360378167780531</v>
      </c>
      <c r="BG130" s="2">
        <f t="shared" si="239"/>
        <v>0.92679467505710256</v>
      </c>
      <c r="BH130" s="2">
        <f t="shared" si="239"/>
        <v>0.9505807602080979</v>
      </c>
      <c r="BI130" s="2">
        <f t="shared" si="239"/>
        <v>0.97497731266327314</v>
      </c>
      <c r="BJ130" s="2">
        <f t="shared" si="239"/>
        <v>1</v>
      </c>
    </row>
    <row r="131" spans="1:62" outlineLevel="1">
      <c r="A131" s="11">
        <f t="shared" si="207"/>
        <v>49</v>
      </c>
      <c r="B131" s="2" t="str">
        <f t="shared" ref="B131:AG131" si="240">IF(B$80&gt;T,"",IF($A131&gt;B$81,"",IF(T=B$80,1,EXP(-B63*h)*((C131+C132)/2+cc*h))))</f>
        <v/>
      </c>
      <c r="C131" s="2" t="str">
        <f t="shared" si="240"/>
        <v/>
      </c>
      <c r="D131" s="2" t="str">
        <f t="shared" si="240"/>
        <v/>
      </c>
      <c r="E131" s="2" t="str">
        <f t="shared" si="240"/>
        <v/>
      </c>
      <c r="F131" s="2" t="str">
        <f t="shared" si="240"/>
        <v/>
      </c>
      <c r="G131" s="2" t="str">
        <f t="shared" si="240"/>
        <v/>
      </c>
      <c r="H131" s="2" t="str">
        <f t="shared" si="240"/>
        <v/>
      </c>
      <c r="I131" s="2" t="str">
        <f t="shared" si="240"/>
        <v/>
      </c>
      <c r="J131" s="2" t="str">
        <f t="shared" si="240"/>
        <v/>
      </c>
      <c r="K131" s="2" t="str">
        <f t="shared" si="240"/>
        <v/>
      </c>
      <c r="L131" s="2" t="str">
        <f t="shared" si="240"/>
        <v/>
      </c>
      <c r="M131" s="2" t="str">
        <f t="shared" si="240"/>
        <v/>
      </c>
      <c r="N131" s="2" t="str">
        <f t="shared" si="240"/>
        <v/>
      </c>
      <c r="O131" s="2" t="str">
        <f t="shared" si="240"/>
        <v/>
      </c>
      <c r="P131" s="2" t="str">
        <f t="shared" si="240"/>
        <v/>
      </c>
      <c r="Q131" s="2" t="str">
        <f t="shared" si="240"/>
        <v/>
      </c>
      <c r="R131" s="2" t="str">
        <f t="shared" si="240"/>
        <v/>
      </c>
      <c r="S131" s="2" t="str">
        <f t="shared" si="240"/>
        <v/>
      </c>
      <c r="T131" s="2" t="str">
        <f t="shared" si="240"/>
        <v/>
      </c>
      <c r="U131" s="2" t="str">
        <f t="shared" si="240"/>
        <v/>
      </c>
      <c r="V131" s="2" t="str">
        <f t="shared" si="240"/>
        <v/>
      </c>
      <c r="W131" s="2" t="str">
        <f t="shared" si="240"/>
        <v/>
      </c>
      <c r="X131" s="2" t="str">
        <f t="shared" si="240"/>
        <v/>
      </c>
      <c r="Y131" s="2" t="str">
        <f t="shared" si="240"/>
        <v/>
      </c>
      <c r="Z131" s="2" t="str">
        <f t="shared" si="240"/>
        <v/>
      </c>
      <c r="AA131" s="2" t="str">
        <f t="shared" si="240"/>
        <v/>
      </c>
      <c r="AB131" s="2" t="str">
        <f t="shared" si="240"/>
        <v/>
      </c>
      <c r="AC131" s="2" t="str">
        <f t="shared" si="240"/>
        <v/>
      </c>
      <c r="AD131" s="2" t="str">
        <f t="shared" si="240"/>
        <v/>
      </c>
      <c r="AE131" s="2" t="str">
        <f t="shared" si="240"/>
        <v/>
      </c>
      <c r="AF131" s="2" t="str">
        <f t="shared" si="240"/>
        <v/>
      </c>
      <c r="AG131" s="2" t="str">
        <f t="shared" si="240"/>
        <v/>
      </c>
      <c r="AH131" s="2" t="str">
        <f t="shared" ref="AH131:BJ131" si="241">IF(AH$80&gt;T,"",IF($A131&gt;AH$81,"",IF(T=AH$80,1,EXP(-AH63*h)*((AI131+AI132)/2+cc*h))))</f>
        <v/>
      </c>
      <c r="AI131" s="2" t="str">
        <f t="shared" si="241"/>
        <v/>
      </c>
      <c r="AJ131" s="2" t="str">
        <f t="shared" si="241"/>
        <v/>
      </c>
      <c r="AK131" s="2" t="str">
        <f t="shared" si="241"/>
        <v/>
      </c>
      <c r="AL131" s="2" t="str">
        <f t="shared" si="241"/>
        <v/>
      </c>
      <c r="AM131" s="2" t="str">
        <f t="shared" si="241"/>
        <v/>
      </c>
      <c r="AN131" s="2" t="str">
        <f t="shared" si="241"/>
        <v/>
      </c>
      <c r="AO131" s="2" t="str">
        <f t="shared" si="241"/>
        <v/>
      </c>
      <c r="AP131" s="2" t="str">
        <f t="shared" si="241"/>
        <v/>
      </c>
      <c r="AQ131" s="2" t="str">
        <f t="shared" si="241"/>
        <v/>
      </c>
      <c r="AR131" s="2" t="str">
        <f t="shared" si="241"/>
        <v/>
      </c>
      <c r="AS131" s="2" t="str">
        <f t="shared" si="241"/>
        <v/>
      </c>
      <c r="AT131" s="2" t="str">
        <f t="shared" si="241"/>
        <v/>
      </c>
      <c r="AU131" s="2" t="str">
        <f t="shared" si="241"/>
        <v/>
      </c>
      <c r="AV131" s="2" t="str">
        <f t="shared" si="241"/>
        <v/>
      </c>
      <c r="AW131" s="2" t="str">
        <f t="shared" si="241"/>
        <v/>
      </c>
      <c r="AX131" s="2" t="str">
        <f t="shared" si="241"/>
        <v/>
      </c>
      <c r="AY131" s="2">
        <f t="shared" si="241"/>
        <v>0.75672766150764059</v>
      </c>
      <c r="AZ131" s="2">
        <f t="shared" si="241"/>
        <v>0.77614899513973701</v>
      </c>
      <c r="BA131" s="2">
        <f t="shared" si="241"/>
        <v>0.79606877520010022</v>
      </c>
      <c r="BB131" s="2">
        <f t="shared" si="241"/>
        <v>0.8164997942624308</v>
      </c>
      <c r="BC131" s="2">
        <f t="shared" si="241"/>
        <v>0.8374551732204506</v>
      </c>
      <c r="BD131" s="2">
        <f t="shared" si="241"/>
        <v>0.8589483697142003</v>
      </c>
      <c r="BE131" s="2">
        <f t="shared" si="241"/>
        <v>0.88099318677259764</v>
      </c>
      <c r="BF131" s="2">
        <f t="shared" si="241"/>
        <v>0.90360378167780531</v>
      </c>
      <c r="BG131" s="2">
        <f t="shared" si="241"/>
        <v>0.92679467505710256</v>
      </c>
      <c r="BH131" s="2">
        <f t="shared" si="241"/>
        <v>0.9505807602080979</v>
      </c>
      <c r="BI131" s="2">
        <f t="shared" si="241"/>
        <v>0.97497731266327314</v>
      </c>
      <c r="BJ131" s="2">
        <f t="shared" si="241"/>
        <v>1</v>
      </c>
    </row>
    <row r="132" spans="1:62" outlineLevel="1">
      <c r="A132" s="11">
        <f t="shared" si="207"/>
        <v>50</v>
      </c>
      <c r="B132" s="2" t="str">
        <f t="shared" ref="B132:AG132" si="242">IF(B$80&gt;T,"",IF($A132&gt;B$81,"",IF(T=B$80,1,EXP(-B64*h)*((C132+C133)/2+cc*h))))</f>
        <v/>
      </c>
      <c r="C132" s="2" t="str">
        <f t="shared" si="242"/>
        <v/>
      </c>
      <c r="D132" s="2" t="str">
        <f t="shared" si="242"/>
        <v/>
      </c>
      <c r="E132" s="2" t="str">
        <f t="shared" si="242"/>
        <v/>
      </c>
      <c r="F132" s="2" t="str">
        <f t="shared" si="242"/>
        <v/>
      </c>
      <c r="G132" s="2" t="str">
        <f t="shared" si="242"/>
        <v/>
      </c>
      <c r="H132" s="2" t="str">
        <f t="shared" si="242"/>
        <v/>
      </c>
      <c r="I132" s="2" t="str">
        <f t="shared" si="242"/>
        <v/>
      </c>
      <c r="J132" s="2" t="str">
        <f t="shared" si="242"/>
        <v/>
      </c>
      <c r="K132" s="2" t="str">
        <f t="shared" si="242"/>
        <v/>
      </c>
      <c r="L132" s="2" t="str">
        <f t="shared" si="242"/>
        <v/>
      </c>
      <c r="M132" s="2" t="str">
        <f t="shared" si="242"/>
        <v/>
      </c>
      <c r="N132" s="2" t="str">
        <f t="shared" si="242"/>
        <v/>
      </c>
      <c r="O132" s="2" t="str">
        <f t="shared" si="242"/>
        <v/>
      </c>
      <c r="P132" s="2" t="str">
        <f t="shared" si="242"/>
        <v/>
      </c>
      <c r="Q132" s="2" t="str">
        <f t="shared" si="242"/>
        <v/>
      </c>
      <c r="R132" s="2" t="str">
        <f t="shared" si="242"/>
        <v/>
      </c>
      <c r="S132" s="2" t="str">
        <f t="shared" si="242"/>
        <v/>
      </c>
      <c r="T132" s="2" t="str">
        <f t="shared" si="242"/>
        <v/>
      </c>
      <c r="U132" s="2" t="str">
        <f t="shared" si="242"/>
        <v/>
      </c>
      <c r="V132" s="2" t="str">
        <f t="shared" si="242"/>
        <v/>
      </c>
      <c r="W132" s="2" t="str">
        <f t="shared" si="242"/>
        <v/>
      </c>
      <c r="X132" s="2" t="str">
        <f t="shared" si="242"/>
        <v/>
      </c>
      <c r="Y132" s="2" t="str">
        <f t="shared" si="242"/>
        <v/>
      </c>
      <c r="Z132" s="2" t="str">
        <f t="shared" si="242"/>
        <v/>
      </c>
      <c r="AA132" s="2" t="str">
        <f t="shared" si="242"/>
        <v/>
      </c>
      <c r="AB132" s="2" t="str">
        <f t="shared" si="242"/>
        <v/>
      </c>
      <c r="AC132" s="2" t="str">
        <f t="shared" si="242"/>
        <v/>
      </c>
      <c r="AD132" s="2" t="str">
        <f t="shared" si="242"/>
        <v/>
      </c>
      <c r="AE132" s="2" t="str">
        <f t="shared" si="242"/>
        <v/>
      </c>
      <c r="AF132" s="2" t="str">
        <f t="shared" si="242"/>
        <v/>
      </c>
      <c r="AG132" s="2" t="str">
        <f t="shared" si="242"/>
        <v/>
      </c>
      <c r="AH132" s="2" t="str">
        <f t="shared" ref="AH132:BJ132" si="243">IF(AH$80&gt;T,"",IF($A132&gt;AH$81,"",IF(T=AH$80,1,EXP(-AH64*h)*((AI132+AI133)/2+cc*h))))</f>
        <v/>
      </c>
      <c r="AI132" s="2" t="str">
        <f t="shared" si="243"/>
        <v/>
      </c>
      <c r="AJ132" s="2" t="str">
        <f t="shared" si="243"/>
        <v/>
      </c>
      <c r="AK132" s="2" t="str">
        <f t="shared" si="243"/>
        <v/>
      </c>
      <c r="AL132" s="2" t="str">
        <f t="shared" si="243"/>
        <v/>
      </c>
      <c r="AM132" s="2" t="str">
        <f t="shared" si="243"/>
        <v/>
      </c>
      <c r="AN132" s="2" t="str">
        <f t="shared" si="243"/>
        <v/>
      </c>
      <c r="AO132" s="2" t="str">
        <f t="shared" si="243"/>
        <v/>
      </c>
      <c r="AP132" s="2" t="str">
        <f t="shared" si="243"/>
        <v/>
      </c>
      <c r="AQ132" s="2" t="str">
        <f t="shared" si="243"/>
        <v/>
      </c>
      <c r="AR132" s="2" t="str">
        <f t="shared" si="243"/>
        <v/>
      </c>
      <c r="AS132" s="2" t="str">
        <f t="shared" si="243"/>
        <v/>
      </c>
      <c r="AT132" s="2" t="str">
        <f t="shared" si="243"/>
        <v/>
      </c>
      <c r="AU132" s="2" t="str">
        <f t="shared" si="243"/>
        <v/>
      </c>
      <c r="AV132" s="2" t="str">
        <f t="shared" si="243"/>
        <v/>
      </c>
      <c r="AW132" s="2" t="str">
        <f t="shared" si="243"/>
        <v/>
      </c>
      <c r="AX132" s="2" t="str">
        <f t="shared" si="243"/>
        <v/>
      </c>
      <c r="AY132" s="2" t="str">
        <f t="shared" si="243"/>
        <v/>
      </c>
      <c r="AZ132" s="2">
        <f t="shared" si="243"/>
        <v>0.77614899513973701</v>
      </c>
      <c r="BA132" s="2">
        <f t="shared" si="243"/>
        <v>0.79606877520010022</v>
      </c>
      <c r="BB132" s="2">
        <f t="shared" si="243"/>
        <v>0.8164997942624308</v>
      </c>
      <c r="BC132" s="2">
        <f t="shared" si="243"/>
        <v>0.8374551732204506</v>
      </c>
      <c r="BD132" s="2">
        <f t="shared" si="243"/>
        <v>0.8589483697142003</v>
      </c>
      <c r="BE132" s="2">
        <f t="shared" si="243"/>
        <v>0.88099318677259764</v>
      </c>
      <c r="BF132" s="2">
        <f t="shared" si="243"/>
        <v>0.90360378167780531</v>
      </c>
      <c r="BG132" s="2">
        <f t="shared" si="243"/>
        <v>0.92679467505710256</v>
      </c>
      <c r="BH132" s="2">
        <f t="shared" si="243"/>
        <v>0.9505807602080979</v>
      </c>
      <c r="BI132" s="2">
        <f t="shared" si="243"/>
        <v>0.97497731266327314</v>
      </c>
      <c r="BJ132" s="2">
        <f t="shared" si="243"/>
        <v>1</v>
      </c>
    </row>
    <row r="133" spans="1:62" outlineLevel="1">
      <c r="A133" s="11">
        <f t="shared" si="207"/>
        <v>51</v>
      </c>
      <c r="B133" s="2" t="str">
        <f t="shared" ref="B133:AG133" si="244">IF(B$80&gt;T,"",IF($A133&gt;B$81,"",IF(T=B$80,1,EXP(-B65*h)*((C133+C134)/2+cc*h))))</f>
        <v/>
      </c>
      <c r="C133" s="2" t="str">
        <f t="shared" si="244"/>
        <v/>
      </c>
      <c r="D133" s="2" t="str">
        <f t="shared" si="244"/>
        <v/>
      </c>
      <c r="E133" s="2" t="str">
        <f t="shared" si="244"/>
        <v/>
      </c>
      <c r="F133" s="2" t="str">
        <f t="shared" si="244"/>
        <v/>
      </c>
      <c r="G133" s="2" t="str">
        <f t="shared" si="244"/>
        <v/>
      </c>
      <c r="H133" s="2" t="str">
        <f t="shared" si="244"/>
        <v/>
      </c>
      <c r="I133" s="2" t="str">
        <f t="shared" si="244"/>
        <v/>
      </c>
      <c r="J133" s="2" t="str">
        <f t="shared" si="244"/>
        <v/>
      </c>
      <c r="K133" s="2" t="str">
        <f t="shared" si="244"/>
        <v/>
      </c>
      <c r="L133" s="2" t="str">
        <f t="shared" si="244"/>
        <v/>
      </c>
      <c r="M133" s="2" t="str">
        <f t="shared" si="244"/>
        <v/>
      </c>
      <c r="N133" s="2" t="str">
        <f t="shared" si="244"/>
        <v/>
      </c>
      <c r="O133" s="2" t="str">
        <f t="shared" si="244"/>
        <v/>
      </c>
      <c r="P133" s="2" t="str">
        <f t="shared" si="244"/>
        <v/>
      </c>
      <c r="Q133" s="2" t="str">
        <f t="shared" si="244"/>
        <v/>
      </c>
      <c r="R133" s="2" t="str">
        <f t="shared" si="244"/>
        <v/>
      </c>
      <c r="S133" s="2" t="str">
        <f t="shared" si="244"/>
        <v/>
      </c>
      <c r="T133" s="2" t="str">
        <f t="shared" si="244"/>
        <v/>
      </c>
      <c r="U133" s="2" t="str">
        <f t="shared" si="244"/>
        <v/>
      </c>
      <c r="V133" s="2" t="str">
        <f t="shared" si="244"/>
        <v/>
      </c>
      <c r="W133" s="2" t="str">
        <f t="shared" si="244"/>
        <v/>
      </c>
      <c r="X133" s="2" t="str">
        <f t="shared" si="244"/>
        <v/>
      </c>
      <c r="Y133" s="2" t="str">
        <f t="shared" si="244"/>
        <v/>
      </c>
      <c r="Z133" s="2" t="str">
        <f t="shared" si="244"/>
        <v/>
      </c>
      <c r="AA133" s="2" t="str">
        <f t="shared" si="244"/>
        <v/>
      </c>
      <c r="AB133" s="2" t="str">
        <f t="shared" si="244"/>
        <v/>
      </c>
      <c r="AC133" s="2" t="str">
        <f t="shared" si="244"/>
        <v/>
      </c>
      <c r="AD133" s="2" t="str">
        <f t="shared" si="244"/>
        <v/>
      </c>
      <c r="AE133" s="2" t="str">
        <f t="shared" si="244"/>
        <v/>
      </c>
      <c r="AF133" s="2" t="str">
        <f t="shared" si="244"/>
        <v/>
      </c>
      <c r="AG133" s="2" t="str">
        <f t="shared" si="244"/>
        <v/>
      </c>
      <c r="AH133" s="2" t="str">
        <f t="shared" ref="AH133:BJ133" si="245">IF(AH$80&gt;T,"",IF($A133&gt;AH$81,"",IF(T=AH$80,1,EXP(-AH65*h)*((AI133+AI134)/2+cc*h))))</f>
        <v/>
      </c>
      <c r="AI133" s="2" t="str">
        <f t="shared" si="245"/>
        <v/>
      </c>
      <c r="AJ133" s="2" t="str">
        <f t="shared" si="245"/>
        <v/>
      </c>
      <c r="AK133" s="2" t="str">
        <f t="shared" si="245"/>
        <v/>
      </c>
      <c r="AL133" s="2" t="str">
        <f t="shared" si="245"/>
        <v/>
      </c>
      <c r="AM133" s="2" t="str">
        <f t="shared" si="245"/>
        <v/>
      </c>
      <c r="AN133" s="2" t="str">
        <f t="shared" si="245"/>
        <v/>
      </c>
      <c r="AO133" s="2" t="str">
        <f t="shared" si="245"/>
        <v/>
      </c>
      <c r="AP133" s="2" t="str">
        <f t="shared" si="245"/>
        <v/>
      </c>
      <c r="AQ133" s="2" t="str">
        <f t="shared" si="245"/>
        <v/>
      </c>
      <c r="AR133" s="2" t="str">
        <f t="shared" si="245"/>
        <v/>
      </c>
      <c r="AS133" s="2" t="str">
        <f t="shared" si="245"/>
        <v/>
      </c>
      <c r="AT133" s="2" t="str">
        <f t="shared" si="245"/>
        <v/>
      </c>
      <c r="AU133" s="2" t="str">
        <f t="shared" si="245"/>
        <v/>
      </c>
      <c r="AV133" s="2" t="str">
        <f t="shared" si="245"/>
        <v/>
      </c>
      <c r="AW133" s="2" t="str">
        <f t="shared" si="245"/>
        <v/>
      </c>
      <c r="AX133" s="2" t="str">
        <f t="shared" si="245"/>
        <v/>
      </c>
      <c r="AY133" s="2" t="str">
        <f t="shared" si="245"/>
        <v/>
      </c>
      <c r="AZ133" s="2" t="str">
        <f t="shared" si="245"/>
        <v/>
      </c>
      <c r="BA133" s="2">
        <f t="shared" si="245"/>
        <v>0.79606877520010022</v>
      </c>
      <c r="BB133" s="2">
        <f t="shared" si="245"/>
        <v>0.8164997942624308</v>
      </c>
      <c r="BC133" s="2">
        <f t="shared" si="245"/>
        <v>0.8374551732204506</v>
      </c>
      <c r="BD133" s="2">
        <f t="shared" si="245"/>
        <v>0.8589483697142003</v>
      </c>
      <c r="BE133" s="2">
        <f t="shared" si="245"/>
        <v>0.88099318677259764</v>
      </c>
      <c r="BF133" s="2">
        <f t="shared" si="245"/>
        <v>0.90360378167780531</v>
      </c>
      <c r="BG133" s="2">
        <f t="shared" si="245"/>
        <v>0.92679467505710256</v>
      </c>
      <c r="BH133" s="2">
        <f t="shared" si="245"/>
        <v>0.9505807602080979</v>
      </c>
      <c r="BI133" s="2">
        <f t="shared" si="245"/>
        <v>0.97497731266327314</v>
      </c>
      <c r="BJ133" s="2">
        <f t="shared" si="245"/>
        <v>1</v>
      </c>
    </row>
    <row r="134" spans="1:62" outlineLevel="1">
      <c r="A134" s="11">
        <f t="shared" si="207"/>
        <v>52</v>
      </c>
      <c r="B134" s="2" t="str">
        <f t="shared" ref="B134:AG134" si="246">IF(B$80&gt;T,"",IF($A134&gt;B$81,"",IF(T=B$80,1,EXP(-B66*h)*((C134+C135)/2+cc*h))))</f>
        <v/>
      </c>
      <c r="C134" s="2" t="str">
        <f t="shared" si="246"/>
        <v/>
      </c>
      <c r="D134" s="2" t="str">
        <f t="shared" si="246"/>
        <v/>
      </c>
      <c r="E134" s="2" t="str">
        <f t="shared" si="246"/>
        <v/>
      </c>
      <c r="F134" s="2" t="str">
        <f t="shared" si="246"/>
        <v/>
      </c>
      <c r="G134" s="2" t="str">
        <f t="shared" si="246"/>
        <v/>
      </c>
      <c r="H134" s="2" t="str">
        <f t="shared" si="246"/>
        <v/>
      </c>
      <c r="I134" s="2" t="str">
        <f t="shared" si="246"/>
        <v/>
      </c>
      <c r="J134" s="2" t="str">
        <f t="shared" si="246"/>
        <v/>
      </c>
      <c r="K134" s="2" t="str">
        <f t="shared" si="246"/>
        <v/>
      </c>
      <c r="L134" s="2" t="str">
        <f t="shared" si="246"/>
        <v/>
      </c>
      <c r="M134" s="2" t="str">
        <f t="shared" si="246"/>
        <v/>
      </c>
      <c r="N134" s="2" t="str">
        <f t="shared" si="246"/>
        <v/>
      </c>
      <c r="O134" s="2" t="str">
        <f t="shared" si="246"/>
        <v/>
      </c>
      <c r="P134" s="2" t="str">
        <f t="shared" si="246"/>
        <v/>
      </c>
      <c r="Q134" s="2" t="str">
        <f t="shared" si="246"/>
        <v/>
      </c>
      <c r="R134" s="2" t="str">
        <f t="shared" si="246"/>
        <v/>
      </c>
      <c r="S134" s="2" t="str">
        <f t="shared" si="246"/>
        <v/>
      </c>
      <c r="T134" s="2" t="str">
        <f t="shared" si="246"/>
        <v/>
      </c>
      <c r="U134" s="2" t="str">
        <f t="shared" si="246"/>
        <v/>
      </c>
      <c r="V134" s="2" t="str">
        <f t="shared" si="246"/>
        <v/>
      </c>
      <c r="W134" s="2" t="str">
        <f t="shared" si="246"/>
        <v/>
      </c>
      <c r="X134" s="2" t="str">
        <f t="shared" si="246"/>
        <v/>
      </c>
      <c r="Y134" s="2" t="str">
        <f t="shared" si="246"/>
        <v/>
      </c>
      <c r="Z134" s="2" t="str">
        <f t="shared" si="246"/>
        <v/>
      </c>
      <c r="AA134" s="2" t="str">
        <f t="shared" si="246"/>
        <v/>
      </c>
      <c r="AB134" s="2" t="str">
        <f t="shared" si="246"/>
        <v/>
      </c>
      <c r="AC134" s="2" t="str">
        <f t="shared" si="246"/>
        <v/>
      </c>
      <c r="AD134" s="2" t="str">
        <f t="shared" si="246"/>
        <v/>
      </c>
      <c r="AE134" s="2" t="str">
        <f t="shared" si="246"/>
        <v/>
      </c>
      <c r="AF134" s="2" t="str">
        <f t="shared" si="246"/>
        <v/>
      </c>
      <c r="AG134" s="2" t="str">
        <f t="shared" si="246"/>
        <v/>
      </c>
      <c r="AH134" s="2" t="str">
        <f t="shared" ref="AH134:BJ134" si="247">IF(AH$80&gt;T,"",IF($A134&gt;AH$81,"",IF(T=AH$80,1,EXP(-AH66*h)*((AI134+AI135)/2+cc*h))))</f>
        <v/>
      </c>
      <c r="AI134" s="2" t="str">
        <f t="shared" si="247"/>
        <v/>
      </c>
      <c r="AJ134" s="2" t="str">
        <f t="shared" si="247"/>
        <v/>
      </c>
      <c r="AK134" s="2" t="str">
        <f t="shared" si="247"/>
        <v/>
      </c>
      <c r="AL134" s="2" t="str">
        <f t="shared" si="247"/>
        <v/>
      </c>
      <c r="AM134" s="2" t="str">
        <f t="shared" si="247"/>
        <v/>
      </c>
      <c r="AN134" s="2" t="str">
        <f t="shared" si="247"/>
        <v/>
      </c>
      <c r="AO134" s="2" t="str">
        <f t="shared" si="247"/>
        <v/>
      </c>
      <c r="AP134" s="2" t="str">
        <f t="shared" si="247"/>
        <v/>
      </c>
      <c r="AQ134" s="2" t="str">
        <f t="shared" si="247"/>
        <v/>
      </c>
      <c r="AR134" s="2" t="str">
        <f t="shared" si="247"/>
        <v/>
      </c>
      <c r="AS134" s="2" t="str">
        <f t="shared" si="247"/>
        <v/>
      </c>
      <c r="AT134" s="2" t="str">
        <f t="shared" si="247"/>
        <v/>
      </c>
      <c r="AU134" s="2" t="str">
        <f t="shared" si="247"/>
        <v/>
      </c>
      <c r="AV134" s="2" t="str">
        <f t="shared" si="247"/>
        <v/>
      </c>
      <c r="AW134" s="2" t="str">
        <f t="shared" si="247"/>
        <v/>
      </c>
      <c r="AX134" s="2" t="str">
        <f t="shared" si="247"/>
        <v/>
      </c>
      <c r="AY134" s="2" t="str">
        <f t="shared" si="247"/>
        <v/>
      </c>
      <c r="AZ134" s="2" t="str">
        <f t="shared" si="247"/>
        <v/>
      </c>
      <c r="BA134" s="2" t="str">
        <f t="shared" si="247"/>
        <v/>
      </c>
      <c r="BB134" s="2">
        <f t="shared" si="247"/>
        <v>0.8164997942624308</v>
      </c>
      <c r="BC134" s="2">
        <f t="shared" si="247"/>
        <v>0.8374551732204506</v>
      </c>
      <c r="BD134" s="2">
        <f t="shared" si="247"/>
        <v>0.8589483697142003</v>
      </c>
      <c r="BE134" s="2">
        <f t="shared" si="247"/>
        <v>0.88099318677259764</v>
      </c>
      <c r="BF134" s="2">
        <f t="shared" si="247"/>
        <v>0.90360378167780531</v>
      </c>
      <c r="BG134" s="2">
        <f t="shared" si="247"/>
        <v>0.92679467505710256</v>
      </c>
      <c r="BH134" s="2">
        <f t="shared" si="247"/>
        <v>0.9505807602080979</v>
      </c>
      <c r="BI134" s="2">
        <f t="shared" si="247"/>
        <v>0.97497731266327314</v>
      </c>
      <c r="BJ134" s="2">
        <f t="shared" si="247"/>
        <v>1</v>
      </c>
    </row>
    <row r="135" spans="1:62" outlineLevel="1">
      <c r="A135" s="11">
        <f t="shared" si="207"/>
        <v>53</v>
      </c>
      <c r="B135" s="2" t="str">
        <f t="shared" ref="B135:AG135" si="248">IF(B$80&gt;T,"",IF($A135&gt;B$81,"",IF(T=B$80,1,EXP(-B67*h)*((C135+C136)/2+cc*h))))</f>
        <v/>
      </c>
      <c r="C135" s="2" t="str">
        <f t="shared" si="248"/>
        <v/>
      </c>
      <c r="D135" s="2" t="str">
        <f t="shared" si="248"/>
        <v/>
      </c>
      <c r="E135" s="2" t="str">
        <f t="shared" si="248"/>
        <v/>
      </c>
      <c r="F135" s="2" t="str">
        <f t="shared" si="248"/>
        <v/>
      </c>
      <c r="G135" s="2" t="str">
        <f t="shared" si="248"/>
        <v/>
      </c>
      <c r="H135" s="2" t="str">
        <f t="shared" si="248"/>
        <v/>
      </c>
      <c r="I135" s="2" t="str">
        <f t="shared" si="248"/>
        <v/>
      </c>
      <c r="J135" s="2" t="str">
        <f t="shared" si="248"/>
        <v/>
      </c>
      <c r="K135" s="2" t="str">
        <f t="shared" si="248"/>
        <v/>
      </c>
      <c r="L135" s="2" t="str">
        <f t="shared" si="248"/>
        <v/>
      </c>
      <c r="M135" s="2" t="str">
        <f t="shared" si="248"/>
        <v/>
      </c>
      <c r="N135" s="2" t="str">
        <f t="shared" si="248"/>
        <v/>
      </c>
      <c r="O135" s="2" t="str">
        <f t="shared" si="248"/>
        <v/>
      </c>
      <c r="P135" s="2" t="str">
        <f t="shared" si="248"/>
        <v/>
      </c>
      <c r="Q135" s="2" t="str">
        <f t="shared" si="248"/>
        <v/>
      </c>
      <c r="R135" s="2" t="str">
        <f t="shared" si="248"/>
        <v/>
      </c>
      <c r="S135" s="2" t="str">
        <f t="shared" si="248"/>
        <v/>
      </c>
      <c r="T135" s="2" t="str">
        <f t="shared" si="248"/>
        <v/>
      </c>
      <c r="U135" s="2" t="str">
        <f t="shared" si="248"/>
        <v/>
      </c>
      <c r="V135" s="2" t="str">
        <f t="shared" si="248"/>
        <v/>
      </c>
      <c r="W135" s="2" t="str">
        <f t="shared" si="248"/>
        <v/>
      </c>
      <c r="X135" s="2" t="str">
        <f t="shared" si="248"/>
        <v/>
      </c>
      <c r="Y135" s="2" t="str">
        <f t="shared" si="248"/>
        <v/>
      </c>
      <c r="Z135" s="2" t="str">
        <f t="shared" si="248"/>
        <v/>
      </c>
      <c r="AA135" s="2" t="str">
        <f t="shared" si="248"/>
        <v/>
      </c>
      <c r="AB135" s="2" t="str">
        <f t="shared" si="248"/>
        <v/>
      </c>
      <c r="AC135" s="2" t="str">
        <f t="shared" si="248"/>
        <v/>
      </c>
      <c r="AD135" s="2" t="str">
        <f t="shared" si="248"/>
        <v/>
      </c>
      <c r="AE135" s="2" t="str">
        <f t="shared" si="248"/>
        <v/>
      </c>
      <c r="AF135" s="2" t="str">
        <f t="shared" si="248"/>
        <v/>
      </c>
      <c r="AG135" s="2" t="str">
        <f t="shared" si="248"/>
        <v/>
      </c>
      <c r="AH135" s="2" t="str">
        <f t="shared" ref="AH135:BJ135" si="249">IF(AH$80&gt;T,"",IF($A135&gt;AH$81,"",IF(T=AH$80,1,EXP(-AH67*h)*((AI135+AI136)/2+cc*h))))</f>
        <v/>
      </c>
      <c r="AI135" s="2" t="str">
        <f t="shared" si="249"/>
        <v/>
      </c>
      <c r="AJ135" s="2" t="str">
        <f t="shared" si="249"/>
        <v/>
      </c>
      <c r="AK135" s="2" t="str">
        <f t="shared" si="249"/>
        <v/>
      </c>
      <c r="AL135" s="2" t="str">
        <f t="shared" si="249"/>
        <v/>
      </c>
      <c r="AM135" s="2" t="str">
        <f t="shared" si="249"/>
        <v/>
      </c>
      <c r="AN135" s="2" t="str">
        <f t="shared" si="249"/>
        <v/>
      </c>
      <c r="AO135" s="2" t="str">
        <f t="shared" si="249"/>
        <v/>
      </c>
      <c r="AP135" s="2" t="str">
        <f t="shared" si="249"/>
        <v/>
      </c>
      <c r="AQ135" s="2" t="str">
        <f t="shared" si="249"/>
        <v/>
      </c>
      <c r="AR135" s="2" t="str">
        <f t="shared" si="249"/>
        <v/>
      </c>
      <c r="AS135" s="2" t="str">
        <f t="shared" si="249"/>
        <v/>
      </c>
      <c r="AT135" s="2" t="str">
        <f t="shared" si="249"/>
        <v/>
      </c>
      <c r="AU135" s="2" t="str">
        <f t="shared" si="249"/>
        <v/>
      </c>
      <c r="AV135" s="2" t="str">
        <f t="shared" si="249"/>
        <v/>
      </c>
      <c r="AW135" s="2" t="str">
        <f t="shared" si="249"/>
        <v/>
      </c>
      <c r="AX135" s="2" t="str">
        <f t="shared" si="249"/>
        <v/>
      </c>
      <c r="AY135" s="2" t="str">
        <f t="shared" si="249"/>
        <v/>
      </c>
      <c r="AZ135" s="2" t="str">
        <f t="shared" si="249"/>
        <v/>
      </c>
      <c r="BA135" s="2" t="str">
        <f t="shared" si="249"/>
        <v/>
      </c>
      <c r="BB135" s="2" t="str">
        <f t="shared" si="249"/>
        <v/>
      </c>
      <c r="BC135" s="2">
        <f t="shared" si="249"/>
        <v>0.8374551732204506</v>
      </c>
      <c r="BD135" s="2">
        <f t="shared" si="249"/>
        <v>0.8589483697142003</v>
      </c>
      <c r="BE135" s="2">
        <f t="shared" si="249"/>
        <v>0.88099318677259764</v>
      </c>
      <c r="BF135" s="2">
        <f t="shared" si="249"/>
        <v>0.90360378167780531</v>
      </c>
      <c r="BG135" s="2">
        <f t="shared" si="249"/>
        <v>0.92679467505710256</v>
      </c>
      <c r="BH135" s="2">
        <f t="shared" si="249"/>
        <v>0.9505807602080979</v>
      </c>
      <c r="BI135" s="2">
        <f t="shared" si="249"/>
        <v>0.97497731266327314</v>
      </c>
      <c r="BJ135" s="2">
        <f t="shared" si="249"/>
        <v>1</v>
      </c>
    </row>
    <row r="136" spans="1:62" outlineLevel="1">
      <c r="A136" s="11">
        <f t="shared" si="207"/>
        <v>54</v>
      </c>
      <c r="B136" s="2" t="str">
        <f t="shared" ref="B136:AG136" si="250">IF(B$80&gt;T,"",IF($A136&gt;B$81,"",IF(T=B$80,1,EXP(-B68*h)*((C136+C137)/2+cc*h))))</f>
        <v/>
      </c>
      <c r="C136" s="2" t="str">
        <f t="shared" si="250"/>
        <v/>
      </c>
      <c r="D136" s="2" t="str">
        <f t="shared" si="250"/>
        <v/>
      </c>
      <c r="E136" s="2" t="str">
        <f t="shared" si="250"/>
        <v/>
      </c>
      <c r="F136" s="2" t="str">
        <f t="shared" si="250"/>
        <v/>
      </c>
      <c r="G136" s="2" t="str">
        <f t="shared" si="250"/>
        <v/>
      </c>
      <c r="H136" s="2" t="str">
        <f t="shared" si="250"/>
        <v/>
      </c>
      <c r="I136" s="2" t="str">
        <f t="shared" si="250"/>
        <v/>
      </c>
      <c r="J136" s="2" t="str">
        <f t="shared" si="250"/>
        <v/>
      </c>
      <c r="K136" s="2" t="str">
        <f t="shared" si="250"/>
        <v/>
      </c>
      <c r="L136" s="2" t="str">
        <f t="shared" si="250"/>
        <v/>
      </c>
      <c r="M136" s="2" t="str">
        <f t="shared" si="250"/>
        <v/>
      </c>
      <c r="N136" s="2" t="str">
        <f t="shared" si="250"/>
        <v/>
      </c>
      <c r="O136" s="2" t="str">
        <f t="shared" si="250"/>
        <v/>
      </c>
      <c r="P136" s="2" t="str">
        <f t="shared" si="250"/>
        <v/>
      </c>
      <c r="Q136" s="2" t="str">
        <f t="shared" si="250"/>
        <v/>
      </c>
      <c r="R136" s="2" t="str">
        <f t="shared" si="250"/>
        <v/>
      </c>
      <c r="S136" s="2" t="str">
        <f t="shared" si="250"/>
        <v/>
      </c>
      <c r="T136" s="2" t="str">
        <f t="shared" si="250"/>
        <v/>
      </c>
      <c r="U136" s="2" t="str">
        <f t="shared" si="250"/>
        <v/>
      </c>
      <c r="V136" s="2" t="str">
        <f t="shared" si="250"/>
        <v/>
      </c>
      <c r="W136" s="2" t="str">
        <f t="shared" si="250"/>
        <v/>
      </c>
      <c r="X136" s="2" t="str">
        <f t="shared" si="250"/>
        <v/>
      </c>
      <c r="Y136" s="2" t="str">
        <f t="shared" si="250"/>
        <v/>
      </c>
      <c r="Z136" s="2" t="str">
        <f t="shared" si="250"/>
        <v/>
      </c>
      <c r="AA136" s="2" t="str">
        <f t="shared" si="250"/>
        <v/>
      </c>
      <c r="AB136" s="2" t="str">
        <f t="shared" si="250"/>
        <v/>
      </c>
      <c r="AC136" s="2" t="str">
        <f t="shared" si="250"/>
        <v/>
      </c>
      <c r="AD136" s="2" t="str">
        <f t="shared" si="250"/>
        <v/>
      </c>
      <c r="AE136" s="2" t="str">
        <f t="shared" si="250"/>
        <v/>
      </c>
      <c r="AF136" s="2" t="str">
        <f t="shared" si="250"/>
        <v/>
      </c>
      <c r="AG136" s="2" t="str">
        <f t="shared" si="250"/>
        <v/>
      </c>
      <c r="AH136" s="2" t="str">
        <f t="shared" ref="AH136:BJ136" si="251">IF(AH$80&gt;T,"",IF($A136&gt;AH$81,"",IF(T=AH$80,1,EXP(-AH68*h)*((AI136+AI137)/2+cc*h))))</f>
        <v/>
      </c>
      <c r="AI136" s="2" t="str">
        <f t="shared" si="251"/>
        <v/>
      </c>
      <c r="AJ136" s="2" t="str">
        <f t="shared" si="251"/>
        <v/>
      </c>
      <c r="AK136" s="2" t="str">
        <f t="shared" si="251"/>
        <v/>
      </c>
      <c r="AL136" s="2" t="str">
        <f t="shared" si="251"/>
        <v/>
      </c>
      <c r="AM136" s="2" t="str">
        <f t="shared" si="251"/>
        <v/>
      </c>
      <c r="AN136" s="2" t="str">
        <f t="shared" si="251"/>
        <v/>
      </c>
      <c r="AO136" s="2" t="str">
        <f t="shared" si="251"/>
        <v/>
      </c>
      <c r="AP136" s="2" t="str">
        <f t="shared" si="251"/>
        <v/>
      </c>
      <c r="AQ136" s="2" t="str">
        <f t="shared" si="251"/>
        <v/>
      </c>
      <c r="AR136" s="2" t="str">
        <f t="shared" si="251"/>
        <v/>
      </c>
      <c r="AS136" s="2" t="str">
        <f t="shared" si="251"/>
        <v/>
      </c>
      <c r="AT136" s="2" t="str">
        <f t="shared" si="251"/>
        <v/>
      </c>
      <c r="AU136" s="2" t="str">
        <f t="shared" si="251"/>
        <v/>
      </c>
      <c r="AV136" s="2" t="str">
        <f t="shared" si="251"/>
        <v/>
      </c>
      <c r="AW136" s="2" t="str">
        <f t="shared" si="251"/>
        <v/>
      </c>
      <c r="AX136" s="2" t="str">
        <f t="shared" si="251"/>
        <v/>
      </c>
      <c r="AY136" s="2" t="str">
        <f t="shared" si="251"/>
        <v/>
      </c>
      <c r="AZ136" s="2" t="str">
        <f t="shared" si="251"/>
        <v/>
      </c>
      <c r="BA136" s="2" t="str">
        <f t="shared" si="251"/>
        <v/>
      </c>
      <c r="BB136" s="2" t="str">
        <f t="shared" si="251"/>
        <v/>
      </c>
      <c r="BC136" s="2" t="str">
        <f t="shared" si="251"/>
        <v/>
      </c>
      <c r="BD136" s="2">
        <f t="shared" si="251"/>
        <v>0.8589483697142003</v>
      </c>
      <c r="BE136" s="2">
        <f t="shared" si="251"/>
        <v>0.88099318677259764</v>
      </c>
      <c r="BF136" s="2">
        <f t="shared" si="251"/>
        <v>0.90360378167780531</v>
      </c>
      <c r="BG136" s="2">
        <f t="shared" si="251"/>
        <v>0.92679467505710256</v>
      </c>
      <c r="BH136" s="2">
        <f t="shared" si="251"/>
        <v>0.9505807602080979</v>
      </c>
      <c r="BI136" s="2">
        <f t="shared" si="251"/>
        <v>0.97497731266327314</v>
      </c>
      <c r="BJ136" s="2">
        <f t="shared" si="251"/>
        <v>1</v>
      </c>
    </row>
    <row r="137" spans="1:62" outlineLevel="1">
      <c r="A137" s="11">
        <f t="shared" si="207"/>
        <v>55</v>
      </c>
      <c r="B137" s="2" t="str">
        <f t="shared" ref="B137:AG137" si="252">IF(B$80&gt;T,"",IF($A137&gt;B$81,"",IF(T=B$80,1,EXP(-B69*h)*((C137+C138)/2+cc*h))))</f>
        <v/>
      </c>
      <c r="C137" s="2" t="str">
        <f t="shared" si="252"/>
        <v/>
      </c>
      <c r="D137" s="2" t="str">
        <f t="shared" si="252"/>
        <v/>
      </c>
      <c r="E137" s="2" t="str">
        <f t="shared" si="252"/>
        <v/>
      </c>
      <c r="F137" s="2" t="str">
        <f t="shared" si="252"/>
        <v/>
      </c>
      <c r="G137" s="2" t="str">
        <f t="shared" si="252"/>
        <v/>
      </c>
      <c r="H137" s="2" t="str">
        <f t="shared" si="252"/>
        <v/>
      </c>
      <c r="I137" s="2" t="str">
        <f t="shared" si="252"/>
        <v/>
      </c>
      <c r="J137" s="2" t="str">
        <f t="shared" si="252"/>
        <v/>
      </c>
      <c r="K137" s="2" t="str">
        <f t="shared" si="252"/>
        <v/>
      </c>
      <c r="L137" s="2" t="str">
        <f t="shared" si="252"/>
        <v/>
      </c>
      <c r="M137" s="2" t="str">
        <f t="shared" si="252"/>
        <v/>
      </c>
      <c r="N137" s="2" t="str">
        <f t="shared" si="252"/>
        <v/>
      </c>
      <c r="O137" s="2" t="str">
        <f t="shared" si="252"/>
        <v/>
      </c>
      <c r="P137" s="2" t="str">
        <f t="shared" si="252"/>
        <v/>
      </c>
      <c r="Q137" s="2" t="str">
        <f t="shared" si="252"/>
        <v/>
      </c>
      <c r="R137" s="2" t="str">
        <f t="shared" si="252"/>
        <v/>
      </c>
      <c r="S137" s="2" t="str">
        <f t="shared" si="252"/>
        <v/>
      </c>
      <c r="T137" s="2" t="str">
        <f t="shared" si="252"/>
        <v/>
      </c>
      <c r="U137" s="2" t="str">
        <f t="shared" si="252"/>
        <v/>
      </c>
      <c r="V137" s="2" t="str">
        <f t="shared" si="252"/>
        <v/>
      </c>
      <c r="W137" s="2" t="str">
        <f t="shared" si="252"/>
        <v/>
      </c>
      <c r="X137" s="2" t="str">
        <f t="shared" si="252"/>
        <v/>
      </c>
      <c r="Y137" s="2" t="str">
        <f t="shared" si="252"/>
        <v/>
      </c>
      <c r="Z137" s="2" t="str">
        <f t="shared" si="252"/>
        <v/>
      </c>
      <c r="AA137" s="2" t="str">
        <f t="shared" si="252"/>
        <v/>
      </c>
      <c r="AB137" s="2" t="str">
        <f t="shared" si="252"/>
        <v/>
      </c>
      <c r="AC137" s="2" t="str">
        <f t="shared" si="252"/>
        <v/>
      </c>
      <c r="AD137" s="2" t="str">
        <f t="shared" si="252"/>
        <v/>
      </c>
      <c r="AE137" s="2" t="str">
        <f t="shared" si="252"/>
        <v/>
      </c>
      <c r="AF137" s="2" t="str">
        <f t="shared" si="252"/>
        <v/>
      </c>
      <c r="AG137" s="2" t="str">
        <f t="shared" si="252"/>
        <v/>
      </c>
      <c r="AH137" s="2" t="str">
        <f t="shared" ref="AH137:BJ137" si="253">IF(AH$80&gt;T,"",IF($A137&gt;AH$81,"",IF(T=AH$80,1,EXP(-AH69*h)*((AI137+AI138)/2+cc*h))))</f>
        <v/>
      </c>
      <c r="AI137" s="2" t="str">
        <f t="shared" si="253"/>
        <v/>
      </c>
      <c r="AJ137" s="2" t="str">
        <f t="shared" si="253"/>
        <v/>
      </c>
      <c r="AK137" s="2" t="str">
        <f t="shared" si="253"/>
        <v/>
      </c>
      <c r="AL137" s="2" t="str">
        <f t="shared" si="253"/>
        <v/>
      </c>
      <c r="AM137" s="2" t="str">
        <f t="shared" si="253"/>
        <v/>
      </c>
      <c r="AN137" s="2" t="str">
        <f t="shared" si="253"/>
        <v/>
      </c>
      <c r="AO137" s="2" t="str">
        <f t="shared" si="253"/>
        <v/>
      </c>
      <c r="AP137" s="2" t="str">
        <f t="shared" si="253"/>
        <v/>
      </c>
      <c r="AQ137" s="2" t="str">
        <f t="shared" si="253"/>
        <v/>
      </c>
      <c r="AR137" s="2" t="str">
        <f t="shared" si="253"/>
        <v/>
      </c>
      <c r="AS137" s="2" t="str">
        <f t="shared" si="253"/>
        <v/>
      </c>
      <c r="AT137" s="2" t="str">
        <f t="shared" si="253"/>
        <v/>
      </c>
      <c r="AU137" s="2" t="str">
        <f t="shared" si="253"/>
        <v/>
      </c>
      <c r="AV137" s="2" t="str">
        <f t="shared" si="253"/>
        <v/>
      </c>
      <c r="AW137" s="2" t="str">
        <f t="shared" si="253"/>
        <v/>
      </c>
      <c r="AX137" s="2" t="str">
        <f t="shared" si="253"/>
        <v/>
      </c>
      <c r="AY137" s="2" t="str">
        <f t="shared" si="253"/>
        <v/>
      </c>
      <c r="AZ137" s="2" t="str">
        <f t="shared" si="253"/>
        <v/>
      </c>
      <c r="BA137" s="2" t="str">
        <f t="shared" si="253"/>
        <v/>
      </c>
      <c r="BB137" s="2" t="str">
        <f t="shared" si="253"/>
        <v/>
      </c>
      <c r="BC137" s="2" t="str">
        <f t="shared" si="253"/>
        <v/>
      </c>
      <c r="BD137" s="2" t="str">
        <f t="shared" si="253"/>
        <v/>
      </c>
      <c r="BE137" s="2">
        <f t="shared" si="253"/>
        <v>0.88099318677259764</v>
      </c>
      <c r="BF137" s="2">
        <f t="shared" si="253"/>
        <v>0.90360378167780531</v>
      </c>
      <c r="BG137" s="2">
        <f t="shared" si="253"/>
        <v>0.92679467505710256</v>
      </c>
      <c r="BH137" s="2">
        <f t="shared" si="253"/>
        <v>0.9505807602080979</v>
      </c>
      <c r="BI137" s="2">
        <f t="shared" si="253"/>
        <v>0.97497731266327314</v>
      </c>
      <c r="BJ137" s="2">
        <f t="shared" si="253"/>
        <v>1</v>
      </c>
    </row>
    <row r="138" spans="1:62" outlineLevel="1">
      <c r="A138" s="11">
        <f t="shared" si="207"/>
        <v>56</v>
      </c>
      <c r="B138" s="2" t="str">
        <f t="shared" ref="B138:AG138" si="254">IF(B$80&gt;T,"",IF($A138&gt;B$81,"",IF(T=B$80,1,EXP(-B70*h)*((C138+C139)/2+cc*h))))</f>
        <v/>
      </c>
      <c r="C138" s="2" t="str">
        <f t="shared" si="254"/>
        <v/>
      </c>
      <c r="D138" s="2" t="str">
        <f t="shared" si="254"/>
        <v/>
      </c>
      <c r="E138" s="2" t="str">
        <f t="shared" si="254"/>
        <v/>
      </c>
      <c r="F138" s="2" t="str">
        <f t="shared" si="254"/>
        <v/>
      </c>
      <c r="G138" s="2" t="str">
        <f t="shared" si="254"/>
        <v/>
      </c>
      <c r="H138" s="2" t="str">
        <f t="shared" si="254"/>
        <v/>
      </c>
      <c r="I138" s="2" t="str">
        <f t="shared" si="254"/>
        <v/>
      </c>
      <c r="J138" s="2" t="str">
        <f t="shared" si="254"/>
        <v/>
      </c>
      <c r="K138" s="2" t="str">
        <f t="shared" si="254"/>
        <v/>
      </c>
      <c r="L138" s="2" t="str">
        <f t="shared" si="254"/>
        <v/>
      </c>
      <c r="M138" s="2" t="str">
        <f t="shared" si="254"/>
        <v/>
      </c>
      <c r="N138" s="2" t="str">
        <f t="shared" si="254"/>
        <v/>
      </c>
      <c r="O138" s="2" t="str">
        <f t="shared" si="254"/>
        <v/>
      </c>
      <c r="P138" s="2" t="str">
        <f t="shared" si="254"/>
        <v/>
      </c>
      <c r="Q138" s="2" t="str">
        <f t="shared" si="254"/>
        <v/>
      </c>
      <c r="R138" s="2" t="str">
        <f t="shared" si="254"/>
        <v/>
      </c>
      <c r="S138" s="2" t="str">
        <f t="shared" si="254"/>
        <v/>
      </c>
      <c r="T138" s="2" t="str">
        <f t="shared" si="254"/>
        <v/>
      </c>
      <c r="U138" s="2" t="str">
        <f t="shared" si="254"/>
        <v/>
      </c>
      <c r="V138" s="2" t="str">
        <f t="shared" si="254"/>
        <v/>
      </c>
      <c r="W138" s="2" t="str">
        <f t="shared" si="254"/>
        <v/>
      </c>
      <c r="X138" s="2" t="str">
        <f t="shared" si="254"/>
        <v/>
      </c>
      <c r="Y138" s="2" t="str">
        <f t="shared" si="254"/>
        <v/>
      </c>
      <c r="Z138" s="2" t="str">
        <f t="shared" si="254"/>
        <v/>
      </c>
      <c r="AA138" s="2" t="str">
        <f t="shared" si="254"/>
        <v/>
      </c>
      <c r="AB138" s="2" t="str">
        <f t="shared" si="254"/>
        <v/>
      </c>
      <c r="AC138" s="2" t="str">
        <f t="shared" si="254"/>
        <v/>
      </c>
      <c r="AD138" s="2" t="str">
        <f t="shared" si="254"/>
        <v/>
      </c>
      <c r="AE138" s="2" t="str">
        <f t="shared" si="254"/>
        <v/>
      </c>
      <c r="AF138" s="2" t="str">
        <f t="shared" si="254"/>
        <v/>
      </c>
      <c r="AG138" s="2" t="str">
        <f t="shared" si="254"/>
        <v/>
      </c>
      <c r="AH138" s="2" t="str">
        <f t="shared" ref="AH138:BJ138" si="255">IF(AH$80&gt;T,"",IF($A138&gt;AH$81,"",IF(T=AH$80,1,EXP(-AH70*h)*((AI138+AI139)/2+cc*h))))</f>
        <v/>
      </c>
      <c r="AI138" s="2" t="str">
        <f t="shared" si="255"/>
        <v/>
      </c>
      <c r="AJ138" s="2" t="str">
        <f t="shared" si="255"/>
        <v/>
      </c>
      <c r="AK138" s="2" t="str">
        <f t="shared" si="255"/>
        <v/>
      </c>
      <c r="AL138" s="2" t="str">
        <f t="shared" si="255"/>
        <v/>
      </c>
      <c r="AM138" s="2" t="str">
        <f t="shared" si="255"/>
        <v/>
      </c>
      <c r="AN138" s="2" t="str">
        <f t="shared" si="255"/>
        <v/>
      </c>
      <c r="AO138" s="2" t="str">
        <f t="shared" si="255"/>
        <v/>
      </c>
      <c r="AP138" s="2" t="str">
        <f t="shared" si="255"/>
        <v/>
      </c>
      <c r="AQ138" s="2" t="str">
        <f t="shared" si="255"/>
        <v/>
      </c>
      <c r="AR138" s="2" t="str">
        <f t="shared" si="255"/>
        <v/>
      </c>
      <c r="AS138" s="2" t="str">
        <f t="shared" si="255"/>
        <v/>
      </c>
      <c r="AT138" s="2" t="str">
        <f t="shared" si="255"/>
        <v/>
      </c>
      <c r="AU138" s="2" t="str">
        <f t="shared" si="255"/>
        <v/>
      </c>
      <c r="AV138" s="2" t="str">
        <f t="shared" si="255"/>
        <v/>
      </c>
      <c r="AW138" s="2" t="str">
        <f t="shared" si="255"/>
        <v/>
      </c>
      <c r="AX138" s="2" t="str">
        <f t="shared" si="255"/>
        <v/>
      </c>
      <c r="AY138" s="2" t="str">
        <f t="shared" si="255"/>
        <v/>
      </c>
      <c r="AZ138" s="2" t="str">
        <f t="shared" si="255"/>
        <v/>
      </c>
      <c r="BA138" s="2" t="str">
        <f t="shared" si="255"/>
        <v/>
      </c>
      <c r="BB138" s="2" t="str">
        <f t="shared" si="255"/>
        <v/>
      </c>
      <c r="BC138" s="2" t="str">
        <f t="shared" si="255"/>
        <v/>
      </c>
      <c r="BD138" s="2" t="str">
        <f t="shared" si="255"/>
        <v/>
      </c>
      <c r="BE138" s="2" t="str">
        <f t="shared" si="255"/>
        <v/>
      </c>
      <c r="BF138" s="2">
        <f t="shared" si="255"/>
        <v>0.90360378167780531</v>
      </c>
      <c r="BG138" s="2">
        <f t="shared" si="255"/>
        <v>0.92679467505710256</v>
      </c>
      <c r="BH138" s="2">
        <f t="shared" si="255"/>
        <v>0.9505807602080979</v>
      </c>
      <c r="BI138" s="2">
        <f t="shared" si="255"/>
        <v>0.97497731266327314</v>
      </c>
      <c r="BJ138" s="2">
        <f t="shared" si="255"/>
        <v>1</v>
      </c>
    </row>
    <row r="139" spans="1:62" outlineLevel="1">
      <c r="A139" s="11">
        <f t="shared" si="207"/>
        <v>57</v>
      </c>
      <c r="B139" s="2" t="str">
        <f t="shared" ref="B139:AG139" si="256">IF(B$80&gt;T,"",IF($A139&gt;B$81,"",IF(T=B$80,1,EXP(-B71*h)*((C139+C140)/2+cc*h))))</f>
        <v/>
      </c>
      <c r="C139" s="2" t="str">
        <f t="shared" si="256"/>
        <v/>
      </c>
      <c r="D139" s="2" t="str">
        <f t="shared" si="256"/>
        <v/>
      </c>
      <c r="E139" s="2" t="str">
        <f t="shared" si="256"/>
        <v/>
      </c>
      <c r="F139" s="2" t="str">
        <f t="shared" si="256"/>
        <v/>
      </c>
      <c r="G139" s="2" t="str">
        <f t="shared" si="256"/>
        <v/>
      </c>
      <c r="H139" s="2" t="str">
        <f t="shared" si="256"/>
        <v/>
      </c>
      <c r="I139" s="2" t="str">
        <f t="shared" si="256"/>
        <v/>
      </c>
      <c r="J139" s="2" t="str">
        <f t="shared" si="256"/>
        <v/>
      </c>
      <c r="K139" s="2" t="str">
        <f t="shared" si="256"/>
        <v/>
      </c>
      <c r="L139" s="2" t="str">
        <f t="shared" si="256"/>
        <v/>
      </c>
      <c r="M139" s="2" t="str">
        <f t="shared" si="256"/>
        <v/>
      </c>
      <c r="N139" s="2" t="str">
        <f t="shared" si="256"/>
        <v/>
      </c>
      <c r="O139" s="2" t="str">
        <f t="shared" si="256"/>
        <v/>
      </c>
      <c r="P139" s="2" t="str">
        <f t="shared" si="256"/>
        <v/>
      </c>
      <c r="Q139" s="2" t="str">
        <f t="shared" si="256"/>
        <v/>
      </c>
      <c r="R139" s="2" t="str">
        <f t="shared" si="256"/>
        <v/>
      </c>
      <c r="S139" s="2" t="str">
        <f t="shared" si="256"/>
        <v/>
      </c>
      <c r="T139" s="2" t="str">
        <f t="shared" si="256"/>
        <v/>
      </c>
      <c r="U139" s="2" t="str">
        <f t="shared" si="256"/>
        <v/>
      </c>
      <c r="V139" s="2" t="str">
        <f t="shared" si="256"/>
        <v/>
      </c>
      <c r="W139" s="2" t="str">
        <f t="shared" si="256"/>
        <v/>
      </c>
      <c r="X139" s="2" t="str">
        <f t="shared" si="256"/>
        <v/>
      </c>
      <c r="Y139" s="2" t="str">
        <f t="shared" si="256"/>
        <v/>
      </c>
      <c r="Z139" s="2" t="str">
        <f t="shared" si="256"/>
        <v/>
      </c>
      <c r="AA139" s="2" t="str">
        <f t="shared" si="256"/>
        <v/>
      </c>
      <c r="AB139" s="2" t="str">
        <f t="shared" si="256"/>
        <v/>
      </c>
      <c r="AC139" s="2" t="str">
        <f t="shared" si="256"/>
        <v/>
      </c>
      <c r="AD139" s="2" t="str">
        <f t="shared" si="256"/>
        <v/>
      </c>
      <c r="AE139" s="2" t="str">
        <f t="shared" si="256"/>
        <v/>
      </c>
      <c r="AF139" s="2" t="str">
        <f t="shared" si="256"/>
        <v/>
      </c>
      <c r="AG139" s="2" t="str">
        <f t="shared" si="256"/>
        <v/>
      </c>
      <c r="AH139" s="2" t="str">
        <f t="shared" ref="AH139:BJ139" si="257">IF(AH$80&gt;T,"",IF($A139&gt;AH$81,"",IF(T=AH$80,1,EXP(-AH71*h)*((AI139+AI140)/2+cc*h))))</f>
        <v/>
      </c>
      <c r="AI139" s="2" t="str">
        <f t="shared" si="257"/>
        <v/>
      </c>
      <c r="AJ139" s="2" t="str">
        <f t="shared" si="257"/>
        <v/>
      </c>
      <c r="AK139" s="2" t="str">
        <f t="shared" si="257"/>
        <v/>
      </c>
      <c r="AL139" s="2" t="str">
        <f t="shared" si="257"/>
        <v/>
      </c>
      <c r="AM139" s="2" t="str">
        <f t="shared" si="257"/>
        <v/>
      </c>
      <c r="AN139" s="2" t="str">
        <f t="shared" si="257"/>
        <v/>
      </c>
      <c r="AO139" s="2" t="str">
        <f t="shared" si="257"/>
        <v/>
      </c>
      <c r="AP139" s="2" t="str">
        <f t="shared" si="257"/>
        <v/>
      </c>
      <c r="AQ139" s="2" t="str">
        <f t="shared" si="257"/>
        <v/>
      </c>
      <c r="AR139" s="2" t="str">
        <f t="shared" si="257"/>
        <v/>
      </c>
      <c r="AS139" s="2" t="str">
        <f t="shared" si="257"/>
        <v/>
      </c>
      <c r="AT139" s="2" t="str">
        <f t="shared" si="257"/>
        <v/>
      </c>
      <c r="AU139" s="2" t="str">
        <f t="shared" si="257"/>
        <v/>
      </c>
      <c r="AV139" s="2" t="str">
        <f t="shared" si="257"/>
        <v/>
      </c>
      <c r="AW139" s="2" t="str">
        <f t="shared" si="257"/>
        <v/>
      </c>
      <c r="AX139" s="2" t="str">
        <f t="shared" si="257"/>
        <v/>
      </c>
      <c r="AY139" s="2" t="str">
        <f t="shared" si="257"/>
        <v/>
      </c>
      <c r="AZ139" s="2" t="str">
        <f t="shared" si="257"/>
        <v/>
      </c>
      <c r="BA139" s="2" t="str">
        <f t="shared" si="257"/>
        <v/>
      </c>
      <c r="BB139" s="2" t="str">
        <f t="shared" si="257"/>
        <v/>
      </c>
      <c r="BC139" s="2" t="str">
        <f t="shared" si="257"/>
        <v/>
      </c>
      <c r="BD139" s="2" t="str">
        <f t="shared" si="257"/>
        <v/>
      </c>
      <c r="BE139" s="2" t="str">
        <f t="shared" si="257"/>
        <v/>
      </c>
      <c r="BF139" s="2" t="str">
        <f t="shared" si="257"/>
        <v/>
      </c>
      <c r="BG139" s="2">
        <f t="shared" si="257"/>
        <v>0.92679467505710256</v>
      </c>
      <c r="BH139" s="2">
        <f t="shared" si="257"/>
        <v>0.9505807602080979</v>
      </c>
      <c r="BI139" s="2">
        <f t="shared" si="257"/>
        <v>0.97497731266327314</v>
      </c>
      <c r="BJ139" s="2">
        <f t="shared" si="257"/>
        <v>1</v>
      </c>
    </row>
    <row r="140" spans="1:62">
      <c r="A140" s="11">
        <f t="shared" si="207"/>
        <v>58</v>
      </c>
      <c r="B140" s="2" t="str">
        <f t="shared" ref="B140:AG140" si="258">IF(B$80&gt;T,"",IF($A140&gt;B$81,"",IF(T=B$80,1,EXP(-B72*h)*((C140+C141)/2+cc*h))))</f>
        <v/>
      </c>
      <c r="C140" s="2" t="str">
        <f t="shared" si="258"/>
        <v/>
      </c>
      <c r="D140" s="2" t="str">
        <f t="shared" si="258"/>
        <v/>
      </c>
      <c r="E140" s="2" t="str">
        <f t="shared" si="258"/>
        <v/>
      </c>
      <c r="F140" s="2" t="str">
        <f t="shared" si="258"/>
        <v/>
      </c>
      <c r="G140" s="2" t="str">
        <f t="shared" si="258"/>
        <v/>
      </c>
      <c r="H140" s="2" t="str">
        <f t="shared" si="258"/>
        <v/>
      </c>
      <c r="I140" s="2" t="str">
        <f t="shared" si="258"/>
        <v/>
      </c>
      <c r="J140" s="2" t="str">
        <f t="shared" si="258"/>
        <v/>
      </c>
      <c r="K140" s="2" t="str">
        <f t="shared" si="258"/>
        <v/>
      </c>
      <c r="L140" s="2" t="str">
        <f t="shared" si="258"/>
        <v/>
      </c>
      <c r="M140" s="2" t="str">
        <f t="shared" si="258"/>
        <v/>
      </c>
      <c r="N140" s="2" t="str">
        <f t="shared" si="258"/>
        <v/>
      </c>
      <c r="O140" s="2" t="str">
        <f t="shared" si="258"/>
        <v/>
      </c>
      <c r="P140" s="2" t="str">
        <f t="shared" si="258"/>
        <v/>
      </c>
      <c r="Q140" s="2" t="str">
        <f t="shared" si="258"/>
        <v/>
      </c>
      <c r="R140" s="2" t="str">
        <f t="shared" si="258"/>
        <v/>
      </c>
      <c r="S140" s="2" t="str">
        <f t="shared" si="258"/>
        <v/>
      </c>
      <c r="T140" s="2" t="str">
        <f t="shared" si="258"/>
        <v/>
      </c>
      <c r="U140" s="2" t="str">
        <f t="shared" si="258"/>
        <v/>
      </c>
      <c r="V140" s="2" t="str">
        <f t="shared" si="258"/>
        <v/>
      </c>
      <c r="W140" s="2" t="str">
        <f t="shared" si="258"/>
        <v/>
      </c>
      <c r="X140" s="2" t="str">
        <f t="shared" si="258"/>
        <v/>
      </c>
      <c r="Y140" s="2" t="str">
        <f t="shared" si="258"/>
        <v/>
      </c>
      <c r="Z140" s="2" t="str">
        <f t="shared" si="258"/>
        <v/>
      </c>
      <c r="AA140" s="2" t="str">
        <f t="shared" si="258"/>
        <v/>
      </c>
      <c r="AB140" s="2" t="str">
        <f t="shared" si="258"/>
        <v/>
      </c>
      <c r="AC140" s="2" t="str">
        <f t="shared" si="258"/>
        <v/>
      </c>
      <c r="AD140" s="2" t="str">
        <f t="shared" si="258"/>
        <v/>
      </c>
      <c r="AE140" s="2" t="str">
        <f t="shared" si="258"/>
        <v/>
      </c>
      <c r="AF140" s="2" t="str">
        <f t="shared" si="258"/>
        <v/>
      </c>
      <c r="AG140" s="2" t="str">
        <f t="shared" si="258"/>
        <v/>
      </c>
      <c r="AH140" s="2" t="str">
        <f t="shared" ref="AH140:BJ140" si="259">IF(AH$80&gt;T,"",IF($A140&gt;AH$81,"",IF(T=AH$80,1,EXP(-AH72*h)*((AI140+AI141)/2+cc*h))))</f>
        <v/>
      </c>
      <c r="AI140" s="2" t="str">
        <f t="shared" si="259"/>
        <v/>
      </c>
      <c r="AJ140" s="2" t="str">
        <f t="shared" si="259"/>
        <v/>
      </c>
      <c r="AK140" s="2" t="str">
        <f t="shared" si="259"/>
        <v/>
      </c>
      <c r="AL140" s="2" t="str">
        <f t="shared" si="259"/>
        <v/>
      </c>
      <c r="AM140" s="2" t="str">
        <f t="shared" si="259"/>
        <v/>
      </c>
      <c r="AN140" s="2" t="str">
        <f t="shared" si="259"/>
        <v/>
      </c>
      <c r="AO140" s="2" t="str">
        <f t="shared" si="259"/>
        <v/>
      </c>
      <c r="AP140" s="2" t="str">
        <f t="shared" si="259"/>
        <v/>
      </c>
      <c r="AQ140" s="2" t="str">
        <f t="shared" si="259"/>
        <v/>
      </c>
      <c r="AR140" s="2" t="str">
        <f t="shared" si="259"/>
        <v/>
      </c>
      <c r="AS140" s="2" t="str">
        <f t="shared" si="259"/>
        <v/>
      </c>
      <c r="AT140" s="2" t="str">
        <f t="shared" si="259"/>
        <v/>
      </c>
      <c r="AU140" s="2" t="str">
        <f t="shared" si="259"/>
        <v/>
      </c>
      <c r="AV140" s="2" t="str">
        <f t="shared" si="259"/>
        <v/>
      </c>
      <c r="AW140" s="2" t="str">
        <f t="shared" si="259"/>
        <v/>
      </c>
      <c r="AX140" s="2" t="str">
        <f t="shared" si="259"/>
        <v/>
      </c>
      <c r="AY140" s="2" t="str">
        <f t="shared" si="259"/>
        <v/>
      </c>
      <c r="AZ140" s="2" t="str">
        <f t="shared" si="259"/>
        <v/>
      </c>
      <c r="BA140" s="2" t="str">
        <f t="shared" si="259"/>
        <v/>
      </c>
      <c r="BB140" s="2" t="str">
        <f t="shared" si="259"/>
        <v/>
      </c>
      <c r="BC140" s="2" t="str">
        <f t="shared" si="259"/>
        <v/>
      </c>
      <c r="BD140" s="2" t="str">
        <f t="shared" si="259"/>
        <v/>
      </c>
      <c r="BE140" s="2" t="str">
        <f t="shared" si="259"/>
        <v/>
      </c>
      <c r="BF140" s="2" t="str">
        <f t="shared" si="259"/>
        <v/>
      </c>
      <c r="BG140" s="2" t="str">
        <f t="shared" si="259"/>
        <v/>
      </c>
      <c r="BH140" s="2">
        <f t="shared" si="259"/>
        <v>0.9505807602080979</v>
      </c>
      <c r="BI140" s="2">
        <f t="shared" si="259"/>
        <v>0.97497731266327314</v>
      </c>
      <c r="BJ140" s="2">
        <f t="shared" si="259"/>
        <v>1</v>
      </c>
    </row>
    <row r="141" spans="1:62">
      <c r="A141" s="11">
        <f t="shared" si="207"/>
        <v>59</v>
      </c>
      <c r="B141" s="2" t="str">
        <f t="shared" ref="B141:AG141" si="260">IF(B$80&gt;T,"",IF($A141&gt;B$81,"",IF(T=B$80,1,EXP(-B73*h)*((C141+C142)/2+cc*h))))</f>
        <v/>
      </c>
      <c r="C141" s="2" t="str">
        <f t="shared" si="260"/>
        <v/>
      </c>
      <c r="D141" s="2" t="str">
        <f t="shared" si="260"/>
        <v/>
      </c>
      <c r="E141" s="2" t="str">
        <f t="shared" si="260"/>
        <v/>
      </c>
      <c r="F141" s="2" t="str">
        <f t="shared" si="260"/>
        <v/>
      </c>
      <c r="G141" s="2" t="str">
        <f t="shared" si="260"/>
        <v/>
      </c>
      <c r="H141" s="2" t="str">
        <f t="shared" si="260"/>
        <v/>
      </c>
      <c r="I141" s="2" t="str">
        <f t="shared" si="260"/>
        <v/>
      </c>
      <c r="J141" s="2" t="str">
        <f t="shared" si="260"/>
        <v/>
      </c>
      <c r="K141" s="2" t="str">
        <f t="shared" si="260"/>
        <v/>
      </c>
      <c r="L141" s="2" t="str">
        <f t="shared" si="260"/>
        <v/>
      </c>
      <c r="M141" s="2" t="str">
        <f t="shared" si="260"/>
        <v/>
      </c>
      <c r="N141" s="2" t="str">
        <f t="shared" si="260"/>
        <v/>
      </c>
      <c r="O141" s="2" t="str">
        <f t="shared" si="260"/>
        <v/>
      </c>
      <c r="P141" s="2" t="str">
        <f t="shared" si="260"/>
        <v/>
      </c>
      <c r="Q141" s="2" t="str">
        <f t="shared" si="260"/>
        <v/>
      </c>
      <c r="R141" s="2" t="str">
        <f t="shared" si="260"/>
        <v/>
      </c>
      <c r="S141" s="2" t="str">
        <f t="shared" si="260"/>
        <v/>
      </c>
      <c r="T141" s="2" t="str">
        <f t="shared" si="260"/>
        <v/>
      </c>
      <c r="U141" s="2" t="str">
        <f t="shared" si="260"/>
        <v/>
      </c>
      <c r="V141" s="2" t="str">
        <f t="shared" si="260"/>
        <v/>
      </c>
      <c r="W141" s="2" t="str">
        <f t="shared" si="260"/>
        <v/>
      </c>
      <c r="X141" s="2" t="str">
        <f t="shared" si="260"/>
        <v/>
      </c>
      <c r="Y141" s="2" t="str">
        <f t="shared" si="260"/>
        <v/>
      </c>
      <c r="Z141" s="2" t="str">
        <f t="shared" si="260"/>
        <v/>
      </c>
      <c r="AA141" s="2" t="str">
        <f t="shared" si="260"/>
        <v/>
      </c>
      <c r="AB141" s="2" t="str">
        <f t="shared" si="260"/>
        <v/>
      </c>
      <c r="AC141" s="2" t="str">
        <f t="shared" si="260"/>
        <v/>
      </c>
      <c r="AD141" s="2" t="str">
        <f t="shared" si="260"/>
        <v/>
      </c>
      <c r="AE141" s="2" t="str">
        <f t="shared" si="260"/>
        <v/>
      </c>
      <c r="AF141" s="2" t="str">
        <f t="shared" si="260"/>
        <v/>
      </c>
      <c r="AG141" s="2" t="str">
        <f t="shared" si="260"/>
        <v/>
      </c>
      <c r="AH141" s="2" t="str">
        <f t="shared" ref="AH141:BJ141" si="261">IF(AH$80&gt;T,"",IF($A141&gt;AH$81,"",IF(T=AH$80,1,EXP(-AH73*h)*((AI141+AI142)/2+cc*h))))</f>
        <v/>
      </c>
      <c r="AI141" s="2" t="str">
        <f t="shared" si="261"/>
        <v/>
      </c>
      <c r="AJ141" s="2" t="str">
        <f t="shared" si="261"/>
        <v/>
      </c>
      <c r="AK141" s="2" t="str">
        <f t="shared" si="261"/>
        <v/>
      </c>
      <c r="AL141" s="2" t="str">
        <f t="shared" si="261"/>
        <v/>
      </c>
      <c r="AM141" s="2" t="str">
        <f t="shared" si="261"/>
        <v/>
      </c>
      <c r="AN141" s="2" t="str">
        <f t="shared" si="261"/>
        <v/>
      </c>
      <c r="AO141" s="2" t="str">
        <f t="shared" si="261"/>
        <v/>
      </c>
      <c r="AP141" s="2" t="str">
        <f t="shared" si="261"/>
        <v/>
      </c>
      <c r="AQ141" s="2" t="str">
        <f t="shared" si="261"/>
        <v/>
      </c>
      <c r="AR141" s="2" t="str">
        <f t="shared" si="261"/>
        <v/>
      </c>
      <c r="AS141" s="2" t="str">
        <f t="shared" si="261"/>
        <v/>
      </c>
      <c r="AT141" s="2" t="str">
        <f t="shared" si="261"/>
        <v/>
      </c>
      <c r="AU141" s="2" t="str">
        <f t="shared" si="261"/>
        <v/>
      </c>
      <c r="AV141" s="2" t="str">
        <f t="shared" si="261"/>
        <v/>
      </c>
      <c r="AW141" s="2" t="str">
        <f t="shared" si="261"/>
        <v/>
      </c>
      <c r="AX141" s="2" t="str">
        <f t="shared" si="261"/>
        <v/>
      </c>
      <c r="AY141" s="2" t="str">
        <f t="shared" si="261"/>
        <v/>
      </c>
      <c r="AZ141" s="2" t="str">
        <f t="shared" si="261"/>
        <v/>
      </c>
      <c r="BA141" s="2" t="str">
        <f t="shared" si="261"/>
        <v/>
      </c>
      <c r="BB141" s="2" t="str">
        <f t="shared" si="261"/>
        <v/>
      </c>
      <c r="BC141" s="2" t="str">
        <f t="shared" si="261"/>
        <v/>
      </c>
      <c r="BD141" s="2" t="str">
        <f t="shared" si="261"/>
        <v/>
      </c>
      <c r="BE141" s="2" t="str">
        <f t="shared" si="261"/>
        <v/>
      </c>
      <c r="BF141" s="2" t="str">
        <f t="shared" si="261"/>
        <v/>
      </c>
      <c r="BG141" s="2" t="str">
        <f t="shared" si="261"/>
        <v/>
      </c>
      <c r="BH141" s="2" t="str">
        <f t="shared" si="261"/>
        <v/>
      </c>
      <c r="BI141" s="2">
        <f t="shared" si="261"/>
        <v>0.97497731266327314</v>
      </c>
      <c r="BJ141" s="2">
        <f t="shared" si="261"/>
        <v>1</v>
      </c>
    </row>
    <row r="142" spans="1:62">
      <c r="A142" s="11">
        <f t="shared" si="207"/>
        <v>60</v>
      </c>
      <c r="B142" s="2" t="str">
        <f t="shared" ref="B142:AG142" si="262">IF(B$80&gt;T,"",IF($A142&gt;B$81,"",IF(T=B$80,1,EXP(-B74*h)*((C142+C143)/2+cc*h))))</f>
        <v/>
      </c>
      <c r="C142" s="2" t="str">
        <f t="shared" si="262"/>
        <v/>
      </c>
      <c r="D142" s="2" t="str">
        <f t="shared" si="262"/>
        <v/>
      </c>
      <c r="E142" s="2" t="str">
        <f t="shared" si="262"/>
        <v/>
      </c>
      <c r="F142" s="2" t="str">
        <f t="shared" si="262"/>
        <v/>
      </c>
      <c r="G142" s="2" t="str">
        <f t="shared" si="262"/>
        <v/>
      </c>
      <c r="H142" s="2" t="str">
        <f t="shared" si="262"/>
        <v/>
      </c>
      <c r="I142" s="2" t="str">
        <f t="shared" si="262"/>
        <v/>
      </c>
      <c r="J142" s="2" t="str">
        <f t="shared" si="262"/>
        <v/>
      </c>
      <c r="K142" s="2" t="str">
        <f t="shared" si="262"/>
        <v/>
      </c>
      <c r="L142" s="2" t="str">
        <f t="shared" si="262"/>
        <v/>
      </c>
      <c r="M142" s="2" t="str">
        <f t="shared" si="262"/>
        <v/>
      </c>
      <c r="N142" s="2" t="str">
        <f t="shared" si="262"/>
        <v/>
      </c>
      <c r="O142" s="2" t="str">
        <f t="shared" si="262"/>
        <v/>
      </c>
      <c r="P142" s="2" t="str">
        <f t="shared" si="262"/>
        <v/>
      </c>
      <c r="Q142" s="2" t="str">
        <f t="shared" si="262"/>
        <v/>
      </c>
      <c r="R142" s="2" t="str">
        <f t="shared" si="262"/>
        <v/>
      </c>
      <c r="S142" s="2" t="str">
        <f t="shared" si="262"/>
        <v/>
      </c>
      <c r="T142" s="2" t="str">
        <f t="shared" si="262"/>
        <v/>
      </c>
      <c r="U142" s="2" t="str">
        <f t="shared" si="262"/>
        <v/>
      </c>
      <c r="V142" s="2" t="str">
        <f t="shared" si="262"/>
        <v/>
      </c>
      <c r="W142" s="2" t="str">
        <f t="shared" si="262"/>
        <v/>
      </c>
      <c r="X142" s="2" t="str">
        <f t="shared" si="262"/>
        <v/>
      </c>
      <c r="Y142" s="2" t="str">
        <f t="shared" si="262"/>
        <v/>
      </c>
      <c r="Z142" s="2" t="str">
        <f t="shared" si="262"/>
        <v/>
      </c>
      <c r="AA142" s="2" t="str">
        <f t="shared" si="262"/>
        <v/>
      </c>
      <c r="AB142" s="2" t="str">
        <f t="shared" si="262"/>
        <v/>
      </c>
      <c r="AC142" s="2" t="str">
        <f t="shared" si="262"/>
        <v/>
      </c>
      <c r="AD142" s="2" t="str">
        <f t="shared" si="262"/>
        <v/>
      </c>
      <c r="AE142" s="2" t="str">
        <f t="shared" si="262"/>
        <v/>
      </c>
      <c r="AF142" s="2" t="str">
        <f t="shared" si="262"/>
        <v/>
      </c>
      <c r="AG142" s="2" t="str">
        <f t="shared" si="262"/>
        <v/>
      </c>
      <c r="AH142" s="2" t="str">
        <f t="shared" ref="AH142:BJ142" si="263">IF(AH$80&gt;T,"",IF($A142&gt;AH$81,"",IF(T=AH$80,1,EXP(-AH74*h)*((AI142+AI143)/2+cc*h))))</f>
        <v/>
      </c>
      <c r="AI142" s="2" t="str">
        <f t="shared" si="263"/>
        <v/>
      </c>
      <c r="AJ142" s="2" t="str">
        <f t="shared" si="263"/>
        <v/>
      </c>
      <c r="AK142" s="2" t="str">
        <f t="shared" si="263"/>
        <v/>
      </c>
      <c r="AL142" s="2" t="str">
        <f t="shared" si="263"/>
        <v/>
      </c>
      <c r="AM142" s="2" t="str">
        <f t="shared" si="263"/>
        <v/>
      </c>
      <c r="AN142" s="2" t="str">
        <f t="shared" si="263"/>
        <v/>
      </c>
      <c r="AO142" s="2" t="str">
        <f t="shared" si="263"/>
        <v/>
      </c>
      <c r="AP142" s="2" t="str">
        <f t="shared" si="263"/>
        <v/>
      </c>
      <c r="AQ142" s="2" t="str">
        <f t="shared" si="263"/>
        <v/>
      </c>
      <c r="AR142" s="2" t="str">
        <f t="shared" si="263"/>
        <v/>
      </c>
      <c r="AS142" s="2" t="str">
        <f t="shared" si="263"/>
        <v/>
      </c>
      <c r="AT142" s="2" t="str">
        <f t="shared" si="263"/>
        <v/>
      </c>
      <c r="AU142" s="2" t="str">
        <f t="shared" si="263"/>
        <v/>
      </c>
      <c r="AV142" s="2" t="str">
        <f t="shared" si="263"/>
        <v/>
      </c>
      <c r="AW142" s="2" t="str">
        <f t="shared" si="263"/>
        <v/>
      </c>
      <c r="AX142" s="2" t="str">
        <f t="shared" si="263"/>
        <v/>
      </c>
      <c r="AY142" s="2" t="str">
        <f t="shared" si="263"/>
        <v/>
      </c>
      <c r="AZ142" s="2" t="str">
        <f t="shared" si="263"/>
        <v/>
      </c>
      <c r="BA142" s="2" t="str">
        <f t="shared" si="263"/>
        <v/>
      </c>
      <c r="BB142" s="2" t="str">
        <f t="shared" si="263"/>
        <v/>
      </c>
      <c r="BC142" s="2" t="str">
        <f t="shared" si="263"/>
        <v/>
      </c>
      <c r="BD142" s="2" t="str">
        <f t="shared" si="263"/>
        <v/>
      </c>
      <c r="BE142" s="2" t="str">
        <f t="shared" si="263"/>
        <v/>
      </c>
      <c r="BF142" s="2" t="str">
        <f t="shared" si="263"/>
        <v/>
      </c>
      <c r="BG142" s="2" t="str">
        <f t="shared" si="263"/>
        <v/>
      </c>
      <c r="BH142" s="2" t="str">
        <f t="shared" si="263"/>
        <v/>
      </c>
      <c r="BI142" s="2" t="str">
        <f t="shared" si="263"/>
        <v/>
      </c>
      <c r="BJ142" s="2">
        <f t="shared" si="263"/>
        <v>1</v>
      </c>
    </row>
  </sheetData>
  <phoneticPr fontId="2" type="noConversion"/>
  <pageMargins left="0.75" right="0.75" top="1" bottom="1" header="0.5" footer="0.5"/>
  <pageSetup scale="76"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>
    <tabColor rgb="FF00B050"/>
  </sheetPr>
  <dimension ref="B1:AR68"/>
  <sheetViews>
    <sheetView workbookViewId="0"/>
  </sheetViews>
  <sheetFormatPr baseColWidth="10" defaultColWidth="8.83203125" defaultRowHeight="13"/>
  <cols>
    <col min="1" max="1" width="3.83203125" customWidth="1"/>
    <col min="2" max="2" width="8.83203125" style="39"/>
    <col min="3" max="3" width="3.83203125" customWidth="1"/>
    <col min="4" max="5" width="10" style="40" customWidth="1"/>
    <col min="6" max="6" width="3.83203125" customWidth="1"/>
    <col min="7" max="7" width="10" style="40" customWidth="1"/>
    <col min="8" max="8" width="10" customWidth="1"/>
  </cols>
  <sheetData>
    <row r="1" spans="2:44" s="89" customFormat="1" ht="15">
      <c r="B1" s="90" t="s">
        <v>675</v>
      </c>
      <c r="O1" s="91"/>
      <c r="P1" s="92"/>
      <c r="Q1" s="93"/>
      <c r="R1" s="94"/>
      <c r="S1" s="92"/>
      <c r="T1" s="92"/>
      <c r="U1" s="92"/>
      <c r="V1" s="92"/>
      <c r="W1" s="92"/>
      <c r="X1" s="92"/>
      <c r="Y1" s="92"/>
      <c r="Z1" s="92"/>
      <c r="AA1" s="92"/>
      <c r="AB1" s="92"/>
      <c r="AD1" s="95"/>
    </row>
    <row r="2" spans="2:44" s="89" customFormat="1" ht="15">
      <c r="B2" s="96" t="s">
        <v>676</v>
      </c>
      <c r="O2" s="91"/>
      <c r="P2" s="92"/>
      <c r="Q2" s="93"/>
      <c r="R2" s="94"/>
      <c r="S2" s="92"/>
      <c r="T2" s="92"/>
      <c r="U2" s="92"/>
      <c r="V2" s="92"/>
      <c r="W2" s="92"/>
      <c r="X2" s="92"/>
      <c r="Y2" s="92"/>
      <c r="Z2" s="92"/>
      <c r="AA2" s="92"/>
      <c r="AB2" s="92"/>
      <c r="AD2" s="95"/>
    </row>
    <row r="3" spans="2:44" s="89" customFormat="1" ht="15">
      <c r="B3" s="97"/>
      <c r="O3" s="91"/>
      <c r="P3" s="92"/>
      <c r="Q3" s="93"/>
      <c r="R3" s="94"/>
      <c r="S3" s="92"/>
      <c r="T3" s="92"/>
      <c r="U3" s="92"/>
      <c r="V3" s="92"/>
      <c r="W3" s="92"/>
      <c r="X3" s="92"/>
      <c r="Y3" s="92"/>
      <c r="Z3" s="92"/>
      <c r="AA3" s="92"/>
      <c r="AB3" s="92"/>
      <c r="AD3" s="95"/>
    </row>
    <row r="4" spans="2:44" s="98" customFormat="1" ht="15">
      <c r="D4" s="59"/>
      <c r="E4" s="59"/>
      <c r="F4" s="59"/>
      <c r="G4" s="59"/>
      <c r="I4" s="59"/>
      <c r="J4" s="59"/>
      <c r="K4" s="99"/>
      <c r="L4" s="100"/>
      <c r="M4" s="100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99"/>
      <c r="AB4" s="101"/>
      <c r="AC4" s="101"/>
      <c r="AD4" s="101"/>
      <c r="AE4" s="101"/>
      <c r="AF4" s="101"/>
      <c r="AG4" s="101"/>
      <c r="AH4" s="101"/>
      <c r="AI4" s="101"/>
      <c r="AJ4" s="101"/>
      <c r="AK4" s="101"/>
      <c r="AL4" s="101"/>
      <c r="AM4" s="101"/>
      <c r="AN4" s="101"/>
      <c r="AO4" s="101"/>
      <c r="AP4" s="101"/>
      <c r="AQ4" s="101"/>
      <c r="AR4" s="101"/>
    </row>
    <row r="7" spans="2:44" s="63" customFormat="1" ht="13.5" customHeight="1">
      <c r="D7" s="108" t="s">
        <v>659</v>
      </c>
      <c r="E7" s="108"/>
      <c r="G7" s="108" t="s">
        <v>660</v>
      </c>
      <c r="H7" s="108"/>
    </row>
    <row r="8" spans="2:44" s="65" customFormat="1" ht="13.5" customHeight="1">
      <c r="B8" s="65" t="str">
        <f>'Q1 - Nelson-Siegel'!EA11</f>
        <v>Maturity</v>
      </c>
      <c r="D8" s="65" t="s">
        <v>644</v>
      </c>
      <c r="E8" s="65" t="s">
        <v>36</v>
      </c>
      <c r="G8" s="65" t="s">
        <v>644</v>
      </c>
      <c r="H8" s="65" t="s">
        <v>36</v>
      </c>
    </row>
    <row r="9" spans="2:44">
      <c r="B9" s="39">
        <f>'Q1 - Nelson-Siegel'!EA12</f>
        <v>0.5</v>
      </c>
      <c r="D9" s="40">
        <f>'Q1 - Nelson-Siegel'!EC12</f>
        <v>0.97497731266327314</v>
      </c>
      <c r="E9" s="40">
        <f>'Q1 - Nelson-Siegel'!EB12</f>
        <v>5.0682154636656679E-2</v>
      </c>
      <c r="H9" s="60">
        <f>E9</f>
        <v>5.0682154636656679E-2</v>
      </c>
    </row>
    <row r="10" spans="2:44">
      <c r="B10" s="39">
        <f>'Q1 - Nelson-Siegel'!EA13</f>
        <v>1</v>
      </c>
      <c r="D10" s="40">
        <f>'Q1 - Nelson-Siegel'!EC13</f>
        <v>0.95143614271468302</v>
      </c>
      <c r="E10" s="40">
        <f>'Q1 - Nelson-Siegel'!EB13</f>
        <v>4.978270672645331E-2</v>
      </c>
      <c r="G10" s="40">
        <f>HLOOKUP(B10,'Q2 - IRTree'!$B$78:$BJ$79,2,FALSE)</f>
        <v>0.95143614270682308</v>
      </c>
      <c r="H10" s="40">
        <f t="shared" ref="H10:H41" si="0">-LN(G10)/B10</f>
        <v>4.9782706734714459E-2</v>
      </c>
    </row>
    <row r="11" spans="2:44">
      <c r="B11" s="39">
        <f>'Q1 - Nelson-Siegel'!EA14</f>
        <v>1.5</v>
      </c>
      <c r="D11" s="40">
        <f>'Q1 - Nelson-Siegel'!EC14</f>
        <v>0.92863435870434374</v>
      </c>
      <c r="E11" s="40">
        <f>'Q1 - Nelson-Siegel'!EB14</f>
        <v>4.9360135691797521E-2</v>
      </c>
      <c r="G11" s="40">
        <f>HLOOKUP(B11,'Q2 - IRTree'!$B$78:$BJ$79,2,FALSE)</f>
        <v>0.92863435870419875</v>
      </c>
      <c r="H11" s="40">
        <f t="shared" si="0"/>
        <v>4.936013569190157E-2</v>
      </c>
    </row>
    <row r="12" spans="2:44">
      <c r="B12" s="39">
        <f>'Q1 - Nelson-Siegel'!EA15</f>
        <v>2</v>
      </c>
      <c r="D12" s="40">
        <f>'Q1 - Nelson-Siegel'!EC15</f>
        <v>0.90622537248910606</v>
      </c>
      <c r="E12" s="40">
        <f>'Q1 - Nelson-Siegel'!EB15</f>
        <v>4.9233624183469583E-2</v>
      </c>
      <c r="G12" s="40">
        <f>HLOOKUP(B12,'Q2 - IRTree'!$B$78:$BJ$79,2,FALSE)</f>
        <v>0.90622537248902324</v>
      </c>
      <c r="H12" s="40">
        <f t="shared" si="0"/>
        <v>4.9233624183515311E-2</v>
      </c>
    </row>
    <row r="13" spans="2:44">
      <c r="B13" s="39">
        <f>'Q1 - Nelson-Siegel'!EA16</f>
        <v>2.5</v>
      </c>
      <c r="D13" s="40">
        <f>'Q1 - Nelson-Siegel'!EC16</f>
        <v>0.88407549928439599</v>
      </c>
      <c r="E13" s="40">
        <f>'Q1 - Nelson-Siegel'!EB16</f>
        <v>4.9285125424441176E-2</v>
      </c>
      <c r="G13" s="40">
        <f>HLOOKUP(B13,'Q2 - IRTree'!$B$78:$BJ$79,2,FALSE)</f>
        <v>0.88407542557062657</v>
      </c>
      <c r="H13" s="40">
        <f t="shared" si="0"/>
        <v>4.92851587762409E-2</v>
      </c>
    </row>
    <row r="14" spans="2:44">
      <c r="B14" s="39">
        <f>'Q1 - Nelson-Siegel'!EA17</f>
        <v>3</v>
      </c>
      <c r="D14" s="40">
        <f>'Q1 - Nelson-Siegel'!EC17</f>
        <v>0.86215941784202366</v>
      </c>
      <c r="E14" s="40">
        <f>'Q1 - Nelson-Siegel'!EB17</f>
        <v>4.94383619752456E-2</v>
      </c>
      <c r="G14" s="40">
        <f>HLOOKUP(B14,'Q2 - IRTree'!$B$78:$BJ$79,2,FALSE)</f>
        <v>0.86215941352908698</v>
      </c>
      <c r="H14" s="40">
        <f t="shared" si="0"/>
        <v>4.9438363642739493E-2</v>
      </c>
    </row>
    <row r="15" spans="2:44">
      <c r="B15" s="39">
        <f>'Q1 - Nelson-Siegel'!EA18</f>
        <v>3.5</v>
      </c>
      <c r="D15" s="40">
        <f>'Q1 - Nelson-Siegel'!EC18</f>
        <v>0.84050152277086543</v>
      </c>
      <c r="E15" s="40">
        <f>'Q1 - Nelson-Siegel'!EB18</f>
        <v>4.9644718397448051E-2</v>
      </c>
      <c r="G15" s="40">
        <f>HLOOKUP(B15,'Q2 - IRTree'!$B$78:$BJ$79,2,FALSE)</f>
        <v>0.84050152190791894</v>
      </c>
      <c r="H15" s="40">
        <f t="shared" si="0"/>
        <v>4.9644718690792129E-2</v>
      </c>
    </row>
    <row r="16" spans="2:44">
      <c r="B16" s="39">
        <f>'Q1 - Nelson-Siegel'!EA19</f>
        <v>4</v>
      </c>
      <c r="D16" s="40">
        <f>'Q1 - Nelson-Siegel'!EC19</f>
        <v>0.81914418591615434</v>
      </c>
      <c r="E16" s="40">
        <f>'Q1 - Nelson-Siegel'!EB19</f>
        <v>4.987378986114558E-2</v>
      </c>
      <c r="G16" s="40">
        <f>HLOOKUP(B16,'Q2 - IRTree'!$B$78:$BJ$79,2,FALSE)</f>
        <v>0.81914418233532027</v>
      </c>
      <c r="H16" s="40">
        <f t="shared" si="0"/>
        <v>4.9873790954003877E-2</v>
      </c>
    </row>
    <row r="17" spans="2:8">
      <c r="B17" s="39">
        <f>'Q1 - Nelson-Siegel'!EA20</f>
        <v>4.5</v>
      </c>
      <c r="D17" s="40">
        <f>'Q1 - Nelson-Siegel'!EC20</f>
        <v>0.79813157389944989</v>
      </c>
      <c r="E17" s="40">
        <f>'Q1 - Nelson-Siegel'!EB20</f>
        <v>5.010707012227239E-2</v>
      </c>
      <c r="G17" s="40">
        <f>HLOOKUP(B17,'Q2 - IRTree'!$B$78:$BJ$79,2,FALSE)</f>
        <v>0.79813156990643375</v>
      </c>
      <c r="H17" s="40">
        <f t="shared" si="0"/>
        <v>5.010707123404011E-2</v>
      </c>
    </row>
    <row r="18" spans="2:8">
      <c r="B18" s="39">
        <f>'Q1 - Nelson-Siegel'!EA21</f>
        <v>5</v>
      </c>
      <c r="D18" s="40">
        <f>'Q1 - Nelson-Siegel'!EC21</f>
        <v>0.77750223426618181</v>
      </c>
      <c r="E18" s="40">
        <f>'Q1 - Nelson-Siegel'!EB21</f>
        <v>5.0333752255724729E-2</v>
      </c>
      <c r="G18" s="40">
        <f>HLOOKUP(B18,'Q2 - IRTree'!$B$78:$BJ$79,2,FALSE)</f>
        <v>0.77750223046826861</v>
      </c>
      <c r="H18" s="40">
        <f t="shared" si="0"/>
        <v>5.0333753232677095E-2</v>
      </c>
    </row>
    <row r="19" spans="2:8">
      <c r="B19" s="39">
        <f>'Q1 - Nelson-Siegel'!EA22</f>
        <v>5.5</v>
      </c>
      <c r="D19" s="40">
        <f>'Q1 - Nelson-Siegel'!EC22</f>
        <v>0.75728643576744492</v>
      </c>
      <c r="E19" s="40">
        <f>'Q1 - Nelson-Siegel'!EB22</f>
        <v>5.0547948059901419E-2</v>
      </c>
      <c r="G19" s="40">
        <f>HLOOKUP(B19,'Q2 - IRTree'!$B$78:$BJ$79,2,FALSE)</f>
        <v>0.75728643243647897</v>
      </c>
      <c r="H19" s="40">
        <f t="shared" si="0"/>
        <v>5.0547948859638668E-2</v>
      </c>
    </row>
    <row r="20" spans="2:8">
      <c r="B20" s="39">
        <f>'Q1 - Nelson-Siegel'!EA23</f>
        <v>6</v>
      </c>
      <c r="D20" s="40">
        <f>'Q1 - Nelson-Siegel'!EC23</f>
        <v>0.73750593360439642</v>
      </c>
      <c r="E20" s="40">
        <f>'Q1 - Nelson-Siegel'!EB23</f>
        <v>5.0746857539207373E-2</v>
      </c>
      <c r="G20" s="40">
        <f>HLOOKUP(B20,'Q2 - IRTree'!$B$78:$BJ$79,2,FALSE)</f>
        <v>0.73750593089680061</v>
      </c>
      <c r="H20" s="40">
        <f t="shared" si="0"/>
        <v>5.0746858151088516E-2</v>
      </c>
    </row>
    <row r="21" spans="2:8">
      <c r="B21" s="39">
        <f>'Q1 - Nelson-Siegel'!EA24</f>
        <v>6.5</v>
      </c>
      <c r="D21" s="40">
        <f>'Q1 - Nelson-Siegel'!EC24</f>
        <v>0.71817484555370059</v>
      </c>
      <c r="E21" s="40">
        <f>'Q1 - Nelson-Siegel'!EB24</f>
        <v>5.0929572630033858E-2</v>
      </c>
      <c r="G21" s="40">
        <f>HLOOKUP(B21,'Q2 - IRTree'!$B$78:$BJ$79,2,FALSE)</f>
        <v>0.71817484353216088</v>
      </c>
      <c r="H21" s="40">
        <f t="shared" si="0"/>
        <v>5.0929573063084543E-2</v>
      </c>
    </row>
    <row r="22" spans="2:8">
      <c r="B22" s="39">
        <f>'Q1 - Nelson-Siegel'!EA25</f>
        <v>7</v>
      </c>
      <c r="D22" s="40">
        <f>'Q1 - Nelson-Siegel'!EC25</f>
        <v>0.69930092679498346</v>
      </c>
      <c r="E22" s="40">
        <f>'Q1 - Nelson-Siegel'!EB25</f>
        <v>5.1096302707863223E-2</v>
      </c>
      <c r="G22" s="40">
        <f>HLOOKUP(B22,'Q2 - IRTree'!$B$78:$BJ$79,2,FALSE)</f>
        <v>0.69930092544366307</v>
      </c>
      <c r="H22" s="40">
        <f t="shared" si="0"/>
        <v>5.1096302983918575E-2</v>
      </c>
    </row>
    <row r="23" spans="2:8">
      <c r="B23" s="39">
        <f>'Q1 - Nelson-Siegel'!EA26</f>
        <v>7.5</v>
      </c>
      <c r="D23" s="40">
        <f>'Q1 - Nelson-Siegel'!EC26</f>
        <v>0.68088688049079849</v>
      </c>
      <c r="E23" s="40">
        <f>'Q1 - Nelson-Siegel'!EB26</f>
        <v>5.1247879276413881E-2</v>
      </c>
      <c r="G23" s="40">
        <f>HLOOKUP(B23,'Q2 - IRTree'!$B$78:$BJ$79,2,FALSE)</f>
        <v>0.68088687974131568</v>
      </c>
      <c r="H23" s="40">
        <f t="shared" si="0"/>
        <v>5.1247879423179883E-2</v>
      </c>
    </row>
    <row r="24" spans="2:8">
      <c r="B24" s="39">
        <f>'Q1 - Nelson-Siegel'!EA27</f>
        <v>8</v>
      </c>
      <c r="D24" s="40">
        <f>'Q1 - Nelson-Siegel'!EC27</f>
        <v>0.66293153797680204</v>
      </c>
      <c r="E24" s="40">
        <f>'Q1 - Nelson-Siegel'!EB27</f>
        <v>5.1385444387273521E-2</v>
      </c>
      <c r="G24" s="40">
        <f>HLOOKUP(B24,'Q2 - IRTree'!$B$78:$BJ$79,2,FALSE)</f>
        <v>0.6629315377348195</v>
      </c>
      <c r="H24" s="40">
        <f t="shared" si="0"/>
        <v>5.1385444432900891E-2</v>
      </c>
    </row>
    <row r="25" spans="2:8">
      <c r="B25" s="39">
        <f>'Q1 - Nelson-Siegel'!EA28</f>
        <v>8.5</v>
      </c>
      <c r="D25" s="40">
        <f>'Q1 - Nelson-Siegel'!EC28</f>
        <v>0.64543084891760771</v>
      </c>
      <c r="E25" s="40">
        <f>'Q1 - Nelson-Siegel'!EB28</f>
        <v>5.1510259102304584E-2</v>
      </c>
      <c r="G25" s="40">
        <f>HLOOKUP(B25,'Q2 - IRTree'!$B$78:$BJ$79,2,FALSE)</f>
        <v>0.64542783706982254</v>
      </c>
      <c r="H25" s="40">
        <f t="shared" si="0"/>
        <v>5.1510808093510808E-2</v>
      </c>
    </row>
    <row r="26" spans="2:8">
      <c r="B26" s="39">
        <f>'Q1 - Nelson-Siegel'!EA29</f>
        <v>9</v>
      </c>
      <c r="D26" s="40">
        <f>'Q1 - Nelson-Siegel'!EC29</f>
        <v>0.62837867597465535</v>
      </c>
      <c r="E26" s="40">
        <f>'Q1 - Nelson-Siegel'!EB29</f>
        <v>5.1623589668544016E-2</v>
      </c>
      <c r="G26" s="40">
        <f>HLOOKUP(B26,'Q2 - IRTree'!$B$78:$BJ$79,2,FALSE)</f>
        <v>0.62837867486886456</v>
      </c>
      <c r="H26" s="40">
        <f t="shared" si="0"/>
        <v>5.1623589864072034E-2</v>
      </c>
    </row>
    <row r="27" spans="2:8">
      <c r="B27" s="39">
        <f>'Q1 - Nelson-Siegel'!EA30</f>
        <v>9.5</v>
      </c>
      <c r="D27" s="40">
        <f>'Q1 - Nelson-Siegel'!EC30</f>
        <v>0.61176741330540596</v>
      </c>
      <c r="E27" s="40">
        <f>'Q1 - Nelson-Siegel'!EB30</f>
        <v>5.1726643402453365E-2</v>
      </c>
      <c r="G27" s="40">
        <f>HLOOKUP(B27,'Q2 - IRTree'!$B$78:$BJ$79,2,FALSE)</f>
        <v>0.61176741245068966</v>
      </c>
      <c r="H27" s="40">
        <f t="shared" si="0"/>
        <v>5.1726643549519273E-2</v>
      </c>
    </row>
    <row r="28" spans="2:8">
      <c r="B28" s="39">
        <f>'Q1 - Nelson-Siegel'!EA31</f>
        <v>10</v>
      </c>
      <c r="D28" s="40">
        <f>'Q1 - Nelson-Siegel'!EC31</f>
        <v>0.59558845709853192</v>
      </c>
      <c r="E28" s="40">
        <f>'Q1 - Nelson-Siegel'!EB31</f>
        <v>5.1820535865133278E-2</v>
      </c>
      <c r="G28" s="40">
        <f>HLOOKUP(B28,'Q2 - IRTree'!$B$78:$BJ$79,2,FALSE)</f>
        <v>0.5955864936519214</v>
      </c>
      <c r="H28" s="40">
        <f t="shared" si="0"/>
        <v>5.1820865530663805E-2</v>
      </c>
    </row>
    <row r="29" spans="2:8">
      <c r="B29" s="39">
        <f>'Q1 - Nelson-Siegel'!EA32</f>
        <v>10.5</v>
      </c>
      <c r="D29" s="40">
        <f>'Q1 - Nelson-Siegel'!EC32</f>
        <v>0.57983255716522275</v>
      </c>
      <c r="E29" s="40">
        <f>'Q1 - Nelson-Siegel'!EB32</f>
        <v>5.1906277301398393E-2</v>
      </c>
      <c r="G29" s="40">
        <f>HLOOKUP(B29,'Q2 - IRTree'!$B$78:$BJ$79,2,FALSE)</f>
        <v>0.57983255701422753</v>
      </c>
      <c r="H29" s="40">
        <f t="shared" si="0"/>
        <v>5.1906277326199506E-2</v>
      </c>
    </row>
    <row r="30" spans="2:8">
      <c r="B30" s="39">
        <f>'Q1 - Nelson-Siegel'!EA33</f>
        <v>11</v>
      </c>
      <c r="D30" s="40">
        <f>'Q1 - Nelson-Siegel'!EC33</f>
        <v>0.56449007573912113</v>
      </c>
      <c r="E30" s="40">
        <f>'Q1 - Nelson-Siegel'!EB33</f>
        <v>5.1984770560775988E-2</v>
      </c>
      <c r="G30" s="40">
        <f>HLOOKUP(B30,'Q2 - IRTree'!$B$78:$BJ$79,2,FALSE)</f>
        <v>0.56449007501149295</v>
      </c>
      <c r="H30" s="40">
        <f t="shared" si="0"/>
        <v>5.1984770677957884E-2</v>
      </c>
    </row>
    <row r="31" spans="2:8">
      <c r="B31" s="39">
        <f>'Q1 - Nelson-Siegel'!EA34</f>
        <v>11.5</v>
      </c>
      <c r="D31" s="40">
        <f>'Q1 - Nelson-Siegel'!EC34</f>
        <v>0.54955117545126075</v>
      </c>
      <c r="E31" s="40">
        <f>'Q1 - Nelson-Siegel'!EB34</f>
        <v>5.2056815524814573E-2</v>
      </c>
      <c r="G31" s="40">
        <f>HLOOKUP(B31,'Q2 - IRTree'!$B$78:$BJ$79,2,FALSE)</f>
        <v>0.54955153334205242</v>
      </c>
      <c r="H31" s="40">
        <f t="shared" si="0"/>
        <v>5.2056758895096256E-2</v>
      </c>
    </row>
    <row r="32" spans="2:8">
      <c r="B32" s="39">
        <f>'Q1 - Nelson-Siegel'!EA35</f>
        <v>12</v>
      </c>
      <c r="D32" s="40">
        <f>'Q1 - Nelson-Siegel'!EC35</f>
        <v>0.53500595414058216</v>
      </c>
      <c r="E32" s="40">
        <f>'Q1 - Nelson-Siegel'!EB35</f>
        <v>5.212311690944392E-2</v>
      </c>
      <c r="G32" s="40">
        <f>HLOOKUP(B32,'Q2 - IRTree'!$B$78:$BJ$79,2,FALSE)</f>
        <v>0.53500935931878746</v>
      </c>
      <c r="H32" s="40">
        <f t="shared" si="0"/>
        <v>5.2122586515445109E-2</v>
      </c>
    </row>
    <row r="33" spans="2:8">
      <c r="B33" s="39">
        <f>'Q1 - Nelson-Siegel'!EA36</f>
        <v>12.5</v>
      </c>
      <c r="D33" s="40">
        <f>'Q1 - Nelson-Siegel'!EC36</f>
        <v>0.52084454028137162</v>
      </c>
      <c r="E33" s="40">
        <f>'Q1 - Nelson-Siegel'!EB36</f>
        <v>5.2184293514476107E-2</v>
      </c>
      <c r="G33" s="40">
        <f>HLOOKUP(B33,'Q2 - IRTree'!$B$78:$BJ$79,2,FALSE)</f>
        <v>0.52084453891125582</v>
      </c>
      <c r="H33" s="40">
        <f t="shared" si="0"/>
        <v>5.2184293724921366E-2</v>
      </c>
    </row>
    <row r="34" spans="2:8">
      <c r="B34" s="39">
        <f>'Q1 - Nelson-Siegel'!EA37</f>
        <v>13</v>
      </c>
      <c r="D34" s="40">
        <f>'Q1 - Nelson-Siegel'!EC37</f>
        <v>0.5070571595513691</v>
      </c>
      <c r="E34" s="40">
        <f>'Q1 - Nelson-Siegel'!EB37</f>
        <v>5.2240887770248393E-2</v>
      </c>
      <c r="G34" s="40">
        <f>HLOOKUP(B34,'Q2 - IRTree'!$B$78:$BJ$79,2,FALSE)</f>
        <v>0.507057158876838</v>
      </c>
      <c r="H34" s="40">
        <f t="shared" si="0"/>
        <v>5.2240887872578107E-2</v>
      </c>
    </row>
    <row r="35" spans="2:8">
      <c r="B35" s="39">
        <f>'Q1 - Nelson-Siegel'!EA38</f>
        <v>13.5</v>
      </c>
      <c r="D35" s="40">
        <f>'Q1 - Nelson-Siegel'!EC38</f>
        <v>0.49363418044560009</v>
      </c>
      <c r="E35" s="40">
        <f>'Q1 - Nelson-Siegel'!EB38</f>
        <v>5.2293374928323075E-2</v>
      </c>
      <c r="G35" s="40">
        <f>HLOOKUP(B35,'Q2 - IRTree'!$B$78:$BJ$79,2,FALSE)</f>
        <v>0.49363417995135794</v>
      </c>
      <c r="H35" s="40">
        <f t="shared" si="0"/>
        <v>5.2293375002488381E-2</v>
      </c>
    </row>
    <row r="36" spans="2:8">
      <c r="B36" s="39">
        <f>'Q1 - Nelson-Siegel'!EA39</f>
        <v>14</v>
      </c>
      <c r="D36" s="40">
        <f>'Q1 - Nelson-Siegel'!EC39</f>
        <v>0.48056614479766563</v>
      </c>
      <c r="E36" s="40">
        <f>'Q1 - Nelson-Siegel'!EB39</f>
        <v>5.2342171555574669E-2</v>
      </c>
      <c r="G36" s="40">
        <f>HLOOKUP(B36,'Q2 - IRTree'!$B$78:$BJ$79,2,FALSE)</f>
        <v>0.48056868546935033</v>
      </c>
      <c r="H36" s="40">
        <f t="shared" si="0"/>
        <v>5.2341793925832839E-2</v>
      </c>
    </row>
    <row r="37" spans="2:8">
      <c r="B37" s="39">
        <f>'Q1 - Nelson-Siegel'!EA40</f>
        <v>14.5</v>
      </c>
      <c r="D37" s="40">
        <f>'Q1 - Nelson-Siegel'!EC40</f>
        <v>0.46784378750992545</v>
      </c>
      <c r="E37" s="40">
        <f>'Q1 - Nelson-Siegel'!EB40</f>
        <v>5.2387643183161969E-2</v>
      </c>
      <c r="G37" s="40">
        <f>HLOOKUP(B37,'Q2 - IRTree'!$B$78:$BJ$79,2,FALSE)</f>
        <v>0.46784378632190698</v>
      </c>
      <c r="H37" s="40">
        <f t="shared" si="0"/>
        <v>5.2387643358289465E-2</v>
      </c>
    </row>
    <row r="38" spans="2:8">
      <c r="B38" s="39">
        <f>'Q1 - Nelson-Siegel'!EA41</f>
        <v>15</v>
      </c>
      <c r="D38" s="40">
        <f>'Q1 - Nelson-Siegel'!EC41</f>
        <v>0.4554580486219032</v>
      </c>
      <c r="E38" s="40">
        <f>'Q1 - Nelson-Siegel'!EB41</f>
        <v>5.2430111076410685E-2</v>
      </c>
      <c r="G38" s="40">
        <f>HLOOKUP(B38,'Q2 - IRTree'!$B$78:$BJ$79,2,FALSE)</f>
        <v>0.45545804825388814</v>
      </c>
      <c r="H38" s="40">
        <f t="shared" si="0"/>
        <v>5.2430111130278075E-2</v>
      </c>
    </row>
    <row r="39" spans="2:8">
      <c r="B39" s="39">
        <f>'Q1 - Nelson-Siegel'!EA42</f>
        <v>15.5</v>
      </c>
      <c r="D39" s="40">
        <f>'Q1 - Nelson-Siegel'!EC42</f>
        <v>0.44340007997701147</v>
      </c>
      <c r="E39" s="40">
        <f>'Q1 - Nelson-Siegel'!EB42</f>
        <v>5.246985815663173E-2</v>
      </c>
      <c r="G39" s="40">
        <f>HLOOKUP(B39,'Q2 - IRTree'!$B$78:$BJ$79,2,FALSE)</f>
        <v>0.44340007959065147</v>
      </c>
      <c r="H39" s="40">
        <f t="shared" si="0"/>
        <v>5.2469858212848351E-2</v>
      </c>
    </row>
    <row r="40" spans="2:8">
      <c r="B40" s="39">
        <f>'Q1 - Nelson-Siegel'!EA43</f>
        <v>16</v>
      </c>
      <c r="D40" s="40">
        <f>'Q1 - Nelson-Siegel'!EC43</f>
        <v>0.43166124810971279</v>
      </c>
      <c r="E40" s="40">
        <f>'Q1 - Nelson-Siegel'!EB43</f>
        <v>5.2507134139811604E-2</v>
      </c>
      <c r="G40" s="40">
        <f>HLOOKUP(B40,'Q2 - IRTree'!$B$78:$BJ$79,2,FALSE)</f>
        <v>0.43166363157581261</v>
      </c>
      <c r="H40" s="40">
        <f t="shared" si="0"/>
        <v>5.2506789039989406E-2</v>
      </c>
    </row>
    <row r="41" spans="2:8">
      <c r="B41" s="39">
        <f>'Q1 - Nelson-Siegel'!EA44</f>
        <v>16.5</v>
      </c>
      <c r="D41" s="40">
        <f>'Q1 - Nelson-Siegel'!EC44</f>
        <v>0.4202331345109469</v>
      </c>
      <c r="E41" s="40">
        <f>'Q1 - Nelson-Siegel'!EB44</f>
        <v>5.2542159971934711E-2</v>
      </c>
      <c r="G41" s="40">
        <f>HLOOKUP(B41,'Q2 - IRTree'!$B$78:$BJ$79,2,FALSE)</f>
        <v>0.42023313339163176</v>
      </c>
      <c r="H41" s="40">
        <f t="shared" si="0"/>
        <v>5.2542160133362444E-2</v>
      </c>
    </row>
    <row r="42" spans="2:8">
      <c r="B42" s="39">
        <f>'Q1 - Nelson-Siegel'!EA45</f>
        <v>17</v>
      </c>
      <c r="D42" s="40">
        <f>'Q1 - Nelson-Siegel'!EC45</f>
        <v>0.4091075340941982</v>
      </c>
      <c r="E42" s="40">
        <f>'Q1 - Nelson-Siegel'!EB45</f>
        <v>5.2575131644170887E-2</v>
      </c>
      <c r="G42" s="40">
        <f>HLOOKUP(B42,'Q2 - IRTree'!$B$78:$BJ$79,2,FALSE)</f>
        <v>0.40910302949569144</v>
      </c>
      <c r="H42" s="40">
        <f t="shared" ref="H42:H68" si="1">-LN(G42)/B42</f>
        <v>5.2575779341461897E-2</v>
      </c>
    </row>
    <row r="43" spans="2:8">
      <c r="B43" s="39">
        <f>'Q1 - Nelson-Siegel'!EA46</f>
        <v>17.5</v>
      </c>
      <c r="D43" s="40">
        <f>'Q1 - Nelson-Siegel'!EC46</f>
        <v>0.39827645244365489</v>
      </c>
      <c r="E43" s="40">
        <f>'Q1 - Nelson-Siegel'!EB46</f>
        <v>5.2606223468212011E-2</v>
      </c>
      <c r="G43" s="40">
        <f>HLOOKUP(B43,'Q2 - IRTree'!$B$78:$BJ$79,2,FALSE)</f>
        <v>0.39827645139330942</v>
      </c>
      <c r="H43" s="40">
        <f t="shared" si="1"/>
        <v>5.2606223618910708E-2</v>
      </c>
    </row>
    <row r="44" spans="2:8">
      <c r="B44" s="39">
        <f>'Q1 - Nelson-Siegel'!EA47</f>
        <v>18</v>
      </c>
      <c r="D44" s="40">
        <f>'Q1 - Nelson-Siegel'!EC47</f>
        <v>0.38773210225380256</v>
      </c>
      <c r="E44" s="40">
        <f>'Q1 - Nelson-Siegel'!EB47</f>
        <v>5.2635590885755444E-2</v>
      </c>
      <c r="G44" s="40">
        <f>HLOOKUP(B44,'Q2 - IRTree'!$B$78:$BJ$79,2,FALSE)</f>
        <v>0.38773210047661311</v>
      </c>
      <c r="H44" s="40">
        <f t="shared" si="1"/>
        <v>5.2635591140397106E-2</v>
      </c>
    </row>
    <row r="45" spans="2:8">
      <c r="B45" s="39">
        <f>'Q1 - Nelson-Siegel'!EA48</f>
        <v>18.5</v>
      </c>
      <c r="D45" s="40">
        <f>'Q1 - Nelson-Siegel'!EC48</f>
        <v>0.37746689924740068</v>
      </c>
      <c r="E45" s="40">
        <f>'Q1 - Nelson-Siegel'!EB48</f>
        <v>5.2663372878398923E-2</v>
      </c>
      <c r="G45" s="40">
        <f>HLOOKUP(B45,'Q2 - IRTree'!$B$78:$BJ$79,2,FALSE)</f>
        <v>0.3774648487381429</v>
      </c>
      <c r="H45" s="40">
        <f t="shared" si="1"/>
        <v>5.2663666516435878E-2</v>
      </c>
    </row>
    <row r="46" spans="2:8">
      <c r="B46" s="39">
        <f>'Q1 - Nelson-Siegel'!EA49</f>
        <v>19</v>
      </c>
      <c r="D46" s="40">
        <f>'Q1 - Nelson-Siegel'!EC49</f>
        <v>0.36747345777210588</v>
      </c>
      <c r="E46" s="40">
        <f>'Q1 - Nelson-Siegel'!EB49</f>
        <v>5.2689694036151473E-2</v>
      </c>
      <c r="G46" s="40">
        <f>HLOOKUP(B46,'Q2 - IRTree'!$B$78:$BJ$79,2,FALSE)</f>
        <v>0.36746952614997086</v>
      </c>
      <c r="H46" s="40">
        <f t="shared" si="1"/>
        <v>5.2690257147808624E-2</v>
      </c>
    </row>
    <row r="47" spans="2:8">
      <c r="B47" s="39">
        <f>'Q1 - Nelson-Siegel'!EA50</f>
        <v>19.5</v>
      </c>
      <c r="D47" s="40">
        <f>'Q1 - Nelson-Siegel'!EC50</f>
        <v>0.35774458621483479</v>
      </c>
      <c r="E47" s="40">
        <f>'Q1 - Nelson-Siegel'!EB50</f>
        <v>5.2714666335008153E-2</v>
      </c>
      <c r="G47" s="40">
        <f>HLOOKUP(B47,'Q2 - IRTree'!$B$78:$BJ$79,2,FALSE)</f>
        <v>0.35774093099540072</v>
      </c>
      <c r="H47" s="40">
        <f t="shared" si="1"/>
        <v>5.2715190306901243E-2</v>
      </c>
    </row>
    <row r="48" spans="2:8">
      <c r="B48" s="39">
        <f>'Q1 - Nelson-Siegel'!EA51</f>
        <v>20</v>
      </c>
      <c r="D48" s="40">
        <f>'Q1 - Nelson-Siegel'!EC51</f>
        <v>0.34827328232993632</v>
      </c>
      <c r="E48" s="40">
        <f>'Q1 - Nelson-Siegel'!EB51</f>
        <v>5.2738390666908171E-2</v>
      </c>
      <c r="G48" s="40">
        <f>HLOOKUP(B48,'Q2 - IRTree'!$B$78:$BJ$79,2,FALSE)</f>
        <v>0.34827383963779357</v>
      </c>
      <c r="H48" s="40">
        <f t="shared" si="1"/>
        <v>5.2738310656835673E-2</v>
      </c>
    </row>
    <row r="49" spans="2:8">
      <c r="B49" s="39">
        <f>'Q1 - Nelson-Siegel'!EA52</f>
        <v>20.5</v>
      </c>
      <c r="D49" s="40">
        <f>'Q1 - Nelson-Siegel'!EC52</f>
        <v>0.3390527285470748</v>
      </c>
      <c r="E49" s="40">
        <f>'Q1 - Nelson-Siegel'!EB52</f>
        <v>5.2760958159034296E-2</v>
      </c>
      <c r="G49" s="40">
        <f>HLOOKUP(B49,'Q2 - IRTree'!$B$78:$BJ$79,2,FALSE)</f>
        <v>0.33905272728461494</v>
      </c>
      <c r="H49" s="40">
        <f t="shared" si="1"/>
        <v>5.2760958340668011E-2</v>
      </c>
    </row>
    <row r="50" spans="2:8">
      <c r="B50" s="39">
        <f>'Q1 - Nelson-Siegel'!EA53</f>
        <v>21</v>
      </c>
      <c r="D50" s="40">
        <f>'Q1 - Nelson-Siegel'!EC53</f>
        <v>0.33007628730363625</v>
      </c>
      <c r="E50" s="40">
        <f>'Q1 - Nelson-Siegel'!EB53</f>
        <v>5.2782451313844708E-2</v>
      </c>
      <c r="G50" s="40">
        <f>HLOOKUP(B50,'Q2 - IRTree'!$B$78:$BJ$79,2,FALSE)</f>
        <v>0.33007317011344905</v>
      </c>
      <c r="H50" s="40">
        <f t="shared" si="1"/>
        <v>5.2782901023001608E-2</v>
      </c>
    </row>
    <row r="51" spans="2:8">
      <c r="B51" s="39">
        <f>'Q1 - Nelson-Siegel'!EA54</f>
        <v>21.5</v>
      </c>
      <c r="D51" s="40">
        <f>'Q1 - Nelson-Siegel'!EC54</f>
        <v>0.32133749643176268</v>
      </c>
      <c r="E51" s="40">
        <f>'Q1 - Nelson-Siegel'!EB54</f>
        <v>5.2802944996424156E-2</v>
      </c>
      <c r="G51" s="40">
        <f>HLOOKUP(B51,'Q2 - IRTree'!$B$78:$BJ$79,2,FALSE)</f>
        <v>0.32133749562073738</v>
      </c>
      <c r="H51" s="40">
        <f t="shared" si="1"/>
        <v>5.2802945113815072E-2</v>
      </c>
    </row>
    <row r="52" spans="2:8">
      <c r="B52" s="39">
        <f>'Q1 - Nelson-Siegel'!EA55</f>
        <v>22</v>
      </c>
      <c r="D52" s="40">
        <f>'Q1 - Nelson-Siegel'!EC55</f>
        <v>0.31283006461989971</v>
      </c>
      <c r="E52" s="40">
        <f>'Q1 - Nelson-Siegel'!EB55</f>
        <v>5.282250729163359E-2</v>
      </c>
      <c r="G52" s="40">
        <f>HLOOKUP(B52,'Q2 - IRTree'!$B$78:$BJ$79,2,FALSE)</f>
        <v>0.31283006333124125</v>
      </c>
      <c r="H52" s="40">
        <f t="shared" si="1"/>
        <v>5.2822507478877061E-2</v>
      </c>
    </row>
    <row r="53" spans="2:8">
      <c r="B53" s="39">
        <f>'Q1 - Nelson-Siegel'!EA56</f>
        <v>22.5</v>
      </c>
      <c r="D53" s="40">
        <f>'Q1 - Nelson-Siegel'!EC56</f>
        <v>0.30454786696165514</v>
      </c>
      <c r="E53" s="40">
        <f>'Q1 - Nelson-Siegel'!EB56</f>
        <v>5.2841200250050693E-2</v>
      </c>
      <c r="G53" s="40">
        <f>HLOOKUP(B53,'Q2 - IRTree'!$B$78:$BJ$79,2,FALSE)</f>
        <v>0.3045466885482172</v>
      </c>
      <c r="H53" s="40">
        <f t="shared" si="1"/>
        <v>5.2841372223121547E-2</v>
      </c>
    </row>
    <row r="54" spans="2:8">
      <c r="B54" s="39">
        <f>'Q1 - Nelson-Siegel'!EA57</f>
        <v>23</v>
      </c>
      <c r="D54" s="40">
        <f>'Q1 - Nelson-Siegel'!EC57</f>
        <v>0.29648494059987068</v>
      </c>
      <c r="E54" s="40">
        <f>'Q1 - Nelson-Siegel'!EB57</f>
        <v>5.2859080538746502E-2</v>
      </c>
      <c r="G54" s="40">
        <f>HLOOKUP(B54,'Q2 - IRTree'!$B$78:$BJ$79,2,FALSE)</f>
        <v>0.29648315531817399</v>
      </c>
      <c r="H54" s="40">
        <f t="shared" si="1"/>
        <v>5.2859342343534545E-2</v>
      </c>
    </row>
    <row r="55" spans="2:8">
      <c r="B55" s="39">
        <f>'Q1 - Nelson-Siegel'!EA58</f>
        <v>23.5</v>
      </c>
      <c r="D55" s="40">
        <f>'Q1 - Nelson-Siegel'!EC58</f>
        <v>0.28863548047044202</v>
      </c>
      <c r="E55" s="40">
        <f>'Q1 - Nelson-Siegel'!EB58</f>
        <v>5.2876200010461345E-2</v>
      </c>
      <c r="G55" s="40">
        <f>HLOOKUP(B55,'Q2 - IRTree'!$B$78:$BJ$79,2,FALSE)</f>
        <v>0.28863522467601971</v>
      </c>
      <c r="H55" s="40">
        <f t="shared" si="1"/>
        <v>5.2876237721950735E-2</v>
      </c>
    </row>
    <row r="56" spans="2:8">
      <c r="B56" s="39">
        <f>'Q1 - Nelson-Siegel'!EA59</f>
        <v>24</v>
      </c>
      <c r="D56" s="40">
        <f>'Q1 - Nelson-Siegel'!EC59</f>
        <v>0.28099383514811122</v>
      </c>
      <c r="E56" s="40">
        <f>'Q1 - Nelson-Siegel'!EB59</f>
        <v>5.2892606202656137E-2</v>
      </c>
      <c r="G56" s="40">
        <f>HLOOKUP(B56,'Q2 - IRTree'!$B$78:$BJ$79,2,FALSE)</f>
        <v>0.28099864243565759</v>
      </c>
      <c r="H56" s="40">
        <f t="shared" si="1"/>
        <v>5.2891893368745509E-2</v>
      </c>
    </row>
    <row r="57" spans="2:8">
      <c r="B57" s="39">
        <f>'Q1 - Nelson-Siegel'!EA60</f>
        <v>24.5</v>
      </c>
      <c r="D57" s="40">
        <f>'Q1 - Nelson-Siegel'!EC60</f>
        <v>0.27355450279488425</v>
      </c>
      <c r="E57" s="40">
        <f>'Q1 - Nelson-Siegel'!EB60</f>
        <v>5.2908342776162687E-2</v>
      </c>
      <c r="G57" s="40">
        <f>HLOOKUP(B57,'Q2 - IRTree'!$B$78:$BJ$79,2,FALSE)</f>
        <v>0.27355450125798647</v>
      </c>
      <c r="H57" s="40">
        <f t="shared" si="1"/>
        <v>5.2908343005479037E-2</v>
      </c>
    </row>
    <row r="58" spans="2:8">
      <c r="B58" s="39">
        <f>'Q1 - Nelson-Siegel'!EA61</f>
        <v>25</v>
      </c>
      <c r="D58" s="40">
        <f>'Q1 - Nelson-Siegel'!EC61</f>
        <v>0.26631212721066527</v>
      </c>
      <c r="E58" s="40">
        <f>'Q1 - Nelson-Siegel'!EB61</f>
        <v>5.2923449901685043E-2</v>
      </c>
      <c r="G58" s="40">
        <f>HLOOKUP(B58,'Q2 - IRTree'!$B$78:$BJ$79,2,FALSE)</f>
        <v>0.26631212581917246</v>
      </c>
      <c r="H58" s="40">
        <f t="shared" si="1"/>
        <v>5.2923450110686839E-2</v>
      </c>
    </row>
    <row r="59" spans="2:8">
      <c r="B59" s="39">
        <f>'Q1 - Nelson-Siegel'!EA62</f>
        <v>25.5</v>
      </c>
      <c r="D59" s="40">
        <f>'Q1 - Nelson-Siegel'!EC62</f>
        <v>0.25926149398498721</v>
      </c>
      <c r="E59" s="40">
        <f>'Q1 - Nelson-Siegel'!EB62</f>
        <v>5.2937964601168057E-2</v>
      </c>
      <c r="G59" s="40">
        <f>HLOOKUP(B59,'Q2 - IRTree'!$B$78:$BJ$79,2,FALSE)</f>
        <v>0.25926737203755429</v>
      </c>
      <c r="H59" s="40">
        <f t="shared" si="1"/>
        <v>5.2937075501715787E-2</v>
      </c>
    </row>
    <row r="60" spans="2:8">
      <c r="B60" s="39">
        <f>'Q1 - Nelson-Siegel'!EA63</f>
        <v>26</v>
      </c>
      <c r="D60" s="40">
        <f>'Q1 - Nelson-Siegel'!EC63</f>
        <v>0.25239752674825344</v>
      </c>
      <c r="E60" s="40">
        <f>'Q1 - Nelson-Siegel'!EB63</f>
        <v>5.2951921050010689E-2</v>
      </c>
      <c r="G60" s="40">
        <f>HLOOKUP(B60,'Q2 - IRTree'!$B$78:$BJ$79,2,FALSE)</f>
        <v>0.25239752524499959</v>
      </c>
      <c r="H60" s="40">
        <f t="shared" si="1"/>
        <v>5.2951921279083686E-2</v>
      </c>
    </row>
    <row r="61" spans="2:8">
      <c r="B61" s="39">
        <f>'Q1 - Nelson-Siegel'!EA64</f>
        <v>26.5</v>
      </c>
      <c r="D61" s="40">
        <f>'Q1 - Nelson-Siegel'!EC64</f>
        <v>0.2457152835206016</v>
      </c>
      <c r="E61" s="40">
        <f>'Q1 - Nelson-Siegel'!EB64</f>
        <v>5.2965350845227896E-2</v>
      </c>
      <c r="G61" s="40">
        <f>HLOOKUP(B61,'Q2 - IRTree'!$B$78:$BJ$79,2,FALSE)</f>
        <v>0.24571528206640333</v>
      </c>
      <c r="H61" s="40">
        <f t="shared" si="1"/>
        <v>5.2965351068557133E-2</v>
      </c>
    </row>
    <row r="62" spans="2:8">
      <c r="B62" s="39">
        <f>'Q1 - Nelson-Siegel'!EA65</f>
        <v>27</v>
      </c>
      <c r="D62" s="40">
        <f>'Q1 - Nelson-Siegel'!EC65</f>
        <v>0.23920995315632074</v>
      </c>
      <c r="E62" s="40">
        <f>'Q1 - Nelson-Siegel'!EB65</f>
        <v>5.2978283243927879E-2</v>
      </c>
      <c r="G62" s="40">
        <f>HLOOKUP(B62,'Q2 - IRTree'!$B$78:$BJ$79,2,FALSE)</f>
        <v>0.23921670509954857</v>
      </c>
      <c r="H62" s="40">
        <f t="shared" si="1"/>
        <v>5.2977237850795611E-2</v>
      </c>
    </row>
    <row r="63" spans="2:8">
      <c r="B63" s="39">
        <f>'Q1 - Nelson-Siegel'!EA66</f>
        <v>27.5</v>
      </c>
      <c r="D63" s="40">
        <f>'Q1 - Nelson-Siegel'!EC66</f>
        <v>0.23287685188164292</v>
      </c>
      <c r="E63" s="40">
        <f>'Q1 - Nelson-Siegel'!EB66</f>
        <v>5.2990745375850468E-2</v>
      </c>
      <c r="G63" s="40">
        <f>HLOOKUP(B63,'Q2 - IRTree'!$B$78:$BJ$79,2,FALSE)</f>
        <v>0.23287685064290115</v>
      </c>
      <c r="H63" s="40">
        <f t="shared" si="1"/>
        <v>5.2990745569279553E-2</v>
      </c>
    </row>
    <row r="64" spans="2:8">
      <c r="B64" s="39">
        <f>'Q1 - Nelson-Siegel'!EA67</f>
        <v>28</v>
      </c>
      <c r="D64" s="40">
        <f>'Q1 - Nelson-Siegel'!EC67</f>
        <v>0.22671141992367622</v>
      </c>
      <c r="E64" s="40">
        <f>'Q1 - Nelson-Siegel'!EB67</f>
        <v>5.3002762433186565E-2</v>
      </c>
      <c r="G64" s="40">
        <f>HLOOKUP(B64,'Q2 - IRTree'!$B$78:$BJ$79,2,FALSE)</f>
        <v>0.22671141860054486</v>
      </c>
      <c r="H64" s="40">
        <f t="shared" si="1"/>
        <v>5.3002762641621994E-2</v>
      </c>
    </row>
    <row r="65" spans="2:8">
      <c r="B65" s="39">
        <f>'Q1 - Nelson-Siegel'!EA68</f>
        <v>28.5</v>
      </c>
      <c r="D65" s="40">
        <f>'Q1 - Nelson-Siegel'!EC68</f>
        <v>0.22070921822823267</v>
      </c>
      <c r="E65" s="40">
        <f>'Q1 - Nelson-Siegel'!EB68</f>
        <v>5.3014357840453087E-2</v>
      </c>
      <c r="G65" s="40">
        <f>HLOOKUP(B65,'Q2 - IRTree'!$B$78:$BJ$79,2,FALSE)</f>
        <v>0.22071667116710678</v>
      </c>
      <c r="H65" s="40">
        <f t="shared" si="1"/>
        <v>5.3013173013584207E-2</v>
      </c>
    </row>
    <row r="66" spans="2:8">
      <c r="B66" s="39">
        <f>'Q1 - Nelson-Siegel'!EA69</f>
        <v>29</v>
      </c>
      <c r="D66" s="40">
        <f>'Q1 - Nelson-Siegel'!EC69</f>
        <v>0.21486592526431045</v>
      </c>
      <c r="E66" s="40">
        <f>'Q1 - Nelson-Siegel'!EB69</f>
        <v>5.3025553406819782E-2</v>
      </c>
      <c r="G66" s="40">
        <f>HLOOKUP(B66,'Q2 - IRTree'!$B$78:$BJ$79,2,FALSE)</f>
        <v>0.2148659213685839</v>
      </c>
      <c r="H66" s="40">
        <f t="shared" si="1"/>
        <v>5.3025554032025475E-2</v>
      </c>
    </row>
    <row r="67" spans="2:8">
      <c r="B67" s="39">
        <f>'Q1 - Nelson-Siegel'!EA70</f>
        <v>29.5</v>
      </c>
      <c r="D67" s="40">
        <f>'Q1 - Nelson-Siegel'!EC70</f>
        <v>0.20917733391301133</v>
      </c>
      <c r="E67" s="40">
        <f>'Q1 - Nelson-Siegel'!EB70</f>
        <v>5.3036369462962599E-2</v>
      </c>
      <c r="G67" s="40">
        <f>HLOOKUP(B67,'Q2 - IRTree'!$B$78:$BJ$79,2,FALSE)</f>
        <v>0.20917733288383647</v>
      </c>
      <c r="H67" s="40">
        <f t="shared" si="1"/>
        <v>5.3036369629745887E-2</v>
      </c>
    </row>
    <row r="68" spans="2:8">
      <c r="B68" s="39">
        <f>'Q1 - Nelson-Siegel'!EA71</f>
        <v>30</v>
      </c>
      <c r="D68" s="40">
        <f>'Q1 - Nelson-Siegel'!EC71</f>
        <v>0.20363934843871204</v>
      </c>
      <c r="E68" s="40">
        <f>'Q1 - Nelson-Siegel'!EB71</f>
        <v>5.3046824984243665E-2</v>
      </c>
      <c r="G68" s="40">
        <f>HLOOKUP(B68,'Q2 - IRTree'!$B$78:$BJ$79,2,FALSE)</f>
        <v>0.20364735980607934</v>
      </c>
      <c r="H68" s="40">
        <f t="shared" si="1"/>
        <v>5.3045513644720238E-2</v>
      </c>
    </row>
  </sheetData>
  <mergeCells count="2">
    <mergeCell ref="D7:E7"/>
    <mergeCell ref="G7:H7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00B050"/>
    <outlinePr summaryBelow="0" summaryRight="0"/>
  </sheetPr>
  <dimension ref="A1:BJ292"/>
  <sheetViews>
    <sheetView workbookViewId="0">
      <selection activeCell="B12" sqref="B12"/>
    </sheetView>
  </sheetViews>
  <sheetFormatPr baseColWidth="10" defaultColWidth="8.83203125" defaultRowHeight="13" outlineLevelRow="1" outlineLevelCol="1"/>
  <cols>
    <col min="2" max="8" width="9.6640625" bestFit="1" customWidth="1"/>
    <col min="9" max="9" width="9.83203125" bestFit="1" customWidth="1"/>
    <col min="10" max="11" width="9.83203125" customWidth="1" outlineLevel="1"/>
    <col min="12" max="12" width="10.33203125" customWidth="1" outlineLevel="1"/>
    <col min="13" max="42" width="9.6640625" customWidth="1" outlineLevel="1"/>
    <col min="43" max="60" width="9" customWidth="1" outlineLevel="1"/>
  </cols>
  <sheetData>
    <row r="1" spans="2:44" s="89" customFormat="1" ht="15">
      <c r="B1" s="102" t="s">
        <v>675</v>
      </c>
      <c r="O1" s="91"/>
      <c r="P1" s="92"/>
      <c r="Q1" s="93"/>
      <c r="R1" s="94"/>
      <c r="S1" s="92"/>
      <c r="T1" s="92"/>
      <c r="U1" s="92"/>
      <c r="V1" s="92"/>
      <c r="W1" s="92"/>
      <c r="X1" s="92"/>
      <c r="Y1" s="92"/>
      <c r="Z1" s="92"/>
      <c r="AA1" s="92"/>
      <c r="AB1" s="92"/>
      <c r="AD1" s="95"/>
    </row>
    <row r="2" spans="2:44" s="89" customFormat="1" ht="15">
      <c r="B2" s="103" t="s">
        <v>682</v>
      </c>
      <c r="O2" s="91"/>
      <c r="P2" s="92"/>
      <c r="Q2" s="93"/>
      <c r="R2" s="94"/>
      <c r="S2" s="92"/>
      <c r="T2" s="92"/>
      <c r="U2" s="92"/>
      <c r="V2" s="92"/>
      <c r="W2" s="92"/>
      <c r="X2" s="92"/>
      <c r="Y2" s="92"/>
      <c r="Z2" s="92"/>
      <c r="AA2" s="92"/>
      <c r="AB2" s="92"/>
      <c r="AD2" s="95"/>
    </row>
    <row r="3" spans="2:44" s="89" customFormat="1" ht="15">
      <c r="B3" s="103" t="s">
        <v>683</v>
      </c>
      <c r="O3" s="91"/>
      <c r="P3" s="92"/>
      <c r="Q3" s="93"/>
      <c r="R3" s="94"/>
      <c r="S3" s="92"/>
      <c r="T3" s="92"/>
      <c r="U3" s="92"/>
      <c r="V3" s="92"/>
      <c r="W3" s="92"/>
      <c r="X3" s="92"/>
      <c r="Y3" s="92"/>
      <c r="Z3" s="92"/>
      <c r="AA3" s="92"/>
      <c r="AB3" s="92"/>
      <c r="AD3" s="95"/>
    </row>
    <row r="4" spans="2:44" s="89" customFormat="1" ht="15">
      <c r="B4" s="103" t="s">
        <v>684</v>
      </c>
      <c r="O4" s="91"/>
      <c r="P4" s="92"/>
      <c r="Q4" s="93"/>
      <c r="R4" s="94"/>
      <c r="S4" s="92"/>
      <c r="T4" s="92"/>
      <c r="U4" s="92"/>
      <c r="V4" s="92"/>
      <c r="W4" s="92"/>
      <c r="X4" s="92"/>
      <c r="Y4" s="92"/>
      <c r="Z4" s="92"/>
      <c r="AA4" s="92"/>
      <c r="AB4" s="92"/>
      <c r="AD4" s="95"/>
    </row>
    <row r="5" spans="2:44" s="89" customFormat="1" ht="15">
      <c r="B5" s="103" t="s">
        <v>701</v>
      </c>
      <c r="O5" s="91"/>
      <c r="P5" s="92"/>
      <c r="Q5" s="93"/>
      <c r="R5" s="94"/>
      <c r="S5" s="92"/>
      <c r="T5" s="92"/>
      <c r="U5" s="92"/>
      <c r="V5" s="92"/>
      <c r="W5" s="92"/>
      <c r="X5" s="92"/>
      <c r="Y5" s="92"/>
      <c r="Z5" s="92"/>
      <c r="AA5" s="92"/>
      <c r="AB5" s="92"/>
      <c r="AD5" s="95"/>
    </row>
    <row r="6" spans="2:44" s="89" customFormat="1" ht="15">
      <c r="B6" s="103" t="s">
        <v>685</v>
      </c>
      <c r="O6" s="91"/>
      <c r="P6" s="92"/>
      <c r="Q6" s="93"/>
      <c r="R6" s="94"/>
      <c r="S6" s="92"/>
      <c r="T6" s="92"/>
      <c r="U6" s="92"/>
      <c r="V6" s="92"/>
      <c r="W6" s="92"/>
      <c r="X6" s="92"/>
      <c r="Y6" s="92"/>
      <c r="Z6" s="92"/>
      <c r="AA6" s="92"/>
      <c r="AB6" s="92"/>
      <c r="AD6" s="95"/>
    </row>
    <row r="7" spans="2:44" s="89" customFormat="1" ht="15">
      <c r="B7" s="103" t="s">
        <v>686</v>
      </c>
      <c r="O7" s="91"/>
      <c r="P7" s="92"/>
      <c r="Q7" s="93"/>
      <c r="R7" s="94"/>
      <c r="S7" s="92"/>
      <c r="T7" s="92"/>
      <c r="U7" s="92"/>
      <c r="V7" s="92"/>
      <c r="W7" s="92"/>
      <c r="X7" s="92"/>
      <c r="Y7" s="92"/>
      <c r="Z7" s="92"/>
      <c r="AA7" s="92"/>
      <c r="AB7" s="92"/>
      <c r="AD7" s="95"/>
    </row>
    <row r="8" spans="2:44" s="89" customFormat="1" ht="15">
      <c r="B8" s="97"/>
      <c r="O8" s="91"/>
      <c r="P8" s="92"/>
      <c r="Q8" s="93"/>
      <c r="R8" s="94"/>
      <c r="S8" s="92"/>
      <c r="T8" s="92"/>
      <c r="U8" s="92"/>
      <c r="V8" s="92"/>
      <c r="W8" s="92"/>
      <c r="X8" s="92"/>
      <c r="Y8" s="92"/>
      <c r="Z8" s="92"/>
      <c r="AA8" s="92"/>
      <c r="AB8" s="92"/>
      <c r="AD8" s="95"/>
    </row>
    <row r="9" spans="2:44" s="98" customFormat="1" ht="15">
      <c r="D9" s="59"/>
      <c r="E9" s="59"/>
      <c r="F9" s="59"/>
      <c r="G9" s="59"/>
      <c r="I9" s="59"/>
      <c r="J9" s="59"/>
      <c r="K9" s="99"/>
      <c r="L9" s="100"/>
      <c r="M9" s="100"/>
      <c r="N9" s="101"/>
      <c r="O9" s="101"/>
      <c r="P9" s="101"/>
      <c r="Q9" s="101"/>
      <c r="R9" s="101"/>
      <c r="S9" s="101"/>
      <c r="T9" s="101"/>
      <c r="U9" s="101"/>
      <c r="V9" s="101"/>
      <c r="W9" s="101"/>
      <c r="X9" s="101"/>
      <c r="Y9" s="101"/>
      <c r="Z9" s="101"/>
      <c r="AA9" s="99"/>
      <c r="AB9" s="101"/>
      <c r="AC9" s="101"/>
      <c r="AD9" s="101"/>
      <c r="AE9" s="101"/>
      <c r="AF9" s="101"/>
      <c r="AG9" s="101"/>
      <c r="AH9" s="101"/>
      <c r="AI9" s="101"/>
      <c r="AJ9" s="101"/>
      <c r="AK9" s="101"/>
      <c r="AL9" s="101"/>
      <c r="AM9" s="101"/>
      <c r="AN9" s="101"/>
      <c r="AO9" s="101"/>
      <c r="AP9" s="101"/>
      <c r="AQ9" s="101"/>
      <c r="AR9" s="101"/>
    </row>
    <row r="10" spans="2:44">
      <c r="B10" s="39"/>
      <c r="D10" s="40"/>
      <c r="E10" s="40"/>
      <c r="G10" s="40"/>
    </row>
    <row r="12" spans="2:44">
      <c r="B12" s="7" t="s">
        <v>663</v>
      </c>
    </row>
    <row r="13" spans="2:44">
      <c r="B13" s="70" t="s">
        <v>1</v>
      </c>
      <c r="C13" s="87"/>
      <c r="D13" s="62" t="s">
        <v>693</v>
      </c>
      <c r="H13" s="104" t="s">
        <v>692</v>
      </c>
    </row>
    <row r="14" spans="2:44">
      <c r="B14" s="70" t="s">
        <v>8</v>
      </c>
      <c r="C14" s="86"/>
      <c r="D14" s="62" t="s">
        <v>694</v>
      </c>
      <c r="H14" s="104" t="s">
        <v>697</v>
      </c>
    </row>
    <row r="15" spans="2:44">
      <c r="B15" s="70" t="s">
        <v>3</v>
      </c>
      <c r="C15" s="71">
        <v>0.5</v>
      </c>
      <c r="D15" s="62" t="s">
        <v>695</v>
      </c>
      <c r="H15" s="104" t="s">
        <v>698</v>
      </c>
    </row>
    <row r="16" spans="2:44">
      <c r="B16" s="70" t="s">
        <v>665</v>
      </c>
      <c r="C16" s="87"/>
      <c r="D16" s="62" t="s">
        <v>696</v>
      </c>
      <c r="H16" s="105" t="s">
        <v>699</v>
      </c>
      <c r="I16" s="40"/>
      <c r="J16" s="40"/>
      <c r="K16" s="40"/>
      <c r="L16" s="40"/>
    </row>
    <row r="17" spans="1:62">
      <c r="E17" s="70"/>
      <c r="F17" s="62"/>
      <c r="G17" s="62"/>
      <c r="H17" s="105" t="s">
        <v>700</v>
      </c>
    </row>
    <row r="18" spans="1:62">
      <c r="E18" s="70"/>
      <c r="F18" s="62"/>
      <c r="G18" s="62"/>
    </row>
    <row r="19" spans="1:62">
      <c r="B19" s="7" t="s">
        <v>17</v>
      </c>
    </row>
    <row r="21" spans="1:62">
      <c r="A21" t="s">
        <v>5</v>
      </c>
      <c r="B21">
        <f t="shared" ref="B21:BJ21" si="0">B22*h</f>
        <v>0</v>
      </c>
      <c r="C21">
        <f t="shared" si="0"/>
        <v>0.5</v>
      </c>
      <c r="D21">
        <f t="shared" si="0"/>
        <v>1</v>
      </c>
      <c r="E21">
        <f t="shared" si="0"/>
        <v>1.5</v>
      </c>
      <c r="F21">
        <f t="shared" si="0"/>
        <v>2</v>
      </c>
      <c r="G21">
        <f t="shared" si="0"/>
        <v>2.5</v>
      </c>
      <c r="H21">
        <f t="shared" si="0"/>
        <v>3</v>
      </c>
      <c r="I21">
        <f t="shared" si="0"/>
        <v>3.5</v>
      </c>
      <c r="J21">
        <f t="shared" si="0"/>
        <v>4</v>
      </c>
      <c r="K21">
        <f t="shared" si="0"/>
        <v>4.5</v>
      </c>
      <c r="L21">
        <f t="shared" si="0"/>
        <v>5</v>
      </c>
      <c r="M21">
        <f t="shared" si="0"/>
        <v>5.5</v>
      </c>
      <c r="N21">
        <f t="shared" si="0"/>
        <v>6</v>
      </c>
      <c r="O21">
        <f t="shared" si="0"/>
        <v>6.5</v>
      </c>
      <c r="P21">
        <f t="shared" si="0"/>
        <v>7</v>
      </c>
      <c r="Q21">
        <f t="shared" si="0"/>
        <v>7.5</v>
      </c>
      <c r="R21">
        <f t="shared" si="0"/>
        <v>8</v>
      </c>
      <c r="S21">
        <f t="shared" si="0"/>
        <v>8.5</v>
      </c>
      <c r="T21">
        <f t="shared" si="0"/>
        <v>9</v>
      </c>
      <c r="U21">
        <f t="shared" si="0"/>
        <v>9.5</v>
      </c>
      <c r="V21">
        <f t="shared" si="0"/>
        <v>10</v>
      </c>
      <c r="W21">
        <f t="shared" si="0"/>
        <v>10.5</v>
      </c>
      <c r="X21">
        <f t="shared" si="0"/>
        <v>11</v>
      </c>
      <c r="Y21">
        <f t="shared" si="0"/>
        <v>11.5</v>
      </c>
      <c r="Z21">
        <f t="shared" si="0"/>
        <v>12</v>
      </c>
      <c r="AA21">
        <f t="shared" si="0"/>
        <v>12.5</v>
      </c>
      <c r="AB21">
        <f t="shared" si="0"/>
        <v>13</v>
      </c>
      <c r="AC21">
        <f t="shared" si="0"/>
        <v>13.5</v>
      </c>
      <c r="AD21">
        <f t="shared" si="0"/>
        <v>14</v>
      </c>
      <c r="AE21">
        <f t="shared" si="0"/>
        <v>14.5</v>
      </c>
      <c r="AF21">
        <f t="shared" si="0"/>
        <v>15</v>
      </c>
      <c r="AG21">
        <f t="shared" si="0"/>
        <v>15.5</v>
      </c>
      <c r="AH21">
        <f t="shared" si="0"/>
        <v>16</v>
      </c>
      <c r="AI21">
        <f t="shared" si="0"/>
        <v>16.5</v>
      </c>
      <c r="AJ21">
        <f t="shared" si="0"/>
        <v>17</v>
      </c>
      <c r="AK21">
        <f t="shared" si="0"/>
        <v>17.5</v>
      </c>
      <c r="AL21">
        <f t="shared" si="0"/>
        <v>18</v>
      </c>
      <c r="AM21">
        <f t="shared" si="0"/>
        <v>18.5</v>
      </c>
      <c r="AN21">
        <f t="shared" si="0"/>
        <v>19</v>
      </c>
      <c r="AO21">
        <f t="shared" si="0"/>
        <v>19.5</v>
      </c>
      <c r="AP21">
        <f t="shared" si="0"/>
        <v>20</v>
      </c>
      <c r="AQ21">
        <f t="shared" si="0"/>
        <v>20.5</v>
      </c>
      <c r="AR21">
        <f t="shared" si="0"/>
        <v>21</v>
      </c>
      <c r="AS21">
        <f t="shared" si="0"/>
        <v>21.5</v>
      </c>
      <c r="AT21">
        <f t="shared" si="0"/>
        <v>22</v>
      </c>
      <c r="AU21">
        <f t="shared" si="0"/>
        <v>22.5</v>
      </c>
      <c r="AV21">
        <f t="shared" si="0"/>
        <v>23</v>
      </c>
      <c r="AW21">
        <f t="shared" si="0"/>
        <v>23.5</v>
      </c>
      <c r="AX21">
        <f t="shared" si="0"/>
        <v>24</v>
      </c>
      <c r="AY21">
        <f t="shared" si="0"/>
        <v>24.5</v>
      </c>
      <c r="AZ21">
        <f t="shared" si="0"/>
        <v>25</v>
      </c>
      <c r="BA21">
        <f t="shared" si="0"/>
        <v>25.5</v>
      </c>
      <c r="BB21">
        <f t="shared" si="0"/>
        <v>26</v>
      </c>
      <c r="BC21">
        <f t="shared" si="0"/>
        <v>26.5</v>
      </c>
      <c r="BD21">
        <f t="shared" si="0"/>
        <v>27</v>
      </c>
      <c r="BE21">
        <f t="shared" si="0"/>
        <v>27.5</v>
      </c>
      <c r="BF21">
        <f t="shared" si="0"/>
        <v>28</v>
      </c>
      <c r="BG21">
        <f t="shared" si="0"/>
        <v>28.5</v>
      </c>
      <c r="BH21">
        <f t="shared" si="0"/>
        <v>29</v>
      </c>
      <c r="BI21">
        <f t="shared" si="0"/>
        <v>29.5</v>
      </c>
      <c r="BJ21">
        <f t="shared" si="0"/>
        <v>30</v>
      </c>
    </row>
    <row r="22" spans="1:62">
      <c r="A22" s="58" t="s">
        <v>4</v>
      </c>
      <c r="B22" s="1">
        <v>0</v>
      </c>
      <c r="C22" s="1">
        <f>B22+1</f>
        <v>1</v>
      </c>
      <c r="D22" s="1">
        <f>C22+1</f>
        <v>2</v>
      </c>
      <c r="E22" s="1">
        <f>D22+1</f>
        <v>3</v>
      </c>
      <c r="F22" s="1">
        <f t="shared" ref="F22:BJ22" si="1">E22+1</f>
        <v>4</v>
      </c>
      <c r="G22" s="1">
        <f t="shared" si="1"/>
        <v>5</v>
      </c>
      <c r="H22" s="1">
        <f t="shared" si="1"/>
        <v>6</v>
      </c>
      <c r="I22" s="1">
        <f t="shared" si="1"/>
        <v>7</v>
      </c>
      <c r="J22" s="1">
        <f t="shared" si="1"/>
        <v>8</v>
      </c>
      <c r="K22" s="1">
        <f t="shared" si="1"/>
        <v>9</v>
      </c>
      <c r="L22" s="1">
        <f t="shared" si="1"/>
        <v>10</v>
      </c>
      <c r="M22" s="1">
        <f t="shared" si="1"/>
        <v>11</v>
      </c>
      <c r="N22" s="1">
        <f t="shared" si="1"/>
        <v>12</v>
      </c>
      <c r="O22" s="1">
        <f t="shared" si="1"/>
        <v>13</v>
      </c>
      <c r="P22" s="1">
        <f t="shared" si="1"/>
        <v>14</v>
      </c>
      <c r="Q22" s="1">
        <f t="shared" si="1"/>
        <v>15</v>
      </c>
      <c r="R22" s="1">
        <f t="shared" si="1"/>
        <v>16</v>
      </c>
      <c r="S22" s="1">
        <f t="shared" si="1"/>
        <v>17</v>
      </c>
      <c r="T22" s="1">
        <f t="shared" si="1"/>
        <v>18</v>
      </c>
      <c r="U22" s="1">
        <f t="shared" si="1"/>
        <v>19</v>
      </c>
      <c r="V22" s="1">
        <f t="shared" si="1"/>
        <v>20</v>
      </c>
      <c r="W22" s="1">
        <f t="shared" si="1"/>
        <v>21</v>
      </c>
      <c r="X22" s="1">
        <f t="shared" si="1"/>
        <v>22</v>
      </c>
      <c r="Y22" s="1">
        <f t="shared" si="1"/>
        <v>23</v>
      </c>
      <c r="Z22" s="1">
        <f t="shared" si="1"/>
        <v>24</v>
      </c>
      <c r="AA22" s="1">
        <f t="shared" si="1"/>
        <v>25</v>
      </c>
      <c r="AB22" s="1">
        <f t="shared" si="1"/>
        <v>26</v>
      </c>
      <c r="AC22" s="1">
        <f t="shared" si="1"/>
        <v>27</v>
      </c>
      <c r="AD22" s="1">
        <f t="shared" si="1"/>
        <v>28</v>
      </c>
      <c r="AE22" s="1">
        <f t="shared" si="1"/>
        <v>29</v>
      </c>
      <c r="AF22" s="1">
        <f t="shared" si="1"/>
        <v>30</v>
      </c>
      <c r="AG22" s="1">
        <f t="shared" si="1"/>
        <v>31</v>
      </c>
      <c r="AH22" s="1">
        <f t="shared" si="1"/>
        <v>32</v>
      </c>
      <c r="AI22" s="1">
        <f t="shared" si="1"/>
        <v>33</v>
      </c>
      <c r="AJ22" s="1">
        <f t="shared" si="1"/>
        <v>34</v>
      </c>
      <c r="AK22" s="1">
        <f t="shared" si="1"/>
        <v>35</v>
      </c>
      <c r="AL22" s="1">
        <f t="shared" si="1"/>
        <v>36</v>
      </c>
      <c r="AM22" s="1">
        <f t="shared" si="1"/>
        <v>37</v>
      </c>
      <c r="AN22" s="1">
        <f t="shared" si="1"/>
        <v>38</v>
      </c>
      <c r="AO22" s="1">
        <f t="shared" si="1"/>
        <v>39</v>
      </c>
      <c r="AP22" s="1">
        <f t="shared" si="1"/>
        <v>40</v>
      </c>
      <c r="AQ22" s="1">
        <f t="shared" si="1"/>
        <v>41</v>
      </c>
      <c r="AR22" s="1">
        <f t="shared" si="1"/>
        <v>42</v>
      </c>
      <c r="AS22" s="1">
        <f t="shared" si="1"/>
        <v>43</v>
      </c>
      <c r="AT22" s="1">
        <f t="shared" si="1"/>
        <v>44</v>
      </c>
      <c r="AU22" s="1">
        <f t="shared" si="1"/>
        <v>45</v>
      </c>
      <c r="AV22" s="1">
        <f t="shared" si="1"/>
        <v>46</v>
      </c>
      <c r="AW22" s="1">
        <f t="shared" si="1"/>
        <v>47</v>
      </c>
      <c r="AX22" s="1">
        <f t="shared" si="1"/>
        <v>48</v>
      </c>
      <c r="AY22" s="1">
        <f t="shared" si="1"/>
        <v>49</v>
      </c>
      <c r="AZ22" s="1">
        <f t="shared" si="1"/>
        <v>50</v>
      </c>
      <c r="BA22" s="1">
        <f t="shared" si="1"/>
        <v>51</v>
      </c>
      <c r="BB22" s="1">
        <f t="shared" si="1"/>
        <v>52</v>
      </c>
      <c r="BC22" s="1">
        <f t="shared" si="1"/>
        <v>53</v>
      </c>
      <c r="BD22" s="1">
        <f t="shared" si="1"/>
        <v>54</v>
      </c>
      <c r="BE22" s="1">
        <f t="shared" si="1"/>
        <v>55</v>
      </c>
      <c r="BF22" s="1">
        <f t="shared" si="1"/>
        <v>56</v>
      </c>
      <c r="BG22" s="1">
        <f t="shared" si="1"/>
        <v>57</v>
      </c>
      <c r="BH22" s="1">
        <f t="shared" si="1"/>
        <v>58</v>
      </c>
      <c r="BI22" s="1">
        <f t="shared" si="1"/>
        <v>59</v>
      </c>
      <c r="BJ22" s="1">
        <f t="shared" si="1"/>
        <v>60</v>
      </c>
    </row>
    <row r="23" spans="1:62">
      <c r="A23" s="11">
        <v>0</v>
      </c>
      <c r="B23" s="17">
        <f>'Q2 - IRTree'!B14</f>
        <v>5.0682154636656651E-2</v>
      </c>
      <c r="C23" s="17">
        <f>'Q2 - IRTree'!C14</f>
        <v>5.0682154636656651E-2</v>
      </c>
      <c r="D23" s="17">
        <f>'Q2 - IRTree'!D14</f>
        <v>5.0682154636656651E-2</v>
      </c>
      <c r="E23" s="17">
        <f>'Q2 - IRTree'!E14</f>
        <v>5.0682154636656651E-2</v>
      </c>
      <c r="F23" s="17">
        <f>'Q2 - IRTree'!F14</f>
        <v>5.0682154636656651E-2</v>
      </c>
      <c r="G23" s="17">
        <f>'Q2 - IRTree'!G14</f>
        <v>5.0682154636656651E-2</v>
      </c>
      <c r="H23" s="17">
        <f>'Q2 - IRTree'!H14</f>
        <v>5.0682154636656651E-2</v>
      </c>
      <c r="I23" s="17">
        <f>'Q2 - IRTree'!I14</f>
        <v>5.0682154636656651E-2</v>
      </c>
      <c r="J23" s="17">
        <f>'Q2 - IRTree'!J14</f>
        <v>5.0682154636656651E-2</v>
      </c>
      <c r="K23" s="17">
        <f>'Q2 - IRTree'!K14</f>
        <v>5.0682154636656651E-2</v>
      </c>
      <c r="L23" s="17">
        <f>'Q2 - IRTree'!L14</f>
        <v>5.0682154636656651E-2</v>
      </c>
      <c r="M23" s="17">
        <f>'Q2 - IRTree'!M14</f>
        <v>5.0682154636656651E-2</v>
      </c>
      <c r="N23" s="17">
        <f>'Q2 - IRTree'!N14</f>
        <v>5.0682154636656651E-2</v>
      </c>
      <c r="O23" s="17">
        <f>'Q2 - IRTree'!O14</f>
        <v>5.0682154636656651E-2</v>
      </c>
      <c r="P23" s="17">
        <f>'Q2 - IRTree'!P14</f>
        <v>5.0682154636656651E-2</v>
      </c>
      <c r="Q23" s="17">
        <f>'Q2 - IRTree'!Q14</f>
        <v>5.0682154636656651E-2</v>
      </c>
      <c r="R23" s="17">
        <f>'Q2 - IRTree'!R14</f>
        <v>5.0682154636656651E-2</v>
      </c>
      <c r="S23" s="17">
        <f>'Q2 - IRTree'!S14</f>
        <v>5.0682154636656651E-2</v>
      </c>
      <c r="T23" s="17">
        <f>'Q2 - IRTree'!T14</f>
        <v>5.0682154636656651E-2</v>
      </c>
      <c r="U23" s="17">
        <f>'Q2 - IRTree'!U14</f>
        <v>5.0682154636656651E-2</v>
      </c>
      <c r="V23" s="17">
        <f>'Q2 - IRTree'!V14</f>
        <v>5.0682154636656651E-2</v>
      </c>
      <c r="W23" s="17">
        <f>'Q2 - IRTree'!W14</f>
        <v>5.0682154636656651E-2</v>
      </c>
      <c r="X23" s="17">
        <f>'Q2 - IRTree'!X14</f>
        <v>5.0682154636656651E-2</v>
      </c>
      <c r="Y23" s="17">
        <f>'Q2 - IRTree'!Y14</f>
        <v>5.0682154636656651E-2</v>
      </c>
      <c r="Z23" s="17">
        <f>'Q2 - IRTree'!Z14</f>
        <v>5.0682154636656651E-2</v>
      </c>
      <c r="AA23" s="17">
        <f>'Q2 - IRTree'!AA14</f>
        <v>5.0682154636656651E-2</v>
      </c>
      <c r="AB23" s="17">
        <f>'Q2 - IRTree'!AB14</f>
        <v>5.0682154636656651E-2</v>
      </c>
      <c r="AC23" s="17">
        <f>'Q2 - IRTree'!AC14</f>
        <v>5.0682154636656651E-2</v>
      </c>
      <c r="AD23" s="17">
        <f>'Q2 - IRTree'!AD14</f>
        <v>5.0682154636656651E-2</v>
      </c>
      <c r="AE23" s="17">
        <f>'Q2 - IRTree'!AE14</f>
        <v>5.0682154636656651E-2</v>
      </c>
      <c r="AF23" s="17">
        <f>'Q2 - IRTree'!AF14</f>
        <v>5.0682154636656651E-2</v>
      </c>
      <c r="AG23" s="17">
        <f>'Q2 - IRTree'!AG14</f>
        <v>5.0682154636656651E-2</v>
      </c>
      <c r="AH23" s="17">
        <f>'Q2 - IRTree'!AH14</f>
        <v>5.0682154636656651E-2</v>
      </c>
      <c r="AI23" s="17">
        <f>'Q2 - IRTree'!AI14</f>
        <v>5.0682154636656651E-2</v>
      </c>
      <c r="AJ23" s="17">
        <f>'Q2 - IRTree'!AJ14</f>
        <v>5.0682154636656651E-2</v>
      </c>
      <c r="AK23" s="17">
        <f>'Q2 - IRTree'!AK14</f>
        <v>5.0682154636656651E-2</v>
      </c>
      <c r="AL23" s="17">
        <f>'Q2 - IRTree'!AL14</f>
        <v>5.0682154636656651E-2</v>
      </c>
      <c r="AM23" s="17">
        <f>'Q2 - IRTree'!AM14</f>
        <v>5.0682154636656651E-2</v>
      </c>
      <c r="AN23" s="17">
        <f>'Q2 - IRTree'!AN14</f>
        <v>5.0682154636656651E-2</v>
      </c>
      <c r="AO23" s="17">
        <f>'Q2 - IRTree'!AO14</f>
        <v>5.0682154636656651E-2</v>
      </c>
      <c r="AP23" s="17">
        <f>'Q2 - IRTree'!AP14</f>
        <v>5.0682154636656651E-2</v>
      </c>
      <c r="AQ23" s="17">
        <f>'Q2 - IRTree'!AQ14</f>
        <v>5.0682154636656651E-2</v>
      </c>
      <c r="AR23" s="17">
        <f>'Q2 - IRTree'!AR14</f>
        <v>5.0682154636656651E-2</v>
      </c>
      <c r="AS23" s="17">
        <f>'Q2 - IRTree'!AS14</f>
        <v>5.0682154636656651E-2</v>
      </c>
      <c r="AT23" s="17">
        <f>'Q2 - IRTree'!AT14</f>
        <v>5.0682154636656651E-2</v>
      </c>
      <c r="AU23" s="17">
        <f>'Q2 - IRTree'!AU14</f>
        <v>5.0682154636656651E-2</v>
      </c>
      <c r="AV23" s="17">
        <f>'Q2 - IRTree'!AV14</f>
        <v>5.0682154636656651E-2</v>
      </c>
      <c r="AW23" s="17">
        <f>'Q2 - IRTree'!AW14</f>
        <v>5.0682154636656651E-2</v>
      </c>
      <c r="AX23" s="17">
        <f>'Q2 - IRTree'!AX14</f>
        <v>5.0682154636656651E-2</v>
      </c>
      <c r="AY23" s="17">
        <f>'Q2 - IRTree'!AY14</f>
        <v>5.0682154636656651E-2</v>
      </c>
      <c r="AZ23" s="17">
        <f>'Q2 - IRTree'!AZ14</f>
        <v>5.0682154636656651E-2</v>
      </c>
      <c r="BA23" s="17">
        <f>'Q2 - IRTree'!BA14</f>
        <v>5.0682154636656651E-2</v>
      </c>
      <c r="BB23" s="17">
        <f>'Q2 - IRTree'!BB14</f>
        <v>5.0682154636656651E-2</v>
      </c>
      <c r="BC23" s="17">
        <f>'Q2 - IRTree'!BC14</f>
        <v>5.0682154636656651E-2</v>
      </c>
      <c r="BD23" s="17">
        <f>'Q2 - IRTree'!BD14</f>
        <v>5.0682154636656651E-2</v>
      </c>
      <c r="BE23" s="17">
        <f>'Q2 - IRTree'!BE14</f>
        <v>5.0682154636656651E-2</v>
      </c>
      <c r="BF23" s="17">
        <f>'Q2 - IRTree'!BF14</f>
        <v>5.0682154636656651E-2</v>
      </c>
      <c r="BG23" s="17">
        <f>'Q2 - IRTree'!BG14</f>
        <v>5.0682154636656651E-2</v>
      </c>
      <c r="BH23" s="17">
        <f>'Q2 - IRTree'!BH14</f>
        <v>5.0682154636656651E-2</v>
      </c>
      <c r="BI23" s="17">
        <f>'Q2 - IRTree'!BI14</f>
        <v>5.0682154636656651E-2</v>
      </c>
      <c r="BJ23" s="17" t="str">
        <f>'Q2 - IRTree'!BJ14</f>
        <v/>
      </c>
    </row>
    <row r="24" spans="1:62">
      <c r="A24" s="11">
        <f>A23+1</f>
        <v>1</v>
      </c>
      <c r="B24" s="17" t="str">
        <f>'Q2 - IRTree'!B15</f>
        <v/>
      </c>
      <c r="C24" s="17">
        <f>'Q2 - IRTree'!C15</f>
        <v>5.0682154636656651E-2</v>
      </c>
      <c r="D24" s="17">
        <f>'Q2 - IRTree'!D15</f>
        <v>5.0682154636656651E-2</v>
      </c>
      <c r="E24" s="17">
        <f>'Q2 - IRTree'!E15</f>
        <v>5.0682154636656651E-2</v>
      </c>
      <c r="F24" s="17">
        <f>'Q2 - IRTree'!F15</f>
        <v>5.0682154636656651E-2</v>
      </c>
      <c r="G24" s="17">
        <f>'Q2 - IRTree'!G15</f>
        <v>5.0682154636656651E-2</v>
      </c>
      <c r="H24" s="17">
        <f>'Q2 - IRTree'!H15</f>
        <v>5.0682154636656651E-2</v>
      </c>
      <c r="I24" s="17">
        <f>'Q2 - IRTree'!I15</f>
        <v>5.0682154636656651E-2</v>
      </c>
      <c r="J24" s="17">
        <f>'Q2 - IRTree'!J15</f>
        <v>5.0682154636656651E-2</v>
      </c>
      <c r="K24" s="17">
        <f>'Q2 - IRTree'!K15</f>
        <v>5.0682154636656651E-2</v>
      </c>
      <c r="L24" s="17">
        <f>'Q2 - IRTree'!L15</f>
        <v>5.0682154636656651E-2</v>
      </c>
      <c r="M24" s="17">
        <f>'Q2 - IRTree'!M15</f>
        <v>5.0682154636656651E-2</v>
      </c>
      <c r="N24" s="17">
        <f>'Q2 - IRTree'!N15</f>
        <v>5.0682154636656651E-2</v>
      </c>
      <c r="O24" s="17">
        <f>'Q2 - IRTree'!O15</f>
        <v>5.0682154636656651E-2</v>
      </c>
      <c r="P24" s="17">
        <f>'Q2 - IRTree'!P15</f>
        <v>5.0682154636656651E-2</v>
      </c>
      <c r="Q24" s="17">
        <f>'Q2 - IRTree'!Q15</f>
        <v>5.0682154636656651E-2</v>
      </c>
      <c r="R24" s="17">
        <f>'Q2 - IRTree'!R15</f>
        <v>5.0682154636656651E-2</v>
      </c>
      <c r="S24" s="17">
        <f>'Q2 - IRTree'!S15</f>
        <v>5.0682154636656651E-2</v>
      </c>
      <c r="T24" s="17">
        <f>'Q2 - IRTree'!T15</f>
        <v>5.0682154636656651E-2</v>
      </c>
      <c r="U24" s="17">
        <f>'Q2 - IRTree'!U15</f>
        <v>5.0682154636656651E-2</v>
      </c>
      <c r="V24" s="17">
        <f>'Q2 - IRTree'!V15</f>
        <v>5.0682154636656651E-2</v>
      </c>
      <c r="W24" s="17">
        <f>'Q2 - IRTree'!W15</f>
        <v>5.0682154636656651E-2</v>
      </c>
      <c r="X24" s="17">
        <f>'Q2 - IRTree'!X15</f>
        <v>5.0682154636656651E-2</v>
      </c>
      <c r="Y24" s="17">
        <f>'Q2 - IRTree'!Y15</f>
        <v>5.0682154636656651E-2</v>
      </c>
      <c r="Z24" s="17">
        <f>'Q2 - IRTree'!Z15</f>
        <v>5.0682154636656651E-2</v>
      </c>
      <c r="AA24" s="17">
        <f>'Q2 - IRTree'!AA15</f>
        <v>5.0682154636656651E-2</v>
      </c>
      <c r="AB24" s="17">
        <f>'Q2 - IRTree'!AB15</f>
        <v>5.0682154636656651E-2</v>
      </c>
      <c r="AC24" s="17">
        <f>'Q2 - IRTree'!AC15</f>
        <v>5.0682154636656651E-2</v>
      </c>
      <c r="AD24" s="17">
        <f>'Q2 - IRTree'!AD15</f>
        <v>5.0682154636656651E-2</v>
      </c>
      <c r="AE24" s="17">
        <f>'Q2 - IRTree'!AE15</f>
        <v>5.0682154636656651E-2</v>
      </c>
      <c r="AF24" s="17">
        <f>'Q2 - IRTree'!AF15</f>
        <v>5.0682154636656651E-2</v>
      </c>
      <c r="AG24" s="17">
        <f>'Q2 - IRTree'!AG15</f>
        <v>5.0682154636656651E-2</v>
      </c>
      <c r="AH24" s="17">
        <f>'Q2 - IRTree'!AH15</f>
        <v>5.0682154636656651E-2</v>
      </c>
      <c r="AI24" s="17">
        <f>'Q2 - IRTree'!AI15</f>
        <v>5.0682154636656651E-2</v>
      </c>
      <c r="AJ24" s="17">
        <f>'Q2 - IRTree'!AJ15</f>
        <v>5.0682154636656651E-2</v>
      </c>
      <c r="AK24" s="17">
        <f>'Q2 - IRTree'!AK15</f>
        <v>5.0682154636656651E-2</v>
      </c>
      <c r="AL24" s="17">
        <f>'Q2 - IRTree'!AL15</f>
        <v>5.0682154636656651E-2</v>
      </c>
      <c r="AM24" s="17">
        <f>'Q2 - IRTree'!AM15</f>
        <v>5.0682154636656651E-2</v>
      </c>
      <c r="AN24" s="17">
        <f>'Q2 - IRTree'!AN15</f>
        <v>5.0682154636656651E-2</v>
      </c>
      <c r="AO24" s="17">
        <f>'Q2 - IRTree'!AO15</f>
        <v>5.0682154636656651E-2</v>
      </c>
      <c r="AP24" s="17">
        <f>'Q2 - IRTree'!AP15</f>
        <v>5.0682154636656651E-2</v>
      </c>
      <c r="AQ24" s="17">
        <f>'Q2 - IRTree'!AQ15</f>
        <v>5.0682154636656651E-2</v>
      </c>
      <c r="AR24" s="17">
        <f>'Q2 - IRTree'!AR15</f>
        <v>5.0682154636656651E-2</v>
      </c>
      <c r="AS24" s="17">
        <f>'Q2 - IRTree'!AS15</f>
        <v>5.0682154636656651E-2</v>
      </c>
      <c r="AT24" s="17">
        <f>'Q2 - IRTree'!AT15</f>
        <v>5.0682154636656651E-2</v>
      </c>
      <c r="AU24" s="17">
        <f>'Q2 - IRTree'!AU15</f>
        <v>5.0682154636656651E-2</v>
      </c>
      <c r="AV24" s="17">
        <f>'Q2 - IRTree'!AV15</f>
        <v>5.0682154636656651E-2</v>
      </c>
      <c r="AW24" s="17">
        <f>'Q2 - IRTree'!AW15</f>
        <v>5.0682154636656651E-2</v>
      </c>
      <c r="AX24" s="17">
        <f>'Q2 - IRTree'!AX15</f>
        <v>5.0682154636656651E-2</v>
      </c>
      <c r="AY24" s="17">
        <f>'Q2 - IRTree'!AY15</f>
        <v>5.0682154636656651E-2</v>
      </c>
      <c r="AZ24" s="17">
        <f>'Q2 - IRTree'!AZ15</f>
        <v>5.0682154636656651E-2</v>
      </c>
      <c r="BA24" s="17">
        <f>'Q2 - IRTree'!BA15</f>
        <v>5.0682154636656651E-2</v>
      </c>
      <c r="BB24" s="17">
        <f>'Q2 - IRTree'!BB15</f>
        <v>5.0682154636656651E-2</v>
      </c>
      <c r="BC24" s="17">
        <f>'Q2 - IRTree'!BC15</f>
        <v>5.0682154636656651E-2</v>
      </c>
      <c r="BD24" s="17">
        <f>'Q2 - IRTree'!BD15</f>
        <v>5.0682154636656651E-2</v>
      </c>
      <c r="BE24" s="17">
        <f>'Q2 - IRTree'!BE15</f>
        <v>5.0682154636656651E-2</v>
      </c>
      <c r="BF24" s="17">
        <f>'Q2 - IRTree'!BF15</f>
        <v>5.0682154636656651E-2</v>
      </c>
      <c r="BG24" s="17">
        <f>'Q2 - IRTree'!BG15</f>
        <v>5.0682154636656651E-2</v>
      </c>
      <c r="BH24" s="17">
        <f>'Q2 - IRTree'!BH15</f>
        <v>5.0682154636656651E-2</v>
      </c>
      <c r="BI24" s="17">
        <f>'Q2 - IRTree'!BI15</f>
        <v>5.0682154636656651E-2</v>
      </c>
      <c r="BJ24" s="17" t="str">
        <f>'Q2 - IRTree'!BJ15</f>
        <v/>
      </c>
    </row>
    <row r="25" spans="1:62">
      <c r="A25" s="11">
        <f t="shared" ref="A25:A83" si="2">A24+1</f>
        <v>2</v>
      </c>
      <c r="B25" s="17" t="str">
        <f>'Q2 - IRTree'!B16</f>
        <v/>
      </c>
      <c r="C25" s="17" t="str">
        <f>'Q2 - IRTree'!C16</f>
        <v/>
      </c>
      <c r="D25" s="17">
        <f>'Q2 - IRTree'!D16</f>
        <v>5.0682154636656651E-2</v>
      </c>
      <c r="E25" s="17">
        <f>'Q2 - IRTree'!E16</f>
        <v>5.0682154636656651E-2</v>
      </c>
      <c r="F25" s="17">
        <f>'Q2 - IRTree'!F16</f>
        <v>5.0682154636656651E-2</v>
      </c>
      <c r="G25" s="17">
        <f>'Q2 - IRTree'!G16</f>
        <v>5.0682154636656651E-2</v>
      </c>
      <c r="H25" s="17">
        <f>'Q2 - IRTree'!H16</f>
        <v>5.0682154636656651E-2</v>
      </c>
      <c r="I25" s="17">
        <f>'Q2 - IRTree'!I16</f>
        <v>5.0682154636656651E-2</v>
      </c>
      <c r="J25" s="17">
        <f>'Q2 - IRTree'!J16</f>
        <v>5.0682154636656651E-2</v>
      </c>
      <c r="K25" s="17">
        <f>'Q2 - IRTree'!K16</f>
        <v>5.0682154636656651E-2</v>
      </c>
      <c r="L25" s="17">
        <f>'Q2 - IRTree'!L16</f>
        <v>5.0682154636656651E-2</v>
      </c>
      <c r="M25" s="17">
        <f>'Q2 - IRTree'!M16</f>
        <v>5.0682154636656651E-2</v>
      </c>
      <c r="N25" s="17">
        <f>'Q2 - IRTree'!N16</f>
        <v>5.0682154636656651E-2</v>
      </c>
      <c r="O25" s="17">
        <f>'Q2 - IRTree'!O16</f>
        <v>5.0682154636656651E-2</v>
      </c>
      <c r="P25" s="17">
        <f>'Q2 - IRTree'!P16</f>
        <v>5.0682154636656651E-2</v>
      </c>
      <c r="Q25" s="17">
        <f>'Q2 - IRTree'!Q16</f>
        <v>5.0682154636656651E-2</v>
      </c>
      <c r="R25" s="17">
        <f>'Q2 - IRTree'!R16</f>
        <v>5.0682154636656651E-2</v>
      </c>
      <c r="S25" s="17">
        <f>'Q2 - IRTree'!S16</f>
        <v>5.0682154636656651E-2</v>
      </c>
      <c r="T25" s="17">
        <f>'Q2 - IRTree'!T16</f>
        <v>5.0682154636656651E-2</v>
      </c>
      <c r="U25" s="17">
        <f>'Q2 - IRTree'!U16</f>
        <v>5.0682154636656651E-2</v>
      </c>
      <c r="V25" s="17">
        <f>'Q2 - IRTree'!V16</f>
        <v>5.0682154636656651E-2</v>
      </c>
      <c r="W25" s="17">
        <f>'Q2 - IRTree'!W16</f>
        <v>5.0682154636656651E-2</v>
      </c>
      <c r="X25" s="17">
        <f>'Q2 - IRTree'!X16</f>
        <v>5.0682154636656651E-2</v>
      </c>
      <c r="Y25" s="17">
        <f>'Q2 - IRTree'!Y16</f>
        <v>5.0682154636656651E-2</v>
      </c>
      <c r="Z25" s="17">
        <f>'Q2 - IRTree'!Z16</f>
        <v>5.0682154636656651E-2</v>
      </c>
      <c r="AA25" s="17">
        <f>'Q2 - IRTree'!AA16</f>
        <v>5.0682154636656651E-2</v>
      </c>
      <c r="AB25" s="17">
        <f>'Q2 - IRTree'!AB16</f>
        <v>5.0682154636656651E-2</v>
      </c>
      <c r="AC25" s="17">
        <f>'Q2 - IRTree'!AC16</f>
        <v>5.0682154636656651E-2</v>
      </c>
      <c r="AD25" s="17">
        <f>'Q2 - IRTree'!AD16</f>
        <v>5.0682154636656651E-2</v>
      </c>
      <c r="AE25" s="17">
        <f>'Q2 - IRTree'!AE16</f>
        <v>5.0682154636656651E-2</v>
      </c>
      <c r="AF25" s="17">
        <f>'Q2 - IRTree'!AF16</f>
        <v>5.0682154636656651E-2</v>
      </c>
      <c r="AG25" s="17">
        <f>'Q2 - IRTree'!AG16</f>
        <v>5.0682154636656651E-2</v>
      </c>
      <c r="AH25" s="17">
        <f>'Q2 - IRTree'!AH16</f>
        <v>5.0682154636656651E-2</v>
      </c>
      <c r="AI25" s="17">
        <f>'Q2 - IRTree'!AI16</f>
        <v>5.0682154636656651E-2</v>
      </c>
      <c r="AJ25" s="17">
        <f>'Q2 - IRTree'!AJ16</f>
        <v>5.0682154636656651E-2</v>
      </c>
      <c r="AK25" s="17">
        <f>'Q2 - IRTree'!AK16</f>
        <v>5.0682154636656651E-2</v>
      </c>
      <c r="AL25" s="17">
        <f>'Q2 - IRTree'!AL16</f>
        <v>5.0682154636656651E-2</v>
      </c>
      <c r="AM25" s="17">
        <f>'Q2 - IRTree'!AM16</f>
        <v>5.0682154636656651E-2</v>
      </c>
      <c r="AN25" s="17">
        <f>'Q2 - IRTree'!AN16</f>
        <v>5.0682154636656651E-2</v>
      </c>
      <c r="AO25" s="17">
        <f>'Q2 - IRTree'!AO16</f>
        <v>5.0682154636656651E-2</v>
      </c>
      <c r="AP25" s="17">
        <f>'Q2 - IRTree'!AP16</f>
        <v>5.0682154636656651E-2</v>
      </c>
      <c r="AQ25" s="17">
        <f>'Q2 - IRTree'!AQ16</f>
        <v>5.0682154636656651E-2</v>
      </c>
      <c r="AR25" s="17">
        <f>'Q2 - IRTree'!AR16</f>
        <v>5.0682154636656651E-2</v>
      </c>
      <c r="AS25" s="17">
        <f>'Q2 - IRTree'!AS16</f>
        <v>5.0682154636656651E-2</v>
      </c>
      <c r="AT25" s="17">
        <f>'Q2 - IRTree'!AT16</f>
        <v>5.0682154636656651E-2</v>
      </c>
      <c r="AU25" s="17">
        <f>'Q2 - IRTree'!AU16</f>
        <v>5.0682154636656651E-2</v>
      </c>
      <c r="AV25" s="17">
        <f>'Q2 - IRTree'!AV16</f>
        <v>5.0682154636656651E-2</v>
      </c>
      <c r="AW25" s="17">
        <f>'Q2 - IRTree'!AW16</f>
        <v>5.0682154636656651E-2</v>
      </c>
      <c r="AX25" s="17">
        <f>'Q2 - IRTree'!AX16</f>
        <v>5.0682154636656651E-2</v>
      </c>
      <c r="AY25" s="17">
        <f>'Q2 - IRTree'!AY16</f>
        <v>5.0682154636656651E-2</v>
      </c>
      <c r="AZ25" s="17">
        <f>'Q2 - IRTree'!AZ16</f>
        <v>5.0682154636656651E-2</v>
      </c>
      <c r="BA25" s="17">
        <f>'Q2 - IRTree'!BA16</f>
        <v>5.0682154636656651E-2</v>
      </c>
      <c r="BB25" s="17">
        <f>'Q2 - IRTree'!BB16</f>
        <v>5.0682154636656651E-2</v>
      </c>
      <c r="BC25" s="17">
        <f>'Q2 - IRTree'!BC16</f>
        <v>5.0682154636656651E-2</v>
      </c>
      <c r="BD25" s="17">
        <f>'Q2 - IRTree'!BD16</f>
        <v>5.0682154636656651E-2</v>
      </c>
      <c r="BE25" s="17">
        <f>'Q2 - IRTree'!BE16</f>
        <v>5.0682154636656651E-2</v>
      </c>
      <c r="BF25" s="17">
        <f>'Q2 - IRTree'!BF16</f>
        <v>5.0682154636656651E-2</v>
      </c>
      <c r="BG25" s="17">
        <f>'Q2 - IRTree'!BG16</f>
        <v>5.0682154636656651E-2</v>
      </c>
      <c r="BH25" s="17">
        <f>'Q2 - IRTree'!BH16</f>
        <v>5.0682154636656651E-2</v>
      </c>
      <c r="BI25" s="17">
        <f>'Q2 - IRTree'!BI16</f>
        <v>5.0682154636656651E-2</v>
      </c>
      <c r="BJ25" s="17" t="str">
        <f>'Q2 - IRTree'!BJ16</f>
        <v/>
      </c>
    </row>
    <row r="26" spans="1:62" outlineLevel="1">
      <c r="A26" s="11">
        <f t="shared" si="2"/>
        <v>3</v>
      </c>
      <c r="B26" s="17" t="str">
        <f>'Q2 - IRTree'!B17</f>
        <v/>
      </c>
      <c r="C26" s="17" t="str">
        <f>'Q2 - IRTree'!C17</f>
        <v/>
      </c>
      <c r="D26" s="17" t="str">
        <f>'Q2 - IRTree'!D17</f>
        <v/>
      </c>
      <c r="E26" s="17">
        <f>'Q2 - IRTree'!E17</f>
        <v>5.0682154636656651E-2</v>
      </c>
      <c r="F26" s="17">
        <f>'Q2 - IRTree'!F17</f>
        <v>5.0682154636656651E-2</v>
      </c>
      <c r="G26" s="17">
        <f>'Q2 - IRTree'!G17</f>
        <v>5.0682154636656651E-2</v>
      </c>
      <c r="H26" s="17">
        <f>'Q2 - IRTree'!H17</f>
        <v>5.0682154636656651E-2</v>
      </c>
      <c r="I26" s="17">
        <f>'Q2 - IRTree'!I17</f>
        <v>5.0682154636656651E-2</v>
      </c>
      <c r="J26" s="17">
        <f>'Q2 - IRTree'!J17</f>
        <v>5.0682154636656651E-2</v>
      </c>
      <c r="K26" s="17">
        <f>'Q2 - IRTree'!K17</f>
        <v>5.0682154636656651E-2</v>
      </c>
      <c r="L26" s="17">
        <f>'Q2 - IRTree'!L17</f>
        <v>5.0682154636656651E-2</v>
      </c>
      <c r="M26" s="17">
        <f>'Q2 - IRTree'!M17</f>
        <v>5.0682154636656651E-2</v>
      </c>
      <c r="N26" s="17">
        <f>'Q2 - IRTree'!N17</f>
        <v>5.0682154636656651E-2</v>
      </c>
      <c r="O26" s="17">
        <f>'Q2 - IRTree'!O17</f>
        <v>5.0682154636656651E-2</v>
      </c>
      <c r="P26" s="17">
        <f>'Q2 - IRTree'!P17</f>
        <v>5.0682154636656651E-2</v>
      </c>
      <c r="Q26" s="17">
        <f>'Q2 - IRTree'!Q17</f>
        <v>5.0682154636656651E-2</v>
      </c>
      <c r="R26" s="17">
        <f>'Q2 - IRTree'!R17</f>
        <v>5.0682154636656651E-2</v>
      </c>
      <c r="S26" s="17">
        <f>'Q2 - IRTree'!S17</f>
        <v>5.0682154636656651E-2</v>
      </c>
      <c r="T26" s="17">
        <f>'Q2 - IRTree'!T17</f>
        <v>5.0682154636656651E-2</v>
      </c>
      <c r="U26" s="17">
        <f>'Q2 - IRTree'!U17</f>
        <v>5.0682154636656651E-2</v>
      </c>
      <c r="V26" s="17">
        <f>'Q2 - IRTree'!V17</f>
        <v>5.0682154636656651E-2</v>
      </c>
      <c r="W26" s="17">
        <f>'Q2 - IRTree'!W17</f>
        <v>5.0682154636656651E-2</v>
      </c>
      <c r="X26" s="17">
        <f>'Q2 - IRTree'!X17</f>
        <v>5.0682154636656651E-2</v>
      </c>
      <c r="Y26" s="17">
        <f>'Q2 - IRTree'!Y17</f>
        <v>5.0682154636656651E-2</v>
      </c>
      <c r="Z26" s="17">
        <f>'Q2 - IRTree'!Z17</f>
        <v>5.0682154636656651E-2</v>
      </c>
      <c r="AA26" s="17">
        <f>'Q2 - IRTree'!AA17</f>
        <v>5.0682154636656651E-2</v>
      </c>
      <c r="AB26" s="17">
        <f>'Q2 - IRTree'!AB17</f>
        <v>5.0682154636656651E-2</v>
      </c>
      <c r="AC26" s="17">
        <f>'Q2 - IRTree'!AC17</f>
        <v>5.0682154636656651E-2</v>
      </c>
      <c r="AD26" s="17">
        <f>'Q2 - IRTree'!AD17</f>
        <v>5.0682154636656651E-2</v>
      </c>
      <c r="AE26" s="17">
        <f>'Q2 - IRTree'!AE17</f>
        <v>5.0682154636656651E-2</v>
      </c>
      <c r="AF26" s="17">
        <f>'Q2 - IRTree'!AF17</f>
        <v>5.0682154636656651E-2</v>
      </c>
      <c r="AG26" s="17">
        <f>'Q2 - IRTree'!AG17</f>
        <v>5.0682154636656651E-2</v>
      </c>
      <c r="AH26" s="17">
        <f>'Q2 - IRTree'!AH17</f>
        <v>5.0682154636656651E-2</v>
      </c>
      <c r="AI26" s="17">
        <f>'Q2 - IRTree'!AI17</f>
        <v>5.0682154636656651E-2</v>
      </c>
      <c r="AJ26" s="17">
        <f>'Q2 - IRTree'!AJ17</f>
        <v>5.0682154636656651E-2</v>
      </c>
      <c r="AK26" s="17">
        <f>'Q2 - IRTree'!AK17</f>
        <v>5.0682154636656651E-2</v>
      </c>
      <c r="AL26" s="17">
        <f>'Q2 - IRTree'!AL17</f>
        <v>5.0682154636656651E-2</v>
      </c>
      <c r="AM26" s="17">
        <f>'Q2 - IRTree'!AM17</f>
        <v>5.0682154636656651E-2</v>
      </c>
      <c r="AN26" s="17">
        <f>'Q2 - IRTree'!AN17</f>
        <v>5.0682154636656651E-2</v>
      </c>
      <c r="AO26" s="17">
        <f>'Q2 - IRTree'!AO17</f>
        <v>5.0682154636656651E-2</v>
      </c>
      <c r="AP26" s="17">
        <f>'Q2 - IRTree'!AP17</f>
        <v>5.0682154636656651E-2</v>
      </c>
      <c r="AQ26" s="17">
        <f>'Q2 - IRTree'!AQ17</f>
        <v>5.0682154636656651E-2</v>
      </c>
      <c r="AR26" s="17">
        <f>'Q2 - IRTree'!AR17</f>
        <v>5.0682154636656651E-2</v>
      </c>
      <c r="AS26" s="17">
        <f>'Q2 - IRTree'!AS17</f>
        <v>5.0682154636656651E-2</v>
      </c>
      <c r="AT26" s="17">
        <f>'Q2 - IRTree'!AT17</f>
        <v>5.0682154636656651E-2</v>
      </c>
      <c r="AU26" s="17">
        <f>'Q2 - IRTree'!AU17</f>
        <v>5.0682154636656651E-2</v>
      </c>
      <c r="AV26" s="17">
        <f>'Q2 - IRTree'!AV17</f>
        <v>5.0682154636656651E-2</v>
      </c>
      <c r="AW26" s="17">
        <f>'Q2 - IRTree'!AW17</f>
        <v>5.0682154636656651E-2</v>
      </c>
      <c r="AX26" s="17">
        <f>'Q2 - IRTree'!AX17</f>
        <v>5.0682154636656651E-2</v>
      </c>
      <c r="AY26" s="17">
        <f>'Q2 - IRTree'!AY17</f>
        <v>5.0682154636656651E-2</v>
      </c>
      <c r="AZ26" s="17">
        <f>'Q2 - IRTree'!AZ17</f>
        <v>5.0682154636656651E-2</v>
      </c>
      <c r="BA26" s="17">
        <f>'Q2 - IRTree'!BA17</f>
        <v>5.0682154636656651E-2</v>
      </c>
      <c r="BB26" s="17">
        <f>'Q2 - IRTree'!BB17</f>
        <v>5.0682154636656651E-2</v>
      </c>
      <c r="BC26" s="17">
        <f>'Q2 - IRTree'!BC17</f>
        <v>5.0682154636656651E-2</v>
      </c>
      <c r="BD26" s="17">
        <f>'Q2 - IRTree'!BD17</f>
        <v>5.0682154636656651E-2</v>
      </c>
      <c r="BE26" s="17">
        <f>'Q2 - IRTree'!BE17</f>
        <v>5.0682154636656651E-2</v>
      </c>
      <c r="BF26" s="17">
        <f>'Q2 - IRTree'!BF17</f>
        <v>5.0682154636656651E-2</v>
      </c>
      <c r="BG26" s="17">
        <f>'Q2 - IRTree'!BG17</f>
        <v>5.0682154636656651E-2</v>
      </c>
      <c r="BH26" s="17">
        <f>'Q2 - IRTree'!BH17</f>
        <v>5.0682154636656651E-2</v>
      </c>
      <c r="BI26" s="17">
        <f>'Q2 - IRTree'!BI17</f>
        <v>5.0682154636656651E-2</v>
      </c>
      <c r="BJ26" s="17" t="str">
        <f>'Q2 - IRTree'!BJ17</f>
        <v/>
      </c>
    </row>
    <row r="27" spans="1:62" outlineLevel="1">
      <c r="A27" s="11">
        <f t="shared" si="2"/>
        <v>4</v>
      </c>
      <c r="B27" s="17" t="str">
        <f>'Q2 - IRTree'!B18</f>
        <v/>
      </c>
      <c r="C27" s="17" t="str">
        <f>'Q2 - IRTree'!C18</f>
        <v/>
      </c>
      <c r="D27" s="17" t="str">
        <f>'Q2 - IRTree'!D18</f>
        <v/>
      </c>
      <c r="E27" s="17" t="str">
        <f>'Q2 - IRTree'!E18</f>
        <v/>
      </c>
      <c r="F27" s="17">
        <f>'Q2 - IRTree'!F18</f>
        <v>5.0682154636656651E-2</v>
      </c>
      <c r="G27" s="17">
        <f>'Q2 - IRTree'!G18</f>
        <v>5.0682154636656651E-2</v>
      </c>
      <c r="H27" s="17">
        <f>'Q2 - IRTree'!H18</f>
        <v>5.0682154636656651E-2</v>
      </c>
      <c r="I27" s="17">
        <f>'Q2 - IRTree'!I18</f>
        <v>5.0682154636656651E-2</v>
      </c>
      <c r="J27" s="17">
        <f>'Q2 - IRTree'!J18</f>
        <v>5.0682154636656651E-2</v>
      </c>
      <c r="K27" s="17">
        <f>'Q2 - IRTree'!K18</f>
        <v>5.0682154636656651E-2</v>
      </c>
      <c r="L27" s="17">
        <f>'Q2 - IRTree'!L18</f>
        <v>5.0682154636656651E-2</v>
      </c>
      <c r="M27" s="17">
        <f>'Q2 - IRTree'!M18</f>
        <v>5.0682154636656651E-2</v>
      </c>
      <c r="N27" s="17">
        <f>'Q2 - IRTree'!N18</f>
        <v>5.0682154636656651E-2</v>
      </c>
      <c r="O27" s="17">
        <f>'Q2 - IRTree'!O18</f>
        <v>5.0682154636656651E-2</v>
      </c>
      <c r="P27" s="17">
        <f>'Q2 - IRTree'!P18</f>
        <v>5.0682154636656651E-2</v>
      </c>
      <c r="Q27" s="17">
        <f>'Q2 - IRTree'!Q18</f>
        <v>5.0682154636656651E-2</v>
      </c>
      <c r="R27" s="17">
        <f>'Q2 - IRTree'!R18</f>
        <v>5.0682154636656651E-2</v>
      </c>
      <c r="S27" s="17">
        <f>'Q2 - IRTree'!S18</f>
        <v>5.0682154636656651E-2</v>
      </c>
      <c r="T27" s="17">
        <f>'Q2 - IRTree'!T18</f>
        <v>5.0682154636656651E-2</v>
      </c>
      <c r="U27" s="17">
        <f>'Q2 - IRTree'!U18</f>
        <v>5.0682154636656651E-2</v>
      </c>
      <c r="V27" s="17">
        <f>'Q2 - IRTree'!V18</f>
        <v>5.0682154636656651E-2</v>
      </c>
      <c r="W27" s="17">
        <f>'Q2 - IRTree'!W18</f>
        <v>5.0682154636656651E-2</v>
      </c>
      <c r="X27" s="17">
        <f>'Q2 - IRTree'!X18</f>
        <v>5.0682154636656651E-2</v>
      </c>
      <c r="Y27" s="17">
        <f>'Q2 - IRTree'!Y18</f>
        <v>5.0682154636656651E-2</v>
      </c>
      <c r="Z27" s="17">
        <f>'Q2 - IRTree'!Z18</f>
        <v>5.0682154636656651E-2</v>
      </c>
      <c r="AA27" s="17">
        <f>'Q2 - IRTree'!AA18</f>
        <v>5.0682154636656651E-2</v>
      </c>
      <c r="AB27" s="17">
        <f>'Q2 - IRTree'!AB18</f>
        <v>5.0682154636656651E-2</v>
      </c>
      <c r="AC27" s="17">
        <f>'Q2 - IRTree'!AC18</f>
        <v>5.0682154636656651E-2</v>
      </c>
      <c r="AD27" s="17">
        <f>'Q2 - IRTree'!AD18</f>
        <v>5.0682154636656651E-2</v>
      </c>
      <c r="AE27" s="17">
        <f>'Q2 - IRTree'!AE18</f>
        <v>5.0682154636656651E-2</v>
      </c>
      <c r="AF27" s="17">
        <f>'Q2 - IRTree'!AF18</f>
        <v>5.0682154636656651E-2</v>
      </c>
      <c r="AG27" s="17">
        <f>'Q2 - IRTree'!AG18</f>
        <v>5.0682154636656651E-2</v>
      </c>
      <c r="AH27" s="17">
        <f>'Q2 - IRTree'!AH18</f>
        <v>5.0682154636656651E-2</v>
      </c>
      <c r="AI27" s="17">
        <f>'Q2 - IRTree'!AI18</f>
        <v>5.0682154636656651E-2</v>
      </c>
      <c r="AJ27" s="17">
        <f>'Q2 - IRTree'!AJ18</f>
        <v>5.0682154636656651E-2</v>
      </c>
      <c r="AK27" s="17">
        <f>'Q2 - IRTree'!AK18</f>
        <v>5.0682154636656651E-2</v>
      </c>
      <c r="AL27" s="17">
        <f>'Q2 - IRTree'!AL18</f>
        <v>5.0682154636656651E-2</v>
      </c>
      <c r="AM27" s="17">
        <f>'Q2 - IRTree'!AM18</f>
        <v>5.0682154636656651E-2</v>
      </c>
      <c r="AN27" s="17">
        <f>'Q2 - IRTree'!AN18</f>
        <v>5.0682154636656651E-2</v>
      </c>
      <c r="AO27" s="17">
        <f>'Q2 - IRTree'!AO18</f>
        <v>5.0682154636656651E-2</v>
      </c>
      <c r="AP27" s="17">
        <f>'Q2 - IRTree'!AP18</f>
        <v>5.0682154636656651E-2</v>
      </c>
      <c r="AQ27" s="17">
        <f>'Q2 - IRTree'!AQ18</f>
        <v>5.0682154636656651E-2</v>
      </c>
      <c r="AR27" s="17">
        <f>'Q2 - IRTree'!AR18</f>
        <v>5.0682154636656651E-2</v>
      </c>
      <c r="AS27" s="17">
        <f>'Q2 - IRTree'!AS18</f>
        <v>5.0682154636656651E-2</v>
      </c>
      <c r="AT27" s="17">
        <f>'Q2 - IRTree'!AT18</f>
        <v>5.0682154636656651E-2</v>
      </c>
      <c r="AU27" s="17">
        <f>'Q2 - IRTree'!AU18</f>
        <v>5.0682154636656651E-2</v>
      </c>
      <c r="AV27" s="17">
        <f>'Q2 - IRTree'!AV18</f>
        <v>5.0682154636656651E-2</v>
      </c>
      <c r="AW27" s="17">
        <f>'Q2 - IRTree'!AW18</f>
        <v>5.0682154636656651E-2</v>
      </c>
      <c r="AX27" s="17">
        <f>'Q2 - IRTree'!AX18</f>
        <v>5.0682154636656651E-2</v>
      </c>
      <c r="AY27" s="17">
        <f>'Q2 - IRTree'!AY18</f>
        <v>5.0682154636656651E-2</v>
      </c>
      <c r="AZ27" s="17">
        <f>'Q2 - IRTree'!AZ18</f>
        <v>5.0682154636656651E-2</v>
      </c>
      <c r="BA27" s="17">
        <f>'Q2 - IRTree'!BA18</f>
        <v>5.0682154636656651E-2</v>
      </c>
      <c r="BB27" s="17">
        <f>'Q2 - IRTree'!BB18</f>
        <v>5.0682154636656651E-2</v>
      </c>
      <c r="BC27" s="17">
        <f>'Q2 - IRTree'!BC18</f>
        <v>5.0682154636656651E-2</v>
      </c>
      <c r="BD27" s="17">
        <f>'Q2 - IRTree'!BD18</f>
        <v>5.0682154636656651E-2</v>
      </c>
      <c r="BE27" s="17">
        <f>'Q2 - IRTree'!BE18</f>
        <v>5.0682154636656651E-2</v>
      </c>
      <c r="BF27" s="17">
        <f>'Q2 - IRTree'!BF18</f>
        <v>5.0682154636656651E-2</v>
      </c>
      <c r="BG27" s="17">
        <f>'Q2 - IRTree'!BG18</f>
        <v>5.0682154636656651E-2</v>
      </c>
      <c r="BH27" s="17">
        <f>'Q2 - IRTree'!BH18</f>
        <v>5.0682154636656651E-2</v>
      </c>
      <c r="BI27" s="17">
        <f>'Q2 - IRTree'!BI18</f>
        <v>5.0682154636656651E-2</v>
      </c>
      <c r="BJ27" s="17" t="str">
        <f>'Q2 - IRTree'!BJ18</f>
        <v/>
      </c>
    </row>
    <row r="28" spans="1:62" outlineLevel="1">
      <c r="A28" s="11">
        <f t="shared" si="2"/>
        <v>5</v>
      </c>
      <c r="B28" s="17" t="str">
        <f>'Q2 - IRTree'!B19</f>
        <v/>
      </c>
      <c r="C28" s="17" t="str">
        <f>'Q2 - IRTree'!C19</f>
        <v/>
      </c>
      <c r="D28" s="17" t="str">
        <f>'Q2 - IRTree'!D19</f>
        <v/>
      </c>
      <c r="E28" s="17" t="str">
        <f>'Q2 - IRTree'!E19</f>
        <v/>
      </c>
      <c r="F28" s="17" t="str">
        <f>'Q2 - IRTree'!F19</f>
        <v/>
      </c>
      <c r="G28" s="17">
        <f>'Q2 - IRTree'!G19</f>
        <v>5.0682154636656651E-2</v>
      </c>
      <c r="H28" s="17">
        <f>'Q2 - IRTree'!H19</f>
        <v>5.0682154636656651E-2</v>
      </c>
      <c r="I28" s="17">
        <f>'Q2 - IRTree'!I19</f>
        <v>5.0682154636656651E-2</v>
      </c>
      <c r="J28" s="17">
        <f>'Q2 - IRTree'!J19</f>
        <v>5.0682154636656651E-2</v>
      </c>
      <c r="K28" s="17">
        <f>'Q2 - IRTree'!K19</f>
        <v>5.0682154636656651E-2</v>
      </c>
      <c r="L28" s="17">
        <f>'Q2 - IRTree'!L19</f>
        <v>5.0682154636656651E-2</v>
      </c>
      <c r="M28" s="17">
        <f>'Q2 - IRTree'!M19</f>
        <v>5.0682154636656651E-2</v>
      </c>
      <c r="N28" s="17">
        <f>'Q2 - IRTree'!N19</f>
        <v>5.0682154636656651E-2</v>
      </c>
      <c r="O28" s="17">
        <f>'Q2 - IRTree'!O19</f>
        <v>5.0682154636656651E-2</v>
      </c>
      <c r="P28" s="17">
        <f>'Q2 - IRTree'!P19</f>
        <v>5.0682154636656651E-2</v>
      </c>
      <c r="Q28" s="17">
        <f>'Q2 - IRTree'!Q19</f>
        <v>5.0682154636656651E-2</v>
      </c>
      <c r="R28" s="17">
        <f>'Q2 - IRTree'!R19</f>
        <v>5.0682154636656651E-2</v>
      </c>
      <c r="S28" s="17">
        <f>'Q2 - IRTree'!S19</f>
        <v>5.0682154636656651E-2</v>
      </c>
      <c r="T28" s="17">
        <f>'Q2 - IRTree'!T19</f>
        <v>5.0682154636656651E-2</v>
      </c>
      <c r="U28" s="17">
        <f>'Q2 - IRTree'!U19</f>
        <v>5.0682154636656651E-2</v>
      </c>
      <c r="V28" s="17">
        <f>'Q2 - IRTree'!V19</f>
        <v>5.0682154636656651E-2</v>
      </c>
      <c r="W28" s="17">
        <f>'Q2 - IRTree'!W19</f>
        <v>5.0682154636656651E-2</v>
      </c>
      <c r="X28" s="17">
        <f>'Q2 - IRTree'!X19</f>
        <v>5.0682154636656651E-2</v>
      </c>
      <c r="Y28" s="17">
        <f>'Q2 - IRTree'!Y19</f>
        <v>5.0682154636656651E-2</v>
      </c>
      <c r="Z28" s="17">
        <f>'Q2 - IRTree'!Z19</f>
        <v>5.0682154636656651E-2</v>
      </c>
      <c r="AA28" s="17">
        <f>'Q2 - IRTree'!AA19</f>
        <v>5.0682154636656651E-2</v>
      </c>
      <c r="AB28" s="17">
        <f>'Q2 - IRTree'!AB19</f>
        <v>5.0682154636656651E-2</v>
      </c>
      <c r="AC28" s="17">
        <f>'Q2 - IRTree'!AC19</f>
        <v>5.0682154636656651E-2</v>
      </c>
      <c r="AD28" s="17">
        <f>'Q2 - IRTree'!AD19</f>
        <v>5.0682154636656651E-2</v>
      </c>
      <c r="AE28" s="17">
        <f>'Q2 - IRTree'!AE19</f>
        <v>5.0682154636656651E-2</v>
      </c>
      <c r="AF28" s="17">
        <f>'Q2 - IRTree'!AF19</f>
        <v>5.0682154636656651E-2</v>
      </c>
      <c r="AG28" s="17">
        <f>'Q2 - IRTree'!AG19</f>
        <v>5.0682154636656651E-2</v>
      </c>
      <c r="AH28" s="17">
        <f>'Q2 - IRTree'!AH19</f>
        <v>5.0682154636656651E-2</v>
      </c>
      <c r="AI28" s="17">
        <f>'Q2 - IRTree'!AI19</f>
        <v>5.0682154636656651E-2</v>
      </c>
      <c r="AJ28" s="17">
        <f>'Q2 - IRTree'!AJ19</f>
        <v>5.0682154636656651E-2</v>
      </c>
      <c r="AK28" s="17">
        <f>'Q2 - IRTree'!AK19</f>
        <v>5.0682154636656651E-2</v>
      </c>
      <c r="AL28" s="17">
        <f>'Q2 - IRTree'!AL19</f>
        <v>5.0682154636656651E-2</v>
      </c>
      <c r="AM28" s="17">
        <f>'Q2 - IRTree'!AM19</f>
        <v>5.0682154636656651E-2</v>
      </c>
      <c r="AN28" s="17">
        <f>'Q2 - IRTree'!AN19</f>
        <v>5.0682154636656651E-2</v>
      </c>
      <c r="AO28" s="17">
        <f>'Q2 - IRTree'!AO19</f>
        <v>5.0682154636656651E-2</v>
      </c>
      <c r="AP28" s="17">
        <f>'Q2 - IRTree'!AP19</f>
        <v>5.0682154636656651E-2</v>
      </c>
      <c r="AQ28" s="17">
        <f>'Q2 - IRTree'!AQ19</f>
        <v>5.0682154636656651E-2</v>
      </c>
      <c r="AR28" s="17">
        <f>'Q2 - IRTree'!AR19</f>
        <v>5.0682154636656651E-2</v>
      </c>
      <c r="AS28" s="17">
        <f>'Q2 - IRTree'!AS19</f>
        <v>5.0682154636656651E-2</v>
      </c>
      <c r="AT28" s="17">
        <f>'Q2 - IRTree'!AT19</f>
        <v>5.0682154636656651E-2</v>
      </c>
      <c r="AU28" s="17">
        <f>'Q2 - IRTree'!AU19</f>
        <v>5.0682154636656651E-2</v>
      </c>
      <c r="AV28" s="17">
        <f>'Q2 - IRTree'!AV19</f>
        <v>5.0682154636656651E-2</v>
      </c>
      <c r="AW28" s="17">
        <f>'Q2 - IRTree'!AW19</f>
        <v>5.0682154636656651E-2</v>
      </c>
      <c r="AX28" s="17">
        <f>'Q2 - IRTree'!AX19</f>
        <v>5.0682154636656651E-2</v>
      </c>
      <c r="AY28" s="17">
        <f>'Q2 - IRTree'!AY19</f>
        <v>5.0682154636656651E-2</v>
      </c>
      <c r="AZ28" s="17">
        <f>'Q2 - IRTree'!AZ19</f>
        <v>5.0682154636656651E-2</v>
      </c>
      <c r="BA28" s="17">
        <f>'Q2 - IRTree'!BA19</f>
        <v>5.0682154636656651E-2</v>
      </c>
      <c r="BB28" s="17">
        <f>'Q2 - IRTree'!BB19</f>
        <v>5.0682154636656651E-2</v>
      </c>
      <c r="BC28" s="17">
        <f>'Q2 - IRTree'!BC19</f>
        <v>5.0682154636656651E-2</v>
      </c>
      <c r="BD28" s="17">
        <f>'Q2 - IRTree'!BD19</f>
        <v>5.0682154636656651E-2</v>
      </c>
      <c r="BE28" s="17">
        <f>'Q2 - IRTree'!BE19</f>
        <v>5.0682154636656651E-2</v>
      </c>
      <c r="BF28" s="17">
        <f>'Q2 - IRTree'!BF19</f>
        <v>5.0682154636656651E-2</v>
      </c>
      <c r="BG28" s="17">
        <f>'Q2 - IRTree'!BG19</f>
        <v>5.0682154636656651E-2</v>
      </c>
      <c r="BH28" s="17">
        <f>'Q2 - IRTree'!BH19</f>
        <v>5.0682154636656651E-2</v>
      </c>
      <c r="BI28" s="17">
        <f>'Q2 - IRTree'!BI19</f>
        <v>5.0682154636656651E-2</v>
      </c>
      <c r="BJ28" s="17" t="str">
        <f>'Q2 - IRTree'!BJ19</f>
        <v/>
      </c>
    </row>
    <row r="29" spans="1:62" outlineLevel="1">
      <c r="A29" s="11">
        <f t="shared" si="2"/>
        <v>6</v>
      </c>
      <c r="B29" s="17" t="str">
        <f>'Q2 - IRTree'!B20</f>
        <v/>
      </c>
      <c r="C29" s="17" t="str">
        <f>'Q2 - IRTree'!C20</f>
        <v/>
      </c>
      <c r="D29" s="17" t="str">
        <f>'Q2 - IRTree'!D20</f>
        <v/>
      </c>
      <c r="E29" s="17" t="str">
        <f>'Q2 - IRTree'!E20</f>
        <v/>
      </c>
      <c r="F29" s="17" t="str">
        <f>'Q2 - IRTree'!F20</f>
        <v/>
      </c>
      <c r="G29" s="17" t="str">
        <f>'Q2 - IRTree'!G20</f>
        <v/>
      </c>
      <c r="H29" s="17">
        <f>'Q2 - IRTree'!H20</f>
        <v>5.0682154636656651E-2</v>
      </c>
      <c r="I29" s="17">
        <f>'Q2 - IRTree'!I20</f>
        <v>5.0682154636656651E-2</v>
      </c>
      <c r="J29" s="17">
        <f>'Q2 - IRTree'!J20</f>
        <v>5.0682154636656651E-2</v>
      </c>
      <c r="K29" s="17">
        <f>'Q2 - IRTree'!K20</f>
        <v>5.0682154636656651E-2</v>
      </c>
      <c r="L29" s="17">
        <f>'Q2 - IRTree'!L20</f>
        <v>5.0682154636656651E-2</v>
      </c>
      <c r="M29" s="17">
        <f>'Q2 - IRTree'!M20</f>
        <v>5.0682154636656651E-2</v>
      </c>
      <c r="N29" s="17">
        <f>'Q2 - IRTree'!N20</f>
        <v>5.0682154636656651E-2</v>
      </c>
      <c r="O29" s="17">
        <f>'Q2 - IRTree'!O20</f>
        <v>5.0682154636656651E-2</v>
      </c>
      <c r="P29" s="17">
        <f>'Q2 - IRTree'!P20</f>
        <v>5.0682154636656651E-2</v>
      </c>
      <c r="Q29" s="17">
        <f>'Q2 - IRTree'!Q20</f>
        <v>5.0682154636656651E-2</v>
      </c>
      <c r="R29" s="17">
        <f>'Q2 - IRTree'!R20</f>
        <v>5.0682154636656651E-2</v>
      </c>
      <c r="S29" s="17">
        <f>'Q2 - IRTree'!S20</f>
        <v>5.0682154636656651E-2</v>
      </c>
      <c r="T29" s="17">
        <f>'Q2 - IRTree'!T20</f>
        <v>5.0682154636656651E-2</v>
      </c>
      <c r="U29" s="17">
        <f>'Q2 - IRTree'!U20</f>
        <v>5.0682154636656651E-2</v>
      </c>
      <c r="V29" s="17">
        <f>'Q2 - IRTree'!V20</f>
        <v>5.0682154636656651E-2</v>
      </c>
      <c r="W29" s="17">
        <f>'Q2 - IRTree'!W20</f>
        <v>5.0682154636656651E-2</v>
      </c>
      <c r="X29" s="17">
        <f>'Q2 - IRTree'!X20</f>
        <v>5.0682154636656651E-2</v>
      </c>
      <c r="Y29" s="17">
        <f>'Q2 - IRTree'!Y20</f>
        <v>5.0682154636656651E-2</v>
      </c>
      <c r="Z29" s="17">
        <f>'Q2 - IRTree'!Z20</f>
        <v>5.0682154636656651E-2</v>
      </c>
      <c r="AA29" s="17">
        <f>'Q2 - IRTree'!AA20</f>
        <v>5.0682154636656651E-2</v>
      </c>
      <c r="AB29" s="17">
        <f>'Q2 - IRTree'!AB20</f>
        <v>5.0682154636656651E-2</v>
      </c>
      <c r="AC29" s="17">
        <f>'Q2 - IRTree'!AC20</f>
        <v>5.0682154636656651E-2</v>
      </c>
      <c r="AD29" s="17">
        <f>'Q2 - IRTree'!AD20</f>
        <v>5.0682154636656651E-2</v>
      </c>
      <c r="AE29" s="17">
        <f>'Q2 - IRTree'!AE20</f>
        <v>5.0682154636656651E-2</v>
      </c>
      <c r="AF29" s="17">
        <f>'Q2 - IRTree'!AF20</f>
        <v>5.0682154636656651E-2</v>
      </c>
      <c r="AG29" s="17">
        <f>'Q2 - IRTree'!AG20</f>
        <v>5.0682154636656651E-2</v>
      </c>
      <c r="AH29" s="17">
        <f>'Q2 - IRTree'!AH20</f>
        <v>5.0682154636656651E-2</v>
      </c>
      <c r="AI29" s="17">
        <f>'Q2 - IRTree'!AI20</f>
        <v>5.0682154636656651E-2</v>
      </c>
      <c r="AJ29" s="17">
        <f>'Q2 - IRTree'!AJ20</f>
        <v>5.0682154636656651E-2</v>
      </c>
      <c r="AK29" s="17">
        <f>'Q2 - IRTree'!AK20</f>
        <v>5.0682154636656651E-2</v>
      </c>
      <c r="AL29" s="17">
        <f>'Q2 - IRTree'!AL20</f>
        <v>5.0682154636656651E-2</v>
      </c>
      <c r="AM29" s="17">
        <f>'Q2 - IRTree'!AM20</f>
        <v>5.0682154636656651E-2</v>
      </c>
      <c r="AN29" s="17">
        <f>'Q2 - IRTree'!AN20</f>
        <v>5.0682154636656651E-2</v>
      </c>
      <c r="AO29" s="17">
        <f>'Q2 - IRTree'!AO20</f>
        <v>5.0682154636656651E-2</v>
      </c>
      <c r="AP29" s="17">
        <f>'Q2 - IRTree'!AP20</f>
        <v>5.0682154636656651E-2</v>
      </c>
      <c r="AQ29" s="17">
        <f>'Q2 - IRTree'!AQ20</f>
        <v>5.0682154636656651E-2</v>
      </c>
      <c r="AR29" s="17">
        <f>'Q2 - IRTree'!AR20</f>
        <v>5.0682154636656651E-2</v>
      </c>
      <c r="AS29" s="17">
        <f>'Q2 - IRTree'!AS20</f>
        <v>5.0682154636656651E-2</v>
      </c>
      <c r="AT29" s="17">
        <f>'Q2 - IRTree'!AT20</f>
        <v>5.0682154636656651E-2</v>
      </c>
      <c r="AU29" s="17">
        <f>'Q2 - IRTree'!AU20</f>
        <v>5.0682154636656651E-2</v>
      </c>
      <c r="AV29" s="17">
        <f>'Q2 - IRTree'!AV20</f>
        <v>5.0682154636656651E-2</v>
      </c>
      <c r="AW29" s="17">
        <f>'Q2 - IRTree'!AW20</f>
        <v>5.0682154636656651E-2</v>
      </c>
      <c r="AX29" s="17">
        <f>'Q2 - IRTree'!AX20</f>
        <v>5.0682154636656651E-2</v>
      </c>
      <c r="AY29" s="17">
        <f>'Q2 - IRTree'!AY20</f>
        <v>5.0682154636656651E-2</v>
      </c>
      <c r="AZ29" s="17">
        <f>'Q2 - IRTree'!AZ20</f>
        <v>5.0682154636656651E-2</v>
      </c>
      <c r="BA29" s="17">
        <f>'Q2 - IRTree'!BA20</f>
        <v>5.0682154636656651E-2</v>
      </c>
      <c r="BB29" s="17">
        <f>'Q2 - IRTree'!BB20</f>
        <v>5.0682154636656651E-2</v>
      </c>
      <c r="BC29" s="17">
        <f>'Q2 - IRTree'!BC20</f>
        <v>5.0682154636656651E-2</v>
      </c>
      <c r="BD29" s="17">
        <f>'Q2 - IRTree'!BD20</f>
        <v>5.0682154636656651E-2</v>
      </c>
      <c r="BE29" s="17">
        <f>'Q2 - IRTree'!BE20</f>
        <v>5.0682154636656651E-2</v>
      </c>
      <c r="BF29" s="17">
        <f>'Q2 - IRTree'!BF20</f>
        <v>5.0682154636656651E-2</v>
      </c>
      <c r="BG29" s="17">
        <f>'Q2 - IRTree'!BG20</f>
        <v>5.0682154636656651E-2</v>
      </c>
      <c r="BH29" s="17">
        <f>'Q2 - IRTree'!BH20</f>
        <v>5.0682154636656651E-2</v>
      </c>
      <c r="BI29" s="17">
        <f>'Q2 - IRTree'!BI20</f>
        <v>5.0682154636656651E-2</v>
      </c>
      <c r="BJ29" s="17" t="str">
        <f>'Q2 - IRTree'!BJ20</f>
        <v/>
      </c>
    </row>
    <row r="30" spans="1:62" outlineLevel="1">
      <c r="A30" s="11">
        <f t="shared" si="2"/>
        <v>7</v>
      </c>
      <c r="B30" s="17" t="str">
        <f>'Q2 - IRTree'!B21</f>
        <v/>
      </c>
      <c r="C30" s="17" t="str">
        <f>'Q2 - IRTree'!C21</f>
        <v/>
      </c>
      <c r="D30" s="17" t="str">
        <f>'Q2 - IRTree'!D21</f>
        <v/>
      </c>
      <c r="E30" s="17" t="str">
        <f>'Q2 - IRTree'!E21</f>
        <v/>
      </c>
      <c r="F30" s="17" t="str">
        <f>'Q2 - IRTree'!F21</f>
        <v/>
      </c>
      <c r="G30" s="17" t="str">
        <f>'Q2 - IRTree'!G21</f>
        <v/>
      </c>
      <c r="H30" s="17" t="str">
        <f>'Q2 - IRTree'!H21</f>
        <v/>
      </c>
      <c r="I30" s="17">
        <f>'Q2 - IRTree'!I21</f>
        <v>5.0682154636656651E-2</v>
      </c>
      <c r="J30" s="17">
        <f>'Q2 - IRTree'!J21</f>
        <v>5.0682154636656651E-2</v>
      </c>
      <c r="K30" s="17">
        <f>'Q2 - IRTree'!K21</f>
        <v>5.0682154636656651E-2</v>
      </c>
      <c r="L30" s="17">
        <f>'Q2 - IRTree'!L21</f>
        <v>5.0682154636656651E-2</v>
      </c>
      <c r="M30" s="17">
        <f>'Q2 - IRTree'!M21</f>
        <v>5.0682154636656651E-2</v>
      </c>
      <c r="N30" s="17">
        <f>'Q2 - IRTree'!N21</f>
        <v>5.0682154636656651E-2</v>
      </c>
      <c r="O30" s="17">
        <f>'Q2 - IRTree'!O21</f>
        <v>5.0682154636656651E-2</v>
      </c>
      <c r="P30" s="17">
        <f>'Q2 - IRTree'!P21</f>
        <v>5.0682154636656651E-2</v>
      </c>
      <c r="Q30" s="17">
        <f>'Q2 - IRTree'!Q21</f>
        <v>5.0682154636656651E-2</v>
      </c>
      <c r="R30" s="17">
        <f>'Q2 - IRTree'!R21</f>
        <v>5.0682154636656651E-2</v>
      </c>
      <c r="S30" s="17">
        <f>'Q2 - IRTree'!S21</f>
        <v>5.0682154636656651E-2</v>
      </c>
      <c r="T30" s="17">
        <f>'Q2 - IRTree'!T21</f>
        <v>5.0682154636656651E-2</v>
      </c>
      <c r="U30" s="17">
        <f>'Q2 - IRTree'!U21</f>
        <v>5.0682154636656651E-2</v>
      </c>
      <c r="V30" s="17">
        <f>'Q2 - IRTree'!V21</f>
        <v>5.0682154636656651E-2</v>
      </c>
      <c r="W30" s="17">
        <f>'Q2 - IRTree'!W21</f>
        <v>5.0682154636656651E-2</v>
      </c>
      <c r="X30" s="17">
        <f>'Q2 - IRTree'!X21</f>
        <v>5.0682154636656651E-2</v>
      </c>
      <c r="Y30" s="17">
        <f>'Q2 - IRTree'!Y21</f>
        <v>5.0682154636656651E-2</v>
      </c>
      <c r="Z30" s="17">
        <f>'Q2 - IRTree'!Z21</f>
        <v>5.0682154636656651E-2</v>
      </c>
      <c r="AA30" s="17">
        <f>'Q2 - IRTree'!AA21</f>
        <v>5.0682154636656651E-2</v>
      </c>
      <c r="AB30" s="17">
        <f>'Q2 - IRTree'!AB21</f>
        <v>5.0682154636656651E-2</v>
      </c>
      <c r="AC30" s="17">
        <f>'Q2 - IRTree'!AC21</f>
        <v>5.0682154636656651E-2</v>
      </c>
      <c r="AD30" s="17">
        <f>'Q2 - IRTree'!AD21</f>
        <v>5.0682154636656651E-2</v>
      </c>
      <c r="AE30" s="17">
        <f>'Q2 - IRTree'!AE21</f>
        <v>5.0682154636656651E-2</v>
      </c>
      <c r="AF30" s="17">
        <f>'Q2 - IRTree'!AF21</f>
        <v>5.0682154636656651E-2</v>
      </c>
      <c r="AG30" s="17">
        <f>'Q2 - IRTree'!AG21</f>
        <v>5.0682154636656651E-2</v>
      </c>
      <c r="AH30" s="17">
        <f>'Q2 - IRTree'!AH21</f>
        <v>5.0682154636656651E-2</v>
      </c>
      <c r="AI30" s="17">
        <f>'Q2 - IRTree'!AI21</f>
        <v>5.0682154636656651E-2</v>
      </c>
      <c r="AJ30" s="17">
        <f>'Q2 - IRTree'!AJ21</f>
        <v>5.0682154636656651E-2</v>
      </c>
      <c r="AK30" s="17">
        <f>'Q2 - IRTree'!AK21</f>
        <v>5.0682154636656651E-2</v>
      </c>
      <c r="AL30" s="17">
        <f>'Q2 - IRTree'!AL21</f>
        <v>5.0682154636656651E-2</v>
      </c>
      <c r="AM30" s="17">
        <f>'Q2 - IRTree'!AM21</f>
        <v>5.0682154636656651E-2</v>
      </c>
      <c r="AN30" s="17">
        <f>'Q2 - IRTree'!AN21</f>
        <v>5.0682154636656651E-2</v>
      </c>
      <c r="AO30" s="17">
        <f>'Q2 - IRTree'!AO21</f>
        <v>5.0682154636656651E-2</v>
      </c>
      <c r="AP30" s="17">
        <f>'Q2 - IRTree'!AP21</f>
        <v>5.0682154636656651E-2</v>
      </c>
      <c r="AQ30" s="17">
        <f>'Q2 - IRTree'!AQ21</f>
        <v>5.0682154636656651E-2</v>
      </c>
      <c r="AR30" s="17">
        <f>'Q2 - IRTree'!AR21</f>
        <v>5.0682154636656651E-2</v>
      </c>
      <c r="AS30" s="17">
        <f>'Q2 - IRTree'!AS21</f>
        <v>5.0682154636656651E-2</v>
      </c>
      <c r="AT30" s="17">
        <f>'Q2 - IRTree'!AT21</f>
        <v>5.0682154636656651E-2</v>
      </c>
      <c r="AU30" s="17">
        <f>'Q2 - IRTree'!AU21</f>
        <v>5.0682154636656651E-2</v>
      </c>
      <c r="AV30" s="17">
        <f>'Q2 - IRTree'!AV21</f>
        <v>5.0682154636656651E-2</v>
      </c>
      <c r="AW30" s="17">
        <f>'Q2 - IRTree'!AW21</f>
        <v>5.0682154636656651E-2</v>
      </c>
      <c r="AX30" s="17">
        <f>'Q2 - IRTree'!AX21</f>
        <v>5.0682154636656651E-2</v>
      </c>
      <c r="AY30" s="17">
        <f>'Q2 - IRTree'!AY21</f>
        <v>5.0682154636656651E-2</v>
      </c>
      <c r="AZ30" s="17">
        <f>'Q2 - IRTree'!AZ21</f>
        <v>5.0682154636656651E-2</v>
      </c>
      <c r="BA30" s="17">
        <f>'Q2 - IRTree'!BA21</f>
        <v>5.0682154636656651E-2</v>
      </c>
      <c r="BB30" s="17">
        <f>'Q2 - IRTree'!BB21</f>
        <v>5.0682154636656651E-2</v>
      </c>
      <c r="BC30" s="17">
        <f>'Q2 - IRTree'!BC21</f>
        <v>5.0682154636656651E-2</v>
      </c>
      <c r="BD30" s="17">
        <f>'Q2 - IRTree'!BD21</f>
        <v>5.0682154636656651E-2</v>
      </c>
      <c r="BE30" s="17">
        <f>'Q2 - IRTree'!BE21</f>
        <v>5.0682154636656651E-2</v>
      </c>
      <c r="BF30" s="17">
        <f>'Q2 - IRTree'!BF21</f>
        <v>5.0682154636656651E-2</v>
      </c>
      <c r="BG30" s="17">
        <f>'Q2 - IRTree'!BG21</f>
        <v>5.0682154636656651E-2</v>
      </c>
      <c r="BH30" s="17">
        <f>'Q2 - IRTree'!BH21</f>
        <v>5.0682154636656651E-2</v>
      </c>
      <c r="BI30" s="17">
        <f>'Q2 - IRTree'!BI21</f>
        <v>5.0682154636656651E-2</v>
      </c>
      <c r="BJ30" s="17" t="str">
        <f>'Q2 - IRTree'!BJ21</f>
        <v/>
      </c>
    </row>
    <row r="31" spans="1:62" outlineLevel="1">
      <c r="A31" s="11">
        <f t="shared" si="2"/>
        <v>8</v>
      </c>
      <c r="B31" s="17" t="str">
        <f>'Q2 - IRTree'!B22</f>
        <v/>
      </c>
      <c r="C31" s="17" t="str">
        <f>'Q2 - IRTree'!C22</f>
        <v/>
      </c>
      <c r="D31" s="17" t="str">
        <f>'Q2 - IRTree'!D22</f>
        <v/>
      </c>
      <c r="E31" s="17" t="str">
        <f>'Q2 - IRTree'!E22</f>
        <v/>
      </c>
      <c r="F31" s="17" t="str">
        <f>'Q2 - IRTree'!F22</f>
        <v/>
      </c>
      <c r="G31" s="17" t="str">
        <f>'Q2 - IRTree'!G22</f>
        <v/>
      </c>
      <c r="H31" s="17" t="str">
        <f>'Q2 - IRTree'!H22</f>
        <v/>
      </c>
      <c r="I31" s="17" t="str">
        <f>'Q2 - IRTree'!I22</f>
        <v/>
      </c>
      <c r="J31" s="17">
        <f>'Q2 - IRTree'!J22</f>
        <v>5.0682154636656651E-2</v>
      </c>
      <c r="K31" s="17">
        <f>'Q2 - IRTree'!K22</f>
        <v>5.0682154636656651E-2</v>
      </c>
      <c r="L31" s="17">
        <f>'Q2 - IRTree'!L22</f>
        <v>5.0682154636656651E-2</v>
      </c>
      <c r="M31" s="17">
        <f>'Q2 - IRTree'!M22</f>
        <v>5.0682154636656651E-2</v>
      </c>
      <c r="N31" s="17">
        <f>'Q2 - IRTree'!N22</f>
        <v>5.0682154636656651E-2</v>
      </c>
      <c r="O31" s="17">
        <f>'Q2 - IRTree'!O22</f>
        <v>5.0682154636656651E-2</v>
      </c>
      <c r="P31" s="17">
        <f>'Q2 - IRTree'!P22</f>
        <v>5.0682154636656651E-2</v>
      </c>
      <c r="Q31" s="17">
        <f>'Q2 - IRTree'!Q22</f>
        <v>5.0682154636656651E-2</v>
      </c>
      <c r="R31" s="17">
        <f>'Q2 - IRTree'!R22</f>
        <v>5.0682154636656651E-2</v>
      </c>
      <c r="S31" s="17">
        <f>'Q2 - IRTree'!S22</f>
        <v>5.0682154636656651E-2</v>
      </c>
      <c r="T31" s="17">
        <f>'Q2 - IRTree'!T22</f>
        <v>5.0682154636656651E-2</v>
      </c>
      <c r="U31" s="17">
        <f>'Q2 - IRTree'!U22</f>
        <v>5.0682154636656651E-2</v>
      </c>
      <c r="V31" s="17">
        <f>'Q2 - IRTree'!V22</f>
        <v>5.0682154636656651E-2</v>
      </c>
      <c r="W31" s="17">
        <f>'Q2 - IRTree'!W22</f>
        <v>5.0682154636656651E-2</v>
      </c>
      <c r="X31" s="17">
        <f>'Q2 - IRTree'!X22</f>
        <v>5.0682154636656651E-2</v>
      </c>
      <c r="Y31" s="17">
        <f>'Q2 - IRTree'!Y22</f>
        <v>5.0682154636656651E-2</v>
      </c>
      <c r="Z31" s="17">
        <f>'Q2 - IRTree'!Z22</f>
        <v>5.0682154636656651E-2</v>
      </c>
      <c r="AA31" s="17">
        <f>'Q2 - IRTree'!AA22</f>
        <v>5.0682154636656651E-2</v>
      </c>
      <c r="AB31" s="17">
        <f>'Q2 - IRTree'!AB22</f>
        <v>5.0682154636656651E-2</v>
      </c>
      <c r="AC31" s="17">
        <f>'Q2 - IRTree'!AC22</f>
        <v>5.0682154636656651E-2</v>
      </c>
      <c r="AD31" s="17">
        <f>'Q2 - IRTree'!AD22</f>
        <v>5.0682154636656651E-2</v>
      </c>
      <c r="AE31" s="17">
        <f>'Q2 - IRTree'!AE22</f>
        <v>5.0682154636656651E-2</v>
      </c>
      <c r="AF31" s="17">
        <f>'Q2 - IRTree'!AF22</f>
        <v>5.0682154636656651E-2</v>
      </c>
      <c r="AG31" s="17">
        <f>'Q2 - IRTree'!AG22</f>
        <v>5.0682154636656651E-2</v>
      </c>
      <c r="AH31" s="17">
        <f>'Q2 - IRTree'!AH22</f>
        <v>5.0682154636656651E-2</v>
      </c>
      <c r="AI31" s="17">
        <f>'Q2 - IRTree'!AI22</f>
        <v>5.0682154636656651E-2</v>
      </c>
      <c r="AJ31" s="17">
        <f>'Q2 - IRTree'!AJ22</f>
        <v>5.0682154636656651E-2</v>
      </c>
      <c r="AK31" s="17">
        <f>'Q2 - IRTree'!AK22</f>
        <v>5.0682154636656651E-2</v>
      </c>
      <c r="AL31" s="17">
        <f>'Q2 - IRTree'!AL22</f>
        <v>5.0682154636656651E-2</v>
      </c>
      <c r="AM31" s="17">
        <f>'Q2 - IRTree'!AM22</f>
        <v>5.0682154636656651E-2</v>
      </c>
      <c r="AN31" s="17">
        <f>'Q2 - IRTree'!AN22</f>
        <v>5.0682154636656651E-2</v>
      </c>
      <c r="AO31" s="17">
        <f>'Q2 - IRTree'!AO22</f>
        <v>5.0682154636656651E-2</v>
      </c>
      <c r="AP31" s="17">
        <f>'Q2 - IRTree'!AP22</f>
        <v>5.0682154636656651E-2</v>
      </c>
      <c r="AQ31" s="17">
        <f>'Q2 - IRTree'!AQ22</f>
        <v>5.0682154636656651E-2</v>
      </c>
      <c r="AR31" s="17">
        <f>'Q2 - IRTree'!AR22</f>
        <v>5.0682154636656651E-2</v>
      </c>
      <c r="AS31" s="17">
        <f>'Q2 - IRTree'!AS22</f>
        <v>5.0682154636656651E-2</v>
      </c>
      <c r="AT31" s="17">
        <f>'Q2 - IRTree'!AT22</f>
        <v>5.0682154636656651E-2</v>
      </c>
      <c r="AU31" s="17">
        <f>'Q2 - IRTree'!AU22</f>
        <v>5.0682154636656651E-2</v>
      </c>
      <c r="AV31" s="17">
        <f>'Q2 - IRTree'!AV22</f>
        <v>5.0682154636656651E-2</v>
      </c>
      <c r="AW31" s="17">
        <f>'Q2 - IRTree'!AW22</f>
        <v>5.0682154636656651E-2</v>
      </c>
      <c r="AX31" s="17">
        <f>'Q2 - IRTree'!AX22</f>
        <v>5.0682154636656651E-2</v>
      </c>
      <c r="AY31" s="17">
        <f>'Q2 - IRTree'!AY22</f>
        <v>5.0682154636656651E-2</v>
      </c>
      <c r="AZ31" s="17">
        <f>'Q2 - IRTree'!AZ22</f>
        <v>5.0682154636656651E-2</v>
      </c>
      <c r="BA31" s="17">
        <f>'Q2 - IRTree'!BA22</f>
        <v>5.0682154636656651E-2</v>
      </c>
      <c r="BB31" s="17">
        <f>'Q2 - IRTree'!BB22</f>
        <v>5.0682154636656651E-2</v>
      </c>
      <c r="BC31" s="17">
        <f>'Q2 - IRTree'!BC22</f>
        <v>5.0682154636656651E-2</v>
      </c>
      <c r="BD31" s="17">
        <f>'Q2 - IRTree'!BD22</f>
        <v>5.0682154636656651E-2</v>
      </c>
      <c r="BE31" s="17">
        <f>'Q2 - IRTree'!BE22</f>
        <v>5.0682154636656651E-2</v>
      </c>
      <c r="BF31" s="17">
        <f>'Q2 - IRTree'!BF22</f>
        <v>5.0682154636656651E-2</v>
      </c>
      <c r="BG31" s="17">
        <f>'Q2 - IRTree'!BG22</f>
        <v>5.0682154636656651E-2</v>
      </c>
      <c r="BH31" s="17">
        <f>'Q2 - IRTree'!BH22</f>
        <v>5.0682154636656651E-2</v>
      </c>
      <c r="BI31" s="17">
        <f>'Q2 - IRTree'!BI22</f>
        <v>5.0682154636656651E-2</v>
      </c>
      <c r="BJ31" s="17" t="str">
        <f>'Q2 - IRTree'!BJ22</f>
        <v/>
      </c>
    </row>
    <row r="32" spans="1:62" outlineLevel="1">
      <c r="A32" s="11">
        <f t="shared" si="2"/>
        <v>9</v>
      </c>
      <c r="B32" s="17" t="str">
        <f>'Q2 - IRTree'!B23</f>
        <v/>
      </c>
      <c r="C32" s="17" t="str">
        <f>'Q2 - IRTree'!C23</f>
        <v/>
      </c>
      <c r="D32" s="17" t="str">
        <f>'Q2 - IRTree'!D23</f>
        <v/>
      </c>
      <c r="E32" s="17" t="str">
        <f>'Q2 - IRTree'!E23</f>
        <v/>
      </c>
      <c r="F32" s="17" t="str">
        <f>'Q2 - IRTree'!F23</f>
        <v/>
      </c>
      <c r="G32" s="17" t="str">
        <f>'Q2 - IRTree'!G23</f>
        <v/>
      </c>
      <c r="H32" s="17" t="str">
        <f>'Q2 - IRTree'!H23</f>
        <v/>
      </c>
      <c r="I32" s="17" t="str">
        <f>'Q2 - IRTree'!I23</f>
        <v/>
      </c>
      <c r="J32" s="17" t="str">
        <f>'Q2 - IRTree'!J23</f>
        <v/>
      </c>
      <c r="K32" s="17">
        <f>'Q2 - IRTree'!K23</f>
        <v>5.0682154636656651E-2</v>
      </c>
      <c r="L32" s="17">
        <f>'Q2 - IRTree'!L23</f>
        <v>5.0682154636656651E-2</v>
      </c>
      <c r="M32" s="17">
        <f>'Q2 - IRTree'!M23</f>
        <v>5.0682154636656651E-2</v>
      </c>
      <c r="N32" s="17">
        <f>'Q2 - IRTree'!N23</f>
        <v>5.0682154636656651E-2</v>
      </c>
      <c r="O32" s="17">
        <f>'Q2 - IRTree'!O23</f>
        <v>5.0682154636656651E-2</v>
      </c>
      <c r="P32" s="17">
        <f>'Q2 - IRTree'!P23</f>
        <v>5.0682154636656651E-2</v>
      </c>
      <c r="Q32" s="17">
        <f>'Q2 - IRTree'!Q23</f>
        <v>5.0682154636656651E-2</v>
      </c>
      <c r="R32" s="17">
        <f>'Q2 - IRTree'!R23</f>
        <v>5.0682154636656651E-2</v>
      </c>
      <c r="S32" s="17">
        <f>'Q2 - IRTree'!S23</f>
        <v>5.0682154636656651E-2</v>
      </c>
      <c r="T32" s="17">
        <f>'Q2 - IRTree'!T23</f>
        <v>5.0682154636656651E-2</v>
      </c>
      <c r="U32" s="17">
        <f>'Q2 - IRTree'!U23</f>
        <v>5.0682154636656651E-2</v>
      </c>
      <c r="V32" s="17">
        <f>'Q2 - IRTree'!V23</f>
        <v>5.0682154636656651E-2</v>
      </c>
      <c r="W32" s="17">
        <f>'Q2 - IRTree'!W23</f>
        <v>5.0682154636656651E-2</v>
      </c>
      <c r="X32" s="17">
        <f>'Q2 - IRTree'!X23</f>
        <v>5.0682154636656651E-2</v>
      </c>
      <c r="Y32" s="17">
        <f>'Q2 - IRTree'!Y23</f>
        <v>5.0682154636656651E-2</v>
      </c>
      <c r="Z32" s="17">
        <f>'Q2 - IRTree'!Z23</f>
        <v>5.0682154636656651E-2</v>
      </c>
      <c r="AA32" s="17">
        <f>'Q2 - IRTree'!AA23</f>
        <v>5.0682154636656651E-2</v>
      </c>
      <c r="AB32" s="17">
        <f>'Q2 - IRTree'!AB23</f>
        <v>5.0682154636656651E-2</v>
      </c>
      <c r="AC32" s="17">
        <f>'Q2 - IRTree'!AC23</f>
        <v>5.0682154636656651E-2</v>
      </c>
      <c r="AD32" s="17">
        <f>'Q2 - IRTree'!AD23</f>
        <v>5.0682154636656651E-2</v>
      </c>
      <c r="AE32" s="17">
        <f>'Q2 - IRTree'!AE23</f>
        <v>5.0682154636656651E-2</v>
      </c>
      <c r="AF32" s="17">
        <f>'Q2 - IRTree'!AF23</f>
        <v>5.0682154636656651E-2</v>
      </c>
      <c r="AG32" s="17">
        <f>'Q2 - IRTree'!AG23</f>
        <v>5.0682154636656651E-2</v>
      </c>
      <c r="AH32" s="17">
        <f>'Q2 - IRTree'!AH23</f>
        <v>5.0682154636656651E-2</v>
      </c>
      <c r="AI32" s="17">
        <f>'Q2 - IRTree'!AI23</f>
        <v>5.0682154636656651E-2</v>
      </c>
      <c r="AJ32" s="17">
        <f>'Q2 - IRTree'!AJ23</f>
        <v>5.0682154636656651E-2</v>
      </c>
      <c r="AK32" s="17">
        <f>'Q2 - IRTree'!AK23</f>
        <v>5.0682154636656651E-2</v>
      </c>
      <c r="AL32" s="17">
        <f>'Q2 - IRTree'!AL23</f>
        <v>5.0682154636656651E-2</v>
      </c>
      <c r="AM32" s="17">
        <f>'Q2 - IRTree'!AM23</f>
        <v>5.0682154636656651E-2</v>
      </c>
      <c r="AN32" s="17">
        <f>'Q2 - IRTree'!AN23</f>
        <v>5.0682154636656651E-2</v>
      </c>
      <c r="AO32" s="17">
        <f>'Q2 - IRTree'!AO23</f>
        <v>5.0682154636656651E-2</v>
      </c>
      <c r="AP32" s="17">
        <f>'Q2 - IRTree'!AP23</f>
        <v>5.0682154636656651E-2</v>
      </c>
      <c r="AQ32" s="17">
        <f>'Q2 - IRTree'!AQ23</f>
        <v>5.0682154636656651E-2</v>
      </c>
      <c r="AR32" s="17">
        <f>'Q2 - IRTree'!AR23</f>
        <v>5.0682154636656651E-2</v>
      </c>
      <c r="AS32" s="17">
        <f>'Q2 - IRTree'!AS23</f>
        <v>5.0682154636656651E-2</v>
      </c>
      <c r="AT32" s="17">
        <f>'Q2 - IRTree'!AT23</f>
        <v>5.0682154636656651E-2</v>
      </c>
      <c r="AU32" s="17">
        <f>'Q2 - IRTree'!AU23</f>
        <v>5.0682154636656651E-2</v>
      </c>
      <c r="AV32" s="17">
        <f>'Q2 - IRTree'!AV23</f>
        <v>5.0682154636656651E-2</v>
      </c>
      <c r="AW32" s="17">
        <f>'Q2 - IRTree'!AW23</f>
        <v>5.0682154636656651E-2</v>
      </c>
      <c r="AX32" s="17">
        <f>'Q2 - IRTree'!AX23</f>
        <v>5.0682154636656651E-2</v>
      </c>
      <c r="AY32" s="17">
        <f>'Q2 - IRTree'!AY23</f>
        <v>5.0682154636656651E-2</v>
      </c>
      <c r="AZ32" s="17">
        <f>'Q2 - IRTree'!AZ23</f>
        <v>5.0682154636656651E-2</v>
      </c>
      <c r="BA32" s="17">
        <f>'Q2 - IRTree'!BA23</f>
        <v>5.0682154636656651E-2</v>
      </c>
      <c r="BB32" s="17">
        <f>'Q2 - IRTree'!BB23</f>
        <v>5.0682154636656651E-2</v>
      </c>
      <c r="BC32" s="17">
        <f>'Q2 - IRTree'!BC23</f>
        <v>5.0682154636656651E-2</v>
      </c>
      <c r="BD32" s="17">
        <f>'Q2 - IRTree'!BD23</f>
        <v>5.0682154636656651E-2</v>
      </c>
      <c r="BE32" s="17">
        <f>'Q2 - IRTree'!BE23</f>
        <v>5.0682154636656651E-2</v>
      </c>
      <c r="BF32" s="17">
        <f>'Q2 - IRTree'!BF23</f>
        <v>5.0682154636656651E-2</v>
      </c>
      <c r="BG32" s="17">
        <f>'Q2 - IRTree'!BG23</f>
        <v>5.0682154636656651E-2</v>
      </c>
      <c r="BH32" s="17">
        <f>'Q2 - IRTree'!BH23</f>
        <v>5.0682154636656651E-2</v>
      </c>
      <c r="BI32" s="17">
        <f>'Q2 - IRTree'!BI23</f>
        <v>5.0682154636656651E-2</v>
      </c>
      <c r="BJ32" s="17" t="str">
        <f>'Q2 - IRTree'!BJ23</f>
        <v/>
      </c>
    </row>
    <row r="33" spans="1:62" outlineLevel="1">
      <c r="A33" s="11">
        <f t="shared" si="2"/>
        <v>10</v>
      </c>
      <c r="B33" s="17" t="str">
        <f>'Q2 - IRTree'!B24</f>
        <v/>
      </c>
      <c r="C33" s="17" t="str">
        <f>'Q2 - IRTree'!C24</f>
        <v/>
      </c>
      <c r="D33" s="17" t="str">
        <f>'Q2 - IRTree'!D24</f>
        <v/>
      </c>
      <c r="E33" s="17" t="str">
        <f>'Q2 - IRTree'!E24</f>
        <v/>
      </c>
      <c r="F33" s="17" t="str">
        <f>'Q2 - IRTree'!F24</f>
        <v/>
      </c>
      <c r="G33" s="17" t="str">
        <f>'Q2 - IRTree'!G24</f>
        <v/>
      </c>
      <c r="H33" s="17" t="str">
        <f>'Q2 - IRTree'!H24</f>
        <v/>
      </c>
      <c r="I33" s="17" t="str">
        <f>'Q2 - IRTree'!I24</f>
        <v/>
      </c>
      <c r="J33" s="17" t="str">
        <f>'Q2 - IRTree'!J24</f>
        <v/>
      </c>
      <c r="K33" s="17" t="str">
        <f>'Q2 - IRTree'!K24</f>
        <v/>
      </c>
      <c r="L33" s="17">
        <f>'Q2 - IRTree'!L24</f>
        <v>5.0682154636656651E-2</v>
      </c>
      <c r="M33" s="17">
        <f>'Q2 - IRTree'!M24</f>
        <v>5.0682154636656651E-2</v>
      </c>
      <c r="N33" s="17">
        <f>'Q2 - IRTree'!N24</f>
        <v>5.0682154636656651E-2</v>
      </c>
      <c r="O33" s="17">
        <f>'Q2 - IRTree'!O24</f>
        <v>5.0682154636656651E-2</v>
      </c>
      <c r="P33" s="17">
        <f>'Q2 - IRTree'!P24</f>
        <v>5.0682154636656651E-2</v>
      </c>
      <c r="Q33" s="17">
        <f>'Q2 - IRTree'!Q24</f>
        <v>5.0682154636656651E-2</v>
      </c>
      <c r="R33" s="17">
        <f>'Q2 - IRTree'!R24</f>
        <v>5.0682154636656651E-2</v>
      </c>
      <c r="S33" s="17">
        <f>'Q2 - IRTree'!S24</f>
        <v>5.0682154636656651E-2</v>
      </c>
      <c r="T33" s="17">
        <f>'Q2 - IRTree'!T24</f>
        <v>5.0682154636656651E-2</v>
      </c>
      <c r="U33" s="17">
        <f>'Q2 - IRTree'!U24</f>
        <v>5.0682154636656651E-2</v>
      </c>
      <c r="V33" s="17">
        <f>'Q2 - IRTree'!V24</f>
        <v>5.0682154636656651E-2</v>
      </c>
      <c r="W33" s="17">
        <f>'Q2 - IRTree'!W24</f>
        <v>5.0682154636656651E-2</v>
      </c>
      <c r="X33" s="17">
        <f>'Q2 - IRTree'!X24</f>
        <v>5.0682154636656651E-2</v>
      </c>
      <c r="Y33" s="17">
        <f>'Q2 - IRTree'!Y24</f>
        <v>5.0682154636656651E-2</v>
      </c>
      <c r="Z33" s="17">
        <f>'Q2 - IRTree'!Z24</f>
        <v>5.0682154636656651E-2</v>
      </c>
      <c r="AA33" s="17">
        <f>'Q2 - IRTree'!AA24</f>
        <v>5.0682154636656651E-2</v>
      </c>
      <c r="AB33" s="17">
        <f>'Q2 - IRTree'!AB24</f>
        <v>5.0682154636656651E-2</v>
      </c>
      <c r="AC33" s="17">
        <f>'Q2 - IRTree'!AC24</f>
        <v>5.0682154636656651E-2</v>
      </c>
      <c r="AD33" s="17">
        <f>'Q2 - IRTree'!AD24</f>
        <v>5.0682154636656651E-2</v>
      </c>
      <c r="AE33" s="17">
        <f>'Q2 - IRTree'!AE24</f>
        <v>5.0682154636656651E-2</v>
      </c>
      <c r="AF33" s="17">
        <f>'Q2 - IRTree'!AF24</f>
        <v>5.0682154636656651E-2</v>
      </c>
      <c r="AG33" s="17">
        <f>'Q2 - IRTree'!AG24</f>
        <v>5.0682154636656651E-2</v>
      </c>
      <c r="AH33" s="17">
        <f>'Q2 - IRTree'!AH24</f>
        <v>5.0682154636656651E-2</v>
      </c>
      <c r="AI33" s="17">
        <f>'Q2 - IRTree'!AI24</f>
        <v>5.0682154636656651E-2</v>
      </c>
      <c r="AJ33" s="17">
        <f>'Q2 - IRTree'!AJ24</f>
        <v>5.0682154636656651E-2</v>
      </c>
      <c r="AK33" s="17">
        <f>'Q2 - IRTree'!AK24</f>
        <v>5.0682154636656651E-2</v>
      </c>
      <c r="AL33" s="17">
        <f>'Q2 - IRTree'!AL24</f>
        <v>5.0682154636656651E-2</v>
      </c>
      <c r="AM33" s="17">
        <f>'Q2 - IRTree'!AM24</f>
        <v>5.0682154636656651E-2</v>
      </c>
      <c r="AN33" s="17">
        <f>'Q2 - IRTree'!AN24</f>
        <v>5.0682154636656651E-2</v>
      </c>
      <c r="AO33" s="17">
        <f>'Q2 - IRTree'!AO24</f>
        <v>5.0682154636656651E-2</v>
      </c>
      <c r="AP33" s="17">
        <f>'Q2 - IRTree'!AP24</f>
        <v>5.0682154636656651E-2</v>
      </c>
      <c r="AQ33" s="17">
        <f>'Q2 - IRTree'!AQ24</f>
        <v>5.0682154636656651E-2</v>
      </c>
      <c r="AR33" s="17">
        <f>'Q2 - IRTree'!AR24</f>
        <v>5.0682154636656651E-2</v>
      </c>
      <c r="AS33" s="17">
        <f>'Q2 - IRTree'!AS24</f>
        <v>5.0682154636656651E-2</v>
      </c>
      <c r="AT33" s="17">
        <f>'Q2 - IRTree'!AT24</f>
        <v>5.0682154636656651E-2</v>
      </c>
      <c r="AU33" s="17">
        <f>'Q2 - IRTree'!AU24</f>
        <v>5.0682154636656651E-2</v>
      </c>
      <c r="AV33" s="17">
        <f>'Q2 - IRTree'!AV24</f>
        <v>5.0682154636656651E-2</v>
      </c>
      <c r="AW33" s="17">
        <f>'Q2 - IRTree'!AW24</f>
        <v>5.0682154636656651E-2</v>
      </c>
      <c r="AX33" s="17">
        <f>'Q2 - IRTree'!AX24</f>
        <v>5.0682154636656651E-2</v>
      </c>
      <c r="AY33" s="17">
        <f>'Q2 - IRTree'!AY24</f>
        <v>5.0682154636656651E-2</v>
      </c>
      <c r="AZ33" s="17">
        <f>'Q2 - IRTree'!AZ24</f>
        <v>5.0682154636656651E-2</v>
      </c>
      <c r="BA33" s="17">
        <f>'Q2 - IRTree'!BA24</f>
        <v>5.0682154636656651E-2</v>
      </c>
      <c r="BB33" s="17">
        <f>'Q2 - IRTree'!BB24</f>
        <v>5.0682154636656651E-2</v>
      </c>
      <c r="BC33" s="17">
        <f>'Q2 - IRTree'!BC24</f>
        <v>5.0682154636656651E-2</v>
      </c>
      <c r="BD33" s="17">
        <f>'Q2 - IRTree'!BD24</f>
        <v>5.0682154636656651E-2</v>
      </c>
      <c r="BE33" s="17">
        <f>'Q2 - IRTree'!BE24</f>
        <v>5.0682154636656651E-2</v>
      </c>
      <c r="BF33" s="17">
        <f>'Q2 - IRTree'!BF24</f>
        <v>5.0682154636656651E-2</v>
      </c>
      <c r="BG33" s="17">
        <f>'Q2 - IRTree'!BG24</f>
        <v>5.0682154636656651E-2</v>
      </c>
      <c r="BH33" s="17">
        <f>'Q2 - IRTree'!BH24</f>
        <v>5.0682154636656651E-2</v>
      </c>
      <c r="BI33" s="17">
        <f>'Q2 - IRTree'!BI24</f>
        <v>5.0682154636656651E-2</v>
      </c>
      <c r="BJ33" s="17" t="str">
        <f>'Q2 - IRTree'!BJ24</f>
        <v/>
      </c>
    </row>
    <row r="34" spans="1:62" outlineLevel="1">
      <c r="A34" s="11">
        <f t="shared" si="2"/>
        <v>11</v>
      </c>
      <c r="B34" s="17" t="str">
        <f>'Q2 - IRTree'!B25</f>
        <v/>
      </c>
      <c r="C34" s="17" t="str">
        <f>'Q2 - IRTree'!C25</f>
        <v/>
      </c>
      <c r="D34" s="17" t="str">
        <f>'Q2 - IRTree'!D25</f>
        <v/>
      </c>
      <c r="E34" s="17" t="str">
        <f>'Q2 - IRTree'!E25</f>
        <v/>
      </c>
      <c r="F34" s="17" t="str">
        <f>'Q2 - IRTree'!F25</f>
        <v/>
      </c>
      <c r="G34" s="17" t="str">
        <f>'Q2 - IRTree'!G25</f>
        <v/>
      </c>
      <c r="H34" s="17" t="str">
        <f>'Q2 - IRTree'!H25</f>
        <v/>
      </c>
      <c r="I34" s="17" t="str">
        <f>'Q2 - IRTree'!I25</f>
        <v/>
      </c>
      <c r="J34" s="17" t="str">
        <f>'Q2 - IRTree'!J25</f>
        <v/>
      </c>
      <c r="K34" s="17" t="str">
        <f>'Q2 - IRTree'!K25</f>
        <v/>
      </c>
      <c r="L34" s="17" t="str">
        <f>'Q2 - IRTree'!L25</f>
        <v/>
      </c>
      <c r="M34" s="17">
        <f>'Q2 - IRTree'!M25</f>
        <v>5.0682154636656651E-2</v>
      </c>
      <c r="N34" s="17">
        <f>'Q2 - IRTree'!N25</f>
        <v>5.0682154636656651E-2</v>
      </c>
      <c r="O34" s="17">
        <f>'Q2 - IRTree'!O25</f>
        <v>5.0682154636656651E-2</v>
      </c>
      <c r="P34" s="17">
        <f>'Q2 - IRTree'!P25</f>
        <v>5.0682154636656651E-2</v>
      </c>
      <c r="Q34" s="17">
        <f>'Q2 - IRTree'!Q25</f>
        <v>5.0682154636656651E-2</v>
      </c>
      <c r="R34" s="17">
        <f>'Q2 - IRTree'!R25</f>
        <v>5.0682154636656651E-2</v>
      </c>
      <c r="S34" s="17">
        <f>'Q2 - IRTree'!S25</f>
        <v>5.0682154636656651E-2</v>
      </c>
      <c r="T34" s="17">
        <f>'Q2 - IRTree'!T25</f>
        <v>5.0682154636656651E-2</v>
      </c>
      <c r="U34" s="17">
        <f>'Q2 - IRTree'!U25</f>
        <v>5.0682154636656651E-2</v>
      </c>
      <c r="V34" s="17">
        <f>'Q2 - IRTree'!V25</f>
        <v>5.0682154636656651E-2</v>
      </c>
      <c r="W34" s="17">
        <f>'Q2 - IRTree'!W25</f>
        <v>5.0682154636656651E-2</v>
      </c>
      <c r="X34" s="17">
        <f>'Q2 - IRTree'!X25</f>
        <v>5.0682154636656651E-2</v>
      </c>
      <c r="Y34" s="17">
        <f>'Q2 - IRTree'!Y25</f>
        <v>5.0682154636656651E-2</v>
      </c>
      <c r="Z34" s="17">
        <f>'Q2 - IRTree'!Z25</f>
        <v>5.0682154636656651E-2</v>
      </c>
      <c r="AA34" s="17">
        <f>'Q2 - IRTree'!AA25</f>
        <v>5.0682154636656651E-2</v>
      </c>
      <c r="AB34" s="17">
        <f>'Q2 - IRTree'!AB25</f>
        <v>5.0682154636656651E-2</v>
      </c>
      <c r="AC34" s="17">
        <f>'Q2 - IRTree'!AC25</f>
        <v>5.0682154636656651E-2</v>
      </c>
      <c r="AD34" s="17">
        <f>'Q2 - IRTree'!AD25</f>
        <v>5.0682154636656651E-2</v>
      </c>
      <c r="AE34" s="17">
        <f>'Q2 - IRTree'!AE25</f>
        <v>5.0682154636656651E-2</v>
      </c>
      <c r="AF34" s="17">
        <f>'Q2 - IRTree'!AF25</f>
        <v>5.0682154636656651E-2</v>
      </c>
      <c r="AG34" s="17">
        <f>'Q2 - IRTree'!AG25</f>
        <v>5.0682154636656651E-2</v>
      </c>
      <c r="AH34" s="17">
        <f>'Q2 - IRTree'!AH25</f>
        <v>5.0682154636656651E-2</v>
      </c>
      <c r="AI34" s="17">
        <f>'Q2 - IRTree'!AI25</f>
        <v>5.0682154636656651E-2</v>
      </c>
      <c r="AJ34" s="17">
        <f>'Q2 - IRTree'!AJ25</f>
        <v>5.0682154636656651E-2</v>
      </c>
      <c r="AK34" s="17">
        <f>'Q2 - IRTree'!AK25</f>
        <v>5.0682154636656651E-2</v>
      </c>
      <c r="AL34" s="17">
        <f>'Q2 - IRTree'!AL25</f>
        <v>5.0682154636656651E-2</v>
      </c>
      <c r="AM34" s="17">
        <f>'Q2 - IRTree'!AM25</f>
        <v>5.0682154636656651E-2</v>
      </c>
      <c r="AN34" s="17">
        <f>'Q2 - IRTree'!AN25</f>
        <v>5.0682154636656651E-2</v>
      </c>
      <c r="AO34" s="17">
        <f>'Q2 - IRTree'!AO25</f>
        <v>5.0682154636656651E-2</v>
      </c>
      <c r="AP34" s="17">
        <f>'Q2 - IRTree'!AP25</f>
        <v>5.0682154636656651E-2</v>
      </c>
      <c r="AQ34" s="17">
        <f>'Q2 - IRTree'!AQ25</f>
        <v>5.0682154636656651E-2</v>
      </c>
      <c r="AR34" s="17">
        <f>'Q2 - IRTree'!AR25</f>
        <v>5.0682154636656651E-2</v>
      </c>
      <c r="AS34" s="17">
        <f>'Q2 - IRTree'!AS25</f>
        <v>5.0682154636656651E-2</v>
      </c>
      <c r="AT34" s="17">
        <f>'Q2 - IRTree'!AT25</f>
        <v>5.0682154636656651E-2</v>
      </c>
      <c r="AU34" s="17">
        <f>'Q2 - IRTree'!AU25</f>
        <v>5.0682154636656651E-2</v>
      </c>
      <c r="AV34" s="17">
        <f>'Q2 - IRTree'!AV25</f>
        <v>5.0682154636656651E-2</v>
      </c>
      <c r="AW34" s="17">
        <f>'Q2 - IRTree'!AW25</f>
        <v>5.0682154636656651E-2</v>
      </c>
      <c r="AX34" s="17">
        <f>'Q2 - IRTree'!AX25</f>
        <v>5.0682154636656651E-2</v>
      </c>
      <c r="AY34" s="17">
        <f>'Q2 - IRTree'!AY25</f>
        <v>5.0682154636656651E-2</v>
      </c>
      <c r="AZ34" s="17">
        <f>'Q2 - IRTree'!AZ25</f>
        <v>5.0682154636656651E-2</v>
      </c>
      <c r="BA34" s="17">
        <f>'Q2 - IRTree'!BA25</f>
        <v>5.0682154636656651E-2</v>
      </c>
      <c r="BB34" s="17">
        <f>'Q2 - IRTree'!BB25</f>
        <v>5.0682154636656651E-2</v>
      </c>
      <c r="BC34" s="17">
        <f>'Q2 - IRTree'!BC25</f>
        <v>5.0682154636656651E-2</v>
      </c>
      <c r="BD34" s="17">
        <f>'Q2 - IRTree'!BD25</f>
        <v>5.0682154636656651E-2</v>
      </c>
      <c r="BE34" s="17">
        <f>'Q2 - IRTree'!BE25</f>
        <v>5.0682154636656651E-2</v>
      </c>
      <c r="BF34" s="17">
        <f>'Q2 - IRTree'!BF25</f>
        <v>5.0682154636656651E-2</v>
      </c>
      <c r="BG34" s="17">
        <f>'Q2 - IRTree'!BG25</f>
        <v>5.0682154636656651E-2</v>
      </c>
      <c r="BH34" s="17">
        <f>'Q2 - IRTree'!BH25</f>
        <v>5.0682154636656651E-2</v>
      </c>
      <c r="BI34" s="17">
        <f>'Q2 - IRTree'!BI25</f>
        <v>5.0682154636656651E-2</v>
      </c>
      <c r="BJ34" s="17" t="str">
        <f>'Q2 - IRTree'!BJ25</f>
        <v/>
      </c>
    </row>
    <row r="35" spans="1:62" outlineLevel="1">
      <c r="A35" s="11">
        <f t="shared" si="2"/>
        <v>12</v>
      </c>
      <c r="B35" s="17" t="str">
        <f>'Q2 - IRTree'!B26</f>
        <v/>
      </c>
      <c r="C35" s="17" t="str">
        <f>'Q2 - IRTree'!C26</f>
        <v/>
      </c>
      <c r="D35" s="17" t="str">
        <f>'Q2 - IRTree'!D26</f>
        <v/>
      </c>
      <c r="E35" s="17" t="str">
        <f>'Q2 - IRTree'!E26</f>
        <v/>
      </c>
      <c r="F35" s="17" t="str">
        <f>'Q2 - IRTree'!F26</f>
        <v/>
      </c>
      <c r="G35" s="17" t="str">
        <f>'Q2 - IRTree'!G26</f>
        <v/>
      </c>
      <c r="H35" s="17" t="str">
        <f>'Q2 - IRTree'!H26</f>
        <v/>
      </c>
      <c r="I35" s="17" t="str">
        <f>'Q2 - IRTree'!I26</f>
        <v/>
      </c>
      <c r="J35" s="17" t="str">
        <f>'Q2 - IRTree'!J26</f>
        <v/>
      </c>
      <c r="K35" s="17" t="str">
        <f>'Q2 - IRTree'!K26</f>
        <v/>
      </c>
      <c r="L35" s="17" t="str">
        <f>'Q2 - IRTree'!L26</f>
        <v/>
      </c>
      <c r="M35" s="17" t="str">
        <f>'Q2 - IRTree'!M26</f>
        <v/>
      </c>
      <c r="N35" s="17">
        <f>'Q2 - IRTree'!N26</f>
        <v>5.0682154636656651E-2</v>
      </c>
      <c r="O35" s="17">
        <f>'Q2 - IRTree'!O26</f>
        <v>5.0682154636656651E-2</v>
      </c>
      <c r="P35" s="17">
        <f>'Q2 - IRTree'!P26</f>
        <v>5.0682154636656651E-2</v>
      </c>
      <c r="Q35" s="17">
        <f>'Q2 - IRTree'!Q26</f>
        <v>5.0682154636656651E-2</v>
      </c>
      <c r="R35" s="17">
        <f>'Q2 - IRTree'!R26</f>
        <v>5.0682154636656651E-2</v>
      </c>
      <c r="S35" s="17">
        <f>'Q2 - IRTree'!S26</f>
        <v>5.0682154636656651E-2</v>
      </c>
      <c r="T35" s="17">
        <f>'Q2 - IRTree'!T26</f>
        <v>5.0682154636656651E-2</v>
      </c>
      <c r="U35" s="17">
        <f>'Q2 - IRTree'!U26</f>
        <v>5.0682154636656651E-2</v>
      </c>
      <c r="V35" s="17">
        <f>'Q2 - IRTree'!V26</f>
        <v>5.0682154636656651E-2</v>
      </c>
      <c r="W35" s="17">
        <f>'Q2 - IRTree'!W26</f>
        <v>5.0682154636656651E-2</v>
      </c>
      <c r="X35" s="17">
        <f>'Q2 - IRTree'!X26</f>
        <v>5.0682154636656651E-2</v>
      </c>
      <c r="Y35" s="17">
        <f>'Q2 - IRTree'!Y26</f>
        <v>5.0682154636656651E-2</v>
      </c>
      <c r="Z35" s="17">
        <f>'Q2 - IRTree'!Z26</f>
        <v>5.0682154636656651E-2</v>
      </c>
      <c r="AA35" s="17">
        <f>'Q2 - IRTree'!AA26</f>
        <v>5.0682154636656651E-2</v>
      </c>
      <c r="AB35" s="17">
        <f>'Q2 - IRTree'!AB26</f>
        <v>5.0682154636656651E-2</v>
      </c>
      <c r="AC35" s="17">
        <f>'Q2 - IRTree'!AC26</f>
        <v>5.0682154636656651E-2</v>
      </c>
      <c r="AD35" s="17">
        <f>'Q2 - IRTree'!AD26</f>
        <v>5.0682154636656651E-2</v>
      </c>
      <c r="AE35" s="17">
        <f>'Q2 - IRTree'!AE26</f>
        <v>5.0682154636656651E-2</v>
      </c>
      <c r="AF35" s="17">
        <f>'Q2 - IRTree'!AF26</f>
        <v>5.0682154636656651E-2</v>
      </c>
      <c r="AG35" s="17">
        <f>'Q2 - IRTree'!AG26</f>
        <v>5.0682154636656651E-2</v>
      </c>
      <c r="AH35" s="17">
        <f>'Q2 - IRTree'!AH26</f>
        <v>5.0682154636656651E-2</v>
      </c>
      <c r="AI35" s="17">
        <f>'Q2 - IRTree'!AI26</f>
        <v>5.0682154636656651E-2</v>
      </c>
      <c r="AJ35" s="17">
        <f>'Q2 - IRTree'!AJ26</f>
        <v>5.0682154636656651E-2</v>
      </c>
      <c r="AK35" s="17">
        <f>'Q2 - IRTree'!AK26</f>
        <v>5.0682154636656651E-2</v>
      </c>
      <c r="AL35" s="17">
        <f>'Q2 - IRTree'!AL26</f>
        <v>5.0682154636656651E-2</v>
      </c>
      <c r="AM35" s="17">
        <f>'Q2 - IRTree'!AM26</f>
        <v>5.0682154636656651E-2</v>
      </c>
      <c r="AN35" s="17">
        <f>'Q2 - IRTree'!AN26</f>
        <v>5.0682154636656651E-2</v>
      </c>
      <c r="AO35" s="17">
        <f>'Q2 - IRTree'!AO26</f>
        <v>5.0682154636656651E-2</v>
      </c>
      <c r="AP35" s="17">
        <f>'Q2 - IRTree'!AP26</f>
        <v>5.0682154636656651E-2</v>
      </c>
      <c r="AQ35" s="17">
        <f>'Q2 - IRTree'!AQ26</f>
        <v>5.0682154636656651E-2</v>
      </c>
      <c r="AR35" s="17">
        <f>'Q2 - IRTree'!AR26</f>
        <v>5.0682154636656651E-2</v>
      </c>
      <c r="AS35" s="17">
        <f>'Q2 - IRTree'!AS26</f>
        <v>5.0682154636656651E-2</v>
      </c>
      <c r="AT35" s="17">
        <f>'Q2 - IRTree'!AT26</f>
        <v>5.0682154636656651E-2</v>
      </c>
      <c r="AU35" s="17">
        <f>'Q2 - IRTree'!AU26</f>
        <v>5.0682154636656651E-2</v>
      </c>
      <c r="AV35" s="17">
        <f>'Q2 - IRTree'!AV26</f>
        <v>5.0682154636656651E-2</v>
      </c>
      <c r="AW35" s="17">
        <f>'Q2 - IRTree'!AW26</f>
        <v>5.0682154636656651E-2</v>
      </c>
      <c r="AX35" s="17">
        <f>'Q2 - IRTree'!AX26</f>
        <v>5.0682154636656651E-2</v>
      </c>
      <c r="AY35" s="17">
        <f>'Q2 - IRTree'!AY26</f>
        <v>5.0682154636656651E-2</v>
      </c>
      <c r="AZ35" s="17">
        <f>'Q2 - IRTree'!AZ26</f>
        <v>5.0682154636656651E-2</v>
      </c>
      <c r="BA35" s="17">
        <f>'Q2 - IRTree'!BA26</f>
        <v>5.0682154636656651E-2</v>
      </c>
      <c r="BB35" s="17">
        <f>'Q2 - IRTree'!BB26</f>
        <v>5.0682154636656651E-2</v>
      </c>
      <c r="BC35" s="17">
        <f>'Q2 - IRTree'!BC26</f>
        <v>5.0682154636656651E-2</v>
      </c>
      <c r="BD35" s="17">
        <f>'Q2 - IRTree'!BD26</f>
        <v>5.0682154636656651E-2</v>
      </c>
      <c r="BE35" s="17">
        <f>'Q2 - IRTree'!BE26</f>
        <v>5.0682154636656651E-2</v>
      </c>
      <c r="BF35" s="17">
        <f>'Q2 - IRTree'!BF26</f>
        <v>5.0682154636656651E-2</v>
      </c>
      <c r="BG35" s="17">
        <f>'Q2 - IRTree'!BG26</f>
        <v>5.0682154636656651E-2</v>
      </c>
      <c r="BH35" s="17">
        <f>'Q2 - IRTree'!BH26</f>
        <v>5.0682154636656651E-2</v>
      </c>
      <c r="BI35" s="17">
        <f>'Q2 - IRTree'!BI26</f>
        <v>5.0682154636656651E-2</v>
      </c>
      <c r="BJ35" s="17" t="str">
        <f>'Q2 - IRTree'!BJ26</f>
        <v/>
      </c>
    </row>
    <row r="36" spans="1:62" outlineLevel="1">
      <c r="A36" s="11">
        <f t="shared" si="2"/>
        <v>13</v>
      </c>
      <c r="B36" s="17" t="str">
        <f>'Q2 - IRTree'!B27</f>
        <v/>
      </c>
      <c r="C36" s="17" t="str">
        <f>'Q2 - IRTree'!C27</f>
        <v/>
      </c>
      <c r="D36" s="17" t="str">
        <f>'Q2 - IRTree'!D27</f>
        <v/>
      </c>
      <c r="E36" s="17" t="str">
        <f>'Q2 - IRTree'!E27</f>
        <v/>
      </c>
      <c r="F36" s="17" t="str">
        <f>'Q2 - IRTree'!F27</f>
        <v/>
      </c>
      <c r="G36" s="17" t="str">
        <f>'Q2 - IRTree'!G27</f>
        <v/>
      </c>
      <c r="H36" s="17" t="str">
        <f>'Q2 - IRTree'!H27</f>
        <v/>
      </c>
      <c r="I36" s="17" t="str">
        <f>'Q2 - IRTree'!I27</f>
        <v/>
      </c>
      <c r="J36" s="17" t="str">
        <f>'Q2 - IRTree'!J27</f>
        <v/>
      </c>
      <c r="K36" s="17" t="str">
        <f>'Q2 - IRTree'!K27</f>
        <v/>
      </c>
      <c r="L36" s="17" t="str">
        <f>'Q2 - IRTree'!L27</f>
        <v/>
      </c>
      <c r="M36" s="17" t="str">
        <f>'Q2 - IRTree'!M27</f>
        <v/>
      </c>
      <c r="N36" s="17" t="str">
        <f>'Q2 - IRTree'!N27</f>
        <v/>
      </c>
      <c r="O36" s="17">
        <f>'Q2 - IRTree'!O27</f>
        <v>5.0682154636656651E-2</v>
      </c>
      <c r="P36" s="17">
        <f>'Q2 - IRTree'!P27</f>
        <v>5.0682154636656651E-2</v>
      </c>
      <c r="Q36" s="17">
        <f>'Q2 - IRTree'!Q27</f>
        <v>5.0682154636656651E-2</v>
      </c>
      <c r="R36" s="17">
        <f>'Q2 - IRTree'!R27</f>
        <v>5.0682154636656651E-2</v>
      </c>
      <c r="S36" s="17">
        <f>'Q2 - IRTree'!S27</f>
        <v>5.0682154636656651E-2</v>
      </c>
      <c r="T36" s="17">
        <f>'Q2 - IRTree'!T27</f>
        <v>5.0682154636656651E-2</v>
      </c>
      <c r="U36" s="17">
        <f>'Q2 - IRTree'!U27</f>
        <v>5.0682154636656651E-2</v>
      </c>
      <c r="V36" s="17">
        <f>'Q2 - IRTree'!V27</f>
        <v>5.0682154636656651E-2</v>
      </c>
      <c r="W36" s="17">
        <f>'Q2 - IRTree'!W27</f>
        <v>5.0682154636656651E-2</v>
      </c>
      <c r="X36" s="17">
        <f>'Q2 - IRTree'!X27</f>
        <v>5.0682154636656651E-2</v>
      </c>
      <c r="Y36" s="17">
        <f>'Q2 - IRTree'!Y27</f>
        <v>5.0682154636656651E-2</v>
      </c>
      <c r="Z36" s="17">
        <f>'Q2 - IRTree'!Z27</f>
        <v>5.0682154636656651E-2</v>
      </c>
      <c r="AA36" s="17">
        <f>'Q2 - IRTree'!AA27</f>
        <v>5.0682154636656651E-2</v>
      </c>
      <c r="AB36" s="17">
        <f>'Q2 - IRTree'!AB27</f>
        <v>5.0682154636656651E-2</v>
      </c>
      <c r="AC36" s="17">
        <f>'Q2 - IRTree'!AC27</f>
        <v>5.0682154636656651E-2</v>
      </c>
      <c r="AD36" s="17">
        <f>'Q2 - IRTree'!AD27</f>
        <v>5.0682154636656651E-2</v>
      </c>
      <c r="AE36" s="17">
        <f>'Q2 - IRTree'!AE27</f>
        <v>5.0682154636656651E-2</v>
      </c>
      <c r="AF36" s="17">
        <f>'Q2 - IRTree'!AF27</f>
        <v>5.0682154636656651E-2</v>
      </c>
      <c r="AG36" s="17">
        <f>'Q2 - IRTree'!AG27</f>
        <v>5.0682154636656651E-2</v>
      </c>
      <c r="AH36" s="17">
        <f>'Q2 - IRTree'!AH27</f>
        <v>5.0682154636656651E-2</v>
      </c>
      <c r="AI36" s="17">
        <f>'Q2 - IRTree'!AI27</f>
        <v>5.0682154636656651E-2</v>
      </c>
      <c r="AJ36" s="17">
        <f>'Q2 - IRTree'!AJ27</f>
        <v>5.0682154636656651E-2</v>
      </c>
      <c r="AK36" s="17">
        <f>'Q2 - IRTree'!AK27</f>
        <v>5.0682154636656651E-2</v>
      </c>
      <c r="AL36" s="17">
        <f>'Q2 - IRTree'!AL27</f>
        <v>5.0682154636656651E-2</v>
      </c>
      <c r="AM36" s="17">
        <f>'Q2 - IRTree'!AM27</f>
        <v>5.0682154636656651E-2</v>
      </c>
      <c r="AN36" s="17">
        <f>'Q2 - IRTree'!AN27</f>
        <v>5.0682154636656651E-2</v>
      </c>
      <c r="AO36" s="17">
        <f>'Q2 - IRTree'!AO27</f>
        <v>5.0682154636656651E-2</v>
      </c>
      <c r="AP36" s="17">
        <f>'Q2 - IRTree'!AP27</f>
        <v>5.0682154636656651E-2</v>
      </c>
      <c r="AQ36" s="17">
        <f>'Q2 - IRTree'!AQ27</f>
        <v>5.0682154636656651E-2</v>
      </c>
      <c r="AR36" s="17">
        <f>'Q2 - IRTree'!AR27</f>
        <v>5.0682154636656651E-2</v>
      </c>
      <c r="AS36" s="17">
        <f>'Q2 - IRTree'!AS27</f>
        <v>5.0682154636656651E-2</v>
      </c>
      <c r="AT36" s="17">
        <f>'Q2 - IRTree'!AT27</f>
        <v>5.0682154636656651E-2</v>
      </c>
      <c r="AU36" s="17">
        <f>'Q2 - IRTree'!AU27</f>
        <v>5.0682154636656651E-2</v>
      </c>
      <c r="AV36" s="17">
        <f>'Q2 - IRTree'!AV27</f>
        <v>5.0682154636656651E-2</v>
      </c>
      <c r="AW36" s="17">
        <f>'Q2 - IRTree'!AW27</f>
        <v>5.0682154636656651E-2</v>
      </c>
      <c r="AX36" s="17">
        <f>'Q2 - IRTree'!AX27</f>
        <v>5.0682154636656651E-2</v>
      </c>
      <c r="AY36" s="17">
        <f>'Q2 - IRTree'!AY27</f>
        <v>5.0682154636656651E-2</v>
      </c>
      <c r="AZ36" s="17">
        <f>'Q2 - IRTree'!AZ27</f>
        <v>5.0682154636656651E-2</v>
      </c>
      <c r="BA36" s="17">
        <f>'Q2 - IRTree'!BA27</f>
        <v>5.0682154636656651E-2</v>
      </c>
      <c r="BB36" s="17">
        <f>'Q2 - IRTree'!BB27</f>
        <v>5.0682154636656651E-2</v>
      </c>
      <c r="BC36" s="17">
        <f>'Q2 - IRTree'!BC27</f>
        <v>5.0682154636656651E-2</v>
      </c>
      <c r="BD36" s="17">
        <f>'Q2 - IRTree'!BD27</f>
        <v>5.0682154636656651E-2</v>
      </c>
      <c r="BE36" s="17">
        <f>'Q2 - IRTree'!BE27</f>
        <v>5.0682154636656651E-2</v>
      </c>
      <c r="BF36" s="17">
        <f>'Q2 - IRTree'!BF27</f>
        <v>5.0682154636656651E-2</v>
      </c>
      <c r="BG36" s="17">
        <f>'Q2 - IRTree'!BG27</f>
        <v>5.0682154636656651E-2</v>
      </c>
      <c r="BH36" s="17">
        <f>'Q2 - IRTree'!BH27</f>
        <v>5.0682154636656651E-2</v>
      </c>
      <c r="BI36" s="17">
        <f>'Q2 - IRTree'!BI27</f>
        <v>5.0682154636656651E-2</v>
      </c>
      <c r="BJ36" s="17" t="str">
        <f>'Q2 - IRTree'!BJ27</f>
        <v/>
      </c>
    </row>
    <row r="37" spans="1:62" outlineLevel="1">
      <c r="A37" s="11">
        <f t="shared" si="2"/>
        <v>14</v>
      </c>
      <c r="B37" s="17" t="str">
        <f>'Q2 - IRTree'!B28</f>
        <v/>
      </c>
      <c r="C37" s="17" t="str">
        <f>'Q2 - IRTree'!C28</f>
        <v/>
      </c>
      <c r="D37" s="17" t="str">
        <f>'Q2 - IRTree'!D28</f>
        <v/>
      </c>
      <c r="E37" s="17" t="str">
        <f>'Q2 - IRTree'!E28</f>
        <v/>
      </c>
      <c r="F37" s="17" t="str">
        <f>'Q2 - IRTree'!F28</f>
        <v/>
      </c>
      <c r="G37" s="17" t="str">
        <f>'Q2 - IRTree'!G28</f>
        <v/>
      </c>
      <c r="H37" s="17" t="str">
        <f>'Q2 - IRTree'!H28</f>
        <v/>
      </c>
      <c r="I37" s="17" t="str">
        <f>'Q2 - IRTree'!I28</f>
        <v/>
      </c>
      <c r="J37" s="17" t="str">
        <f>'Q2 - IRTree'!J28</f>
        <v/>
      </c>
      <c r="K37" s="17" t="str">
        <f>'Q2 - IRTree'!K28</f>
        <v/>
      </c>
      <c r="L37" s="17" t="str">
        <f>'Q2 - IRTree'!L28</f>
        <v/>
      </c>
      <c r="M37" s="17" t="str">
        <f>'Q2 - IRTree'!M28</f>
        <v/>
      </c>
      <c r="N37" s="17" t="str">
        <f>'Q2 - IRTree'!N28</f>
        <v/>
      </c>
      <c r="O37" s="17" t="str">
        <f>'Q2 - IRTree'!O28</f>
        <v/>
      </c>
      <c r="P37" s="17">
        <f>'Q2 - IRTree'!P28</f>
        <v>5.0682154636656651E-2</v>
      </c>
      <c r="Q37" s="17">
        <f>'Q2 - IRTree'!Q28</f>
        <v>5.0682154636656651E-2</v>
      </c>
      <c r="R37" s="17">
        <f>'Q2 - IRTree'!R28</f>
        <v>5.0682154636656651E-2</v>
      </c>
      <c r="S37" s="17">
        <f>'Q2 - IRTree'!S28</f>
        <v>5.0682154636656651E-2</v>
      </c>
      <c r="T37" s="17">
        <f>'Q2 - IRTree'!T28</f>
        <v>5.0682154636656651E-2</v>
      </c>
      <c r="U37" s="17">
        <f>'Q2 - IRTree'!U28</f>
        <v>5.0682154636656651E-2</v>
      </c>
      <c r="V37" s="17">
        <f>'Q2 - IRTree'!V28</f>
        <v>5.0682154636656651E-2</v>
      </c>
      <c r="W37" s="17">
        <f>'Q2 - IRTree'!W28</f>
        <v>5.0682154636656651E-2</v>
      </c>
      <c r="X37" s="17">
        <f>'Q2 - IRTree'!X28</f>
        <v>5.0682154636656651E-2</v>
      </c>
      <c r="Y37" s="17">
        <f>'Q2 - IRTree'!Y28</f>
        <v>5.0682154636656651E-2</v>
      </c>
      <c r="Z37" s="17">
        <f>'Q2 - IRTree'!Z28</f>
        <v>5.0682154636656651E-2</v>
      </c>
      <c r="AA37" s="17">
        <f>'Q2 - IRTree'!AA28</f>
        <v>5.0682154636656651E-2</v>
      </c>
      <c r="AB37" s="17">
        <f>'Q2 - IRTree'!AB28</f>
        <v>5.0682154636656651E-2</v>
      </c>
      <c r="AC37" s="17">
        <f>'Q2 - IRTree'!AC28</f>
        <v>5.0682154636656651E-2</v>
      </c>
      <c r="AD37" s="17">
        <f>'Q2 - IRTree'!AD28</f>
        <v>5.0682154636656651E-2</v>
      </c>
      <c r="AE37" s="17">
        <f>'Q2 - IRTree'!AE28</f>
        <v>5.0682154636656651E-2</v>
      </c>
      <c r="AF37" s="17">
        <f>'Q2 - IRTree'!AF28</f>
        <v>5.0682154636656651E-2</v>
      </c>
      <c r="AG37" s="17">
        <f>'Q2 - IRTree'!AG28</f>
        <v>5.0682154636656651E-2</v>
      </c>
      <c r="AH37" s="17">
        <f>'Q2 - IRTree'!AH28</f>
        <v>5.0682154636656651E-2</v>
      </c>
      <c r="AI37" s="17">
        <f>'Q2 - IRTree'!AI28</f>
        <v>5.0682154636656651E-2</v>
      </c>
      <c r="AJ37" s="17">
        <f>'Q2 - IRTree'!AJ28</f>
        <v>5.0682154636656651E-2</v>
      </c>
      <c r="AK37" s="17">
        <f>'Q2 - IRTree'!AK28</f>
        <v>5.0682154636656651E-2</v>
      </c>
      <c r="AL37" s="17">
        <f>'Q2 - IRTree'!AL28</f>
        <v>5.0682154636656651E-2</v>
      </c>
      <c r="AM37" s="17">
        <f>'Q2 - IRTree'!AM28</f>
        <v>5.0682154636656651E-2</v>
      </c>
      <c r="AN37" s="17">
        <f>'Q2 - IRTree'!AN28</f>
        <v>5.0682154636656651E-2</v>
      </c>
      <c r="AO37" s="17">
        <f>'Q2 - IRTree'!AO28</f>
        <v>5.0682154636656651E-2</v>
      </c>
      <c r="AP37" s="17">
        <f>'Q2 - IRTree'!AP28</f>
        <v>5.0682154636656651E-2</v>
      </c>
      <c r="AQ37" s="17">
        <f>'Q2 - IRTree'!AQ28</f>
        <v>5.0682154636656651E-2</v>
      </c>
      <c r="AR37" s="17">
        <f>'Q2 - IRTree'!AR28</f>
        <v>5.0682154636656651E-2</v>
      </c>
      <c r="AS37" s="17">
        <f>'Q2 - IRTree'!AS28</f>
        <v>5.0682154636656651E-2</v>
      </c>
      <c r="AT37" s="17">
        <f>'Q2 - IRTree'!AT28</f>
        <v>5.0682154636656651E-2</v>
      </c>
      <c r="AU37" s="17">
        <f>'Q2 - IRTree'!AU28</f>
        <v>5.0682154636656651E-2</v>
      </c>
      <c r="AV37" s="17">
        <f>'Q2 - IRTree'!AV28</f>
        <v>5.0682154636656651E-2</v>
      </c>
      <c r="AW37" s="17">
        <f>'Q2 - IRTree'!AW28</f>
        <v>5.0682154636656651E-2</v>
      </c>
      <c r="AX37" s="17">
        <f>'Q2 - IRTree'!AX28</f>
        <v>5.0682154636656651E-2</v>
      </c>
      <c r="AY37" s="17">
        <f>'Q2 - IRTree'!AY28</f>
        <v>5.0682154636656651E-2</v>
      </c>
      <c r="AZ37" s="17">
        <f>'Q2 - IRTree'!AZ28</f>
        <v>5.0682154636656651E-2</v>
      </c>
      <c r="BA37" s="17">
        <f>'Q2 - IRTree'!BA28</f>
        <v>5.0682154636656651E-2</v>
      </c>
      <c r="BB37" s="17">
        <f>'Q2 - IRTree'!BB28</f>
        <v>5.0682154636656651E-2</v>
      </c>
      <c r="BC37" s="17">
        <f>'Q2 - IRTree'!BC28</f>
        <v>5.0682154636656651E-2</v>
      </c>
      <c r="BD37" s="17">
        <f>'Q2 - IRTree'!BD28</f>
        <v>5.0682154636656651E-2</v>
      </c>
      <c r="BE37" s="17">
        <f>'Q2 - IRTree'!BE28</f>
        <v>5.0682154636656651E-2</v>
      </c>
      <c r="BF37" s="17">
        <f>'Q2 - IRTree'!BF28</f>
        <v>5.0682154636656651E-2</v>
      </c>
      <c r="BG37" s="17">
        <f>'Q2 - IRTree'!BG28</f>
        <v>5.0682154636656651E-2</v>
      </c>
      <c r="BH37" s="17">
        <f>'Q2 - IRTree'!BH28</f>
        <v>5.0682154636656651E-2</v>
      </c>
      <c r="BI37" s="17">
        <f>'Q2 - IRTree'!BI28</f>
        <v>5.0682154636656651E-2</v>
      </c>
      <c r="BJ37" s="17" t="str">
        <f>'Q2 - IRTree'!BJ28</f>
        <v/>
      </c>
    </row>
    <row r="38" spans="1:62" outlineLevel="1">
      <c r="A38" s="11">
        <f t="shared" si="2"/>
        <v>15</v>
      </c>
      <c r="B38" s="17" t="str">
        <f>'Q2 - IRTree'!B29</f>
        <v/>
      </c>
      <c r="C38" s="17" t="str">
        <f>'Q2 - IRTree'!C29</f>
        <v/>
      </c>
      <c r="D38" s="17" t="str">
        <f>'Q2 - IRTree'!D29</f>
        <v/>
      </c>
      <c r="E38" s="17" t="str">
        <f>'Q2 - IRTree'!E29</f>
        <v/>
      </c>
      <c r="F38" s="17" t="str">
        <f>'Q2 - IRTree'!F29</f>
        <v/>
      </c>
      <c r="G38" s="17" t="str">
        <f>'Q2 - IRTree'!G29</f>
        <v/>
      </c>
      <c r="H38" s="17" t="str">
        <f>'Q2 - IRTree'!H29</f>
        <v/>
      </c>
      <c r="I38" s="17" t="str">
        <f>'Q2 - IRTree'!I29</f>
        <v/>
      </c>
      <c r="J38" s="17" t="str">
        <f>'Q2 - IRTree'!J29</f>
        <v/>
      </c>
      <c r="K38" s="17" t="str">
        <f>'Q2 - IRTree'!K29</f>
        <v/>
      </c>
      <c r="L38" s="17" t="str">
        <f>'Q2 - IRTree'!L29</f>
        <v/>
      </c>
      <c r="M38" s="17" t="str">
        <f>'Q2 - IRTree'!M29</f>
        <v/>
      </c>
      <c r="N38" s="17" t="str">
        <f>'Q2 - IRTree'!N29</f>
        <v/>
      </c>
      <c r="O38" s="17" t="str">
        <f>'Q2 - IRTree'!O29</f>
        <v/>
      </c>
      <c r="P38" s="17" t="str">
        <f>'Q2 - IRTree'!P29</f>
        <v/>
      </c>
      <c r="Q38" s="17">
        <f>'Q2 - IRTree'!Q29</f>
        <v>5.0682154636656651E-2</v>
      </c>
      <c r="R38" s="17">
        <f>'Q2 - IRTree'!R29</f>
        <v>5.0682154636656651E-2</v>
      </c>
      <c r="S38" s="17">
        <f>'Q2 - IRTree'!S29</f>
        <v>5.0682154636656651E-2</v>
      </c>
      <c r="T38" s="17">
        <f>'Q2 - IRTree'!T29</f>
        <v>5.0682154636656651E-2</v>
      </c>
      <c r="U38" s="17">
        <f>'Q2 - IRTree'!U29</f>
        <v>5.0682154636656651E-2</v>
      </c>
      <c r="V38" s="17">
        <f>'Q2 - IRTree'!V29</f>
        <v>5.0682154636656651E-2</v>
      </c>
      <c r="W38" s="17">
        <f>'Q2 - IRTree'!W29</f>
        <v>5.0682154636656651E-2</v>
      </c>
      <c r="X38" s="17">
        <f>'Q2 - IRTree'!X29</f>
        <v>5.0682154636656651E-2</v>
      </c>
      <c r="Y38" s="17">
        <f>'Q2 - IRTree'!Y29</f>
        <v>5.0682154636656651E-2</v>
      </c>
      <c r="Z38" s="17">
        <f>'Q2 - IRTree'!Z29</f>
        <v>5.0682154636656651E-2</v>
      </c>
      <c r="AA38" s="17">
        <f>'Q2 - IRTree'!AA29</f>
        <v>5.0682154636656651E-2</v>
      </c>
      <c r="AB38" s="17">
        <f>'Q2 - IRTree'!AB29</f>
        <v>5.0682154636656651E-2</v>
      </c>
      <c r="AC38" s="17">
        <f>'Q2 - IRTree'!AC29</f>
        <v>5.0682154636656651E-2</v>
      </c>
      <c r="AD38" s="17">
        <f>'Q2 - IRTree'!AD29</f>
        <v>5.0682154636656651E-2</v>
      </c>
      <c r="AE38" s="17">
        <f>'Q2 - IRTree'!AE29</f>
        <v>5.0682154636656651E-2</v>
      </c>
      <c r="AF38" s="17">
        <f>'Q2 - IRTree'!AF29</f>
        <v>5.0682154636656651E-2</v>
      </c>
      <c r="AG38" s="17">
        <f>'Q2 - IRTree'!AG29</f>
        <v>5.0682154636656651E-2</v>
      </c>
      <c r="AH38" s="17">
        <f>'Q2 - IRTree'!AH29</f>
        <v>5.0682154636656651E-2</v>
      </c>
      <c r="AI38" s="17">
        <f>'Q2 - IRTree'!AI29</f>
        <v>5.0682154636656651E-2</v>
      </c>
      <c r="AJ38" s="17">
        <f>'Q2 - IRTree'!AJ29</f>
        <v>5.0682154636656651E-2</v>
      </c>
      <c r="AK38" s="17">
        <f>'Q2 - IRTree'!AK29</f>
        <v>5.0682154636656651E-2</v>
      </c>
      <c r="AL38" s="17">
        <f>'Q2 - IRTree'!AL29</f>
        <v>5.0682154636656651E-2</v>
      </c>
      <c r="AM38" s="17">
        <f>'Q2 - IRTree'!AM29</f>
        <v>5.0682154636656651E-2</v>
      </c>
      <c r="AN38" s="17">
        <f>'Q2 - IRTree'!AN29</f>
        <v>5.0682154636656651E-2</v>
      </c>
      <c r="AO38" s="17">
        <f>'Q2 - IRTree'!AO29</f>
        <v>5.0682154636656651E-2</v>
      </c>
      <c r="AP38" s="17">
        <f>'Q2 - IRTree'!AP29</f>
        <v>5.0682154636656651E-2</v>
      </c>
      <c r="AQ38" s="17">
        <f>'Q2 - IRTree'!AQ29</f>
        <v>5.0682154636656651E-2</v>
      </c>
      <c r="AR38" s="17">
        <f>'Q2 - IRTree'!AR29</f>
        <v>5.0682154636656651E-2</v>
      </c>
      <c r="AS38" s="17">
        <f>'Q2 - IRTree'!AS29</f>
        <v>5.0682154636656651E-2</v>
      </c>
      <c r="AT38" s="17">
        <f>'Q2 - IRTree'!AT29</f>
        <v>5.0682154636656651E-2</v>
      </c>
      <c r="AU38" s="17">
        <f>'Q2 - IRTree'!AU29</f>
        <v>5.0682154636656651E-2</v>
      </c>
      <c r="AV38" s="17">
        <f>'Q2 - IRTree'!AV29</f>
        <v>5.0682154636656651E-2</v>
      </c>
      <c r="AW38" s="17">
        <f>'Q2 - IRTree'!AW29</f>
        <v>5.0682154636656651E-2</v>
      </c>
      <c r="AX38" s="17">
        <f>'Q2 - IRTree'!AX29</f>
        <v>5.0682154636656651E-2</v>
      </c>
      <c r="AY38" s="17">
        <f>'Q2 - IRTree'!AY29</f>
        <v>5.0682154636656651E-2</v>
      </c>
      <c r="AZ38" s="17">
        <f>'Q2 - IRTree'!AZ29</f>
        <v>5.0682154636656651E-2</v>
      </c>
      <c r="BA38" s="17">
        <f>'Q2 - IRTree'!BA29</f>
        <v>5.0682154636656651E-2</v>
      </c>
      <c r="BB38" s="17">
        <f>'Q2 - IRTree'!BB29</f>
        <v>5.0682154636656651E-2</v>
      </c>
      <c r="BC38" s="17">
        <f>'Q2 - IRTree'!BC29</f>
        <v>5.0682154636656651E-2</v>
      </c>
      <c r="BD38" s="17">
        <f>'Q2 - IRTree'!BD29</f>
        <v>5.0682154636656651E-2</v>
      </c>
      <c r="BE38" s="17">
        <f>'Q2 - IRTree'!BE29</f>
        <v>5.0682154636656651E-2</v>
      </c>
      <c r="BF38" s="17">
        <f>'Q2 - IRTree'!BF29</f>
        <v>5.0682154636656651E-2</v>
      </c>
      <c r="BG38" s="17">
        <f>'Q2 - IRTree'!BG29</f>
        <v>5.0682154636656651E-2</v>
      </c>
      <c r="BH38" s="17">
        <f>'Q2 - IRTree'!BH29</f>
        <v>5.0682154636656651E-2</v>
      </c>
      <c r="BI38" s="17">
        <f>'Q2 - IRTree'!BI29</f>
        <v>5.0682154636656651E-2</v>
      </c>
      <c r="BJ38" s="17" t="str">
        <f>'Q2 - IRTree'!BJ29</f>
        <v/>
      </c>
    </row>
    <row r="39" spans="1:62" outlineLevel="1">
      <c r="A39" s="11">
        <f t="shared" si="2"/>
        <v>16</v>
      </c>
      <c r="B39" s="17" t="str">
        <f>'Q2 - IRTree'!B30</f>
        <v/>
      </c>
      <c r="C39" s="17" t="str">
        <f>'Q2 - IRTree'!C30</f>
        <v/>
      </c>
      <c r="D39" s="17" t="str">
        <f>'Q2 - IRTree'!D30</f>
        <v/>
      </c>
      <c r="E39" s="17" t="str">
        <f>'Q2 - IRTree'!E30</f>
        <v/>
      </c>
      <c r="F39" s="17" t="str">
        <f>'Q2 - IRTree'!F30</f>
        <v/>
      </c>
      <c r="G39" s="17" t="str">
        <f>'Q2 - IRTree'!G30</f>
        <v/>
      </c>
      <c r="H39" s="17" t="str">
        <f>'Q2 - IRTree'!H30</f>
        <v/>
      </c>
      <c r="I39" s="17" t="str">
        <f>'Q2 - IRTree'!I30</f>
        <v/>
      </c>
      <c r="J39" s="17" t="str">
        <f>'Q2 - IRTree'!J30</f>
        <v/>
      </c>
      <c r="K39" s="17" t="str">
        <f>'Q2 - IRTree'!K30</f>
        <v/>
      </c>
      <c r="L39" s="17" t="str">
        <f>'Q2 - IRTree'!L30</f>
        <v/>
      </c>
      <c r="M39" s="17" t="str">
        <f>'Q2 - IRTree'!M30</f>
        <v/>
      </c>
      <c r="N39" s="17" t="str">
        <f>'Q2 - IRTree'!N30</f>
        <v/>
      </c>
      <c r="O39" s="17" t="str">
        <f>'Q2 - IRTree'!O30</f>
        <v/>
      </c>
      <c r="P39" s="17" t="str">
        <f>'Q2 - IRTree'!P30</f>
        <v/>
      </c>
      <c r="Q39" s="17" t="str">
        <f>'Q2 - IRTree'!Q30</f>
        <v/>
      </c>
      <c r="R39" s="17">
        <f>'Q2 - IRTree'!R30</f>
        <v>5.0682154636656651E-2</v>
      </c>
      <c r="S39" s="17">
        <f>'Q2 - IRTree'!S30</f>
        <v>5.0682154636656651E-2</v>
      </c>
      <c r="T39" s="17">
        <f>'Q2 - IRTree'!T30</f>
        <v>5.0682154636656651E-2</v>
      </c>
      <c r="U39" s="17">
        <f>'Q2 - IRTree'!U30</f>
        <v>5.0682154636656651E-2</v>
      </c>
      <c r="V39" s="17">
        <f>'Q2 - IRTree'!V30</f>
        <v>5.0682154636656651E-2</v>
      </c>
      <c r="W39" s="17">
        <f>'Q2 - IRTree'!W30</f>
        <v>5.0682154636656651E-2</v>
      </c>
      <c r="X39" s="17">
        <f>'Q2 - IRTree'!X30</f>
        <v>5.0682154636656651E-2</v>
      </c>
      <c r="Y39" s="17">
        <f>'Q2 - IRTree'!Y30</f>
        <v>5.0682154636656651E-2</v>
      </c>
      <c r="Z39" s="17">
        <f>'Q2 - IRTree'!Z30</f>
        <v>5.0682154636656651E-2</v>
      </c>
      <c r="AA39" s="17">
        <f>'Q2 - IRTree'!AA30</f>
        <v>5.0682154636656651E-2</v>
      </c>
      <c r="AB39" s="17">
        <f>'Q2 - IRTree'!AB30</f>
        <v>5.0682154636656651E-2</v>
      </c>
      <c r="AC39" s="17">
        <f>'Q2 - IRTree'!AC30</f>
        <v>5.0682154636656651E-2</v>
      </c>
      <c r="AD39" s="17">
        <f>'Q2 - IRTree'!AD30</f>
        <v>5.0682154636656651E-2</v>
      </c>
      <c r="AE39" s="17">
        <f>'Q2 - IRTree'!AE30</f>
        <v>5.0682154636656651E-2</v>
      </c>
      <c r="AF39" s="17">
        <f>'Q2 - IRTree'!AF30</f>
        <v>5.0682154636656651E-2</v>
      </c>
      <c r="AG39" s="17">
        <f>'Q2 - IRTree'!AG30</f>
        <v>5.0682154636656651E-2</v>
      </c>
      <c r="AH39" s="17">
        <f>'Q2 - IRTree'!AH30</f>
        <v>5.0682154636656651E-2</v>
      </c>
      <c r="AI39" s="17">
        <f>'Q2 - IRTree'!AI30</f>
        <v>5.0682154636656651E-2</v>
      </c>
      <c r="AJ39" s="17">
        <f>'Q2 - IRTree'!AJ30</f>
        <v>5.0682154636656651E-2</v>
      </c>
      <c r="AK39" s="17">
        <f>'Q2 - IRTree'!AK30</f>
        <v>5.0682154636656651E-2</v>
      </c>
      <c r="AL39" s="17">
        <f>'Q2 - IRTree'!AL30</f>
        <v>5.0682154636656651E-2</v>
      </c>
      <c r="AM39" s="17">
        <f>'Q2 - IRTree'!AM30</f>
        <v>5.0682154636656651E-2</v>
      </c>
      <c r="AN39" s="17">
        <f>'Q2 - IRTree'!AN30</f>
        <v>5.0682154636656651E-2</v>
      </c>
      <c r="AO39" s="17">
        <f>'Q2 - IRTree'!AO30</f>
        <v>5.0682154636656651E-2</v>
      </c>
      <c r="AP39" s="17">
        <f>'Q2 - IRTree'!AP30</f>
        <v>5.0682154636656651E-2</v>
      </c>
      <c r="AQ39" s="17">
        <f>'Q2 - IRTree'!AQ30</f>
        <v>5.0682154636656651E-2</v>
      </c>
      <c r="AR39" s="17">
        <f>'Q2 - IRTree'!AR30</f>
        <v>5.0682154636656651E-2</v>
      </c>
      <c r="AS39" s="17">
        <f>'Q2 - IRTree'!AS30</f>
        <v>5.0682154636656651E-2</v>
      </c>
      <c r="AT39" s="17">
        <f>'Q2 - IRTree'!AT30</f>
        <v>5.0682154636656651E-2</v>
      </c>
      <c r="AU39" s="17">
        <f>'Q2 - IRTree'!AU30</f>
        <v>5.0682154636656651E-2</v>
      </c>
      <c r="AV39" s="17">
        <f>'Q2 - IRTree'!AV30</f>
        <v>5.0682154636656651E-2</v>
      </c>
      <c r="AW39" s="17">
        <f>'Q2 - IRTree'!AW30</f>
        <v>5.0682154636656651E-2</v>
      </c>
      <c r="AX39" s="17">
        <f>'Q2 - IRTree'!AX30</f>
        <v>5.0682154636656651E-2</v>
      </c>
      <c r="AY39" s="17">
        <f>'Q2 - IRTree'!AY30</f>
        <v>5.0682154636656651E-2</v>
      </c>
      <c r="AZ39" s="17">
        <f>'Q2 - IRTree'!AZ30</f>
        <v>5.0682154636656651E-2</v>
      </c>
      <c r="BA39" s="17">
        <f>'Q2 - IRTree'!BA30</f>
        <v>5.0682154636656651E-2</v>
      </c>
      <c r="BB39" s="17">
        <f>'Q2 - IRTree'!BB30</f>
        <v>5.0682154636656651E-2</v>
      </c>
      <c r="BC39" s="17">
        <f>'Q2 - IRTree'!BC30</f>
        <v>5.0682154636656651E-2</v>
      </c>
      <c r="BD39" s="17">
        <f>'Q2 - IRTree'!BD30</f>
        <v>5.0682154636656651E-2</v>
      </c>
      <c r="BE39" s="17">
        <f>'Q2 - IRTree'!BE30</f>
        <v>5.0682154636656651E-2</v>
      </c>
      <c r="BF39" s="17">
        <f>'Q2 - IRTree'!BF30</f>
        <v>5.0682154636656651E-2</v>
      </c>
      <c r="BG39" s="17">
        <f>'Q2 - IRTree'!BG30</f>
        <v>5.0682154636656651E-2</v>
      </c>
      <c r="BH39" s="17">
        <f>'Q2 - IRTree'!BH30</f>
        <v>5.0682154636656651E-2</v>
      </c>
      <c r="BI39" s="17">
        <f>'Q2 - IRTree'!BI30</f>
        <v>5.0682154636656651E-2</v>
      </c>
      <c r="BJ39" s="17" t="str">
        <f>'Q2 - IRTree'!BJ30</f>
        <v/>
      </c>
    </row>
    <row r="40" spans="1:62" outlineLevel="1">
      <c r="A40" s="11">
        <f t="shared" si="2"/>
        <v>17</v>
      </c>
      <c r="B40" s="17" t="str">
        <f>'Q2 - IRTree'!B31</f>
        <v/>
      </c>
      <c r="C40" s="17" t="str">
        <f>'Q2 - IRTree'!C31</f>
        <v/>
      </c>
      <c r="D40" s="17" t="str">
        <f>'Q2 - IRTree'!D31</f>
        <v/>
      </c>
      <c r="E40" s="17" t="str">
        <f>'Q2 - IRTree'!E31</f>
        <v/>
      </c>
      <c r="F40" s="17" t="str">
        <f>'Q2 - IRTree'!F31</f>
        <v/>
      </c>
      <c r="G40" s="17" t="str">
        <f>'Q2 - IRTree'!G31</f>
        <v/>
      </c>
      <c r="H40" s="17" t="str">
        <f>'Q2 - IRTree'!H31</f>
        <v/>
      </c>
      <c r="I40" s="17" t="str">
        <f>'Q2 - IRTree'!I31</f>
        <v/>
      </c>
      <c r="J40" s="17" t="str">
        <f>'Q2 - IRTree'!J31</f>
        <v/>
      </c>
      <c r="K40" s="17" t="str">
        <f>'Q2 - IRTree'!K31</f>
        <v/>
      </c>
      <c r="L40" s="17" t="str">
        <f>'Q2 - IRTree'!L31</f>
        <v/>
      </c>
      <c r="M40" s="17" t="str">
        <f>'Q2 - IRTree'!M31</f>
        <v/>
      </c>
      <c r="N40" s="17" t="str">
        <f>'Q2 - IRTree'!N31</f>
        <v/>
      </c>
      <c r="O40" s="17" t="str">
        <f>'Q2 - IRTree'!O31</f>
        <v/>
      </c>
      <c r="P40" s="17" t="str">
        <f>'Q2 - IRTree'!P31</f>
        <v/>
      </c>
      <c r="Q40" s="17" t="str">
        <f>'Q2 - IRTree'!Q31</f>
        <v/>
      </c>
      <c r="R40" s="17" t="str">
        <f>'Q2 - IRTree'!R31</f>
        <v/>
      </c>
      <c r="S40" s="17">
        <f>'Q2 - IRTree'!S31</f>
        <v>5.0682154636656651E-2</v>
      </c>
      <c r="T40" s="17">
        <f>'Q2 - IRTree'!T31</f>
        <v>5.0682154636656651E-2</v>
      </c>
      <c r="U40" s="17">
        <f>'Q2 - IRTree'!U31</f>
        <v>5.0682154636656651E-2</v>
      </c>
      <c r="V40" s="17">
        <f>'Q2 - IRTree'!V31</f>
        <v>5.0682154636656651E-2</v>
      </c>
      <c r="W40" s="17">
        <f>'Q2 - IRTree'!W31</f>
        <v>5.0682154636656651E-2</v>
      </c>
      <c r="X40" s="17">
        <f>'Q2 - IRTree'!X31</f>
        <v>5.0682154636656651E-2</v>
      </c>
      <c r="Y40" s="17">
        <f>'Q2 - IRTree'!Y31</f>
        <v>5.0682154636656651E-2</v>
      </c>
      <c r="Z40" s="17">
        <f>'Q2 - IRTree'!Z31</f>
        <v>5.0682154636656651E-2</v>
      </c>
      <c r="AA40" s="17">
        <f>'Q2 - IRTree'!AA31</f>
        <v>5.0682154636656651E-2</v>
      </c>
      <c r="AB40" s="17">
        <f>'Q2 - IRTree'!AB31</f>
        <v>5.0682154636656651E-2</v>
      </c>
      <c r="AC40" s="17">
        <f>'Q2 - IRTree'!AC31</f>
        <v>5.0682154636656651E-2</v>
      </c>
      <c r="AD40" s="17">
        <f>'Q2 - IRTree'!AD31</f>
        <v>5.0682154636656651E-2</v>
      </c>
      <c r="AE40" s="17">
        <f>'Q2 - IRTree'!AE31</f>
        <v>5.0682154636656651E-2</v>
      </c>
      <c r="AF40" s="17">
        <f>'Q2 - IRTree'!AF31</f>
        <v>5.0682154636656651E-2</v>
      </c>
      <c r="AG40" s="17">
        <f>'Q2 - IRTree'!AG31</f>
        <v>5.0682154636656651E-2</v>
      </c>
      <c r="AH40" s="17">
        <f>'Q2 - IRTree'!AH31</f>
        <v>5.0682154636656651E-2</v>
      </c>
      <c r="AI40" s="17">
        <f>'Q2 - IRTree'!AI31</f>
        <v>5.0682154636656651E-2</v>
      </c>
      <c r="AJ40" s="17">
        <f>'Q2 - IRTree'!AJ31</f>
        <v>5.0682154636656651E-2</v>
      </c>
      <c r="AK40" s="17">
        <f>'Q2 - IRTree'!AK31</f>
        <v>5.0682154636656651E-2</v>
      </c>
      <c r="AL40" s="17">
        <f>'Q2 - IRTree'!AL31</f>
        <v>5.0682154636656651E-2</v>
      </c>
      <c r="AM40" s="17">
        <f>'Q2 - IRTree'!AM31</f>
        <v>5.0682154636656651E-2</v>
      </c>
      <c r="AN40" s="17">
        <f>'Q2 - IRTree'!AN31</f>
        <v>5.0682154636656651E-2</v>
      </c>
      <c r="AO40" s="17">
        <f>'Q2 - IRTree'!AO31</f>
        <v>5.0682154636656651E-2</v>
      </c>
      <c r="AP40" s="17">
        <f>'Q2 - IRTree'!AP31</f>
        <v>5.0682154636656651E-2</v>
      </c>
      <c r="AQ40" s="17">
        <f>'Q2 - IRTree'!AQ31</f>
        <v>5.0682154636656651E-2</v>
      </c>
      <c r="AR40" s="17">
        <f>'Q2 - IRTree'!AR31</f>
        <v>5.0682154636656651E-2</v>
      </c>
      <c r="AS40" s="17">
        <f>'Q2 - IRTree'!AS31</f>
        <v>5.0682154636656651E-2</v>
      </c>
      <c r="AT40" s="17">
        <f>'Q2 - IRTree'!AT31</f>
        <v>5.0682154636656651E-2</v>
      </c>
      <c r="AU40" s="17">
        <f>'Q2 - IRTree'!AU31</f>
        <v>5.0682154636656651E-2</v>
      </c>
      <c r="AV40" s="17">
        <f>'Q2 - IRTree'!AV31</f>
        <v>5.0682154636656651E-2</v>
      </c>
      <c r="AW40" s="17">
        <f>'Q2 - IRTree'!AW31</f>
        <v>5.0682154636656651E-2</v>
      </c>
      <c r="AX40" s="17">
        <f>'Q2 - IRTree'!AX31</f>
        <v>5.0682154636656651E-2</v>
      </c>
      <c r="AY40" s="17">
        <f>'Q2 - IRTree'!AY31</f>
        <v>5.0682154636656651E-2</v>
      </c>
      <c r="AZ40" s="17">
        <f>'Q2 - IRTree'!AZ31</f>
        <v>5.0682154636656651E-2</v>
      </c>
      <c r="BA40" s="17">
        <f>'Q2 - IRTree'!BA31</f>
        <v>5.0682154636656651E-2</v>
      </c>
      <c r="BB40" s="17">
        <f>'Q2 - IRTree'!BB31</f>
        <v>5.0682154636656651E-2</v>
      </c>
      <c r="BC40" s="17">
        <f>'Q2 - IRTree'!BC31</f>
        <v>5.0682154636656651E-2</v>
      </c>
      <c r="BD40" s="17">
        <f>'Q2 - IRTree'!BD31</f>
        <v>5.0682154636656651E-2</v>
      </c>
      <c r="BE40" s="17">
        <f>'Q2 - IRTree'!BE31</f>
        <v>5.0682154636656651E-2</v>
      </c>
      <c r="BF40" s="17">
        <f>'Q2 - IRTree'!BF31</f>
        <v>5.0682154636656651E-2</v>
      </c>
      <c r="BG40" s="17">
        <f>'Q2 - IRTree'!BG31</f>
        <v>5.0682154636656651E-2</v>
      </c>
      <c r="BH40" s="17">
        <f>'Q2 - IRTree'!BH31</f>
        <v>5.0682154636656651E-2</v>
      </c>
      <c r="BI40" s="17">
        <f>'Q2 - IRTree'!BI31</f>
        <v>5.0682154636656651E-2</v>
      </c>
      <c r="BJ40" s="17" t="str">
        <f>'Q2 - IRTree'!BJ31</f>
        <v/>
      </c>
    </row>
    <row r="41" spans="1:62" outlineLevel="1">
      <c r="A41" s="11">
        <f t="shared" si="2"/>
        <v>18</v>
      </c>
      <c r="B41" s="17" t="str">
        <f>'Q2 - IRTree'!B32</f>
        <v/>
      </c>
      <c r="C41" s="17" t="str">
        <f>'Q2 - IRTree'!C32</f>
        <v/>
      </c>
      <c r="D41" s="17" t="str">
        <f>'Q2 - IRTree'!D32</f>
        <v/>
      </c>
      <c r="E41" s="17" t="str">
        <f>'Q2 - IRTree'!E32</f>
        <v/>
      </c>
      <c r="F41" s="17" t="str">
        <f>'Q2 - IRTree'!F32</f>
        <v/>
      </c>
      <c r="G41" s="17" t="str">
        <f>'Q2 - IRTree'!G32</f>
        <v/>
      </c>
      <c r="H41" s="17" t="str">
        <f>'Q2 - IRTree'!H32</f>
        <v/>
      </c>
      <c r="I41" s="17" t="str">
        <f>'Q2 - IRTree'!I32</f>
        <v/>
      </c>
      <c r="J41" s="17" t="str">
        <f>'Q2 - IRTree'!J32</f>
        <v/>
      </c>
      <c r="K41" s="17" t="str">
        <f>'Q2 - IRTree'!K32</f>
        <v/>
      </c>
      <c r="L41" s="17" t="str">
        <f>'Q2 - IRTree'!L32</f>
        <v/>
      </c>
      <c r="M41" s="17" t="str">
        <f>'Q2 - IRTree'!M32</f>
        <v/>
      </c>
      <c r="N41" s="17" t="str">
        <f>'Q2 - IRTree'!N32</f>
        <v/>
      </c>
      <c r="O41" s="17" t="str">
        <f>'Q2 - IRTree'!O32</f>
        <v/>
      </c>
      <c r="P41" s="17" t="str">
        <f>'Q2 - IRTree'!P32</f>
        <v/>
      </c>
      <c r="Q41" s="17" t="str">
        <f>'Q2 - IRTree'!Q32</f>
        <v/>
      </c>
      <c r="R41" s="17" t="str">
        <f>'Q2 - IRTree'!R32</f>
        <v/>
      </c>
      <c r="S41" s="17" t="str">
        <f>'Q2 - IRTree'!S32</f>
        <v/>
      </c>
      <c r="T41" s="17">
        <f>'Q2 - IRTree'!T32</f>
        <v>5.0682154636656651E-2</v>
      </c>
      <c r="U41" s="17">
        <f>'Q2 - IRTree'!U32</f>
        <v>5.0682154636656651E-2</v>
      </c>
      <c r="V41" s="17">
        <f>'Q2 - IRTree'!V32</f>
        <v>5.0682154636656651E-2</v>
      </c>
      <c r="W41" s="17">
        <f>'Q2 - IRTree'!W32</f>
        <v>5.0682154636656651E-2</v>
      </c>
      <c r="X41" s="17">
        <f>'Q2 - IRTree'!X32</f>
        <v>5.0682154636656651E-2</v>
      </c>
      <c r="Y41" s="17">
        <f>'Q2 - IRTree'!Y32</f>
        <v>5.0682154636656651E-2</v>
      </c>
      <c r="Z41" s="17">
        <f>'Q2 - IRTree'!Z32</f>
        <v>5.0682154636656651E-2</v>
      </c>
      <c r="AA41" s="17">
        <f>'Q2 - IRTree'!AA32</f>
        <v>5.0682154636656651E-2</v>
      </c>
      <c r="AB41" s="17">
        <f>'Q2 - IRTree'!AB32</f>
        <v>5.0682154636656651E-2</v>
      </c>
      <c r="AC41" s="17">
        <f>'Q2 - IRTree'!AC32</f>
        <v>5.0682154636656651E-2</v>
      </c>
      <c r="AD41" s="17">
        <f>'Q2 - IRTree'!AD32</f>
        <v>5.0682154636656651E-2</v>
      </c>
      <c r="AE41" s="17">
        <f>'Q2 - IRTree'!AE32</f>
        <v>5.0682154636656651E-2</v>
      </c>
      <c r="AF41" s="17">
        <f>'Q2 - IRTree'!AF32</f>
        <v>5.0682154636656651E-2</v>
      </c>
      <c r="AG41" s="17">
        <f>'Q2 - IRTree'!AG32</f>
        <v>5.0682154636656651E-2</v>
      </c>
      <c r="AH41" s="17">
        <f>'Q2 - IRTree'!AH32</f>
        <v>5.0682154636656651E-2</v>
      </c>
      <c r="AI41" s="17">
        <f>'Q2 - IRTree'!AI32</f>
        <v>5.0682154636656651E-2</v>
      </c>
      <c r="AJ41" s="17">
        <f>'Q2 - IRTree'!AJ32</f>
        <v>5.0682154636656651E-2</v>
      </c>
      <c r="AK41" s="17">
        <f>'Q2 - IRTree'!AK32</f>
        <v>5.0682154636656651E-2</v>
      </c>
      <c r="AL41" s="17">
        <f>'Q2 - IRTree'!AL32</f>
        <v>5.0682154636656651E-2</v>
      </c>
      <c r="AM41" s="17">
        <f>'Q2 - IRTree'!AM32</f>
        <v>5.0682154636656651E-2</v>
      </c>
      <c r="AN41" s="17">
        <f>'Q2 - IRTree'!AN32</f>
        <v>5.0682154636656651E-2</v>
      </c>
      <c r="AO41" s="17">
        <f>'Q2 - IRTree'!AO32</f>
        <v>5.0682154636656651E-2</v>
      </c>
      <c r="AP41" s="17">
        <f>'Q2 - IRTree'!AP32</f>
        <v>5.0682154636656651E-2</v>
      </c>
      <c r="AQ41" s="17">
        <f>'Q2 - IRTree'!AQ32</f>
        <v>5.0682154636656651E-2</v>
      </c>
      <c r="AR41" s="17">
        <f>'Q2 - IRTree'!AR32</f>
        <v>5.0682154636656651E-2</v>
      </c>
      <c r="AS41" s="17">
        <f>'Q2 - IRTree'!AS32</f>
        <v>5.0682154636656651E-2</v>
      </c>
      <c r="AT41" s="17">
        <f>'Q2 - IRTree'!AT32</f>
        <v>5.0682154636656651E-2</v>
      </c>
      <c r="AU41" s="17">
        <f>'Q2 - IRTree'!AU32</f>
        <v>5.0682154636656651E-2</v>
      </c>
      <c r="AV41" s="17">
        <f>'Q2 - IRTree'!AV32</f>
        <v>5.0682154636656651E-2</v>
      </c>
      <c r="AW41" s="17">
        <f>'Q2 - IRTree'!AW32</f>
        <v>5.0682154636656651E-2</v>
      </c>
      <c r="AX41" s="17">
        <f>'Q2 - IRTree'!AX32</f>
        <v>5.0682154636656651E-2</v>
      </c>
      <c r="AY41" s="17">
        <f>'Q2 - IRTree'!AY32</f>
        <v>5.0682154636656651E-2</v>
      </c>
      <c r="AZ41" s="17">
        <f>'Q2 - IRTree'!AZ32</f>
        <v>5.0682154636656651E-2</v>
      </c>
      <c r="BA41" s="17">
        <f>'Q2 - IRTree'!BA32</f>
        <v>5.0682154636656651E-2</v>
      </c>
      <c r="BB41" s="17">
        <f>'Q2 - IRTree'!BB32</f>
        <v>5.0682154636656651E-2</v>
      </c>
      <c r="BC41" s="17">
        <f>'Q2 - IRTree'!BC32</f>
        <v>5.0682154636656651E-2</v>
      </c>
      <c r="BD41" s="17">
        <f>'Q2 - IRTree'!BD32</f>
        <v>5.0682154636656651E-2</v>
      </c>
      <c r="BE41" s="17">
        <f>'Q2 - IRTree'!BE32</f>
        <v>5.0682154636656651E-2</v>
      </c>
      <c r="BF41" s="17">
        <f>'Q2 - IRTree'!BF32</f>
        <v>5.0682154636656651E-2</v>
      </c>
      <c r="BG41" s="17">
        <f>'Q2 - IRTree'!BG32</f>
        <v>5.0682154636656651E-2</v>
      </c>
      <c r="BH41" s="17">
        <f>'Q2 - IRTree'!BH32</f>
        <v>5.0682154636656651E-2</v>
      </c>
      <c r="BI41" s="17">
        <f>'Q2 - IRTree'!BI32</f>
        <v>5.0682154636656651E-2</v>
      </c>
      <c r="BJ41" s="17" t="str">
        <f>'Q2 - IRTree'!BJ32</f>
        <v/>
      </c>
    </row>
    <row r="42" spans="1:62" outlineLevel="1">
      <c r="A42" s="11">
        <f t="shared" si="2"/>
        <v>19</v>
      </c>
      <c r="B42" s="17" t="str">
        <f>'Q2 - IRTree'!B33</f>
        <v/>
      </c>
      <c r="C42" s="17" t="str">
        <f>'Q2 - IRTree'!C33</f>
        <v/>
      </c>
      <c r="D42" s="17" t="str">
        <f>'Q2 - IRTree'!D33</f>
        <v/>
      </c>
      <c r="E42" s="17" t="str">
        <f>'Q2 - IRTree'!E33</f>
        <v/>
      </c>
      <c r="F42" s="17" t="str">
        <f>'Q2 - IRTree'!F33</f>
        <v/>
      </c>
      <c r="G42" s="17" t="str">
        <f>'Q2 - IRTree'!G33</f>
        <v/>
      </c>
      <c r="H42" s="17" t="str">
        <f>'Q2 - IRTree'!H33</f>
        <v/>
      </c>
      <c r="I42" s="17" t="str">
        <f>'Q2 - IRTree'!I33</f>
        <v/>
      </c>
      <c r="J42" s="17" t="str">
        <f>'Q2 - IRTree'!J33</f>
        <v/>
      </c>
      <c r="K42" s="17" t="str">
        <f>'Q2 - IRTree'!K33</f>
        <v/>
      </c>
      <c r="L42" s="17" t="str">
        <f>'Q2 - IRTree'!L33</f>
        <v/>
      </c>
      <c r="M42" s="17" t="str">
        <f>'Q2 - IRTree'!M33</f>
        <v/>
      </c>
      <c r="N42" s="17" t="str">
        <f>'Q2 - IRTree'!N33</f>
        <v/>
      </c>
      <c r="O42" s="17" t="str">
        <f>'Q2 - IRTree'!O33</f>
        <v/>
      </c>
      <c r="P42" s="17" t="str">
        <f>'Q2 - IRTree'!P33</f>
        <v/>
      </c>
      <c r="Q42" s="17" t="str">
        <f>'Q2 - IRTree'!Q33</f>
        <v/>
      </c>
      <c r="R42" s="17" t="str">
        <f>'Q2 - IRTree'!R33</f>
        <v/>
      </c>
      <c r="S42" s="17" t="str">
        <f>'Q2 - IRTree'!S33</f>
        <v/>
      </c>
      <c r="T42" s="17" t="str">
        <f>'Q2 - IRTree'!T33</f>
        <v/>
      </c>
      <c r="U42" s="17">
        <f>'Q2 - IRTree'!U33</f>
        <v>5.0682154636656651E-2</v>
      </c>
      <c r="V42" s="17">
        <f>'Q2 - IRTree'!V33</f>
        <v>5.0682154636656651E-2</v>
      </c>
      <c r="W42" s="17">
        <f>'Q2 - IRTree'!W33</f>
        <v>5.0682154636656651E-2</v>
      </c>
      <c r="X42" s="17">
        <f>'Q2 - IRTree'!X33</f>
        <v>5.0682154636656651E-2</v>
      </c>
      <c r="Y42" s="17">
        <f>'Q2 - IRTree'!Y33</f>
        <v>5.0682154636656651E-2</v>
      </c>
      <c r="Z42" s="17">
        <f>'Q2 - IRTree'!Z33</f>
        <v>5.0682154636656651E-2</v>
      </c>
      <c r="AA42" s="17">
        <f>'Q2 - IRTree'!AA33</f>
        <v>5.0682154636656651E-2</v>
      </c>
      <c r="AB42" s="17">
        <f>'Q2 - IRTree'!AB33</f>
        <v>5.0682154636656651E-2</v>
      </c>
      <c r="AC42" s="17">
        <f>'Q2 - IRTree'!AC33</f>
        <v>5.0682154636656651E-2</v>
      </c>
      <c r="AD42" s="17">
        <f>'Q2 - IRTree'!AD33</f>
        <v>5.0682154636656651E-2</v>
      </c>
      <c r="AE42" s="17">
        <f>'Q2 - IRTree'!AE33</f>
        <v>5.0682154636656651E-2</v>
      </c>
      <c r="AF42" s="17">
        <f>'Q2 - IRTree'!AF33</f>
        <v>5.0682154636656651E-2</v>
      </c>
      <c r="AG42" s="17">
        <f>'Q2 - IRTree'!AG33</f>
        <v>5.0682154636656651E-2</v>
      </c>
      <c r="AH42" s="17">
        <f>'Q2 - IRTree'!AH33</f>
        <v>5.0682154636656651E-2</v>
      </c>
      <c r="AI42" s="17">
        <f>'Q2 - IRTree'!AI33</f>
        <v>5.0682154636656651E-2</v>
      </c>
      <c r="AJ42" s="17">
        <f>'Q2 - IRTree'!AJ33</f>
        <v>5.0682154636656651E-2</v>
      </c>
      <c r="AK42" s="17">
        <f>'Q2 - IRTree'!AK33</f>
        <v>5.0682154636656651E-2</v>
      </c>
      <c r="AL42" s="17">
        <f>'Q2 - IRTree'!AL33</f>
        <v>5.0682154636656651E-2</v>
      </c>
      <c r="AM42" s="17">
        <f>'Q2 - IRTree'!AM33</f>
        <v>5.0682154636656651E-2</v>
      </c>
      <c r="AN42" s="17">
        <f>'Q2 - IRTree'!AN33</f>
        <v>5.0682154636656651E-2</v>
      </c>
      <c r="AO42" s="17">
        <f>'Q2 - IRTree'!AO33</f>
        <v>5.0682154636656651E-2</v>
      </c>
      <c r="AP42" s="17">
        <f>'Q2 - IRTree'!AP33</f>
        <v>5.0682154636656651E-2</v>
      </c>
      <c r="AQ42" s="17">
        <f>'Q2 - IRTree'!AQ33</f>
        <v>5.0682154636656651E-2</v>
      </c>
      <c r="AR42" s="17">
        <f>'Q2 - IRTree'!AR33</f>
        <v>5.0682154636656651E-2</v>
      </c>
      <c r="AS42" s="17">
        <f>'Q2 - IRTree'!AS33</f>
        <v>5.0682154636656651E-2</v>
      </c>
      <c r="AT42" s="17">
        <f>'Q2 - IRTree'!AT33</f>
        <v>5.0682154636656651E-2</v>
      </c>
      <c r="AU42" s="17">
        <f>'Q2 - IRTree'!AU33</f>
        <v>5.0682154636656651E-2</v>
      </c>
      <c r="AV42" s="17">
        <f>'Q2 - IRTree'!AV33</f>
        <v>5.0682154636656651E-2</v>
      </c>
      <c r="AW42" s="17">
        <f>'Q2 - IRTree'!AW33</f>
        <v>5.0682154636656651E-2</v>
      </c>
      <c r="AX42" s="17">
        <f>'Q2 - IRTree'!AX33</f>
        <v>5.0682154636656651E-2</v>
      </c>
      <c r="AY42" s="17">
        <f>'Q2 - IRTree'!AY33</f>
        <v>5.0682154636656651E-2</v>
      </c>
      <c r="AZ42" s="17">
        <f>'Q2 - IRTree'!AZ33</f>
        <v>5.0682154636656651E-2</v>
      </c>
      <c r="BA42" s="17">
        <f>'Q2 - IRTree'!BA33</f>
        <v>5.0682154636656651E-2</v>
      </c>
      <c r="BB42" s="17">
        <f>'Q2 - IRTree'!BB33</f>
        <v>5.0682154636656651E-2</v>
      </c>
      <c r="BC42" s="17">
        <f>'Q2 - IRTree'!BC33</f>
        <v>5.0682154636656651E-2</v>
      </c>
      <c r="BD42" s="17">
        <f>'Q2 - IRTree'!BD33</f>
        <v>5.0682154636656651E-2</v>
      </c>
      <c r="BE42" s="17">
        <f>'Q2 - IRTree'!BE33</f>
        <v>5.0682154636656651E-2</v>
      </c>
      <c r="BF42" s="17">
        <f>'Q2 - IRTree'!BF33</f>
        <v>5.0682154636656651E-2</v>
      </c>
      <c r="BG42" s="17">
        <f>'Q2 - IRTree'!BG33</f>
        <v>5.0682154636656651E-2</v>
      </c>
      <c r="BH42" s="17">
        <f>'Q2 - IRTree'!BH33</f>
        <v>5.0682154636656651E-2</v>
      </c>
      <c r="BI42" s="17">
        <f>'Q2 - IRTree'!BI33</f>
        <v>5.0682154636656651E-2</v>
      </c>
      <c r="BJ42" s="17" t="str">
        <f>'Q2 - IRTree'!BJ33</f>
        <v/>
      </c>
    </row>
    <row r="43" spans="1:62" outlineLevel="1">
      <c r="A43" s="11">
        <f t="shared" si="2"/>
        <v>20</v>
      </c>
      <c r="B43" s="17" t="str">
        <f>'Q2 - IRTree'!B34</f>
        <v/>
      </c>
      <c r="C43" s="17" t="str">
        <f>'Q2 - IRTree'!C34</f>
        <v/>
      </c>
      <c r="D43" s="17" t="str">
        <f>'Q2 - IRTree'!D34</f>
        <v/>
      </c>
      <c r="E43" s="17" t="str">
        <f>'Q2 - IRTree'!E34</f>
        <v/>
      </c>
      <c r="F43" s="17" t="str">
        <f>'Q2 - IRTree'!F34</f>
        <v/>
      </c>
      <c r="G43" s="17" t="str">
        <f>'Q2 - IRTree'!G34</f>
        <v/>
      </c>
      <c r="H43" s="17" t="str">
        <f>'Q2 - IRTree'!H34</f>
        <v/>
      </c>
      <c r="I43" s="17" t="str">
        <f>'Q2 - IRTree'!I34</f>
        <v/>
      </c>
      <c r="J43" s="17" t="str">
        <f>'Q2 - IRTree'!J34</f>
        <v/>
      </c>
      <c r="K43" s="17" t="str">
        <f>'Q2 - IRTree'!K34</f>
        <v/>
      </c>
      <c r="L43" s="17" t="str">
        <f>'Q2 - IRTree'!L34</f>
        <v/>
      </c>
      <c r="M43" s="17" t="str">
        <f>'Q2 - IRTree'!M34</f>
        <v/>
      </c>
      <c r="N43" s="17" t="str">
        <f>'Q2 - IRTree'!N34</f>
        <v/>
      </c>
      <c r="O43" s="17" t="str">
        <f>'Q2 - IRTree'!O34</f>
        <v/>
      </c>
      <c r="P43" s="17" t="str">
        <f>'Q2 - IRTree'!P34</f>
        <v/>
      </c>
      <c r="Q43" s="17" t="str">
        <f>'Q2 - IRTree'!Q34</f>
        <v/>
      </c>
      <c r="R43" s="17" t="str">
        <f>'Q2 - IRTree'!R34</f>
        <v/>
      </c>
      <c r="S43" s="17" t="str">
        <f>'Q2 - IRTree'!S34</f>
        <v/>
      </c>
      <c r="T43" s="17" t="str">
        <f>'Q2 - IRTree'!T34</f>
        <v/>
      </c>
      <c r="U43" s="17" t="str">
        <f>'Q2 - IRTree'!U34</f>
        <v/>
      </c>
      <c r="V43" s="17">
        <f>'Q2 - IRTree'!V34</f>
        <v>5.0682154636656651E-2</v>
      </c>
      <c r="W43" s="17">
        <f>'Q2 - IRTree'!W34</f>
        <v>5.0682154636656651E-2</v>
      </c>
      <c r="X43" s="17">
        <f>'Q2 - IRTree'!X34</f>
        <v>5.0682154636656651E-2</v>
      </c>
      <c r="Y43" s="17">
        <f>'Q2 - IRTree'!Y34</f>
        <v>5.0682154636656651E-2</v>
      </c>
      <c r="Z43" s="17">
        <f>'Q2 - IRTree'!Z34</f>
        <v>5.0682154636656651E-2</v>
      </c>
      <c r="AA43" s="17">
        <f>'Q2 - IRTree'!AA34</f>
        <v>5.0682154636656651E-2</v>
      </c>
      <c r="AB43" s="17">
        <f>'Q2 - IRTree'!AB34</f>
        <v>5.0682154636656651E-2</v>
      </c>
      <c r="AC43" s="17">
        <f>'Q2 - IRTree'!AC34</f>
        <v>5.0682154636656651E-2</v>
      </c>
      <c r="AD43" s="17">
        <f>'Q2 - IRTree'!AD34</f>
        <v>5.0682154636656651E-2</v>
      </c>
      <c r="AE43" s="17">
        <f>'Q2 - IRTree'!AE34</f>
        <v>5.0682154636656651E-2</v>
      </c>
      <c r="AF43" s="17">
        <f>'Q2 - IRTree'!AF34</f>
        <v>5.0682154636656651E-2</v>
      </c>
      <c r="AG43" s="17">
        <f>'Q2 - IRTree'!AG34</f>
        <v>5.0682154636656651E-2</v>
      </c>
      <c r="AH43" s="17">
        <f>'Q2 - IRTree'!AH34</f>
        <v>5.0682154636656651E-2</v>
      </c>
      <c r="AI43" s="17">
        <f>'Q2 - IRTree'!AI34</f>
        <v>5.0682154636656651E-2</v>
      </c>
      <c r="AJ43" s="17">
        <f>'Q2 - IRTree'!AJ34</f>
        <v>5.0682154636656651E-2</v>
      </c>
      <c r="AK43" s="17">
        <f>'Q2 - IRTree'!AK34</f>
        <v>5.0682154636656651E-2</v>
      </c>
      <c r="AL43" s="17">
        <f>'Q2 - IRTree'!AL34</f>
        <v>5.0682154636656651E-2</v>
      </c>
      <c r="AM43" s="17">
        <f>'Q2 - IRTree'!AM34</f>
        <v>5.0682154636656651E-2</v>
      </c>
      <c r="AN43" s="17">
        <f>'Q2 - IRTree'!AN34</f>
        <v>5.0682154636656651E-2</v>
      </c>
      <c r="AO43" s="17">
        <f>'Q2 - IRTree'!AO34</f>
        <v>5.0682154636656651E-2</v>
      </c>
      <c r="AP43" s="17">
        <f>'Q2 - IRTree'!AP34</f>
        <v>5.0682154636656651E-2</v>
      </c>
      <c r="AQ43" s="17">
        <f>'Q2 - IRTree'!AQ34</f>
        <v>5.0682154636656651E-2</v>
      </c>
      <c r="AR43" s="17">
        <f>'Q2 - IRTree'!AR34</f>
        <v>5.0682154636656651E-2</v>
      </c>
      <c r="AS43" s="17">
        <f>'Q2 - IRTree'!AS34</f>
        <v>5.0682154636656651E-2</v>
      </c>
      <c r="AT43" s="17">
        <f>'Q2 - IRTree'!AT34</f>
        <v>5.0682154636656651E-2</v>
      </c>
      <c r="AU43" s="17">
        <f>'Q2 - IRTree'!AU34</f>
        <v>5.0682154636656651E-2</v>
      </c>
      <c r="AV43" s="17">
        <f>'Q2 - IRTree'!AV34</f>
        <v>5.0682154636656651E-2</v>
      </c>
      <c r="AW43" s="17">
        <f>'Q2 - IRTree'!AW34</f>
        <v>5.0682154636656651E-2</v>
      </c>
      <c r="AX43" s="17">
        <f>'Q2 - IRTree'!AX34</f>
        <v>5.0682154636656651E-2</v>
      </c>
      <c r="AY43" s="17">
        <f>'Q2 - IRTree'!AY34</f>
        <v>5.0682154636656651E-2</v>
      </c>
      <c r="AZ43" s="17">
        <f>'Q2 - IRTree'!AZ34</f>
        <v>5.0682154636656651E-2</v>
      </c>
      <c r="BA43" s="17">
        <f>'Q2 - IRTree'!BA34</f>
        <v>5.0682154636656651E-2</v>
      </c>
      <c r="BB43" s="17">
        <f>'Q2 - IRTree'!BB34</f>
        <v>5.0682154636656651E-2</v>
      </c>
      <c r="BC43" s="17">
        <f>'Q2 - IRTree'!BC34</f>
        <v>5.0682154636656651E-2</v>
      </c>
      <c r="BD43" s="17">
        <f>'Q2 - IRTree'!BD34</f>
        <v>5.0682154636656651E-2</v>
      </c>
      <c r="BE43" s="17">
        <f>'Q2 - IRTree'!BE34</f>
        <v>5.0682154636656651E-2</v>
      </c>
      <c r="BF43" s="17">
        <f>'Q2 - IRTree'!BF34</f>
        <v>5.0682154636656651E-2</v>
      </c>
      <c r="BG43" s="17">
        <f>'Q2 - IRTree'!BG34</f>
        <v>5.0682154636656651E-2</v>
      </c>
      <c r="BH43" s="17">
        <f>'Q2 - IRTree'!BH34</f>
        <v>5.0682154636656651E-2</v>
      </c>
      <c r="BI43" s="17">
        <f>'Q2 - IRTree'!BI34</f>
        <v>5.0682154636656651E-2</v>
      </c>
      <c r="BJ43" s="17" t="str">
        <f>'Q2 - IRTree'!BJ34</f>
        <v/>
      </c>
    </row>
    <row r="44" spans="1:62" outlineLevel="1">
      <c r="A44" s="11">
        <f t="shared" si="2"/>
        <v>21</v>
      </c>
      <c r="B44" s="17" t="str">
        <f>'Q2 - IRTree'!B35</f>
        <v/>
      </c>
      <c r="C44" s="17" t="str">
        <f>'Q2 - IRTree'!C35</f>
        <v/>
      </c>
      <c r="D44" s="17" t="str">
        <f>'Q2 - IRTree'!D35</f>
        <v/>
      </c>
      <c r="E44" s="17" t="str">
        <f>'Q2 - IRTree'!E35</f>
        <v/>
      </c>
      <c r="F44" s="17" t="str">
        <f>'Q2 - IRTree'!F35</f>
        <v/>
      </c>
      <c r="G44" s="17" t="str">
        <f>'Q2 - IRTree'!G35</f>
        <v/>
      </c>
      <c r="H44" s="17" t="str">
        <f>'Q2 - IRTree'!H35</f>
        <v/>
      </c>
      <c r="I44" s="17" t="str">
        <f>'Q2 - IRTree'!I35</f>
        <v/>
      </c>
      <c r="J44" s="17" t="str">
        <f>'Q2 - IRTree'!J35</f>
        <v/>
      </c>
      <c r="K44" s="17" t="str">
        <f>'Q2 - IRTree'!K35</f>
        <v/>
      </c>
      <c r="L44" s="17" t="str">
        <f>'Q2 - IRTree'!L35</f>
        <v/>
      </c>
      <c r="M44" s="17" t="str">
        <f>'Q2 - IRTree'!M35</f>
        <v/>
      </c>
      <c r="N44" s="17" t="str">
        <f>'Q2 - IRTree'!N35</f>
        <v/>
      </c>
      <c r="O44" s="17" t="str">
        <f>'Q2 - IRTree'!O35</f>
        <v/>
      </c>
      <c r="P44" s="17" t="str">
        <f>'Q2 - IRTree'!P35</f>
        <v/>
      </c>
      <c r="Q44" s="17" t="str">
        <f>'Q2 - IRTree'!Q35</f>
        <v/>
      </c>
      <c r="R44" s="17" t="str">
        <f>'Q2 - IRTree'!R35</f>
        <v/>
      </c>
      <c r="S44" s="17" t="str">
        <f>'Q2 - IRTree'!S35</f>
        <v/>
      </c>
      <c r="T44" s="17" t="str">
        <f>'Q2 - IRTree'!T35</f>
        <v/>
      </c>
      <c r="U44" s="17" t="str">
        <f>'Q2 - IRTree'!U35</f>
        <v/>
      </c>
      <c r="V44" s="17" t="str">
        <f>'Q2 - IRTree'!V35</f>
        <v/>
      </c>
      <c r="W44" s="17">
        <f>'Q2 - IRTree'!W35</f>
        <v>5.0682154636656651E-2</v>
      </c>
      <c r="X44" s="17">
        <f>'Q2 - IRTree'!X35</f>
        <v>5.0682154636656651E-2</v>
      </c>
      <c r="Y44" s="17">
        <f>'Q2 - IRTree'!Y35</f>
        <v>5.0682154636656651E-2</v>
      </c>
      <c r="Z44" s="17">
        <f>'Q2 - IRTree'!Z35</f>
        <v>5.0682154636656651E-2</v>
      </c>
      <c r="AA44" s="17">
        <f>'Q2 - IRTree'!AA35</f>
        <v>5.0682154636656651E-2</v>
      </c>
      <c r="AB44" s="17">
        <f>'Q2 - IRTree'!AB35</f>
        <v>5.0682154636656651E-2</v>
      </c>
      <c r="AC44" s="17">
        <f>'Q2 - IRTree'!AC35</f>
        <v>5.0682154636656651E-2</v>
      </c>
      <c r="AD44" s="17">
        <f>'Q2 - IRTree'!AD35</f>
        <v>5.0682154636656651E-2</v>
      </c>
      <c r="AE44" s="17">
        <f>'Q2 - IRTree'!AE35</f>
        <v>5.0682154636656651E-2</v>
      </c>
      <c r="AF44" s="17">
        <f>'Q2 - IRTree'!AF35</f>
        <v>5.0682154636656651E-2</v>
      </c>
      <c r="AG44" s="17">
        <f>'Q2 - IRTree'!AG35</f>
        <v>5.0682154636656651E-2</v>
      </c>
      <c r="AH44" s="17">
        <f>'Q2 - IRTree'!AH35</f>
        <v>5.0682154636656651E-2</v>
      </c>
      <c r="AI44" s="17">
        <f>'Q2 - IRTree'!AI35</f>
        <v>5.0682154636656651E-2</v>
      </c>
      <c r="AJ44" s="17">
        <f>'Q2 - IRTree'!AJ35</f>
        <v>5.0682154636656651E-2</v>
      </c>
      <c r="AK44" s="17">
        <f>'Q2 - IRTree'!AK35</f>
        <v>5.0682154636656651E-2</v>
      </c>
      <c r="AL44" s="17">
        <f>'Q2 - IRTree'!AL35</f>
        <v>5.0682154636656651E-2</v>
      </c>
      <c r="AM44" s="17">
        <f>'Q2 - IRTree'!AM35</f>
        <v>5.0682154636656651E-2</v>
      </c>
      <c r="AN44" s="17">
        <f>'Q2 - IRTree'!AN35</f>
        <v>5.0682154636656651E-2</v>
      </c>
      <c r="AO44" s="17">
        <f>'Q2 - IRTree'!AO35</f>
        <v>5.0682154636656651E-2</v>
      </c>
      <c r="AP44" s="17">
        <f>'Q2 - IRTree'!AP35</f>
        <v>5.0682154636656651E-2</v>
      </c>
      <c r="AQ44" s="17">
        <f>'Q2 - IRTree'!AQ35</f>
        <v>5.0682154636656651E-2</v>
      </c>
      <c r="AR44" s="17">
        <f>'Q2 - IRTree'!AR35</f>
        <v>5.0682154636656651E-2</v>
      </c>
      <c r="AS44" s="17">
        <f>'Q2 - IRTree'!AS35</f>
        <v>5.0682154636656651E-2</v>
      </c>
      <c r="AT44" s="17">
        <f>'Q2 - IRTree'!AT35</f>
        <v>5.0682154636656651E-2</v>
      </c>
      <c r="AU44" s="17">
        <f>'Q2 - IRTree'!AU35</f>
        <v>5.0682154636656651E-2</v>
      </c>
      <c r="AV44" s="17">
        <f>'Q2 - IRTree'!AV35</f>
        <v>5.0682154636656651E-2</v>
      </c>
      <c r="AW44" s="17">
        <f>'Q2 - IRTree'!AW35</f>
        <v>5.0682154636656651E-2</v>
      </c>
      <c r="AX44" s="17">
        <f>'Q2 - IRTree'!AX35</f>
        <v>5.0682154636656651E-2</v>
      </c>
      <c r="AY44" s="17">
        <f>'Q2 - IRTree'!AY35</f>
        <v>5.0682154636656651E-2</v>
      </c>
      <c r="AZ44" s="17">
        <f>'Q2 - IRTree'!AZ35</f>
        <v>5.0682154636656651E-2</v>
      </c>
      <c r="BA44" s="17">
        <f>'Q2 - IRTree'!BA35</f>
        <v>5.0682154636656651E-2</v>
      </c>
      <c r="BB44" s="17">
        <f>'Q2 - IRTree'!BB35</f>
        <v>5.0682154636656651E-2</v>
      </c>
      <c r="BC44" s="17">
        <f>'Q2 - IRTree'!BC35</f>
        <v>5.0682154636656651E-2</v>
      </c>
      <c r="BD44" s="17">
        <f>'Q2 - IRTree'!BD35</f>
        <v>5.0682154636656651E-2</v>
      </c>
      <c r="BE44" s="17">
        <f>'Q2 - IRTree'!BE35</f>
        <v>5.0682154636656651E-2</v>
      </c>
      <c r="BF44" s="17">
        <f>'Q2 - IRTree'!BF35</f>
        <v>5.0682154636656651E-2</v>
      </c>
      <c r="BG44" s="17">
        <f>'Q2 - IRTree'!BG35</f>
        <v>5.0682154636656651E-2</v>
      </c>
      <c r="BH44" s="17">
        <f>'Q2 - IRTree'!BH35</f>
        <v>5.0682154636656651E-2</v>
      </c>
      <c r="BI44" s="17">
        <f>'Q2 - IRTree'!BI35</f>
        <v>5.0682154636656651E-2</v>
      </c>
      <c r="BJ44" s="17" t="str">
        <f>'Q2 - IRTree'!BJ35</f>
        <v/>
      </c>
    </row>
    <row r="45" spans="1:62" outlineLevel="1">
      <c r="A45" s="11">
        <f t="shared" si="2"/>
        <v>22</v>
      </c>
      <c r="B45" s="17" t="str">
        <f>'Q2 - IRTree'!B36</f>
        <v/>
      </c>
      <c r="C45" s="17" t="str">
        <f>'Q2 - IRTree'!C36</f>
        <v/>
      </c>
      <c r="D45" s="17" t="str">
        <f>'Q2 - IRTree'!D36</f>
        <v/>
      </c>
      <c r="E45" s="17" t="str">
        <f>'Q2 - IRTree'!E36</f>
        <v/>
      </c>
      <c r="F45" s="17" t="str">
        <f>'Q2 - IRTree'!F36</f>
        <v/>
      </c>
      <c r="G45" s="17" t="str">
        <f>'Q2 - IRTree'!G36</f>
        <v/>
      </c>
      <c r="H45" s="17" t="str">
        <f>'Q2 - IRTree'!H36</f>
        <v/>
      </c>
      <c r="I45" s="17" t="str">
        <f>'Q2 - IRTree'!I36</f>
        <v/>
      </c>
      <c r="J45" s="17" t="str">
        <f>'Q2 - IRTree'!J36</f>
        <v/>
      </c>
      <c r="K45" s="17" t="str">
        <f>'Q2 - IRTree'!K36</f>
        <v/>
      </c>
      <c r="L45" s="17" t="str">
        <f>'Q2 - IRTree'!L36</f>
        <v/>
      </c>
      <c r="M45" s="17" t="str">
        <f>'Q2 - IRTree'!M36</f>
        <v/>
      </c>
      <c r="N45" s="17" t="str">
        <f>'Q2 - IRTree'!N36</f>
        <v/>
      </c>
      <c r="O45" s="17" t="str">
        <f>'Q2 - IRTree'!O36</f>
        <v/>
      </c>
      <c r="P45" s="17" t="str">
        <f>'Q2 - IRTree'!P36</f>
        <v/>
      </c>
      <c r="Q45" s="17" t="str">
        <f>'Q2 - IRTree'!Q36</f>
        <v/>
      </c>
      <c r="R45" s="17" t="str">
        <f>'Q2 - IRTree'!R36</f>
        <v/>
      </c>
      <c r="S45" s="17" t="str">
        <f>'Q2 - IRTree'!S36</f>
        <v/>
      </c>
      <c r="T45" s="17" t="str">
        <f>'Q2 - IRTree'!T36</f>
        <v/>
      </c>
      <c r="U45" s="17" t="str">
        <f>'Q2 - IRTree'!U36</f>
        <v/>
      </c>
      <c r="V45" s="17" t="str">
        <f>'Q2 - IRTree'!V36</f>
        <v/>
      </c>
      <c r="W45" s="17" t="str">
        <f>'Q2 - IRTree'!W36</f>
        <v/>
      </c>
      <c r="X45" s="17">
        <f>'Q2 - IRTree'!X36</f>
        <v>5.0682154636656651E-2</v>
      </c>
      <c r="Y45" s="17">
        <f>'Q2 - IRTree'!Y36</f>
        <v>5.0682154636656651E-2</v>
      </c>
      <c r="Z45" s="17">
        <f>'Q2 - IRTree'!Z36</f>
        <v>5.0682154636656651E-2</v>
      </c>
      <c r="AA45" s="17">
        <f>'Q2 - IRTree'!AA36</f>
        <v>5.0682154636656651E-2</v>
      </c>
      <c r="AB45" s="17">
        <f>'Q2 - IRTree'!AB36</f>
        <v>5.0682154636656651E-2</v>
      </c>
      <c r="AC45" s="17">
        <f>'Q2 - IRTree'!AC36</f>
        <v>5.0682154636656651E-2</v>
      </c>
      <c r="AD45" s="17">
        <f>'Q2 - IRTree'!AD36</f>
        <v>5.0682154636656651E-2</v>
      </c>
      <c r="AE45" s="17">
        <f>'Q2 - IRTree'!AE36</f>
        <v>5.0682154636656651E-2</v>
      </c>
      <c r="AF45" s="17">
        <f>'Q2 - IRTree'!AF36</f>
        <v>5.0682154636656651E-2</v>
      </c>
      <c r="AG45" s="17">
        <f>'Q2 - IRTree'!AG36</f>
        <v>5.0682154636656651E-2</v>
      </c>
      <c r="AH45" s="17">
        <f>'Q2 - IRTree'!AH36</f>
        <v>5.0682154636656651E-2</v>
      </c>
      <c r="AI45" s="17">
        <f>'Q2 - IRTree'!AI36</f>
        <v>5.0682154636656651E-2</v>
      </c>
      <c r="AJ45" s="17">
        <f>'Q2 - IRTree'!AJ36</f>
        <v>5.0682154636656651E-2</v>
      </c>
      <c r="AK45" s="17">
        <f>'Q2 - IRTree'!AK36</f>
        <v>5.0682154636656651E-2</v>
      </c>
      <c r="AL45" s="17">
        <f>'Q2 - IRTree'!AL36</f>
        <v>5.0682154636656651E-2</v>
      </c>
      <c r="AM45" s="17">
        <f>'Q2 - IRTree'!AM36</f>
        <v>5.0682154636656651E-2</v>
      </c>
      <c r="AN45" s="17">
        <f>'Q2 - IRTree'!AN36</f>
        <v>5.0682154636656651E-2</v>
      </c>
      <c r="AO45" s="17">
        <f>'Q2 - IRTree'!AO36</f>
        <v>5.0682154636656651E-2</v>
      </c>
      <c r="AP45" s="17">
        <f>'Q2 - IRTree'!AP36</f>
        <v>5.0682154636656651E-2</v>
      </c>
      <c r="AQ45" s="17">
        <f>'Q2 - IRTree'!AQ36</f>
        <v>5.0682154636656651E-2</v>
      </c>
      <c r="AR45" s="17">
        <f>'Q2 - IRTree'!AR36</f>
        <v>5.0682154636656651E-2</v>
      </c>
      <c r="AS45" s="17">
        <f>'Q2 - IRTree'!AS36</f>
        <v>5.0682154636656651E-2</v>
      </c>
      <c r="AT45" s="17">
        <f>'Q2 - IRTree'!AT36</f>
        <v>5.0682154636656651E-2</v>
      </c>
      <c r="AU45" s="17">
        <f>'Q2 - IRTree'!AU36</f>
        <v>5.0682154636656651E-2</v>
      </c>
      <c r="AV45" s="17">
        <f>'Q2 - IRTree'!AV36</f>
        <v>5.0682154636656651E-2</v>
      </c>
      <c r="AW45" s="17">
        <f>'Q2 - IRTree'!AW36</f>
        <v>5.0682154636656651E-2</v>
      </c>
      <c r="AX45" s="17">
        <f>'Q2 - IRTree'!AX36</f>
        <v>5.0682154636656651E-2</v>
      </c>
      <c r="AY45" s="17">
        <f>'Q2 - IRTree'!AY36</f>
        <v>5.0682154636656651E-2</v>
      </c>
      <c r="AZ45" s="17">
        <f>'Q2 - IRTree'!AZ36</f>
        <v>5.0682154636656651E-2</v>
      </c>
      <c r="BA45" s="17">
        <f>'Q2 - IRTree'!BA36</f>
        <v>5.0682154636656651E-2</v>
      </c>
      <c r="BB45" s="17">
        <f>'Q2 - IRTree'!BB36</f>
        <v>5.0682154636656651E-2</v>
      </c>
      <c r="BC45" s="17">
        <f>'Q2 - IRTree'!BC36</f>
        <v>5.0682154636656651E-2</v>
      </c>
      <c r="BD45" s="17">
        <f>'Q2 - IRTree'!BD36</f>
        <v>5.0682154636656651E-2</v>
      </c>
      <c r="BE45" s="17">
        <f>'Q2 - IRTree'!BE36</f>
        <v>5.0682154636656651E-2</v>
      </c>
      <c r="BF45" s="17">
        <f>'Q2 - IRTree'!BF36</f>
        <v>5.0682154636656651E-2</v>
      </c>
      <c r="BG45" s="17">
        <f>'Q2 - IRTree'!BG36</f>
        <v>5.0682154636656651E-2</v>
      </c>
      <c r="BH45" s="17">
        <f>'Q2 - IRTree'!BH36</f>
        <v>5.0682154636656651E-2</v>
      </c>
      <c r="BI45" s="17">
        <f>'Q2 - IRTree'!BI36</f>
        <v>5.0682154636656651E-2</v>
      </c>
      <c r="BJ45" s="17" t="str">
        <f>'Q2 - IRTree'!BJ36</f>
        <v/>
      </c>
    </row>
    <row r="46" spans="1:62" outlineLevel="1">
      <c r="A46" s="11">
        <f t="shared" si="2"/>
        <v>23</v>
      </c>
      <c r="B46" s="17" t="str">
        <f>'Q2 - IRTree'!B37</f>
        <v/>
      </c>
      <c r="C46" s="17" t="str">
        <f>'Q2 - IRTree'!C37</f>
        <v/>
      </c>
      <c r="D46" s="17" t="str">
        <f>'Q2 - IRTree'!D37</f>
        <v/>
      </c>
      <c r="E46" s="17" t="str">
        <f>'Q2 - IRTree'!E37</f>
        <v/>
      </c>
      <c r="F46" s="17" t="str">
        <f>'Q2 - IRTree'!F37</f>
        <v/>
      </c>
      <c r="G46" s="17" t="str">
        <f>'Q2 - IRTree'!G37</f>
        <v/>
      </c>
      <c r="H46" s="17" t="str">
        <f>'Q2 - IRTree'!H37</f>
        <v/>
      </c>
      <c r="I46" s="17" t="str">
        <f>'Q2 - IRTree'!I37</f>
        <v/>
      </c>
      <c r="J46" s="17" t="str">
        <f>'Q2 - IRTree'!J37</f>
        <v/>
      </c>
      <c r="K46" s="17" t="str">
        <f>'Q2 - IRTree'!K37</f>
        <v/>
      </c>
      <c r="L46" s="17" t="str">
        <f>'Q2 - IRTree'!L37</f>
        <v/>
      </c>
      <c r="M46" s="17" t="str">
        <f>'Q2 - IRTree'!M37</f>
        <v/>
      </c>
      <c r="N46" s="17" t="str">
        <f>'Q2 - IRTree'!N37</f>
        <v/>
      </c>
      <c r="O46" s="17" t="str">
        <f>'Q2 - IRTree'!O37</f>
        <v/>
      </c>
      <c r="P46" s="17" t="str">
        <f>'Q2 - IRTree'!P37</f>
        <v/>
      </c>
      <c r="Q46" s="17" t="str">
        <f>'Q2 - IRTree'!Q37</f>
        <v/>
      </c>
      <c r="R46" s="17" t="str">
        <f>'Q2 - IRTree'!R37</f>
        <v/>
      </c>
      <c r="S46" s="17" t="str">
        <f>'Q2 - IRTree'!S37</f>
        <v/>
      </c>
      <c r="T46" s="17" t="str">
        <f>'Q2 - IRTree'!T37</f>
        <v/>
      </c>
      <c r="U46" s="17" t="str">
        <f>'Q2 - IRTree'!U37</f>
        <v/>
      </c>
      <c r="V46" s="17" t="str">
        <f>'Q2 - IRTree'!V37</f>
        <v/>
      </c>
      <c r="W46" s="17" t="str">
        <f>'Q2 - IRTree'!W37</f>
        <v/>
      </c>
      <c r="X46" s="17" t="str">
        <f>'Q2 - IRTree'!X37</f>
        <v/>
      </c>
      <c r="Y46" s="17">
        <f>'Q2 - IRTree'!Y37</f>
        <v>5.0682154636656651E-2</v>
      </c>
      <c r="Z46" s="17">
        <f>'Q2 - IRTree'!Z37</f>
        <v>5.0682154636656651E-2</v>
      </c>
      <c r="AA46" s="17">
        <f>'Q2 - IRTree'!AA37</f>
        <v>5.0682154636656651E-2</v>
      </c>
      <c r="AB46" s="17">
        <f>'Q2 - IRTree'!AB37</f>
        <v>5.0682154636656651E-2</v>
      </c>
      <c r="AC46" s="17">
        <f>'Q2 - IRTree'!AC37</f>
        <v>5.0682154636656651E-2</v>
      </c>
      <c r="AD46" s="17">
        <f>'Q2 - IRTree'!AD37</f>
        <v>5.0682154636656651E-2</v>
      </c>
      <c r="AE46" s="17">
        <f>'Q2 - IRTree'!AE37</f>
        <v>5.0682154636656651E-2</v>
      </c>
      <c r="AF46" s="17">
        <f>'Q2 - IRTree'!AF37</f>
        <v>5.0682154636656651E-2</v>
      </c>
      <c r="AG46" s="17">
        <f>'Q2 - IRTree'!AG37</f>
        <v>5.0682154636656651E-2</v>
      </c>
      <c r="AH46" s="17">
        <f>'Q2 - IRTree'!AH37</f>
        <v>5.0682154636656651E-2</v>
      </c>
      <c r="AI46" s="17">
        <f>'Q2 - IRTree'!AI37</f>
        <v>5.0682154636656651E-2</v>
      </c>
      <c r="AJ46" s="17">
        <f>'Q2 - IRTree'!AJ37</f>
        <v>5.0682154636656651E-2</v>
      </c>
      <c r="AK46" s="17">
        <f>'Q2 - IRTree'!AK37</f>
        <v>5.0682154636656651E-2</v>
      </c>
      <c r="AL46" s="17">
        <f>'Q2 - IRTree'!AL37</f>
        <v>5.0682154636656651E-2</v>
      </c>
      <c r="AM46" s="17">
        <f>'Q2 - IRTree'!AM37</f>
        <v>5.0682154636656651E-2</v>
      </c>
      <c r="AN46" s="17">
        <f>'Q2 - IRTree'!AN37</f>
        <v>5.0682154636656651E-2</v>
      </c>
      <c r="AO46" s="17">
        <f>'Q2 - IRTree'!AO37</f>
        <v>5.0682154636656651E-2</v>
      </c>
      <c r="AP46" s="17">
        <f>'Q2 - IRTree'!AP37</f>
        <v>5.0682154636656651E-2</v>
      </c>
      <c r="AQ46" s="17">
        <f>'Q2 - IRTree'!AQ37</f>
        <v>5.0682154636656651E-2</v>
      </c>
      <c r="AR46" s="17">
        <f>'Q2 - IRTree'!AR37</f>
        <v>5.0682154636656651E-2</v>
      </c>
      <c r="AS46" s="17">
        <f>'Q2 - IRTree'!AS37</f>
        <v>5.0682154636656651E-2</v>
      </c>
      <c r="AT46" s="17">
        <f>'Q2 - IRTree'!AT37</f>
        <v>5.0682154636656651E-2</v>
      </c>
      <c r="AU46" s="17">
        <f>'Q2 - IRTree'!AU37</f>
        <v>5.0682154636656651E-2</v>
      </c>
      <c r="AV46" s="17">
        <f>'Q2 - IRTree'!AV37</f>
        <v>5.0682154636656651E-2</v>
      </c>
      <c r="AW46" s="17">
        <f>'Q2 - IRTree'!AW37</f>
        <v>5.0682154636656651E-2</v>
      </c>
      <c r="AX46" s="17">
        <f>'Q2 - IRTree'!AX37</f>
        <v>5.0682154636656651E-2</v>
      </c>
      <c r="AY46" s="17">
        <f>'Q2 - IRTree'!AY37</f>
        <v>5.0682154636656651E-2</v>
      </c>
      <c r="AZ46" s="17">
        <f>'Q2 - IRTree'!AZ37</f>
        <v>5.0682154636656651E-2</v>
      </c>
      <c r="BA46" s="17">
        <f>'Q2 - IRTree'!BA37</f>
        <v>5.0682154636656651E-2</v>
      </c>
      <c r="BB46" s="17">
        <f>'Q2 - IRTree'!BB37</f>
        <v>5.0682154636656651E-2</v>
      </c>
      <c r="BC46" s="17">
        <f>'Q2 - IRTree'!BC37</f>
        <v>5.0682154636656651E-2</v>
      </c>
      <c r="BD46" s="17">
        <f>'Q2 - IRTree'!BD37</f>
        <v>5.0682154636656651E-2</v>
      </c>
      <c r="BE46" s="17">
        <f>'Q2 - IRTree'!BE37</f>
        <v>5.0682154636656651E-2</v>
      </c>
      <c r="BF46" s="17">
        <f>'Q2 - IRTree'!BF37</f>
        <v>5.0682154636656651E-2</v>
      </c>
      <c r="BG46" s="17">
        <f>'Q2 - IRTree'!BG37</f>
        <v>5.0682154636656651E-2</v>
      </c>
      <c r="BH46" s="17">
        <f>'Q2 - IRTree'!BH37</f>
        <v>5.0682154636656651E-2</v>
      </c>
      <c r="BI46" s="17">
        <f>'Q2 - IRTree'!BI37</f>
        <v>5.0682154636656651E-2</v>
      </c>
      <c r="BJ46" s="17" t="str">
        <f>'Q2 - IRTree'!BJ37</f>
        <v/>
      </c>
    </row>
    <row r="47" spans="1:62" outlineLevel="1">
      <c r="A47" s="11">
        <f t="shared" si="2"/>
        <v>24</v>
      </c>
      <c r="B47" s="17" t="str">
        <f>'Q2 - IRTree'!B38</f>
        <v/>
      </c>
      <c r="C47" s="17" t="str">
        <f>'Q2 - IRTree'!C38</f>
        <v/>
      </c>
      <c r="D47" s="17" t="str">
        <f>'Q2 - IRTree'!D38</f>
        <v/>
      </c>
      <c r="E47" s="17" t="str">
        <f>'Q2 - IRTree'!E38</f>
        <v/>
      </c>
      <c r="F47" s="17" t="str">
        <f>'Q2 - IRTree'!F38</f>
        <v/>
      </c>
      <c r="G47" s="17" t="str">
        <f>'Q2 - IRTree'!G38</f>
        <v/>
      </c>
      <c r="H47" s="17" t="str">
        <f>'Q2 - IRTree'!H38</f>
        <v/>
      </c>
      <c r="I47" s="17" t="str">
        <f>'Q2 - IRTree'!I38</f>
        <v/>
      </c>
      <c r="J47" s="17" t="str">
        <f>'Q2 - IRTree'!J38</f>
        <v/>
      </c>
      <c r="K47" s="17" t="str">
        <f>'Q2 - IRTree'!K38</f>
        <v/>
      </c>
      <c r="L47" s="17" t="str">
        <f>'Q2 - IRTree'!L38</f>
        <v/>
      </c>
      <c r="M47" s="17" t="str">
        <f>'Q2 - IRTree'!M38</f>
        <v/>
      </c>
      <c r="N47" s="17" t="str">
        <f>'Q2 - IRTree'!N38</f>
        <v/>
      </c>
      <c r="O47" s="17" t="str">
        <f>'Q2 - IRTree'!O38</f>
        <v/>
      </c>
      <c r="P47" s="17" t="str">
        <f>'Q2 - IRTree'!P38</f>
        <v/>
      </c>
      <c r="Q47" s="17" t="str">
        <f>'Q2 - IRTree'!Q38</f>
        <v/>
      </c>
      <c r="R47" s="17" t="str">
        <f>'Q2 - IRTree'!R38</f>
        <v/>
      </c>
      <c r="S47" s="17" t="str">
        <f>'Q2 - IRTree'!S38</f>
        <v/>
      </c>
      <c r="T47" s="17" t="str">
        <f>'Q2 - IRTree'!T38</f>
        <v/>
      </c>
      <c r="U47" s="17" t="str">
        <f>'Q2 - IRTree'!U38</f>
        <v/>
      </c>
      <c r="V47" s="17" t="str">
        <f>'Q2 - IRTree'!V38</f>
        <v/>
      </c>
      <c r="W47" s="17" t="str">
        <f>'Q2 - IRTree'!W38</f>
        <v/>
      </c>
      <c r="X47" s="17" t="str">
        <f>'Q2 - IRTree'!X38</f>
        <v/>
      </c>
      <c r="Y47" s="17" t="str">
        <f>'Q2 - IRTree'!Y38</f>
        <v/>
      </c>
      <c r="Z47" s="17">
        <f>'Q2 - IRTree'!Z38</f>
        <v>5.0682154636656651E-2</v>
      </c>
      <c r="AA47" s="17">
        <f>'Q2 - IRTree'!AA38</f>
        <v>5.0682154636656651E-2</v>
      </c>
      <c r="AB47" s="17">
        <f>'Q2 - IRTree'!AB38</f>
        <v>5.0682154636656651E-2</v>
      </c>
      <c r="AC47" s="17">
        <f>'Q2 - IRTree'!AC38</f>
        <v>5.0682154636656651E-2</v>
      </c>
      <c r="AD47" s="17">
        <f>'Q2 - IRTree'!AD38</f>
        <v>5.0682154636656651E-2</v>
      </c>
      <c r="AE47" s="17">
        <f>'Q2 - IRTree'!AE38</f>
        <v>5.0682154636656651E-2</v>
      </c>
      <c r="AF47" s="17">
        <f>'Q2 - IRTree'!AF38</f>
        <v>5.0682154636656651E-2</v>
      </c>
      <c r="AG47" s="17">
        <f>'Q2 - IRTree'!AG38</f>
        <v>5.0682154636656651E-2</v>
      </c>
      <c r="AH47" s="17">
        <f>'Q2 - IRTree'!AH38</f>
        <v>5.0682154636656651E-2</v>
      </c>
      <c r="AI47" s="17">
        <f>'Q2 - IRTree'!AI38</f>
        <v>5.0682154636656651E-2</v>
      </c>
      <c r="AJ47" s="17">
        <f>'Q2 - IRTree'!AJ38</f>
        <v>5.0682154636656651E-2</v>
      </c>
      <c r="AK47" s="17">
        <f>'Q2 - IRTree'!AK38</f>
        <v>5.0682154636656651E-2</v>
      </c>
      <c r="AL47" s="17">
        <f>'Q2 - IRTree'!AL38</f>
        <v>5.0682154636656651E-2</v>
      </c>
      <c r="AM47" s="17">
        <f>'Q2 - IRTree'!AM38</f>
        <v>5.0682154636656651E-2</v>
      </c>
      <c r="AN47" s="17">
        <f>'Q2 - IRTree'!AN38</f>
        <v>5.0682154636656651E-2</v>
      </c>
      <c r="AO47" s="17">
        <f>'Q2 - IRTree'!AO38</f>
        <v>5.0682154636656651E-2</v>
      </c>
      <c r="AP47" s="17">
        <f>'Q2 - IRTree'!AP38</f>
        <v>5.0682154636656651E-2</v>
      </c>
      <c r="AQ47" s="17">
        <f>'Q2 - IRTree'!AQ38</f>
        <v>5.0682154636656651E-2</v>
      </c>
      <c r="AR47" s="17">
        <f>'Q2 - IRTree'!AR38</f>
        <v>5.0682154636656651E-2</v>
      </c>
      <c r="AS47" s="17">
        <f>'Q2 - IRTree'!AS38</f>
        <v>5.0682154636656651E-2</v>
      </c>
      <c r="AT47" s="17">
        <f>'Q2 - IRTree'!AT38</f>
        <v>5.0682154636656651E-2</v>
      </c>
      <c r="AU47" s="17">
        <f>'Q2 - IRTree'!AU38</f>
        <v>5.0682154636656651E-2</v>
      </c>
      <c r="AV47" s="17">
        <f>'Q2 - IRTree'!AV38</f>
        <v>5.0682154636656651E-2</v>
      </c>
      <c r="AW47" s="17">
        <f>'Q2 - IRTree'!AW38</f>
        <v>5.0682154636656651E-2</v>
      </c>
      <c r="AX47" s="17">
        <f>'Q2 - IRTree'!AX38</f>
        <v>5.0682154636656651E-2</v>
      </c>
      <c r="AY47" s="17">
        <f>'Q2 - IRTree'!AY38</f>
        <v>5.0682154636656651E-2</v>
      </c>
      <c r="AZ47" s="17">
        <f>'Q2 - IRTree'!AZ38</f>
        <v>5.0682154636656651E-2</v>
      </c>
      <c r="BA47" s="17">
        <f>'Q2 - IRTree'!BA38</f>
        <v>5.0682154636656651E-2</v>
      </c>
      <c r="BB47" s="17">
        <f>'Q2 - IRTree'!BB38</f>
        <v>5.0682154636656651E-2</v>
      </c>
      <c r="BC47" s="17">
        <f>'Q2 - IRTree'!BC38</f>
        <v>5.0682154636656651E-2</v>
      </c>
      <c r="BD47" s="17">
        <f>'Q2 - IRTree'!BD38</f>
        <v>5.0682154636656651E-2</v>
      </c>
      <c r="BE47" s="17">
        <f>'Q2 - IRTree'!BE38</f>
        <v>5.0682154636656651E-2</v>
      </c>
      <c r="BF47" s="17">
        <f>'Q2 - IRTree'!BF38</f>
        <v>5.0682154636656651E-2</v>
      </c>
      <c r="BG47" s="17">
        <f>'Q2 - IRTree'!BG38</f>
        <v>5.0682154636656651E-2</v>
      </c>
      <c r="BH47" s="17">
        <f>'Q2 - IRTree'!BH38</f>
        <v>5.0682154636656651E-2</v>
      </c>
      <c r="BI47" s="17">
        <f>'Q2 - IRTree'!BI38</f>
        <v>5.0682154636656651E-2</v>
      </c>
      <c r="BJ47" s="17" t="str">
        <f>'Q2 - IRTree'!BJ38</f>
        <v/>
      </c>
    </row>
    <row r="48" spans="1:62" outlineLevel="1">
      <c r="A48" s="11">
        <f t="shared" si="2"/>
        <v>25</v>
      </c>
      <c r="B48" s="17" t="str">
        <f>'Q2 - IRTree'!B39</f>
        <v/>
      </c>
      <c r="C48" s="17" t="str">
        <f>'Q2 - IRTree'!C39</f>
        <v/>
      </c>
      <c r="D48" s="17" t="str">
        <f>'Q2 - IRTree'!D39</f>
        <v/>
      </c>
      <c r="E48" s="17" t="str">
        <f>'Q2 - IRTree'!E39</f>
        <v/>
      </c>
      <c r="F48" s="17" t="str">
        <f>'Q2 - IRTree'!F39</f>
        <v/>
      </c>
      <c r="G48" s="17" t="str">
        <f>'Q2 - IRTree'!G39</f>
        <v/>
      </c>
      <c r="H48" s="17" t="str">
        <f>'Q2 - IRTree'!H39</f>
        <v/>
      </c>
      <c r="I48" s="17" t="str">
        <f>'Q2 - IRTree'!I39</f>
        <v/>
      </c>
      <c r="J48" s="17" t="str">
        <f>'Q2 - IRTree'!J39</f>
        <v/>
      </c>
      <c r="K48" s="17" t="str">
        <f>'Q2 - IRTree'!K39</f>
        <v/>
      </c>
      <c r="L48" s="17" t="str">
        <f>'Q2 - IRTree'!L39</f>
        <v/>
      </c>
      <c r="M48" s="17" t="str">
        <f>'Q2 - IRTree'!M39</f>
        <v/>
      </c>
      <c r="N48" s="17" t="str">
        <f>'Q2 - IRTree'!N39</f>
        <v/>
      </c>
      <c r="O48" s="17" t="str">
        <f>'Q2 - IRTree'!O39</f>
        <v/>
      </c>
      <c r="P48" s="17" t="str">
        <f>'Q2 - IRTree'!P39</f>
        <v/>
      </c>
      <c r="Q48" s="17" t="str">
        <f>'Q2 - IRTree'!Q39</f>
        <v/>
      </c>
      <c r="R48" s="17" t="str">
        <f>'Q2 - IRTree'!R39</f>
        <v/>
      </c>
      <c r="S48" s="17" t="str">
        <f>'Q2 - IRTree'!S39</f>
        <v/>
      </c>
      <c r="T48" s="17" t="str">
        <f>'Q2 - IRTree'!T39</f>
        <v/>
      </c>
      <c r="U48" s="17" t="str">
        <f>'Q2 - IRTree'!U39</f>
        <v/>
      </c>
      <c r="V48" s="17" t="str">
        <f>'Q2 - IRTree'!V39</f>
        <v/>
      </c>
      <c r="W48" s="17" t="str">
        <f>'Q2 - IRTree'!W39</f>
        <v/>
      </c>
      <c r="X48" s="17" t="str">
        <f>'Q2 - IRTree'!X39</f>
        <v/>
      </c>
      <c r="Y48" s="17" t="str">
        <f>'Q2 - IRTree'!Y39</f>
        <v/>
      </c>
      <c r="Z48" s="17" t="str">
        <f>'Q2 - IRTree'!Z39</f>
        <v/>
      </c>
      <c r="AA48" s="17">
        <f>'Q2 - IRTree'!AA39</f>
        <v>5.0682154636656651E-2</v>
      </c>
      <c r="AB48" s="17">
        <f>'Q2 - IRTree'!AB39</f>
        <v>5.0682154636656651E-2</v>
      </c>
      <c r="AC48" s="17">
        <f>'Q2 - IRTree'!AC39</f>
        <v>5.0682154636656651E-2</v>
      </c>
      <c r="AD48" s="17">
        <f>'Q2 - IRTree'!AD39</f>
        <v>5.0682154636656651E-2</v>
      </c>
      <c r="AE48" s="17">
        <f>'Q2 - IRTree'!AE39</f>
        <v>5.0682154636656651E-2</v>
      </c>
      <c r="AF48" s="17">
        <f>'Q2 - IRTree'!AF39</f>
        <v>5.0682154636656651E-2</v>
      </c>
      <c r="AG48" s="17">
        <f>'Q2 - IRTree'!AG39</f>
        <v>5.0682154636656651E-2</v>
      </c>
      <c r="AH48" s="17">
        <f>'Q2 - IRTree'!AH39</f>
        <v>5.0682154636656651E-2</v>
      </c>
      <c r="AI48" s="17">
        <f>'Q2 - IRTree'!AI39</f>
        <v>5.0682154636656651E-2</v>
      </c>
      <c r="AJ48" s="17">
        <f>'Q2 - IRTree'!AJ39</f>
        <v>5.0682154636656651E-2</v>
      </c>
      <c r="AK48" s="17">
        <f>'Q2 - IRTree'!AK39</f>
        <v>5.0682154636656651E-2</v>
      </c>
      <c r="AL48" s="17">
        <f>'Q2 - IRTree'!AL39</f>
        <v>5.0682154636656651E-2</v>
      </c>
      <c r="AM48" s="17">
        <f>'Q2 - IRTree'!AM39</f>
        <v>5.0682154636656651E-2</v>
      </c>
      <c r="AN48" s="17">
        <f>'Q2 - IRTree'!AN39</f>
        <v>5.0682154636656651E-2</v>
      </c>
      <c r="AO48" s="17">
        <f>'Q2 - IRTree'!AO39</f>
        <v>5.0682154636656651E-2</v>
      </c>
      <c r="AP48" s="17">
        <f>'Q2 - IRTree'!AP39</f>
        <v>5.0682154636656651E-2</v>
      </c>
      <c r="AQ48" s="17">
        <f>'Q2 - IRTree'!AQ39</f>
        <v>5.0682154636656651E-2</v>
      </c>
      <c r="AR48" s="17">
        <f>'Q2 - IRTree'!AR39</f>
        <v>5.0682154636656651E-2</v>
      </c>
      <c r="AS48" s="17">
        <f>'Q2 - IRTree'!AS39</f>
        <v>5.0682154636656651E-2</v>
      </c>
      <c r="AT48" s="17">
        <f>'Q2 - IRTree'!AT39</f>
        <v>5.0682154636656651E-2</v>
      </c>
      <c r="AU48" s="17">
        <f>'Q2 - IRTree'!AU39</f>
        <v>5.0682154636656651E-2</v>
      </c>
      <c r="AV48" s="17">
        <f>'Q2 - IRTree'!AV39</f>
        <v>5.0682154636656651E-2</v>
      </c>
      <c r="AW48" s="17">
        <f>'Q2 - IRTree'!AW39</f>
        <v>5.0682154636656651E-2</v>
      </c>
      <c r="AX48" s="17">
        <f>'Q2 - IRTree'!AX39</f>
        <v>5.0682154636656651E-2</v>
      </c>
      <c r="AY48" s="17">
        <f>'Q2 - IRTree'!AY39</f>
        <v>5.0682154636656651E-2</v>
      </c>
      <c r="AZ48" s="17">
        <f>'Q2 - IRTree'!AZ39</f>
        <v>5.0682154636656651E-2</v>
      </c>
      <c r="BA48" s="17">
        <f>'Q2 - IRTree'!BA39</f>
        <v>5.0682154636656651E-2</v>
      </c>
      <c r="BB48" s="17">
        <f>'Q2 - IRTree'!BB39</f>
        <v>5.0682154636656651E-2</v>
      </c>
      <c r="BC48" s="17">
        <f>'Q2 - IRTree'!BC39</f>
        <v>5.0682154636656651E-2</v>
      </c>
      <c r="BD48" s="17">
        <f>'Q2 - IRTree'!BD39</f>
        <v>5.0682154636656651E-2</v>
      </c>
      <c r="BE48" s="17">
        <f>'Q2 - IRTree'!BE39</f>
        <v>5.0682154636656651E-2</v>
      </c>
      <c r="BF48" s="17">
        <f>'Q2 - IRTree'!BF39</f>
        <v>5.0682154636656651E-2</v>
      </c>
      <c r="BG48" s="17">
        <f>'Q2 - IRTree'!BG39</f>
        <v>5.0682154636656651E-2</v>
      </c>
      <c r="BH48" s="17">
        <f>'Q2 - IRTree'!BH39</f>
        <v>5.0682154636656651E-2</v>
      </c>
      <c r="BI48" s="17">
        <f>'Q2 - IRTree'!BI39</f>
        <v>5.0682154636656651E-2</v>
      </c>
      <c r="BJ48" s="17" t="str">
        <f>'Q2 - IRTree'!BJ39</f>
        <v/>
      </c>
    </row>
    <row r="49" spans="1:62" outlineLevel="1">
      <c r="A49" s="11">
        <f t="shared" si="2"/>
        <v>26</v>
      </c>
      <c r="B49" s="17" t="str">
        <f>'Q2 - IRTree'!B40</f>
        <v/>
      </c>
      <c r="C49" s="17" t="str">
        <f>'Q2 - IRTree'!C40</f>
        <v/>
      </c>
      <c r="D49" s="17" t="str">
        <f>'Q2 - IRTree'!D40</f>
        <v/>
      </c>
      <c r="E49" s="17" t="str">
        <f>'Q2 - IRTree'!E40</f>
        <v/>
      </c>
      <c r="F49" s="17" t="str">
        <f>'Q2 - IRTree'!F40</f>
        <v/>
      </c>
      <c r="G49" s="17" t="str">
        <f>'Q2 - IRTree'!G40</f>
        <v/>
      </c>
      <c r="H49" s="17" t="str">
        <f>'Q2 - IRTree'!H40</f>
        <v/>
      </c>
      <c r="I49" s="17" t="str">
        <f>'Q2 - IRTree'!I40</f>
        <v/>
      </c>
      <c r="J49" s="17" t="str">
        <f>'Q2 - IRTree'!J40</f>
        <v/>
      </c>
      <c r="K49" s="17" t="str">
        <f>'Q2 - IRTree'!K40</f>
        <v/>
      </c>
      <c r="L49" s="17" t="str">
        <f>'Q2 - IRTree'!L40</f>
        <v/>
      </c>
      <c r="M49" s="17" t="str">
        <f>'Q2 - IRTree'!M40</f>
        <v/>
      </c>
      <c r="N49" s="17" t="str">
        <f>'Q2 - IRTree'!N40</f>
        <v/>
      </c>
      <c r="O49" s="17" t="str">
        <f>'Q2 - IRTree'!O40</f>
        <v/>
      </c>
      <c r="P49" s="17" t="str">
        <f>'Q2 - IRTree'!P40</f>
        <v/>
      </c>
      <c r="Q49" s="17" t="str">
        <f>'Q2 - IRTree'!Q40</f>
        <v/>
      </c>
      <c r="R49" s="17" t="str">
        <f>'Q2 - IRTree'!R40</f>
        <v/>
      </c>
      <c r="S49" s="17" t="str">
        <f>'Q2 - IRTree'!S40</f>
        <v/>
      </c>
      <c r="T49" s="17" t="str">
        <f>'Q2 - IRTree'!T40</f>
        <v/>
      </c>
      <c r="U49" s="17" t="str">
        <f>'Q2 - IRTree'!U40</f>
        <v/>
      </c>
      <c r="V49" s="17" t="str">
        <f>'Q2 - IRTree'!V40</f>
        <v/>
      </c>
      <c r="W49" s="17" t="str">
        <f>'Q2 - IRTree'!W40</f>
        <v/>
      </c>
      <c r="X49" s="17" t="str">
        <f>'Q2 - IRTree'!X40</f>
        <v/>
      </c>
      <c r="Y49" s="17" t="str">
        <f>'Q2 - IRTree'!Y40</f>
        <v/>
      </c>
      <c r="Z49" s="17" t="str">
        <f>'Q2 - IRTree'!Z40</f>
        <v/>
      </c>
      <c r="AA49" s="17" t="str">
        <f>'Q2 - IRTree'!AA40</f>
        <v/>
      </c>
      <c r="AB49" s="17">
        <f>'Q2 - IRTree'!AB40</f>
        <v>5.0682154636656651E-2</v>
      </c>
      <c r="AC49" s="17">
        <f>'Q2 - IRTree'!AC40</f>
        <v>5.0682154636656651E-2</v>
      </c>
      <c r="AD49" s="17">
        <f>'Q2 - IRTree'!AD40</f>
        <v>5.0682154636656651E-2</v>
      </c>
      <c r="AE49" s="17">
        <f>'Q2 - IRTree'!AE40</f>
        <v>5.0682154636656651E-2</v>
      </c>
      <c r="AF49" s="17">
        <f>'Q2 - IRTree'!AF40</f>
        <v>5.0682154636656651E-2</v>
      </c>
      <c r="AG49" s="17">
        <f>'Q2 - IRTree'!AG40</f>
        <v>5.0682154636656651E-2</v>
      </c>
      <c r="AH49" s="17">
        <f>'Q2 - IRTree'!AH40</f>
        <v>5.0682154636656651E-2</v>
      </c>
      <c r="AI49" s="17">
        <f>'Q2 - IRTree'!AI40</f>
        <v>5.0682154636656651E-2</v>
      </c>
      <c r="AJ49" s="17">
        <f>'Q2 - IRTree'!AJ40</f>
        <v>5.0682154636656651E-2</v>
      </c>
      <c r="AK49" s="17">
        <f>'Q2 - IRTree'!AK40</f>
        <v>5.0682154636656651E-2</v>
      </c>
      <c r="AL49" s="17">
        <f>'Q2 - IRTree'!AL40</f>
        <v>5.0682154636656651E-2</v>
      </c>
      <c r="AM49" s="17">
        <f>'Q2 - IRTree'!AM40</f>
        <v>5.0682154636656651E-2</v>
      </c>
      <c r="AN49" s="17">
        <f>'Q2 - IRTree'!AN40</f>
        <v>5.0682154636656651E-2</v>
      </c>
      <c r="AO49" s="17">
        <f>'Q2 - IRTree'!AO40</f>
        <v>5.0682154636656651E-2</v>
      </c>
      <c r="AP49" s="17">
        <f>'Q2 - IRTree'!AP40</f>
        <v>5.0682154636656651E-2</v>
      </c>
      <c r="AQ49" s="17">
        <f>'Q2 - IRTree'!AQ40</f>
        <v>5.0682154636656651E-2</v>
      </c>
      <c r="AR49" s="17">
        <f>'Q2 - IRTree'!AR40</f>
        <v>5.0682154636656651E-2</v>
      </c>
      <c r="AS49" s="17">
        <f>'Q2 - IRTree'!AS40</f>
        <v>5.0682154636656651E-2</v>
      </c>
      <c r="AT49" s="17">
        <f>'Q2 - IRTree'!AT40</f>
        <v>5.0682154636656651E-2</v>
      </c>
      <c r="AU49" s="17">
        <f>'Q2 - IRTree'!AU40</f>
        <v>5.0682154636656651E-2</v>
      </c>
      <c r="AV49" s="17">
        <f>'Q2 - IRTree'!AV40</f>
        <v>5.0682154636656651E-2</v>
      </c>
      <c r="AW49" s="17">
        <f>'Q2 - IRTree'!AW40</f>
        <v>5.0682154636656651E-2</v>
      </c>
      <c r="AX49" s="17">
        <f>'Q2 - IRTree'!AX40</f>
        <v>5.0682154636656651E-2</v>
      </c>
      <c r="AY49" s="17">
        <f>'Q2 - IRTree'!AY40</f>
        <v>5.0682154636656651E-2</v>
      </c>
      <c r="AZ49" s="17">
        <f>'Q2 - IRTree'!AZ40</f>
        <v>5.0682154636656651E-2</v>
      </c>
      <c r="BA49" s="17">
        <f>'Q2 - IRTree'!BA40</f>
        <v>5.0682154636656651E-2</v>
      </c>
      <c r="BB49" s="17">
        <f>'Q2 - IRTree'!BB40</f>
        <v>5.0682154636656651E-2</v>
      </c>
      <c r="BC49" s="17">
        <f>'Q2 - IRTree'!BC40</f>
        <v>5.0682154636656651E-2</v>
      </c>
      <c r="BD49" s="17">
        <f>'Q2 - IRTree'!BD40</f>
        <v>5.0682154636656651E-2</v>
      </c>
      <c r="BE49" s="17">
        <f>'Q2 - IRTree'!BE40</f>
        <v>5.0682154636656651E-2</v>
      </c>
      <c r="BF49" s="17">
        <f>'Q2 - IRTree'!BF40</f>
        <v>5.0682154636656651E-2</v>
      </c>
      <c r="BG49" s="17">
        <f>'Q2 - IRTree'!BG40</f>
        <v>5.0682154636656651E-2</v>
      </c>
      <c r="BH49" s="17">
        <f>'Q2 - IRTree'!BH40</f>
        <v>5.0682154636656651E-2</v>
      </c>
      <c r="BI49" s="17">
        <f>'Q2 - IRTree'!BI40</f>
        <v>5.0682154636656651E-2</v>
      </c>
      <c r="BJ49" s="17" t="str">
        <f>'Q2 - IRTree'!BJ40</f>
        <v/>
      </c>
    </row>
    <row r="50" spans="1:62" outlineLevel="1">
      <c r="A50" s="11">
        <f t="shared" si="2"/>
        <v>27</v>
      </c>
      <c r="B50" s="17" t="str">
        <f>'Q2 - IRTree'!B41</f>
        <v/>
      </c>
      <c r="C50" s="17" t="str">
        <f>'Q2 - IRTree'!C41</f>
        <v/>
      </c>
      <c r="D50" s="17" t="str">
        <f>'Q2 - IRTree'!D41</f>
        <v/>
      </c>
      <c r="E50" s="17" t="str">
        <f>'Q2 - IRTree'!E41</f>
        <v/>
      </c>
      <c r="F50" s="17" t="str">
        <f>'Q2 - IRTree'!F41</f>
        <v/>
      </c>
      <c r="G50" s="17" t="str">
        <f>'Q2 - IRTree'!G41</f>
        <v/>
      </c>
      <c r="H50" s="17" t="str">
        <f>'Q2 - IRTree'!H41</f>
        <v/>
      </c>
      <c r="I50" s="17" t="str">
        <f>'Q2 - IRTree'!I41</f>
        <v/>
      </c>
      <c r="J50" s="17" t="str">
        <f>'Q2 - IRTree'!J41</f>
        <v/>
      </c>
      <c r="K50" s="17" t="str">
        <f>'Q2 - IRTree'!K41</f>
        <v/>
      </c>
      <c r="L50" s="17" t="str">
        <f>'Q2 - IRTree'!L41</f>
        <v/>
      </c>
      <c r="M50" s="17" t="str">
        <f>'Q2 - IRTree'!M41</f>
        <v/>
      </c>
      <c r="N50" s="17" t="str">
        <f>'Q2 - IRTree'!N41</f>
        <v/>
      </c>
      <c r="O50" s="17" t="str">
        <f>'Q2 - IRTree'!O41</f>
        <v/>
      </c>
      <c r="P50" s="17" t="str">
        <f>'Q2 - IRTree'!P41</f>
        <v/>
      </c>
      <c r="Q50" s="17" t="str">
        <f>'Q2 - IRTree'!Q41</f>
        <v/>
      </c>
      <c r="R50" s="17" t="str">
        <f>'Q2 - IRTree'!R41</f>
        <v/>
      </c>
      <c r="S50" s="17" t="str">
        <f>'Q2 - IRTree'!S41</f>
        <v/>
      </c>
      <c r="T50" s="17" t="str">
        <f>'Q2 - IRTree'!T41</f>
        <v/>
      </c>
      <c r="U50" s="17" t="str">
        <f>'Q2 - IRTree'!U41</f>
        <v/>
      </c>
      <c r="V50" s="17" t="str">
        <f>'Q2 - IRTree'!V41</f>
        <v/>
      </c>
      <c r="W50" s="17" t="str">
        <f>'Q2 - IRTree'!W41</f>
        <v/>
      </c>
      <c r="X50" s="17" t="str">
        <f>'Q2 - IRTree'!X41</f>
        <v/>
      </c>
      <c r="Y50" s="17" t="str">
        <f>'Q2 - IRTree'!Y41</f>
        <v/>
      </c>
      <c r="Z50" s="17" t="str">
        <f>'Q2 - IRTree'!Z41</f>
        <v/>
      </c>
      <c r="AA50" s="17" t="str">
        <f>'Q2 - IRTree'!AA41</f>
        <v/>
      </c>
      <c r="AB50" s="17" t="str">
        <f>'Q2 - IRTree'!AB41</f>
        <v/>
      </c>
      <c r="AC50" s="17">
        <f>'Q2 - IRTree'!AC41</f>
        <v>5.0682154636656651E-2</v>
      </c>
      <c r="AD50" s="17">
        <f>'Q2 - IRTree'!AD41</f>
        <v>5.0682154636656651E-2</v>
      </c>
      <c r="AE50" s="17">
        <f>'Q2 - IRTree'!AE41</f>
        <v>5.0682154636656651E-2</v>
      </c>
      <c r="AF50" s="17">
        <f>'Q2 - IRTree'!AF41</f>
        <v>5.0682154636656651E-2</v>
      </c>
      <c r="AG50" s="17">
        <f>'Q2 - IRTree'!AG41</f>
        <v>5.0682154636656651E-2</v>
      </c>
      <c r="AH50" s="17">
        <f>'Q2 - IRTree'!AH41</f>
        <v>5.0682154636656651E-2</v>
      </c>
      <c r="AI50" s="17">
        <f>'Q2 - IRTree'!AI41</f>
        <v>5.0682154636656651E-2</v>
      </c>
      <c r="AJ50" s="17">
        <f>'Q2 - IRTree'!AJ41</f>
        <v>5.0682154636656651E-2</v>
      </c>
      <c r="AK50" s="17">
        <f>'Q2 - IRTree'!AK41</f>
        <v>5.0682154636656651E-2</v>
      </c>
      <c r="AL50" s="17">
        <f>'Q2 - IRTree'!AL41</f>
        <v>5.0682154636656651E-2</v>
      </c>
      <c r="AM50" s="17">
        <f>'Q2 - IRTree'!AM41</f>
        <v>5.0682154636656651E-2</v>
      </c>
      <c r="AN50" s="17">
        <f>'Q2 - IRTree'!AN41</f>
        <v>5.0682154636656651E-2</v>
      </c>
      <c r="AO50" s="17">
        <f>'Q2 - IRTree'!AO41</f>
        <v>5.0682154636656651E-2</v>
      </c>
      <c r="AP50" s="17">
        <f>'Q2 - IRTree'!AP41</f>
        <v>5.0682154636656651E-2</v>
      </c>
      <c r="AQ50" s="17">
        <f>'Q2 - IRTree'!AQ41</f>
        <v>5.0682154636656651E-2</v>
      </c>
      <c r="AR50" s="17">
        <f>'Q2 - IRTree'!AR41</f>
        <v>5.0682154636656651E-2</v>
      </c>
      <c r="AS50" s="17">
        <f>'Q2 - IRTree'!AS41</f>
        <v>5.0682154636656651E-2</v>
      </c>
      <c r="AT50" s="17">
        <f>'Q2 - IRTree'!AT41</f>
        <v>5.0682154636656651E-2</v>
      </c>
      <c r="AU50" s="17">
        <f>'Q2 - IRTree'!AU41</f>
        <v>5.0682154636656651E-2</v>
      </c>
      <c r="AV50" s="17">
        <f>'Q2 - IRTree'!AV41</f>
        <v>5.0682154636656651E-2</v>
      </c>
      <c r="AW50" s="17">
        <f>'Q2 - IRTree'!AW41</f>
        <v>5.0682154636656651E-2</v>
      </c>
      <c r="AX50" s="17">
        <f>'Q2 - IRTree'!AX41</f>
        <v>5.0682154636656651E-2</v>
      </c>
      <c r="AY50" s="17">
        <f>'Q2 - IRTree'!AY41</f>
        <v>5.0682154636656651E-2</v>
      </c>
      <c r="AZ50" s="17">
        <f>'Q2 - IRTree'!AZ41</f>
        <v>5.0682154636656651E-2</v>
      </c>
      <c r="BA50" s="17">
        <f>'Q2 - IRTree'!BA41</f>
        <v>5.0682154636656651E-2</v>
      </c>
      <c r="BB50" s="17">
        <f>'Q2 - IRTree'!BB41</f>
        <v>5.0682154636656651E-2</v>
      </c>
      <c r="BC50" s="17">
        <f>'Q2 - IRTree'!BC41</f>
        <v>5.0682154636656651E-2</v>
      </c>
      <c r="BD50" s="17">
        <f>'Q2 - IRTree'!BD41</f>
        <v>5.0682154636656651E-2</v>
      </c>
      <c r="BE50" s="17">
        <f>'Q2 - IRTree'!BE41</f>
        <v>5.0682154636656651E-2</v>
      </c>
      <c r="BF50" s="17">
        <f>'Q2 - IRTree'!BF41</f>
        <v>5.0682154636656651E-2</v>
      </c>
      <c r="BG50" s="17">
        <f>'Q2 - IRTree'!BG41</f>
        <v>5.0682154636656651E-2</v>
      </c>
      <c r="BH50" s="17">
        <f>'Q2 - IRTree'!BH41</f>
        <v>5.0682154636656651E-2</v>
      </c>
      <c r="BI50" s="17">
        <f>'Q2 - IRTree'!BI41</f>
        <v>5.0682154636656651E-2</v>
      </c>
      <c r="BJ50" s="17" t="str">
        <f>'Q2 - IRTree'!BJ41</f>
        <v/>
      </c>
    </row>
    <row r="51" spans="1:62" outlineLevel="1">
      <c r="A51" s="11">
        <f t="shared" si="2"/>
        <v>28</v>
      </c>
      <c r="B51" s="17" t="str">
        <f>'Q2 - IRTree'!B42</f>
        <v/>
      </c>
      <c r="C51" s="17" t="str">
        <f>'Q2 - IRTree'!C42</f>
        <v/>
      </c>
      <c r="D51" s="17" t="str">
        <f>'Q2 - IRTree'!D42</f>
        <v/>
      </c>
      <c r="E51" s="17" t="str">
        <f>'Q2 - IRTree'!E42</f>
        <v/>
      </c>
      <c r="F51" s="17" t="str">
        <f>'Q2 - IRTree'!F42</f>
        <v/>
      </c>
      <c r="G51" s="17" t="str">
        <f>'Q2 - IRTree'!G42</f>
        <v/>
      </c>
      <c r="H51" s="17" t="str">
        <f>'Q2 - IRTree'!H42</f>
        <v/>
      </c>
      <c r="I51" s="17" t="str">
        <f>'Q2 - IRTree'!I42</f>
        <v/>
      </c>
      <c r="J51" s="17" t="str">
        <f>'Q2 - IRTree'!J42</f>
        <v/>
      </c>
      <c r="K51" s="17" t="str">
        <f>'Q2 - IRTree'!K42</f>
        <v/>
      </c>
      <c r="L51" s="17" t="str">
        <f>'Q2 - IRTree'!L42</f>
        <v/>
      </c>
      <c r="M51" s="17" t="str">
        <f>'Q2 - IRTree'!M42</f>
        <v/>
      </c>
      <c r="N51" s="17" t="str">
        <f>'Q2 - IRTree'!N42</f>
        <v/>
      </c>
      <c r="O51" s="17" t="str">
        <f>'Q2 - IRTree'!O42</f>
        <v/>
      </c>
      <c r="P51" s="17" t="str">
        <f>'Q2 - IRTree'!P42</f>
        <v/>
      </c>
      <c r="Q51" s="17" t="str">
        <f>'Q2 - IRTree'!Q42</f>
        <v/>
      </c>
      <c r="R51" s="17" t="str">
        <f>'Q2 - IRTree'!R42</f>
        <v/>
      </c>
      <c r="S51" s="17" t="str">
        <f>'Q2 - IRTree'!S42</f>
        <v/>
      </c>
      <c r="T51" s="17" t="str">
        <f>'Q2 - IRTree'!T42</f>
        <v/>
      </c>
      <c r="U51" s="17" t="str">
        <f>'Q2 - IRTree'!U42</f>
        <v/>
      </c>
      <c r="V51" s="17" t="str">
        <f>'Q2 - IRTree'!V42</f>
        <v/>
      </c>
      <c r="W51" s="17" t="str">
        <f>'Q2 - IRTree'!W42</f>
        <v/>
      </c>
      <c r="X51" s="17" t="str">
        <f>'Q2 - IRTree'!X42</f>
        <v/>
      </c>
      <c r="Y51" s="17" t="str">
        <f>'Q2 - IRTree'!Y42</f>
        <v/>
      </c>
      <c r="Z51" s="17" t="str">
        <f>'Q2 - IRTree'!Z42</f>
        <v/>
      </c>
      <c r="AA51" s="17" t="str">
        <f>'Q2 - IRTree'!AA42</f>
        <v/>
      </c>
      <c r="AB51" s="17" t="str">
        <f>'Q2 - IRTree'!AB42</f>
        <v/>
      </c>
      <c r="AC51" s="17" t="str">
        <f>'Q2 - IRTree'!AC42</f>
        <v/>
      </c>
      <c r="AD51" s="17">
        <f>'Q2 - IRTree'!AD42</f>
        <v>5.0682154636656651E-2</v>
      </c>
      <c r="AE51" s="17">
        <f>'Q2 - IRTree'!AE42</f>
        <v>5.0682154636656651E-2</v>
      </c>
      <c r="AF51" s="17">
        <f>'Q2 - IRTree'!AF42</f>
        <v>5.0682154636656651E-2</v>
      </c>
      <c r="AG51" s="17">
        <f>'Q2 - IRTree'!AG42</f>
        <v>5.0682154636656651E-2</v>
      </c>
      <c r="AH51" s="17">
        <f>'Q2 - IRTree'!AH42</f>
        <v>5.0682154636656651E-2</v>
      </c>
      <c r="AI51" s="17">
        <f>'Q2 - IRTree'!AI42</f>
        <v>5.0682154636656651E-2</v>
      </c>
      <c r="AJ51" s="17">
        <f>'Q2 - IRTree'!AJ42</f>
        <v>5.0682154636656651E-2</v>
      </c>
      <c r="AK51" s="17">
        <f>'Q2 - IRTree'!AK42</f>
        <v>5.0682154636656651E-2</v>
      </c>
      <c r="AL51" s="17">
        <f>'Q2 - IRTree'!AL42</f>
        <v>5.0682154636656651E-2</v>
      </c>
      <c r="AM51" s="17">
        <f>'Q2 - IRTree'!AM42</f>
        <v>5.0682154636656651E-2</v>
      </c>
      <c r="AN51" s="17">
        <f>'Q2 - IRTree'!AN42</f>
        <v>5.0682154636656651E-2</v>
      </c>
      <c r="AO51" s="17">
        <f>'Q2 - IRTree'!AO42</f>
        <v>5.0682154636656651E-2</v>
      </c>
      <c r="AP51" s="17">
        <f>'Q2 - IRTree'!AP42</f>
        <v>5.0682154636656651E-2</v>
      </c>
      <c r="AQ51" s="17">
        <f>'Q2 - IRTree'!AQ42</f>
        <v>5.0682154636656651E-2</v>
      </c>
      <c r="AR51" s="17">
        <f>'Q2 - IRTree'!AR42</f>
        <v>5.0682154636656651E-2</v>
      </c>
      <c r="AS51" s="17">
        <f>'Q2 - IRTree'!AS42</f>
        <v>5.0682154636656651E-2</v>
      </c>
      <c r="AT51" s="17">
        <f>'Q2 - IRTree'!AT42</f>
        <v>5.0682154636656651E-2</v>
      </c>
      <c r="AU51" s="17">
        <f>'Q2 - IRTree'!AU42</f>
        <v>5.0682154636656651E-2</v>
      </c>
      <c r="AV51" s="17">
        <f>'Q2 - IRTree'!AV42</f>
        <v>5.0682154636656651E-2</v>
      </c>
      <c r="AW51" s="17">
        <f>'Q2 - IRTree'!AW42</f>
        <v>5.0682154636656651E-2</v>
      </c>
      <c r="AX51" s="17">
        <f>'Q2 - IRTree'!AX42</f>
        <v>5.0682154636656651E-2</v>
      </c>
      <c r="AY51" s="17">
        <f>'Q2 - IRTree'!AY42</f>
        <v>5.0682154636656651E-2</v>
      </c>
      <c r="AZ51" s="17">
        <f>'Q2 - IRTree'!AZ42</f>
        <v>5.0682154636656651E-2</v>
      </c>
      <c r="BA51" s="17">
        <f>'Q2 - IRTree'!BA42</f>
        <v>5.0682154636656651E-2</v>
      </c>
      <c r="BB51" s="17">
        <f>'Q2 - IRTree'!BB42</f>
        <v>5.0682154636656651E-2</v>
      </c>
      <c r="BC51" s="17">
        <f>'Q2 - IRTree'!BC42</f>
        <v>5.0682154636656651E-2</v>
      </c>
      <c r="BD51" s="17">
        <f>'Q2 - IRTree'!BD42</f>
        <v>5.0682154636656651E-2</v>
      </c>
      <c r="BE51" s="17">
        <f>'Q2 - IRTree'!BE42</f>
        <v>5.0682154636656651E-2</v>
      </c>
      <c r="BF51" s="17">
        <f>'Q2 - IRTree'!BF42</f>
        <v>5.0682154636656651E-2</v>
      </c>
      <c r="BG51" s="17">
        <f>'Q2 - IRTree'!BG42</f>
        <v>5.0682154636656651E-2</v>
      </c>
      <c r="BH51" s="17">
        <f>'Q2 - IRTree'!BH42</f>
        <v>5.0682154636656651E-2</v>
      </c>
      <c r="BI51" s="17">
        <f>'Q2 - IRTree'!BI42</f>
        <v>5.0682154636656651E-2</v>
      </c>
      <c r="BJ51" s="17" t="str">
        <f>'Q2 - IRTree'!BJ42</f>
        <v/>
      </c>
    </row>
    <row r="52" spans="1:62" outlineLevel="1">
      <c r="A52" s="11">
        <f t="shared" si="2"/>
        <v>29</v>
      </c>
      <c r="B52" s="17" t="str">
        <f>'Q2 - IRTree'!B43</f>
        <v/>
      </c>
      <c r="C52" s="17" t="str">
        <f>'Q2 - IRTree'!C43</f>
        <v/>
      </c>
      <c r="D52" s="17" t="str">
        <f>'Q2 - IRTree'!D43</f>
        <v/>
      </c>
      <c r="E52" s="17" t="str">
        <f>'Q2 - IRTree'!E43</f>
        <v/>
      </c>
      <c r="F52" s="17" t="str">
        <f>'Q2 - IRTree'!F43</f>
        <v/>
      </c>
      <c r="G52" s="17" t="str">
        <f>'Q2 - IRTree'!G43</f>
        <v/>
      </c>
      <c r="H52" s="17" t="str">
        <f>'Q2 - IRTree'!H43</f>
        <v/>
      </c>
      <c r="I52" s="17" t="str">
        <f>'Q2 - IRTree'!I43</f>
        <v/>
      </c>
      <c r="J52" s="17" t="str">
        <f>'Q2 - IRTree'!J43</f>
        <v/>
      </c>
      <c r="K52" s="17" t="str">
        <f>'Q2 - IRTree'!K43</f>
        <v/>
      </c>
      <c r="L52" s="17" t="str">
        <f>'Q2 - IRTree'!L43</f>
        <v/>
      </c>
      <c r="M52" s="17" t="str">
        <f>'Q2 - IRTree'!M43</f>
        <v/>
      </c>
      <c r="N52" s="17" t="str">
        <f>'Q2 - IRTree'!N43</f>
        <v/>
      </c>
      <c r="O52" s="17" t="str">
        <f>'Q2 - IRTree'!O43</f>
        <v/>
      </c>
      <c r="P52" s="17" t="str">
        <f>'Q2 - IRTree'!P43</f>
        <v/>
      </c>
      <c r="Q52" s="17" t="str">
        <f>'Q2 - IRTree'!Q43</f>
        <v/>
      </c>
      <c r="R52" s="17" t="str">
        <f>'Q2 - IRTree'!R43</f>
        <v/>
      </c>
      <c r="S52" s="17" t="str">
        <f>'Q2 - IRTree'!S43</f>
        <v/>
      </c>
      <c r="T52" s="17" t="str">
        <f>'Q2 - IRTree'!T43</f>
        <v/>
      </c>
      <c r="U52" s="17" t="str">
        <f>'Q2 - IRTree'!U43</f>
        <v/>
      </c>
      <c r="V52" s="17" t="str">
        <f>'Q2 - IRTree'!V43</f>
        <v/>
      </c>
      <c r="W52" s="17" t="str">
        <f>'Q2 - IRTree'!W43</f>
        <v/>
      </c>
      <c r="X52" s="17" t="str">
        <f>'Q2 - IRTree'!X43</f>
        <v/>
      </c>
      <c r="Y52" s="17" t="str">
        <f>'Q2 - IRTree'!Y43</f>
        <v/>
      </c>
      <c r="Z52" s="17" t="str">
        <f>'Q2 - IRTree'!Z43</f>
        <v/>
      </c>
      <c r="AA52" s="17" t="str">
        <f>'Q2 - IRTree'!AA43</f>
        <v/>
      </c>
      <c r="AB52" s="17" t="str">
        <f>'Q2 - IRTree'!AB43</f>
        <v/>
      </c>
      <c r="AC52" s="17" t="str">
        <f>'Q2 - IRTree'!AC43</f>
        <v/>
      </c>
      <c r="AD52" s="17" t="str">
        <f>'Q2 - IRTree'!AD43</f>
        <v/>
      </c>
      <c r="AE52" s="17">
        <f>'Q2 - IRTree'!AE43</f>
        <v>5.0682154636656651E-2</v>
      </c>
      <c r="AF52" s="17">
        <f>'Q2 - IRTree'!AF43</f>
        <v>5.0682154636656651E-2</v>
      </c>
      <c r="AG52" s="17">
        <f>'Q2 - IRTree'!AG43</f>
        <v>5.0682154636656651E-2</v>
      </c>
      <c r="AH52" s="17">
        <f>'Q2 - IRTree'!AH43</f>
        <v>5.0682154636656651E-2</v>
      </c>
      <c r="AI52" s="17">
        <f>'Q2 - IRTree'!AI43</f>
        <v>5.0682154636656651E-2</v>
      </c>
      <c r="AJ52" s="17">
        <f>'Q2 - IRTree'!AJ43</f>
        <v>5.0682154636656651E-2</v>
      </c>
      <c r="AK52" s="17">
        <f>'Q2 - IRTree'!AK43</f>
        <v>5.0682154636656651E-2</v>
      </c>
      <c r="AL52" s="17">
        <f>'Q2 - IRTree'!AL43</f>
        <v>5.0682154636656651E-2</v>
      </c>
      <c r="AM52" s="17">
        <f>'Q2 - IRTree'!AM43</f>
        <v>5.0682154636656651E-2</v>
      </c>
      <c r="AN52" s="17">
        <f>'Q2 - IRTree'!AN43</f>
        <v>5.0682154636656651E-2</v>
      </c>
      <c r="AO52" s="17">
        <f>'Q2 - IRTree'!AO43</f>
        <v>5.0682154636656651E-2</v>
      </c>
      <c r="AP52" s="17">
        <f>'Q2 - IRTree'!AP43</f>
        <v>5.0682154636656651E-2</v>
      </c>
      <c r="AQ52" s="17">
        <f>'Q2 - IRTree'!AQ43</f>
        <v>5.0682154636656651E-2</v>
      </c>
      <c r="AR52" s="17">
        <f>'Q2 - IRTree'!AR43</f>
        <v>5.0682154636656651E-2</v>
      </c>
      <c r="AS52" s="17">
        <f>'Q2 - IRTree'!AS43</f>
        <v>5.0682154636656651E-2</v>
      </c>
      <c r="AT52" s="17">
        <f>'Q2 - IRTree'!AT43</f>
        <v>5.0682154636656651E-2</v>
      </c>
      <c r="AU52" s="17">
        <f>'Q2 - IRTree'!AU43</f>
        <v>5.0682154636656651E-2</v>
      </c>
      <c r="AV52" s="17">
        <f>'Q2 - IRTree'!AV43</f>
        <v>5.0682154636656651E-2</v>
      </c>
      <c r="AW52" s="17">
        <f>'Q2 - IRTree'!AW43</f>
        <v>5.0682154636656651E-2</v>
      </c>
      <c r="AX52" s="17">
        <f>'Q2 - IRTree'!AX43</f>
        <v>5.0682154636656651E-2</v>
      </c>
      <c r="AY52" s="17">
        <f>'Q2 - IRTree'!AY43</f>
        <v>5.0682154636656651E-2</v>
      </c>
      <c r="AZ52" s="17">
        <f>'Q2 - IRTree'!AZ43</f>
        <v>5.0682154636656651E-2</v>
      </c>
      <c r="BA52" s="17">
        <f>'Q2 - IRTree'!BA43</f>
        <v>5.0682154636656651E-2</v>
      </c>
      <c r="BB52" s="17">
        <f>'Q2 - IRTree'!BB43</f>
        <v>5.0682154636656651E-2</v>
      </c>
      <c r="BC52" s="17">
        <f>'Q2 - IRTree'!BC43</f>
        <v>5.0682154636656651E-2</v>
      </c>
      <c r="BD52" s="17">
        <f>'Q2 - IRTree'!BD43</f>
        <v>5.0682154636656651E-2</v>
      </c>
      <c r="BE52" s="17">
        <f>'Q2 - IRTree'!BE43</f>
        <v>5.0682154636656651E-2</v>
      </c>
      <c r="BF52" s="17">
        <f>'Q2 - IRTree'!BF43</f>
        <v>5.0682154636656651E-2</v>
      </c>
      <c r="BG52" s="17">
        <f>'Q2 - IRTree'!BG43</f>
        <v>5.0682154636656651E-2</v>
      </c>
      <c r="BH52" s="17">
        <f>'Q2 - IRTree'!BH43</f>
        <v>5.0682154636656651E-2</v>
      </c>
      <c r="BI52" s="17">
        <f>'Q2 - IRTree'!BI43</f>
        <v>5.0682154636656651E-2</v>
      </c>
      <c r="BJ52" s="17" t="str">
        <f>'Q2 - IRTree'!BJ43</f>
        <v/>
      </c>
    </row>
    <row r="53" spans="1:62" outlineLevel="1">
      <c r="A53" s="11">
        <f t="shared" si="2"/>
        <v>30</v>
      </c>
      <c r="B53" s="17" t="str">
        <f>'Q2 - IRTree'!B44</f>
        <v/>
      </c>
      <c r="C53" s="17" t="str">
        <f>'Q2 - IRTree'!C44</f>
        <v/>
      </c>
      <c r="D53" s="17" t="str">
        <f>'Q2 - IRTree'!D44</f>
        <v/>
      </c>
      <c r="E53" s="17" t="str">
        <f>'Q2 - IRTree'!E44</f>
        <v/>
      </c>
      <c r="F53" s="17" t="str">
        <f>'Q2 - IRTree'!F44</f>
        <v/>
      </c>
      <c r="G53" s="17" t="str">
        <f>'Q2 - IRTree'!G44</f>
        <v/>
      </c>
      <c r="H53" s="17" t="str">
        <f>'Q2 - IRTree'!H44</f>
        <v/>
      </c>
      <c r="I53" s="17" t="str">
        <f>'Q2 - IRTree'!I44</f>
        <v/>
      </c>
      <c r="J53" s="17" t="str">
        <f>'Q2 - IRTree'!J44</f>
        <v/>
      </c>
      <c r="K53" s="17" t="str">
        <f>'Q2 - IRTree'!K44</f>
        <v/>
      </c>
      <c r="L53" s="17" t="str">
        <f>'Q2 - IRTree'!L44</f>
        <v/>
      </c>
      <c r="M53" s="17" t="str">
        <f>'Q2 - IRTree'!M44</f>
        <v/>
      </c>
      <c r="N53" s="17" t="str">
        <f>'Q2 - IRTree'!N44</f>
        <v/>
      </c>
      <c r="O53" s="17" t="str">
        <f>'Q2 - IRTree'!O44</f>
        <v/>
      </c>
      <c r="P53" s="17" t="str">
        <f>'Q2 - IRTree'!P44</f>
        <v/>
      </c>
      <c r="Q53" s="17" t="str">
        <f>'Q2 - IRTree'!Q44</f>
        <v/>
      </c>
      <c r="R53" s="17" t="str">
        <f>'Q2 - IRTree'!R44</f>
        <v/>
      </c>
      <c r="S53" s="17" t="str">
        <f>'Q2 - IRTree'!S44</f>
        <v/>
      </c>
      <c r="T53" s="17" t="str">
        <f>'Q2 - IRTree'!T44</f>
        <v/>
      </c>
      <c r="U53" s="17" t="str">
        <f>'Q2 - IRTree'!U44</f>
        <v/>
      </c>
      <c r="V53" s="17" t="str">
        <f>'Q2 - IRTree'!V44</f>
        <v/>
      </c>
      <c r="W53" s="17" t="str">
        <f>'Q2 - IRTree'!W44</f>
        <v/>
      </c>
      <c r="X53" s="17" t="str">
        <f>'Q2 - IRTree'!X44</f>
        <v/>
      </c>
      <c r="Y53" s="17" t="str">
        <f>'Q2 - IRTree'!Y44</f>
        <v/>
      </c>
      <c r="Z53" s="17" t="str">
        <f>'Q2 - IRTree'!Z44</f>
        <v/>
      </c>
      <c r="AA53" s="17" t="str">
        <f>'Q2 - IRTree'!AA44</f>
        <v/>
      </c>
      <c r="AB53" s="17" t="str">
        <f>'Q2 - IRTree'!AB44</f>
        <v/>
      </c>
      <c r="AC53" s="17" t="str">
        <f>'Q2 - IRTree'!AC44</f>
        <v/>
      </c>
      <c r="AD53" s="17" t="str">
        <f>'Q2 - IRTree'!AD44</f>
        <v/>
      </c>
      <c r="AE53" s="17" t="str">
        <f>'Q2 - IRTree'!AE44</f>
        <v/>
      </c>
      <c r="AF53" s="17">
        <f>'Q2 - IRTree'!AF44</f>
        <v>5.0682154636656651E-2</v>
      </c>
      <c r="AG53" s="17">
        <f>'Q2 - IRTree'!AG44</f>
        <v>5.0682154636656651E-2</v>
      </c>
      <c r="AH53" s="17">
        <f>'Q2 - IRTree'!AH44</f>
        <v>5.0682154636656651E-2</v>
      </c>
      <c r="AI53" s="17">
        <f>'Q2 - IRTree'!AI44</f>
        <v>5.0682154636656651E-2</v>
      </c>
      <c r="AJ53" s="17">
        <f>'Q2 - IRTree'!AJ44</f>
        <v>5.0682154636656651E-2</v>
      </c>
      <c r="AK53" s="17">
        <f>'Q2 - IRTree'!AK44</f>
        <v>5.0682154636656651E-2</v>
      </c>
      <c r="AL53" s="17">
        <f>'Q2 - IRTree'!AL44</f>
        <v>5.0682154636656651E-2</v>
      </c>
      <c r="AM53" s="17">
        <f>'Q2 - IRTree'!AM44</f>
        <v>5.0682154636656651E-2</v>
      </c>
      <c r="AN53" s="17">
        <f>'Q2 - IRTree'!AN44</f>
        <v>5.0682154636656651E-2</v>
      </c>
      <c r="AO53" s="17">
        <f>'Q2 - IRTree'!AO44</f>
        <v>5.0682154636656651E-2</v>
      </c>
      <c r="AP53" s="17">
        <f>'Q2 - IRTree'!AP44</f>
        <v>5.0682154636656651E-2</v>
      </c>
      <c r="AQ53" s="17">
        <f>'Q2 - IRTree'!AQ44</f>
        <v>5.0682154636656651E-2</v>
      </c>
      <c r="AR53" s="17">
        <f>'Q2 - IRTree'!AR44</f>
        <v>5.0682154636656651E-2</v>
      </c>
      <c r="AS53" s="17">
        <f>'Q2 - IRTree'!AS44</f>
        <v>5.0682154636656651E-2</v>
      </c>
      <c r="AT53" s="17">
        <f>'Q2 - IRTree'!AT44</f>
        <v>5.0682154636656651E-2</v>
      </c>
      <c r="AU53" s="17">
        <f>'Q2 - IRTree'!AU44</f>
        <v>5.0682154636656651E-2</v>
      </c>
      <c r="AV53" s="17">
        <f>'Q2 - IRTree'!AV44</f>
        <v>5.0682154636656651E-2</v>
      </c>
      <c r="AW53" s="17">
        <f>'Q2 - IRTree'!AW44</f>
        <v>5.0682154636656651E-2</v>
      </c>
      <c r="AX53" s="17">
        <f>'Q2 - IRTree'!AX44</f>
        <v>5.0682154636656651E-2</v>
      </c>
      <c r="AY53" s="17">
        <f>'Q2 - IRTree'!AY44</f>
        <v>5.0682154636656651E-2</v>
      </c>
      <c r="AZ53" s="17">
        <f>'Q2 - IRTree'!AZ44</f>
        <v>5.0682154636656651E-2</v>
      </c>
      <c r="BA53" s="17">
        <f>'Q2 - IRTree'!BA44</f>
        <v>5.0682154636656651E-2</v>
      </c>
      <c r="BB53" s="17">
        <f>'Q2 - IRTree'!BB44</f>
        <v>5.0682154636656651E-2</v>
      </c>
      <c r="BC53" s="17">
        <f>'Q2 - IRTree'!BC44</f>
        <v>5.0682154636656651E-2</v>
      </c>
      <c r="BD53" s="17">
        <f>'Q2 - IRTree'!BD44</f>
        <v>5.0682154636656651E-2</v>
      </c>
      <c r="BE53" s="17">
        <f>'Q2 - IRTree'!BE44</f>
        <v>5.0682154636656651E-2</v>
      </c>
      <c r="BF53" s="17">
        <f>'Q2 - IRTree'!BF44</f>
        <v>5.0682154636656651E-2</v>
      </c>
      <c r="BG53" s="17">
        <f>'Q2 - IRTree'!BG44</f>
        <v>5.0682154636656651E-2</v>
      </c>
      <c r="BH53" s="17">
        <f>'Q2 - IRTree'!BH44</f>
        <v>5.0682154636656651E-2</v>
      </c>
      <c r="BI53" s="17">
        <f>'Q2 - IRTree'!BI44</f>
        <v>5.0682154636656651E-2</v>
      </c>
      <c r="BJ53" s="17" t="str">
        <f>'Q2 - IRTree'!BJ44</f>
        <v/>
      </c>
    </row>
    <row r="54" spans="1:62" outlineLevel="1">
      <c r="A54" s="11">
        <f t="shared" si="2"/>
        <v>31</v>
      </c>
      <c r="B54" s="17" t="str">
        <f>'Q2 - IRTree'!B45</f>
        <v/>
      </c>
      <c r="C54" s="17" t="str">
        <f>'Q2 - IRTree'!C45</f>
        <v/>
      </c>
      <c r="D54" s="17" t="str">
        <f>'Q2 - IRTree'!D45</f>
        <v/>
      </c>
      <c r="E54" s="17" t="str">
        <f>'Q2 - IRTree'!E45</f>
        <v/>
      </c>
      <c r="F54" s="17" t="str">
        <f>'Q2 - IRTree'!F45</f>
        <v/>
      </c>
      <c r="G54" s="17" t="str">
        <f>'Q2 - IRTree'!G45</f>
        <v/>
      </c>
      <c r="H54" s="17" t="str">
        <f>'Q2 - IRTree'!H45</f>
        <v/>
      </c>
      <c r="I54" s="17" t="str">
        <f>'Q2 - IRTree'!I45</f>
        <v/>
      </c>
      <c r="J54" s="17" t="str">
        <f>'Q2 - IRTree'!J45</f>
        <v/>
      </c>
      <c r="K54" s="17" t="str">
        <f>'Q2 - IRTree'!K45</f>
        <v/>
      </c>
      <c r="L54" s="17" t="str">
        <f>'Q2 - IRTree'!L45</f>
        <v/>
      </c>
      <c r="M54" s="17" t="str">
        <f>'Q2 - IRTree'!M45</f>
        <v/>
      </c>
      <c r="N54" s="17" t="str">
        <f>'Q2 - IRTree'!N45</f>
        <v/>
      </c>
      <c r="O54" s="17" t="str">
        <f>'Q2 - IRTree'!O45</f>
        <v/>
      </c>
      <c r="P54" s="17" t="str">
        <f>'Q2 - IRTree'!P45</f>
        <v/>
      </c>
      <c r="Q54" s="17" t="str">
        <f>'Q2 - IRTree'!Q45</f>
        <v/>
      </c>
      <c r="R54" s="17" t="str">
        <f>'Q2 - IRTree'!R45</f>
        <v/>
      </c>
      <c r="S54" s="17" t="str">
        <f>'Q2 - IRTree'!S45</f>
        <v/>
      </c>
      <c r="T54" s="17" t="str">
        <f>'Q2 - IRTree'!T45</f>
        <v/>
      </c>
      <c r="U54" s="17" t="str">
        <f>'Q2 - IRTree'!U45</f>
        <v/>
      </c>
      <c r="V54" s="17" t="str">
        <f>'Q2 - IRTree'!V45</f>
        <v/>
      </c>
      <c r="W54" s="17" t="str">
        <f>'Q2 - IRTree'!W45</f>
        <v/>
      </c>
      <c r="X54" s="17" t="str">
        <f>'Q2 - IRTree'!X45</f>
        <v/>
      </c>
      <c r="Y54" s="17" t="str">
        <f>'Q2 - IRTree'!Y45</f>
        <v/>
      </c>
      <c r="Z54" s="17" t="str">
        <f>'Q2 - IRTree'!Z45</f>
        <v/>
      </c>
      <c r="AA54" s="17" t="str">
        <f>'Q2 - IRTree'!AA45</f>
        <v/>
      </c>
      <c r="AB54" s="17" t="str">
        <f>'Q2 - IRTree'!AB45</f>
        <v/>
      </c>
      <c r="AC54" s="17" t="str">
        <f>'Q2 - IRTree'!AC45</f>
        <v/>
      </c>
      <c r="AD54" s="17" t="str">
        <f>'Q2 - IRTree'!AD45</f>
        <v/>
      </c>
      <c r="AE54" s="17" t="str">
        <f>'Q2 - IRTree'!AE45</f>
        <v/>
      </c>
      <c r="AF54" s="17" t="str">
        <f>'Q2 - IRTree'!AF45</f>
        <v/>
      </c>
      <c r="AG54" s="17">
        <f>'Q2 - IRTree'!AG45</f>
        <v>5.0682154636656651E-2</v>
      </c>
      <c r="AH54" s="17">
        <f>'Q2 - IRTree'!AH45</f>
        <v>5.0682154636656651E-2</v>
      </c>
      <c r="AI54" s="17">
        <f>'Q2 - IRTree'!AI45</f>
        <v>5.0682154636656651E-2</v>
      </c>
      <c r="AJ54" s="17">
        <f>'Q2 - IRTree'!AJ45</f>
        <v>5.0682154636656651E-2</v>
      </c>
      <c r="AK54" s="17">
        <f>'Q2 - IRTree'!AK45</f>
        <v>5.0682154636656651E-2</v>
      </c>
      <c r="AL54" s="17">
        <f>'Q2 - IRTree'!AL45</f>
        <v>5.0682154636656651E-2</v>
      </c>
      <c r="AM54" s="17">
        <f>'Q2 - IRTree'!AM45</f>
        <v>5.0682154636656651E-2</v>
      </c>
      <c r="AN54" s="17">
        <f>'Q2 - IRTree'!AN45</f>
        <v>5.0682154636656651E-2</v>
      </c>
      <c r="AO54" s="17">
        <f>'Q2 - IRTree'!AO45</f>
        <v>5.0682154636656651E-2</v>
      </c>
      <c r="AP54" s="17">
        <f>'Q2 - IRTree'!AP45</f>
        <v>5.0682154636656651E-2</v>
      </c>
      <c r="AQ54" s="17">
        <f>'Q2 - IRTree'!AQ45</f>
        <v>5.0682154636656651E-2</v>
      </c>
      <c r="AR54" s="17">
        <f>'Q2 - IRTree'!AR45</f>
        <v>5.0682154636656651E-2</v>
      </c>
      <c r="AS54" s="17">
        <f>'Q2 - IRTree'!AS45</f>
        <v>5.0682154636656651E-2</v>
      </c>
      <c r="AT54" s="17">
        <f>'Q2 - IRTree'!AT45</f>
        <v>5.0682154636656651E-2</v>
      </c>
      <c r="AU54" s="17">
        <f>'Q2 - IRTree'!AU45</f>
        <v>5.0682154636656651E-2</v>
      </c>
      <c r="AV54" s="17">
        <f>'Q2 - IRTree'!AV45</f>
        <v>5.0682154636656651E-2</v>
      </c>
      <c r="AW54" s="17">
        <f>'Q2 - IRTree'!AW45</f>
        <v>5.0682154636656651E-2</v>
      </c>
      <c r="AX54" s="17">
        <f>'Q2 - IRTree'!AX45</f>
        <v>5.0682154636656651E-2</v>
      </c>
      <c r="AY54" s="17">
        <f>'Q2 - IRTree'!AY45</f>
        <v>5.0682154636656651E-2</v>
      </c>
      <c r="AZ54" s="17">
        <f>'Q2 - IRTree'!AZ45</f>
        <v>5.0682154636656651E-2</v>
      </c>
      <c r="BA54" s="17">
        <f>'Q2 - IRTree'!BA45</f>
        <v>5.0682154636656651E-2</v>
      </c>
      <c r="BB54" s="17">
        <f>'Q2 - IRTree'!BB45</f>
        <v>5.0682154636656651E-2</v>
      </c>
      <c r="BC54" s="17">
        <f>'Q2 - IRTree'!BC45</f>
        <v>5.0682154636656651E-2</v>
      </c>
      <c r="BD54" s="17">
        <f>'Q2 - IRTree'!BD45</f>
        <v>5.0682154636656651E-2</v>
      </c>
      <c r="BE54" s="17">
        <f>'Q2 - IRTree'!BE45</f>
        <v>5.0682154636656651E-2</v>
      </c>
      <c r="BF54" s="17">
        <f>'Q2 - IRTree'!BF45</f>
        <v>5.0682154636656651E-2</v>
      </c>
      <c r="BG54" s="17">
        <f>'Q2 - IRTree'!BG45</f>
        <v>5.0682154636656651E-2</v>
      </c>
      <c r="BH54" s="17">
        <f>'Q2 - IRTree'!BH45</f>
        <v>5.0682154636656651E-2</v>
      </c>
      <c r="BI54" s="17">
        <f>'Q2 - IRTree'!BI45</f>
        <v>5.0682154636656651E-2</v>
      </c>
      <c r="BJ54" s="17" t="str">
        <f>'Q2 - IRTree'!BJ45</f>
        <v/>
      </c>
    </row>
    <row r="55" spans="1:62" outlineLevel="1">
      <c r="A55" s="11">
        <f t="shared" si="2"/>
        <v>32</v>
      </c>
      <c r="B55" s="17" t="str">
        <f>'Q2 - IRTree'!B46</f>
        <v/>
      </c>
      <c r="C55" s="17" t="str">
        <f>'Q2 - IRTree'!C46</f>
        <v/>
      </c>
      <c r="D55" s="17" t="str">
        <f>'Q2 - IRTree'!D46</f>
        <v/>
      </c>
      <c r="E55" s="17" t="str">
        <f>'Q2 - IRTree'!E46</f>
        <v/>
      </c>
      <c r="F55" s="17" t="str">
        <f>'Q2 - IRTree'!F46</f>
        <v/>
      </c>
      <c r="G55" s="17" t="str">
        <f>'Q2 - IRTree'!G46</f>
        <v/>
      </c>
      <c r="H55" s="17" t="str">
        <f>'Q2 - IRTree'!H46</f>
        <v/>
      </c>
      <c r="I55" s="17" t="str">
        <f>'Q2 - IRTree'!I46</f>
        <v/>
      </c>
      <c r="J55" s="17" t="str">
        <f>'Q2 - IRTree'!J46</f>
        <v/>
      </c>
      <c r="K55" s="17" t="str">
        <f>'Q2 - IRTree'!K46</f>
        <v/>
      </c>
      <c r="L55" s="17" t="str">
        <f>'Q2 - IRTree'!L46</f>
        <v/>
      </c>
      <c r="M55" s="17" t="str">
        <f>'Q2 - IRTree'!M46</f>
        <v/>
      </c>
      <c r="N55" s="17" t="str">
        <f>'Q2 - IRTree'!N46</f>
        <v/>
      </c>
      <c r="O55" s="17" t="str">
        <f>'Q2 - IRTree'!O46</f>
        <v/>
      </c>
      <c r="P55" s="17" t="str">
        <f>'Q2 - IRTree'!P46</f>
        <v/>
      </c>
      <c r="Q55" s="17" t="str">
        <f>'Q2 - IRTree'!Q46</f>
        <v/>
      </c>
      <c r="R55" s="17" t="str">
        <f>'Q2 - IRTree'!R46</f>
        <v/>
      </c>
      <c r="S55" s="17" t="str">
        <f>'Q2 - IRTree'!S46</f>
        <v/>
      </c>
      <c r="T55" s="17" t="str">
        <f>'Q2 - IRTree'!T46</f>
        <v/>
      </c>
      <c r="U55" s="17" t="str">
        <f>'Q2 - IRTree'!U46</f>
        <v/>
      </c>
      <c r="V55" s="17" t="str">
        <f>'Q2 - IRTree'!V46</f>
        <v/>
      </c>
      <c r="W55" s="17" t="str">
        <f>'Q2 - IRTree'!W46</f>
        <v/>
      </c>
      <c r="X55" s="17" t="str">
        <f>'Q2 - IRTree'!X46</f>
        <v/>
      </c>
      <c r="Y55" s="17" t="str">
        <f>'Q2 - IRTree'!Y46</f>
        <v/>
      </c>
      <c r="Z55" s="17" t="str">
        <f>'Q2 - IRTree'!Z46</f>
        <v/>
      </c>
      <c r="AA55" s="17" t="str">
        <f>'Q2 - IRTree'!AA46</f>
        <v/>
      </c>
      <c r="AB55" s="17" t="str">
        <f>'Q2 - IRTree'!AB46</f>
        <v/>
      </c>
      <c r="AC55" s="17" t="str">
        <f>'Q2 - IRTree'!AC46</f>
        <v/>
      </c>
      <c r="AD55" s="17" t="str">
        <f>'Q2 - IRTree'!AD46</f>
        <v/>
      </c>
      <c r="AE55" s="17" t="str">
        <f>'Q2 - IRTree'!AE46</f>
        <v/>
      </c>
      <c r="AF55" s="17" t="str">
        <f>'Q2 - IRTree'!AF46</f>
        <v/>
      </c>
      <c r="AG55" s="17" t="str">
        <f>'Q2 - IRTree'!AG46</f>
        <v/>
      </c>
      <c r="AH55" s="17">
        <f>'Q2 - IRTree'!AH46</f>
        <v>5.0682154636656651E-2</v>
      </c>
      <c r="AI55" s="17">
        <f>'Q2 - IRTree'!AI46</f>
        <v>5.0682154636656651E-2</v>
      </c>
      <c r="AJ55" s="17">
        <f>'Q2 - IRTree'!AJ46</f>
        <v>5.0682154636656651E-2</v>
      </c>
      <c r="AK55" s="17">
        <f>'Q2 - IRTree'!AK46</f>
        <v>5.0682154636656651E-2</v>
      </c>
      <c r="AL55" s="17">
        <f>'Q2 - IRTree'!AL46</f>
        <v>5.0682154636656651E-2</v>
      </c>
      <c r="AM55" s="17">
        <f>'Q2 - IRTree'!AM46</f>
        <v>5.0682154636656651E-2</v>
      </c>
      <c r="AN55" s="17">
        <f>'Q2 - IRTree'!AN46</f>
        <v>5.0682154636656651E-2</v>
      </c>
      <c r="AO55" s="17">
        <f>'Q2 - IRTree'!AO46</f>
        <v>5.0682154636656651E-2</v>
      </c>
      <c r="AP55" s="17">
        <f>'Q2 - IRTree'!AP46</f>
        <v>5.0682154636656651E-2</v>
      </c>
      <c r="AQ55" s="17">
        <f>'Q2 - IRTree'!AQ46</f>
        <v>5.0682154636656651E-2</v>
      </c>
      <c r="AR55" s="17">
        <f>'Q2 - IRTree'!AR46</f>
        <v>5.0682154636656651E-2</v>
      </c>
      <c r="AS55" s="17">
        <f>'Q2 - IRTree'!AS46</f>
        <v>5.0682154636656651E-2</v>
      </c>
      <c r="AT55" s="17">
        <f>'Q2 - IRTree'!AT46</f>
        <v>5.0682154636656651E-2</v>
      </c>
      <c r="AU55" s="17">
        <f>'Q2 - IRTree'!AU46</f>
        <v>5.0682154636656651E-2</v>
      </c>
      <c r="AV55" s="17">
        <f>'Q2 - IRTree'!AV46</f>
        <v>5.0682154636656651E-2</v>
      </c>
      <c r="AW55" s="17">
        <f>'Q2 - IRTree'!AW46</f>
        <v>5.0682154636656651E-2</v>
      </c>
      <c r="AX55" s="17">
        <f>'Q2 - IRTree'!AX46</f>
        <v>5.0682154636656651E-2</v>
      </c>
      <c r="AY55" s="17">
        <f>'Q2 - IRTree'!AY46</f>
        <v>5.0682154636656651E-2</v>
      </c>
      <c r="AZ55" s="17">
        <f>'Q2 - IRTree'!AZ46</f>
        <v>5.0682154636656651E-2</v>
      </c>
      <c r="BA55" s="17">
        <f>'Q2 - IRTree'!BA46</f>
        <v>5.0682154636656651E-2</v>
      </c>
      <c r="BB55" s="17">
        <f>'Q2 - IRTree'!BB46</f>
        <v>5.0682154636656651E-2</v>
      </c>
      <c r="BC55" s="17">
        <f>'Q2 - IRTree'!BC46</f>
        <v>5.0682154636656651E-2</v>
      </c>
      <c r="BD55" s="17">
        <f>'Q2 - IRTree'!BD46</f>
        <v>5.0682154636656651E-2</v>
      </c>
      <c r="BE55" s="17">
        <f>'Q2 - IRTree'!BE46</f>
        <v>5.0682154636656651E-2</v>
      </c>
      <c r="BF55" s="17">
        <f>'Q2 - IRTree'!BF46</f>
        <v>5.0682154636656651E-2</v>
      </c>
      <c r="BG55" s="17">
        <f>'Q2 - IRTree'!BG46</f>
        <v>5.0682154636656651E-2</v>
      </c>
      <c r="BH55" s="17">
        <f>'Q2 - IRTree'!BH46</f>
        <v>5.0682154636656651E-2</v>
      </c>
      <c r="BI55" s="17">
        <f>'Q2 - IRTree'!BI46</f>
        <v>5.0682154636656651E-2</v>
      </c>
      <c r="BJ55" s="17" t="str">
        <f>'Q2 - IRTree'!BJ46</f>
        <v/>
      </c>
    </row>
    <row r="56" spans="1:62" outlineLevel="1">
      <c r="A56" s="11">
        <f t="shared" si="2"/>
        <v>33</v>
      </c>
      <c r="B56" s="17" t="str">
        <f>'Q2 - IRTree'!B47</f>
        <v/>
      </c>
      <c r="C56" s="17" t="str">
        <f>'Q2 - IRTree'!C47</f>
        <v/>
      </c>
      <c r="D56" s="17" t="str">
        <f>'Q2 - IRTree'!D47</f>
        <v/>
      </c>
      <c r="E56" s="17" t="str">
        <f>'Q2 - IRTree'!E47</f>
        <v/>
      </c>
      <c r="F56" s="17" t="str">
        <f>'Q2 - IRTree'!F47</f>
        <v/>
      </c>
      <c r="G56" s="17" t="str">
        <f>'Q2 - IRTree'!G47</f>
        <v/>
      </c>
      <c r="H56" s="17" t="str">
        <f>'Q2 - IRTree'!H47</f>
        <v/>
      </c>
      <c r="I56" s="17" t="str">
        <f>'Q2 - IRTree'!I47</f>
        <v/>
      </c>
      <c r="J56" s="17" t="str">
        <f>'Q2 - IRTree'!J47</f>
        <v/>
      </c>
      <c r="K56" s="17" t="str">
        <f>'Q2 - IRTree'!K47</f>
        <v/>
      </c>
      <c r="L56" s="17" t="str">
        <f>'Q2 - IRTree'!L47</f>
        <v/>
      </c>
      <c r="M56" s="17" t="str">
        <f>'Q2 - IRTree'!M47</f>
        <v/>
      </c>
      <c r="N56" s="17" t="str">
        <f>'Q2 - IRTree'!N47</f>
        <v/>
      </c>
      <c r="O56" s="17" t="str">
        <f>'Q2 - IRTree'!O47</f>
        <v/>
      </c>
      <c r="P56" s="17" t="str">
        <f>'Q2 - IRTree'!P47</f>
        <v/>
      </c>
      <c r="Q56" s="17" t="str">
        <f>'Q2 - IRTree'!Q47</f>
        <v/>
      </c>
      <c r="R56" s="17" t="str">
        <f>'Q2 - IRTree'!R47</f>
        <v/>
      </c>
      <c r="S56" s="17" t="str">
        <f>'Q2 - IRTree'!S47</f>
        <v/>
      </c>
      <c r="T56" s="17" t="str">
        <f>'Q2 - IRTree'!T47</f>
        <v/>
      </c>
      <c r="U56" s="17" t="str">
        <f>'Q2 - IRTree'!U47</f>
        <v/>
      </c>
      <c r="V56" s="17" t="str">
        <f>'Q2 - IRTree'!V47</f>
        <v/>
      </c>
      <c r="W56" s="17" t="str">
        <f>'Q2 - IRTree'!W47</f>
        <v/>
      </c>
      <c r="X56" s="17" t="str">
        <f>'Q2 - IRTree'!X47</f>
        <v/>
      </c>
      <c r="Y56" s="17" t="str">
        <f>'Q2 - IRTree'!Y47</f>
        <v/>
      </c>
      <c r="Z56" s="17" t="str">
        <f>'Q2 - IRTree'!Z47</f>
        <v/>
      </c>
      <c r="AA56" s="17" t="str">
        <f>'Q2 - IRTree'!AA47</f>
        <v/>
      </c>
      <c r="AB56" s="17" t="str">
        <f>'Q2 - IRTree'!AB47</f>
        <v/>
      </c>
      <c r="AC56" s="17" t="str">
        <f>'Q2 - IRTree'!AC47</f>
        <v/>
      </c>
      <c r="AD56" s="17" t="str">
        <f>'Q2 - IRTree'!AD47</f>
        <v/>
      </c>
      <c r="AE56" s="17" t="str">
        <f>'Q2 - IRTree'!AE47</f>
        <v/>
      </c>
      <c r="AF56" s="17" t="str">
        <f>'Q2 - IRTree'!AF47</f>
        <v/>
      </c>
      <c r="AG56" s="17" t="str">
        <f>'Q2 - IRTree'!AG47</f>
        <v/>
      </c>
      <c r="AH56" s="17" t="str">
        <f>'Q2 - IRTree'!AH47</f>
        <v/>
      </c>
      <c r="AI56" s="17">
        <f>'Q2 - IRTree'!AI47</f>
        <v>5.0682154636656651E-2</v>
      </c>
      <c r="AJ56" s="17">
        <f>'Q2 - IRTree'!AJ47</f>
        <v>5.0682154636656651E-2</v>
      </c>
      <c r="AK56" s="17">
        <f>'Q2 - IRTree'!AK47</f>
        <v>5.0682154636656651E-2</v>
      </c>
      <c r="AL56" s="17">
        <f>'Q2 - IRTree'!AL47</f>
        <v>5.0682154636656651E-2</v>
      </c>
      <c r="AM56" s="17">
        <f>'Q2 - IRTree'!AM47</f>
        <v>5.0682154636656651E-2</v>
      </c>
      <c r="AN56" s="17">
        <f>'Q2 - IRTree'!AN47</f>
        <v>5.0682154636656651E-2</v>
      </c>
      <c r="AO56" s="17">
        <f>'Q2 - IRTree'!AO47</f>
        <v>5.0682154636656651E-2</v>
      </c>
      <c r="AP56" s="17">
        <f>'Q2 - IRTree'!AP47</f>
        <v>5.0682154636656651E-2</v>
      </c>
      <c r="AQ56" s="17">
        <f>'Q2 - IRTree'!AQ47</f>
        <v>5.0682154636656651E-2</v>
      </c>
      <c r="AR56" s="17">
        <f>'Q2 - IRTree'!AR47</f>
        <v>5.0682154636656651E-2</v>
      </c>
      <c r="AS56" s="17">
        <f>'Q2 - IRTree'!AS47</f>
        <v>5.0682154636656651E-2</v>
      </c>
      <c r="AT56" s="17">
        <f>'Q2 - IRTree'!AT47</f>
        <v>5.0682154636656651E-2</v>
      </c>
      <c r="AU56" s="17">
        <f>'Q2 - IRTree'!AU47</f>
        <v>5.0682154636656651E-2</v>
      </c>
      <c r="AV56" s="17">
        <f>'Q2 - IRTree'!AV47</f>
        <v>5.0682154636656651E-2</v>
      </c>
      <c r="AW56" s="17">
        <f>'Q2 - IRTree'!AW47</f>
        <v>5.0682154636656651E-2</v>
      </c>
      <c r="AX56" s="17">
        <f>'Q2 - IRTree'!AX47</f>
        <v>5.0682154636656651E-2</v>
      </c>
      <c r="AY56" s="17">
        <f>'Q2 - IRTree'!AY47</f>
        <v>5.0682154636656651E-2</v>
      </c>
      <c r="AZ56" s="17">
        <f>'Q2 - IRTree'!AZ47</f>
        <v>5.0682154636656651E-2</v>
      </c>
      <c r="BA56" s="17">
        <f>'Q2 - IRTree'!BA47</f>
        <v>5.0682154636656651E-2</v>
      </c>
      <c r="BB56" s="17">
        <f>'Q2 - IRTree'!BB47</f>
        <v>5.0682154636656651E-2</v>
      </c>
      <c r="BC56" s="17">
        <f>'Q2 - IRTree'!BC47</f>
        <v>5.0682154636656651E-2</v>
      </c>
      <c r="BD56" s="17">
        <f>'Q2 - IRTree'!BD47</f>
        <v>5.0682154636656651E-2</v>
      </c>
      <c r="BE56" s="17">
        <f>'Q2 - IRTree'!BE47</f>
        <v>5.0682154636656651E-2</v>
      </c>
      <c r="BF56" s="17">
        <f>'Q2 - IRTree'!BF47</f>
        <v>5.0682154636656651E-2</v>
      </c>
      <c r="BG56" s="17">
        <f>'Q2 - IRTree'!BG47</f>
        <v>5.0682154636656651E-2</v>
      </c>
      <c r="BH56" s="17">
        <f>'Q2 - IRTree'!BH47</f>
        <v>5.0682154636656651E-2</v>
      </c>
      <c r="BI56" s="17">
        <f>'Q2 - IRTree'!BI47</f>
        <v>5.0682154636656651E-2</v>
      </c>
      <c r="BJ56" s="17" t="str">
        <f>'Q2 - IRTree'!BJ47</f>
        <v/>
      </c>
    </row>
    <row r="57" spans="1:62" outlineLevel="1">
      <c r="A57" s="11">
        <f t="shared" si="2"/>
        <v>34</v>
      </c>
      <c r="B57" s="17" t="str">
        <f>'Q2 - IRTree'!B48</f>
        <v/>
      </c>
      <c r="C57" s="17" t="str">
        <f>'Q2 - IRTree'!C48</f>
        <v/>
      </c>
      <c r="D57" s="17" t="str">
        <f>'Q2 - IRTree'!D48</f>
        <v/>
      </c>
      <c r="E57" s="17" t="str">
        <f>'Q2 - IRTree'!E48</f>
        <v/>
      </c>
      <c r="F57" s="17" t="str">
        <f>'Q2 - IRTree'!F48</f>
        <v/>
      </c>
      <c r="G57" s="17" t="str">
        <f>'Q2 - IRTree'!G48</f>
        <v/>
      </c>
      <c r="H57" s="17" t="str">
        <f>'Q2 - IRTree'!H48</f>
        <v/>
      </c>
      <c r="I57" s="17" t="str">
        <f>'Q2 - IRTree'!I48</f>
        <v/>
      </c>
      <c r="J57" s="17" t="str">
        <f>'Q2 - IRTree'!J48</f>
        <v/>
      </c>
      <c r="K57" s="17" t="str">
        <f>'Q2 - IRTree'!K48</f>
        <v/>
      </c>
      <c r="L57" s="17" t="str">
        <f>'Q2 - IRTree'!L48</f>
        <v/>
      </c>
      <c r="M57" s="17" t="str">
        <f>'Q2 - IRTree'!M48</f>
        <v/>
      </c>
      <c r="N57" s="17" t="str">
        <f>'Q2 - IRTree'!N48</f>
        <v/>
      </c>
      <c r="O57" s="17" t="str">
        <f>'Q2 - IRTree'!O48</f>
        <v/>
      </c>
      <c r="P57" s="17" t="str">
        <f>'Q2 - IRTree'!P48</f>
        <v/>
      </c>
      <c r="Q57" s="17" t="str">
        <f>'Q2 - IRTree'!Q48</f>
        <v/>
      </c>
      <c r="R57" s="17" t="str">
        <f>'Q2 - IRTree'!R48</f>
        <v/>
      </c>
      <c r="S57" s="17" t="str">
        <f>'Q2 - IRTree'!S48</f>
        <v/>
      </c>
      <c r="T57" s="17" t="str">
        <f>'Q2 - IRTree'!T48</f>
        <v/>
      </c>
      <c r="U57" s="17" t="str">
        <f>'Q2 - IRTree'!U48</f>
        <v/>
      </c>
      <c r="V57" s="17" t="str">
        <f>'Q2 - IRTree'!V48</f>
        <v/>
      </c>
      <c r="W57" s="17" t="str">
        <f>'Q2 - IRTree'!W48</f>
        <v/>
      </c>
      <c r="X57" s="17" t="str">
        <f>'Q2 - IRTree'!X48</f>
        <v/>
      </c>
      <c r="Y57" s="17" t="str">
        <f>'Q2 - IRTree'!Y48</f>
        <v/>
      </c>
      <c r="Z57" s="17" t="str">
        <f>'Q2 - IRTree'!Z48</f>
        <v/>
      </c>
      <c r="AA57" s="17" t="str">
        <f>'Q2 - IRTree'!AA48</f>
        <v/>
      </c>
      <c r="AB57" s="17" t="str">
        <f>'Q2 - IRTree'!AB48</f>
        <v/>
      </c>
      <c r="AC57" s="17" t="str">
        <f>'Q2 - IRTree'!AC48</f>
        <v/>
      </c>
      <c r="AD57" s="17" t="str">
        <f>'Q2 - IRTree'!AD48</f>
        <v/>
      </c>
      <c r="AE57" s="17" t="str">
        <f>'Q2 - IRTree'!AE48</f>
        <v/>
      </c>
      <c r="AF57" s="17" t="str">
        <f>'Q2 - IRTree'!AF48</f>
        <v/>
      </c>
      <c r="AG57" s="17" t="str">
        <f>'Q2 - IRTree'!AG48</f>
        <v/>
      </c>
      <c r="AH57" s="17" t="str">
        <f>'Q2 - IRTree'!AH48</f>
        <v/>
      </c>
      <c r="AI57" s="17" t="str">
        <f>'Q2 - IRTree'!AI48</f>
        <v/>
      </c>
      <c r="AJ57" s="17">
        <f>'Q2 - IRTree'!AJ48</f>
        <v>5.0682154636656651E-2</v>
      </c>
      <c r="AK57" s="17">
        <f>'Q2 - IRTree'!AK48</f>
        <v>5.0682154636656651E-2</v>
      </c>
      <c r="AL57" s="17">
        <f>'Q2 - IRTree'!AL48</f>
        <v>5.0682154636656651E-2</v>
      </c>
      <c r="AM57" s="17">
        <f>'Q2 - IRTree'!AM48</f>
        <v>5.0682154636656651E-2</v>
      </c>
      <c r="AN57" s="17">
        <f>'Q2 - IRTree'!AN48</f>
        <v>5.0682154636656651E-2</v>
      </c>
      <c r="AO57" s="17">
        <f>'Q2 - IRTree'!AO48</f>
        <v>5.0682154636656651E-2</v>
      </c>
      <c r="AP57" s="17">
        <f>'Q2 - IRTree'!AP48</f>
        <v>5.0682154636656651E-2</v>
      </c>
      <c r="AQ57" s="17">
        <f>'Q2 - IRTree'!AQ48</f>
        <v>5.0682154636656651E-2</v>
      </c>
      <c r="AR57" s="17">
        <f>'Q2 - IRTree'!AR48</f>
        <v>5.0682154636656651E-2</v>
      </c>
      <c r="AS57" s="17">
        <f>'Q2 - IRTree'!AS48</f>
        <v>5.0682154636656651E-2</v>
      </c>
      <c r="AT57" s="17">
        <f>'Q2 - IRTree'!AT48</f>
        <v>5.0682154636656651E-2</v>
      </c>
      <c r="AU57" s="17">
        <f>'Q2 - IRTree'!AU48</f>
        <v>5.0682154636656651E-2</v>
      </c>
      <c r="AV57" s="17">
        <f>'Q2 - IRTree'!AV48</f>
        <v>5.0682154636656651E-2</v>
      </c>
      <c r="AW57" s="17">
        <f>'Q2 - IRTree'!AW48</f>
        <v>5.0682154636656651E-2</v>
      </c>
      <c r="AX57" s="17">
        <f>'Q2 - IRTree'!AX48</f>
        <v>5.0682154636656651E-2</v>
      </c>
      <c r="AY57" s="17">
        <f>'Q2 - IRTree'!AY48</f>
        <v>5.0682154636656651E-2</v>
      </c>
      <c r="AZ57" s="17">
        <f>'Q2 - IRTree'!AZ48</f>
        <v>5.0682154636656651E-2</v>
      </c>
      <c r="BA57" s="17">
        <f>'Q2 - IRTree'!BA48</f>
        <v>5.0682154636656651E-2</v>
      </c>
      <c r="BB57" s="17">
        <f>'Q2 - IRTree'!BB48</f>
        <v>5.0682154636656651E-2</v>
      </c>
      <c r="BC57" s="17">
        <f>'Q2 - IRTree'!BC48</f>
        <v>5.0682154636656651E-2</v>
      </c>
      <c r="BD57" s="17">
        <f>'Q2 - IRTree'!BD48</f>
        <v>5.0682154636656651E-2</v>
      </c>
      <c r="BE57" s="17">
        <f>'Q2 - IRTree'!BE48</f>
        <v>5.0682154636656651E-2</v>
      </c>
      <c r="BF57" s="17">
        <f>'Q2 - IRTree'!BF48</f>
        <v>5.0682154636656651E-2</v>
      </c>
      <c r="BG57" s="17">
        <f>'Q2 - IRTree'!BG48</f>
        <v>5.0682154636656651E-2</v>
      </c>
      <c r="BH57" s="17">
        <f>'Q2 - IRTree'!BH48</f>
        <v>5.0682154636656651E-2</v>
      </c>
      <c r="BI57" s="17">
        <f>'Q2 - IRTree'!BI48</f>
        <v>5.0682154636656651E-2</v>
      </c>
      <c r="BJ57" s="17" t="str">
        <f>'Q2 - IRTree'!BJ48</f>
        <v/>
      </c>
    </row>
    <row r="58" spans="1:62" outlineLevel="1">
      <c r="A58" s="11">
        <f t="shared" si="2"/>
        <v>35</v>
      </c>
      <c r="B58" s="17" t="str">
        <f>'Q2 - IRTree'!B49</f>
        <v/>
      </c>
      <c r="C58" s="17" t="str">
        <f>'Q2 - IRTree'!C49</f>
        <v/>
      </c>
      <c r="D58" s="17" t="str">
        <f>'Q2 - IRTree'!D49</f>
        <v/>
      </c>
      <c r="E58" s="17" t="str">
        <f>'Q2 - IRTree'!E49</f>
        <v/>
      </c>
      <c r="F58" s="17" t="str">
        <f>'Q2 - IRTree'!F49</f>
        <v/>
      </c>
      <c r="G58" s="17" t="str">
        <f>'Q2 - IRTree'!G49</f>
        <v/>
      </c>
      <c r="H58" s="17" t="str">
        <f>'Q2 - IRTree'!H49</f>
        <v/>
      </c>
      <c r="I58" s="17" t="str">
        <f>'Q2 - IRTree'!I49</f>
        <v/>
      </c>
      <c r="J58" s="17" t="str">
        <f>'Q2 - IRTree'!J49</f>
        <v/>
      </c>
      <c r="K58" s="17" t="str">
        <f>'Q2 - IRTree'!K49</f>
        <v/>
      </c>
      <c r="L58" s="17" t="str">
        <f>'Q2 - IRTree'!L49</f>
        <v/>
      </c>
      <c r="M58" s="17" t="str">
        <f>'Q2 - IRTree'!M49</f>
        <v/>
      </c>
      <c r="N58" s="17" t="str">
        <f>'Q2 - IRTree'!N49</f>
        <v/>
      </c>
      <c r="O58" s="17" t="str">
        <f>'Q2 - IRTree'!O49</f>
        <v/>
      </c>
      <c r="P58" s="17" t="str">
        <f>'Q2 - IRTree'!P49</f>
        <v/>
      </c>
      <c r="Q58" s="17" t="str">
        <f>'Q2 - IRTree'!Q49</f>
        <v/>
      </c>
      <c r="R58" s="17" t="str">
        <f>'Q2 - IRTree'!R49</f>
        <v/>
      </c>
      <c r="S58" s="17" t="str">
        <f>'Q2 - IRTree'!S49</f>
        <v/>
      </c>
      <c r="T58" s="17" t="str">
        <f>'Q2 - IRTree'!T49</f>
        <v/>
      </c>
      <c r="U58" s="17" t="str">
        <f>'Q2 - IRTree'!U49</f>
        <v/>
      </c>
      <c r="V58" s="17" t="str">
        <f>'Q2 - IRTree'!V49</f>
        <v/>
      </c>
      <c r="W58" s="17" t="str">
        <f>'Q2 - IRTree'!W49</f>
        <v/>
      </c>
      <c r="X58" s="17" t="str">
        <f>'Q2 - IRTree'!X49</f>
        <v/>
      </c>
      <c r="Y58" s="17" t="str">
        <f>'Q2 - IRTree'!Y49</f>
        <v/>
      </c>
      <c r="Z58" s="17" t="str">
        <f>'Q2 - IRTree'!Z49</f>
        <v/>
      </c>
      <c r="AA58" s="17" t="str">
        <f>'Q2 - IRTree'!AA49</f>
        <v/>
      </c>
      <c r="AB58" s="17" t="str">
        <f>'Q2 - IRTree'!AB49</f>
        <v/>
      </c>
      <c r="AC58" s="17" t="str">
        <f>'Q2 - IRTree'!AC49</f>
        <v/>
      </c>
      <c r="AD58" s="17" t="str">
        <f>'Q2 - IRTree'!AD49</f>
        <v/>
      </c>
      <c r="AE58" s="17" t="str">
        <f>'Q2 - IRTree'!AE49</f>
        <v/>
      </c>
      <c r="AF58" s="17" t="str">
        <f>'Q2 - IRTree'!AF49</f>
        <v/>
      </c>
      <c r="AG58" s="17" t="str">
        <f>'Q2 - IRTree'!AG49</f>
        <v/>
      </c>
      <c r="AH58" s="17" t="str">
        <f>'Q2 - IRTree'!AH49</f>
        <v/>
      </c>
      <c r="AI58" s="17" t="str">
        <f>'Q2 - IRTree'!AI49</f>
        <v/>
      </c>
      <c r="AJ58" s="17" t="str">
        <f>'Q2 - IRTree'!AJ49</f>
        <v/>
      </c>
      <c r="AK58" s="17">
        <f>'Q2 - IRTree'!AK49</f>
        <v>5.0682154636656651E-2</v>
      </c>
      <c r="AL58" s="17">
        <f>'Q2 - IRTree'!AL49</f>
        <v>5.0682154636656651E-2</v>
      </c>
      <c r="AM58" s="17">
        <f>'Q2 - IRTree'!AM49</f>
        <v>5.0682154636656651E-2</v>
      </c>
      <c r="AN58" s="17">
        <f>'Q2 - IRTree'!AN49</f>
        <v>5.0682154636656651E-2</v>
      </c>
      <c r="AO58" s="17">
        <f>'Q2 - IRTree'!AO49</f>
        <v>5.0682154636656651E-2</v>
      </c>
      <c r="AP58" s="17">
        <f>'Q2 - IRTree'!AP49</f>
        <v>5.0682154636656651E-2</v>
      </c>
      <c r="AQ58" s="17">
        <f>'Q2 - IRTree'!AQ49</f>
        <v>5.0682154636656651E-2</v>
      </c>
      <c r="AR58" s="17">
        <f>'Q2 - IRTree'!AR49</f>
        <v>5.0682154636656651E-2</v>
      </c>
      <c r="AS58" s="17">
        <f>'Q2 - IRTree'!AS49</f>
        <v>5.0682154636656651E-2</v>
      </c>
      <c r="AT58" s="17">
        <f>'Q2 - IRTree'!AT49</f>
        <v>5.0682154636656651E-2</v>
      </c>
      <c r="AU58" s="17">
        <f>'Q2 - IRTree'!AU49</f>
        <v>5.0682154636656651E-2</v>
      </c>
      <c r="AV58" s="17">
        <f>'Q2 - IRTree'!AV49</f>
        <v>5.0682154636656651E-2</v>
      </c>
      <c r="AW58" s="17">
        <f>'Q2 - IRTree'!AW49</f>
        <v>5.0682154636656651E-2</v>
      </c>
      <c r="AX58" s="17">
        <f>'Q2 - IRTree'!AX49</f>
        <v>5.0682154636656651E-2</v>
      </c>
      <c r="AY58" s="17">
        <f>'Q2 - IRTree'!AY49</f>
        <v>5.0682154636656651E-2</v>
      </c>
      <c r="AZ58" s="17">
        <f>'Q2 - IRTree'!AZ49</f>
        <v>5.0682154636656651E-2</v>
      </c>
      <c r="BA58" s="17">
        <f>'Q2 - IRTree'!BA49</f>
        <v>5.0682154636656651E-2</v>
      </c>
      <c r="BB58" s="17">
        <f>'Q2 - IRTree'!BB49</f>
        <v>5.0682154636656651E-2</v>
      </c>
      <c r="BC58" s="17">
        <f>'Q2 - IRTree'!BC49</f>
        <v>5.0682154636656651E-2</v>
      </c>
      <c r="BD58" s="17">
        <f>'Q2 - IRTree'!BD49</f>
        <v>5.0682154636656651E-2</v>
      </c>
      <c r="BE58" s="17">
        <f>'Q2 - IRTree'!BE49</f>
        <v>5.0682154636656651E-2</v>
      </c>
      <c r="BF58" s="17">
        <f>'Q2 - IRTree'!BF49</f>
        <v>5.0682154636656651E-2</v>
      </c>
      <c r="BG58" s="17">
        <f>'Q2 - IRTree'!BG49</f>
        <v>5.0682154636656651E-2</v>
      </c>
      <c r="BH58" s="17">
        <f>'Q2 - IRTree'!BH49</f>
        <v>5.0682154636656651E-2</v>
      </c>
      <c r="BI58" s="17">
        <f>'Q2 - IRTree'!BI49</f>
        <v>5.0682154636656651E-2</v>
      </c>
      <c r="BJ58" s="17" t="str">
        <f>'Q2 - IRTree'!BJ49</f>
        <v/>
      </c>
    </row>
    <row r="59" spans="1:62" outlineLevel="1">
      <c r="A59" s="11">
        <f t="shared" si="2"/>
        <v>36</v>
      </c>
      <c r="B59" s="17" t="str">
        <f>'Q2 - IRTree'!B50</f>
        <v/>
      </c>
      <c r="C59" s="17" t="str">
        <f>'Q2 - IRTree'!C50</f>
        <v/>
      </c>
      <c r="D59" s="17" t="str">
        <f>'Q2 - IRTree'!D50</f>
        <v/>
      </c>
      <c r="E59" s="17" t="str">
        <f>'Q2 - IRTree'!E50</f>
        <v/>
      </c>
      <c r="F59" s="17" t="str">
        <f>'Q2 - IRTree'!F50</f>
        <v/>
      </c>
      <c r="G59" s="17" t="str">
        <f>'Q2 - IRTree'!G50</f>
        <v/>
      </c>
      <c r="H59" s="17" t="str">
        <f>'Q2 - IRTree'!H50</f>
        <v/>
      </c>
      <c r="I59" s="17" t="str">
        <f>'Q2 - IRTree'!I50</f>
        <v/>
      </c>
      <c r="J59" s="17" t="str">
        <f>'Q2 - IRTree'!J50</f>
        <v/>
      </c>
      <c r="K59" s="17" t="str">
        <f>'Q2 - IRTree'!K50</f>
        <v/>
      </c>
      <c r="L59" s="17" t="str">
        <f>'Q2 - IRTree'!L50</f>
        <v/>
      </c>
      <c r="M59" s="17" t="str">
        <f>'Q2 - IRTree'!M50</f>
        <v/>
      </c>
      <c r="N59" s="17" t="str">
        <f>'Q2 - IRTree'!N50</f>
        <v/>
      </c>
      <c r="O59" s="17" t="str">
        <f>'Q2 - IRTree'!O50</f>
        <v/>
      </c>
      <c r="P59" s="17" t="str">
        <f>'Q2 - IRTree'!P50</f>
        <v/>
      </c>
      <c r="Q59" s="17" t="str">
        <f>'Q2 - IRTree'!Q50</f>
        <v/>
      </c>
      <c r="R59" s="17" t="str">
        <f>'Q2 - IRTree'!R50</f>
        <v/>
      </c>
      <c r="S59" s="17" t="str">
        <f>'Q2 - IRTree'!S50</f>
        <v/>
      </c>
      <c r="T59" s="17" t="str">
        <f>'Q2 - IRTree'!T50</f>
        <v/>
      </c>
      <c r="U59" s="17" t="str">
        <f>'Q2 - IRTree'!U50</f>
        <v/>
      </c>
      <c r="V59" s="17" t="str">
        <f>'Q2 - IRTree'!V50</f>
        <v/>
      </c>
      <c r="W59" s="17" t="str">
        <f>'Q2 - IRTree'!W50</f>
        <v/>
      </c>
      <c r="X59" s="17" t="str">
        <f>'Q2 - IRTree'!X50</f>
        <v/>
      </c>
      <c r="Y59" s="17" t="str">
        <f>'Q2 - IRTree'!Y50</f>
        <v/>
      </c>
      <c r="Z59" s="17" t="str">
        <f>'Q2 - IRTree'!Z50</f>
        <v/>
      </c>
      <c r="AA59" s="17" t="str">
        <f>'Q2 - IRTree'!AA50</f>
        <v/>
      </c>
      <c r="AB59" s="17" t="str">
        <f>'Q2 - IRTree'!AB50</f>
        <v/>
      </c>
      <c r="AC59" s="17" t="str">
        <f>'Q2 - IRTree'!AC50</f>
        <v/>
      </c>
      <c r="AD59" s="17" t="str">
        <f>'Q2 - IRTree'!AD50</f>
        <v/>
      </c>
      <c r="AE59" s="17" t="str">
        <f>'Q2 - IRTree'!AE50</f>
        <v/>
      </c>
      <c r="AF59" s="17" t="str">
        <f>'Q2 - IRTree'!AF50</f>
        <v/>
      </c>
      <c r="AG59" s="17" t="str">
        <f>'Q2 - IRTree'!AG50</f>
        <v/>
      </c>
      <c r="AH59" s="17" t="str">
        <f>'Q2 - IRTree'!AH50</f>
        <v/>
      </c>
      <c r="AI59" s="17" t="str">
        <f>'Q2 - IRTree'!AI50</f>
        <v/>
      </c>
      <c r="AJ59" s="17" t="str">
        <f>'Q2 - IRTree'!AJ50</f>
        <v/>
      </c>
      <c r="AK59" s="17" t="str">
        <f>'Q2 - IRTree'!AK50</f>
        <v/>
      </c>
      <c r="AL59" s="17">
        <f>'Q2 - IRTree'!AL50</f>
        <v>5.0682154636656651E-2</v>
      </c>
      <c r="AM59" s="17">
        <f>'Q2 - IRTree'!AM50</f>
        <v>5.0682154636656651E-2</v>
      </c>
      <c r="AN59" s="17">
        <f>'Q2 - IRTree'!AN50</f>
        <v>5.0682154636656651E-2</v>
      </c>
      <c r="AO59" s="17">
        <f>'Q2 - IRTree'!AO50</f>
        <v>5.0682154636656651E-2</v>
      </c>
      <c r="AP59" s="17">
        <f>'Q2 - IRTree'!AP50</f>
        <v>5.0682154636656651E-2</v>
      </c>
      <c r="AQ59" s="17">
        <f>'Q2 - IRTree'!AQ50</f>
        <v>5.0682154636656651E-2</v>
      </c>
      <c r="AR59" s="17">
        <f>'Q2 - IRTree'!AR50</f>
        <v>5.0682154636656651E-2</v>
      </c>
      <c r="AS59" s="17">
        <f>'Q2 - IRTree'!AS50</f>
        <v>5.0682154636656651E-2</v>
      </c>
      <c r="AT59" s="17">
        <f>'Q2 - IRTree'!AT50</f>
        <v>5.0682154636656651E-2</v>
      </c>
      <c r="AU59" s="17">
        <f>'Q2 - IRTree'!AU50</f>
        <v>5.0682154636656651E-2</v>
      </c>
      <c r="AV59" s="17">
        <f>'Q2 - IRTree'!AV50</f>
        <v>5.0682154636656651E-2</v>
      </c>
      <c r="AW59" s="17">
        <f>'Q2 - IRTree'!AW50</f>
        <v>5.0682154636656651E-2</v>
      </c>
      <c r="AX59" s="17">
        <f>'Q2 - IRTree'!AX50</f>
        <v>5.0682154636656651E-2</v>
      </c>
      <c r="AY59" s="17">
        <f>'Q2 - IRTree'!AY50</f>
        <v>5.0682154636656651E-2</v>
      </c>
      <c r="AZ59" s="17">
        <f>'Q2 - IRTree'!AZ50</f>
        <v>5.0682154636656651E-2</v>
      </c>
      <c r="BA59" s="17">
        <f>'Q2 - IRTree'!BA50</f>
        <v>5.0682154636656651E-2</v>
      </c>
      <c r="BB59" s="17">
        <f>'Q2 - IRTree'!BB50</f>
        <v>5.0682154636656651E-2</v>
      </c>
      <c r="BC59" s="17">
        <f>'Q2 - IRTree'!BC50</f>
        <v>5.0682154636656651E-2</v>
      </c>
      <c r="BD59" s="17">
        <f>'Q2 - IRTree'!BD50</f>
        <v>5.0682154636656651E-2</v>
      </c>
      <c r="BE59" s="17">
        <f>'Q2 - IRTree'!BE50</f>
        <v>5.0682154636656651E-2</v>
      </c>
      <c r="BF59" s="17">
        <f>'Q2 - IRTree'!BF50</f>
        <v>5.0682154636656651E-2</v>
      </c>
      <c r="BG59" s="17">
        <f>'Q2 - IRTree'!BG50</f>
        <v>5.0682154636656651E-2</v>
      </c>
      <c r="BH59" s="17">
        <f>'Q2 - IRTree'!BH50</f>
        <v>5.0682154636656651E-2</v>
      </c>
      <c r="BI59" s="17">
        <f>'Q2 - IRTree'!BI50</f>
        <v>5.0682154636656651E-2</v>
      </c>
      <c r="BJ59" s="17" t="str">
        <f>'Q2 - IRTree'!BJ50</f>
        <v/>
      </c>
    </row>
    <row r="60" spans="1:62" outlineLevel="1">
      <c r="A60" s="11">
        <f t="shared" si="2"/>
        <v>37</v>
      </c>
      <c r="B60" s="17" t="str">
        <f>'Q2 - IRTree'!B51</f>
        <v/>
      </c>
      <c r="C60" s="17" t="str">
        <f>'Q2 - IRTree'!C51</f>
        <v/>
      </c>
      <c r="D60" s="17" t="str">
        <f>'Q2 - IRTree'!D51</f>
        <v/>
      </c>
      <c r="E60" s="17" t="str">
        <f>'Q2 - IRTree'!E51</f>
        <v/>
      </c>
      <c r="F60" s="17" t="str">
        <f>'Q2 - IRTree'!F51</f>
        <v/>
      </c>
      <c r="G60" s="17" t="str">
        <f>'Q2 - IRTree'!G51</f>
        <v/>
      </c>
      <c r="H60" s="17" t="str">
        <f>'Q2 - IRTree'!H51</f>
        <v/>
      </c>
      <c r="I60" s="17" t="str">
        <f>'Q2 - IRTree'!I51</f>
        <v/>
      </c>
      <c r="J60" s="17" t="str">
        <f>'Q2 - IRTree'!J51</f>
        <v/>
      </c>
      <c r="K60" s="17" t="str">
        <f>'Q2 - IRTree'!K51</f>
        <v/>
      </c>
      <c r="L60" s="17" t="str">
        <f>'Q2 - IRTree'!L51</f>
        <v/>
      </c>
      <c r="M60" s="17" t="str">
        <f>'Q2 - IRTree'!M51</f>
        <v/>
      </c>
      <c r="N60" s="17" t="str">
        <f>'Q2 - IRTree'!N51</f>
        <v/>
      </c>
      <c r="O60" s="17" t="str">
        <f>'Q2 - IRTree'!O51</f>
        <v/>
      </c>
      <c r="P60" s="17" t="str">
        <f>'Q2 - IRTree'!P51</f>
        <v/>
      </c>
      <c r="Q60" s="17" t="str">
        <f>'Q2 - IRTree'!Q51</f>
        <v/>
      </c>
      <c r="R60" s="17" t="str">
        <f>'Q2 - IRTree'!R51</f>
        <v/>
      </c>
      <c r="S60" s="17" t="str">
        <f>'Q2 - IRTree'!S51</f>
        <v/>
      </c>
      <c r="T60" s="17" t="str">
        <f>'Q2 - IRTree'!T51</f>
        <v/>
      </c>
      <c r="U60" s="17" t="str">
        <f>'Q2 - IRTree'!U51</f>
        <v/>
      </c>
      <c r="V60" s="17" t="str">
        <f>'Q2 - IRTree'!V51</f>
        <v/>
      </c>
      <c r="W60" s="17" t="str">
        <f>'Q2 - IRTree'!W51</f>
        <v/>
      </c>
      <c r="X60" s="17" t="str">
        <f>'Q2 - IRTree'!X51</f>
        <v/>
      </c>
      <c r="Y60" s="17" t="str">
        <f>'Q2 - IRTree'!Y51</f>
        <v/>
      </c>
      <c r="Z60" s="17" t="str">
        <f>'Q2 - IRTree'!Z51</f>
        <v/>
      </c>
      <c r="AA60" s="17" t="str">
        <f>'Q2 - IRTree'!AA51</f>
        <v/>
      </c>
      <c r="AB60" s="17" t="str">
        <f>'Q2 - IRTree'!AB51</f>
        <v/>
      </c>
      <c r="AC60" s="17" t="str">
        <f>'Q2 - IRTree'!AC51</f>
        <v/>
      </c>
      <c r="AD60" s="17" t="str">
        <f>'Q2 - IRTree'!AD51</f>
        <v/>
      </c>
      <c r="AE60" s="17" t="str">
        <f>'Q2 - IRTree'!AE51</f>
        <v/>
      </c>
      <c r="AF60" s="17" t="str">
        <f>'Q2 - IRTree'!AF51</f>
        <v/>
      </c>
      <c r="AG60" s="17" t="str">
        <f>'Q2 - IRTree'!AG51</f>
        <v/>
      </c>
      <c r="AH60" s="17" t="str">
        <f>'Q2 - IRTree'!AH51</f>
        <v/>
      </c>
      <c r="AI60" s="17" t="str">
        <f>'Q2 - IRTree'!AI51</f>
        <v/>
      </c>
      <c r="AJ60" s="17" t="str">
        <f>'Q2 - IRTree'!AJ51</f>
        <v/>
      </c>
      <c r="AK60" s="17" t="str">
        <f>'Q2 - IRTree'!AK51</f>
        <v/>
      </c>
      <c r="AL60" s="17" t="str">
        <f>'Q2 - IRTree'!AL51</f>
        <v/>
      </c>
      <c r="AM60" s="17">
        <f>'Q2 - IRTree'!AM51</f>
        <v>5.0682154636656651E-2</v>
      </c>
      <c r="AN60" s="17">
        <f>'Q2 - IRTree'!AN51</f>
        <v>5.0682154636656651E-2</v>
      </c>
      <c r="AO60" s="17">
        <f>'Q2 - IRTree'!AO51</f>
        <v>5.0682154636656651E-2</v>
      </c>
      <c r="AP60" s="17">
        <f>'Q2 - IRTree'!AP51</f>
        <v>5.0682154636656651E-2</v>
      </c>
      <c r="AQ60" s="17">
        <f>'Q2 - IRTree'!AQ51</f>
        <v>5.0682154636656651E-2</v>
      </c>
      <c r="AR60" s="17">
        <f>'Q2 - IRTree'!AR51</f>
        <v>5.0682154636656651E-2</v>
      </c>
      <c r="AS60" s="17">
        <f>'Q2 - IRTree'!AS51</f>
        <v>5.0682154636656651E-2</v>
      </c>
      <c r="AT60" s="17">
        <f>'Q2 - IRTree'!AT51</f>
        <v>5.0682154636656651E-2</v>
      </c>
      <c r="AU60" s="17">
        <f>'Q2 - IRTree'!AU51</f>
        <v>5.0682154636656651E-2</v>
      </c>
      <c r="AV60" s="17">
        <f>'Q2 - IRTree'!AV51</f>
        <v>5.0682154636656651E-2</v>
      </c>
      <c r="AW60" s="17">
        <f>'Q2 - IRTree'!AW51</f>
        <v>5.0682154636656651E-2</v>
      </c>
      <c r="AX60" s="17">
        <f>'Q2 - IRTree'!AX51</f>
        <v>5.0682154636656651E-2</v>
      </c>
      <c r="AY60" s="17">
        <f>'Q2 - IRTree'!AY51</f>
        <v>5.0682154636656651E-2</v>
      </c>
      <c r="AZ60" s="17">
        <f>'Q2 - IRTree'!AZ51</f>
        <v>5.0682154636656651E-2</v>
      </c>
      <c r="BA60" s="17">
        <f>'Q2 - IRTree'!BA51</f>
        <v>5.0682154636656651E-2</v>
      </c>
      <c r="BB60" s="17">
        <f>'Q2 - IRTree'!BB51</f>
        <v>5.0682154636656651E-2</v>
      </c>
      <c r="BC60" s="17">
        <f>'Q2 - IRTree'!BC51</f>
        <v>5.0682154636656651E-2</v>
      </c>
      <c r="BD60" s="17">
        <f>'Q2 - IRTree'!BD51</f>
        <v>5.0682154636656651E-2</v>
      </c>
      <c r="BE60" s="17">
        <f>'Q2 - IRTree'!BE51</f>
        <v>5.0682154636656651E-2</v>
      </c>
      <c r="BF60" s="17">
        <f>'Q2 - IRTree'!BF51</f>
        <v>5.0682154636656651E-2</v>
      </c>
      <c r="BG60" s="17">
        <f>'Q2 - IRTree'!BG51</f>
        <v>5.0682154636656651E-2</v>
      </c>
      <c r="BH60" s="17">
        <f>'Q2 - IRTree'!BH51</f>
        <v>5.0682154636656651E-2</v>
      </c>
      <c r="BI60" s="17">
        <f>'Q2 - IRTree'!BI51</f>
        <v>5.0682154636656651E-2</v>
      </c>
      <c r="BJ60" s="17" t="str">
        <f>'Q2 - IRTree'!BJ51</f>
        <v/>
      </c>
    </row>
    <row r="61" spans="1:62" outlineLevel="1">
      <c r="A61" s="11">
        <f t="shared" si="2"/>
        <v>38</v>
      </c>
      <c r="B61" s="17" t="str">
        <f>'Q2 - IRTree'!B52</f>
        <v/>
      </c>
      <c r="C61" s="17" t="str">
        <f>'Q2 - IRTree'!C52</f>
        <v/>
      </c>
      <c r="D61" s="17" t="str">
        <f>'Q2 - IRTree'!D52</f>
        <v/>
      </c>
      <c r="E61" s="17" t="str">
        <f>'Q2 - IRTree'!E52</f>
        <v/>
      </c>
      <c r="F61" s="17" t="str">
        <f>'Q2 - IRTree'!F52</f>
        <v/>
      </c>
      <c r="G61" s="17" t="str">
        <f>'Q2 - IRTree'!G52</f>
        <v/>
      </c>
      <c r="H61" s="17" t="str">
        <f>'Q2 - IRTree'!H52</f>
        <v/>
      </c>
      <c r="I61" s="17" t="str">
        <f>'Q2 - IRTree'!I52</f>
        <v/>
      </c>
      <c r="J61" s="17" t="str">
        <f>'Q2 - IRTree'!J52</f>
        <v/>
      </c>
      <c r="K61" s="17" t="str">
        <f>'Q2 - IRTree'!K52</f>
        <v/>
      </c>
      <c r="L61" s="17" t="str">
        <f>'Q2 - IRTree'!L52</f>
        <v/>
      </c>
      <c r="M61" s="17" t="str">
        <f>'Q2 - IRTree'!M52</f>
        <v/>
      </c>
      <c r="N61" s="17" t="str">
        <f>'Q2 - IRTree'!N52</f>
        <v/>
      </c>
      <c r="O61" s="17" t="str">
        <f>'Q2 - IRTree'!O52</f>
        <v/>
      </c>
      <c r="P61" s="17" t="str">
        <f>'Q2 - IRTree'!P52</f>
        <v/>
      </c>
      <c r="Q61" s="17" t="str">
        <f>'Q2 - IRTree'!Q52</f>
        <v/>
      </c>
      <c r="R61" s="17" t="str">
        <f>'Q2 - IRTree'!R52</f>
        <v/>
      </c>
      <c r="S61" s="17" t="str">
        <f>'Q2 - IRTree'!S52</f>
        <v/>
      </c>
      <c r="T61" s="17" t="str">
        <f>'Q2 - IRTree'!T52</f>
        <v/>
      </c>
      <c r="U61" s="17" t="str">
        <f>'Q2 - IRTree'!U52</f>
        <v/>
      </c>
      <c r="V61" s="17" t="str">
        <f>'Q2 - IRTree'!V52</f>
        <v/>
      </c>
      <c r="W61" s="17" t="str">
        <f>'Q2 - IRTree'!W52</f>
        <v/>
      </c>
      <c r="X61" s="17" t="str">
        <f>'Q2 - IRTree'!X52</f>
        <v/>
      </c>
      <c r="Y61" s="17" t="str">
        <f>'Q2 - IRTree'!Y52</f>
        <v/>
      </c>
      <c r="Z61" s="17" t="str">
        <f>'Q2 - IRTree'!Z52</f>
        <v/>
      </c>
      <c r="AA61" s="17" t="str">
        <f>'Q2 - IRTree'!AA52</f>
        <v/>
      </c>
      <c r="AB61" s="17" t="str">
        <f>'Q2 - IRTree'!AB52</f>
        <v/>
      </c>
      <c r="AC61" s="17" t="str">
        <f>'Q2 - IRTree'!AC52</f>
        <v/>
      </c>
      <c r="AD61" s="17" t="str">
        <f>'Q2 - IRTree'!AD52</f>
        <v/>
      </c>
      <c r="AE61" s="17" t="str">
        <f>'Q2 - IRTree'!AE52</f>
        <v/>
      </c>
      <c r="AF61" s="17" t="str">
        <f>'Q2 - IRTree'!AF52</f>
        <v/>
      </c>
      <c r="AG61" s="17" t="str">
        <f>'Q2 - IRTree'!AG52</f>
        <v/>
      </c>
      <c r="AH61" s="17" t="str">
        <f>'Q2 - IRTree'!AH52</f>
        <v/>
      </c>
      <c r="AI61" s="17" t="str">
        <f>'Q2 - IRTree'!AI52</f>
        <v/>
      </c>
      <c r="AJ61" s="17" t="str">
        <f>'Q2 - IRTree'!AJ52</f>
        <v/>
      </c>
      <c r="AK61" s="17" t="str">
        <f>'Q2 - IRTree'!AK52</f>
        <v/>
      </c>
      <c r="AL61" s="17" t="str">
        <f>'Q2 - IRTree'!AL52</f>
        <v/>
      </c>
      <c r="AM61" s="17" t="str">
        <f>'Q2 - IRTree'!AM52</f>
        <v/>
      </c>
      <c r="AN61" s="17">
        <f>'Q2 - IRTree'!AN52</f>
        <v>5.0682154636656651E-2</v>
      </c>
      <c r="AO61" s="17">
        <f>'Q2 - IRTree'!AO52</f>
        <v>5.0682154636656651E-2</v>
      </c>
      <c r="AP61" s="17">
        <f>'Q2 - IRTree'!AP52</f>
        <v>5.0682154636656651E-2</v>
      </c>
      <c r="AQ61" s="17">
        <f>'Q2 - IRTree'!AQ52</f>
        <v>5.0682154636656651E-2</v>
      </c>
      <c r="AR61" s="17">
        <f>'Q2 - IRTree'!AR52</f>
        <v>5.0682154636656651E-2</v>
      </c>
      <c r="AS61" s="17">
        <f>'Q2 - IRTree'!AS52</f>
        <v>5.0682154636656651E-2</v>
      </c>
      <c r="AT61" s="17">
        <f>'Q2 - IRTree'!AT52</f>
        <v>5.0682154636656651E-2</v>
      </c>
      <c r="AU61" s="17">
        <f>'Q2 - IRTree'!AU52</f>
        <v>5.0682154636656651E-2</v>
      </c>
      <c r="AV61" s="17">
        <f>'Q2 - IRTree'!AV52</f>
        <v>5.0682154636656651E-2</v>
      </c>
      <c r="AW61" s="17">
        <f>'Q2 - IRTree'!AW52</f>
        <v>5.0682154636656651E-2</v>
      </c>
      <c r="AX61" s="17">
        <f>'Q2 - IRTree'!AX52</f>
        <v>5.0682154636656651E-2</v>
      </c>
      <c r="AY61" s="17">
        <f>'Q2 - IRTree'!AY52</f>
        <v>5.0682154636656651E-2</v>
      </c>
      <c r="AZ61" s="17">
        <f>'Q2 - IRTree'!AZ52</f>
        <v>5.0682154636656651E-2</v>
      </c>
      <c r="BA61" s="17">
        <f>'Q2 - IRTree'!BA52</f>
        <v>5.0682154636656651E-2</v>
      </c>
      <c r="BB61" s="17">
        <f>'Q2 - IRTree'!BB52</f>
        <v>5.0682154636656651E-2</v>
      </c>
      <c r="BC61" s="17">
        <f>'Q2 - IRTree'!BC52</f>
        <v>5.0682154636656651E-2</v>
      </c>
      <c r="BD61" s="17">
        <f>'Q2 - IRTree'!BD52</f>
        <v>5.0682154636656651E-2</v>
      </c>
      <c r="BE61" s="17">
        <f>'Q2 - IRTree'!BE52</f>
        <v>5.0682154636656651E-2</v>
      </c>
      <c r="BF61" s="17">
        <f>'Q2 - IRTree'!BF52</f>
        <v>5.0682154636656651E-2</v>
      </c>
      <c r="BG61" s="17">
        <f>'Q2 - IRTree'!BG52</f>
        <v>5.0682154636656651E-2</v>
      </c>
      <c r="BH61" s="17">
        <f>'Q2 - IRTree'!BH52</f>
        <v>5.0682154636656651E-2</v>
      </c>
      <c r="BI61" s="17">
        <f>'Q2 - IRTree'!BI52</f>
        <v>5.0682154636656651E-2</v>
      </c>
      <c r="BJ61" s="17" t="str">
        <f>'Q2 - IRTree'!BJ52</f>
        <v/>
      </c>
    </row>
    <row r="62" spans="1:62" outlineLevel="1">
      <c r="A62" s="11">
        <f t="shared" si="2"/>
        <v>39</v>
      </c>
      <c r="B62" s="17" t="str">
        <f>'Q2 - IRTree'!B53</f>
        <v/>
      </c>
      <c r="C62" s="17" t="str">
        <f>'Q2 - IRTree'!C53</f>
        <v/>
      </c>
      <c r="D62" s="17" t="str">
        <f>'Q2 - IRTree'!D53</f>
        <v/>
      </c>
      <c r="E62" s="17" t="str">
        <f>'Q2 - IRTree'!E53</f>
        <v/>
      </c>
      <c r="F62" s="17" t="str">
        <f>'Q2 - IRTree'!F53</f>
        <v/>
      </c>
      <c r="G62" s="17" t="str">
        <f>'Q2 - IRTree'!G53</f>
        <v/>
      </c>
      <c r="H62" s="17" t="str">
        <f>'Q2 - IRTree'!H53</f>
        <v/>
      </c>
      <c r="I62" s="17" t="str">
        <f>'Q2 - IRTree'!I53</f>
        <v/>
      </c>
      <c r="J62" s="17" t="str">
        <f>'Q2 - IRTree'!J53</f>
        <v/>
      </c>
      <c r="K62" s="17" t="str">
        <f>'Q2 - IRTree'!K53</f>
        <v/>
      </c>
      <c r="L62" s="17" t="str">
        <f>'Q2 - IRTree'!L53</f>
        <v/>
      </c>
      <c r="M62" s="17" t="str">
        <f>'Q2 - IRTree'!M53</f>
        <v/>
      </c>
      <c r="N62" s="17" t="str">
        <f>'Q2 - IRTree'!N53</f>
        <v/>
      </c>
      <c r="O62" s="17" t="str">
        <f>'Q2 - IRTree'!O53</f>
        <v/>
      </c>
      <c r="P62" s="17" t="str">
        <f>'Q2 - IRTree'!P53</f>
        <v/>
      </c>
      <c r="Q62" s="17" t="str">
        <f>'Q2 - IRTree'!Q53</f>
        <v/>
      </c>
      <c r="R62" s="17" t="str">
        <f>'Q2 - IRTree'!R53</f>
        <v/>
      </c>
      <c r="S62" s="17" t="str">
        <f>'Q2 - IRTree'!S53</f>
        <v/>
      </c>
      <c r="T62" s="17" t="str">
        <f>'Q2 - IRTree'!T53</f>
        <v/>
      </c>
      <c r="U62" s="17" t="str">
        <f>'Q2 - IRTree'!U53</f>
        <v/>
      </c>
      <c r="V62" s="17" t="str">
        <f>'Q2 - IRTree'!V53</f>
        <v/>
      </c>
      <c r="W62" s="17" t="str">
        <f>'Q2 - IRTree'!W53</f>
        <v/>
      </c>
      <c r="X62" s="17" t="str">
        <f>'Q2 - IRTree'!X53</f>
        <v/>
      </c>
      <c r="Y62" s="17" t="str">
        <f>'Q2 - IRTree'!Y53</f>
        <v/>
      </c>
      <c r="Z62" s="17" t="str">
        <f>'Q2 - IRTree'!Z53</f>
        <v/>
      </c>
      <c r="AA62" s="17" t="str">
        <f>'Q2 - IRTree'!AA53</f>
        <v/>
      </c>
      <c r="AB62" s="17" t="str">
        <f>'Q2 - IRTree'!AB53</f>
        <v/>
      </c>
      <c r="AC62" s="17" t="str">
        <f>'Q2 - IRTree'!AC53</f>
        <v/>
      </c>
      <c r="AD62" s="17" t="str">
        <f>'Q2 - IRTree'!AD53</f>
        <v/>
      </c>
      <c r="AE62" s="17" t="str">
        <f>'Q2 - IRTree'!AE53</f>
        <v/>
      </c>
      <c r="AF62" s="17" t="str">
        <f>'Q2 - IRTree'!AF53</f>
        <v/>
      </c>
      <c r="AG62" s="17" t="str">
        <f>'Q2 - IRTree'!AG53</f>
        <v/>
      </c>
      <c r="AH62" s="17" t="str">
        <f>'Q2 - IRTree'!AH53</f>
        <v/>
      </c>
      <c r="AI62" s="17" t="str">
        <f>'Q2 - IRTree'!AI53</f>
        <v/>
      </c>
      <c r="AJ62" s="17" t="str">
        <f>'Q2 - IRTree'!AJ53</f>
        <v/>
      </c>
      <c r="AK62" s="17" t="str">
        <f>'Q2 - IRTree'!AK53</f>
        <v/>
      </c>
      <c r="AL62" s="17" t="str">
        <f>'Q2 - IRTree'!AL53</f>
        <v/>
      </c>
      <c r="AM62" s="17" t="str">
        <f>'Q2 - IRTree'!AM53</f>
        <v/>
      </c>
      <c r="AN62" s="17" t="str">
        <f>'Q2 - IRTree'!AN53</f>
        <v/>
      </c>
      <c r="AO62" s="17">
        <f>'Q2 - IRTree'!AO53</f>
        <v>5.0682154636656651E-2</v>
      </c>
      <c r="AP62" s="17">
        <f>'Q2 - IRTree'!AP53</f>
        <v>5.0682154636656651E-2</v>
      </c>
      <c r="AQ62" s="17">
        <f>'Q2 - IRTree'!AQ53</f>
        <v>5.0682154636656651E-2</v>
      </c>
      <c r="AR62" s="17">
        <f>'Q2 - IRTree'!AR53</f>
        <v>5.0682154636656651E-2</v>
      </c>
      <c r="AS62" s="17">
        <f>'Q2 - IRTree'!AS53</f>
        <v>5.0682154636656651E-2</v>
      </c>
      <c r="AT62" s="17">
        <f>'Q2 - IRTree'!AT53</f>
        <v>5.0682154636656651E-2</v>
      </c>
      <c r="AU62" s="17">
        <f>'Q2 - IRTree'!AU53</f>
        <v>5.0682154636656651E-2</v>
      </c>
      <c r="AV62" s="17">
        <f>'Q2 - IRTree'!AV53</f>
        <v>5.0682154636656651E-2</v>
      </c>
      <c r="AW62" s="17">
        <f>'Q2 - IRTree'!AW53</f>
        <v>5.0682154636656651E-2</v>
      </c>
      <c r="AX62" s="17">
        <f>'Q2 - IRTree'!AX53</f>
        <v>5.0682154636656651E-2</v>
      </c>
      <c r="AY62" s="17">
        <f>'Q2 - IRTree'!AY53</f>
        <v>5.0682154636656651E-2</v>
      </c>
      <c r="AZ62" s="17">
        <f>'Q2 - IRTree'!AZ53</f>
        <v>5.0682154636656651E-2</v>
      </c>
      <c r="BA62" s="17">
        <f>'Q2 - IRTree'!BA53</f>
        <v>5.0682154636656651E-2</v>
      </c>
      <c r="BB62" s="17">
        <f>'Q2 - IRTree'!BB53</f>
        <v>5.0682154636656651E-2</v>
      </c>
      <c r="BC62" s="17">
        <f>'Q2 - IRTree'!BC53</f>
        <v>5.0682154636656651E-2</v>
      </c>
      <c r="BD62" s="17">
        <f>'Q2 - IRTree'!BD53</f>
        <v>5.0682154636656651E-2</v>
      </c>
      <c r="BE62" s="17">
        <f>'Q2 - IRTree'!BE53</f>
        <v>5.0682154636656651E-2</v>
      </c>
      <c r="BF62" s="17">
        <f>'Q2 - IRTree'!BF53</f>
        <v>5.0682154636656651E-2</v>
      </c>
      <c r="BG62" s="17">
        <f>'Q2 - IRTree'!BG53</f>
        <v>5.0682154636656651E-2</v>
      </c>
      <c r="BH62" s="17">
        <f>'Q2 - IRTree'!BH53</f>
        <v>5.0682154636656651E-2</v>
      </c>
      <c r="BI62" s="17">
        <f>'Q2 - IRTree'!BI53</f>
        <v>5.0682154636656651E-2</v>
      </c>
      <c r="BJ62" s="17" t="str">
        <f>'Q2 - IRTree'!BJ53</f>
        <v/>
      </c>
    </row>
    <row r="63" spans="1:62" outlineLevel="1">
      <c r="A63" s="11">
        <f t="shared" si="2"/>
        <v>40</v>
      </c>
      <c r="B63" s="17" t="str">
        <f>'Q2 - IRTree'!B54</f>
        <v/>
      </c>
      <c r="C63" s="17" t="str">
        <f>'Q2 - IRTree'!C54</f>
        <v/>
      </c>
      <c r="D63" s="17" t="str">
        <f>'Q2 - IRTree'!D54</f>
        <v/>
      </c>
      <c r="E63" s="17" t="str">
        <f>'Q2 - IRTree'!E54</f>
        <v/>
      </c>
      <c r="F63" s="17" t="str">
        <f>'Q2 - IRTree'!F54</f>
        <v/>
      </c>
      <c r="G63" s="17" t="str">
        <f>'Q2 - IRTree'!G54</f>
        <v/>
      </c>
      <c r="H63" s="17" t="str">
        <f>'Q2 - IRTree'!H54</f>
        <v/>
      </c>
      <c r="I63" s="17" t="str">
        <f>'Q2 - IRTree'!I54</f>
        <v/>
      </c>
      <c r="J63" s="17" t="str">
        <f>'Q2 - IRTree'!J54</f>
        <v/>
      </c>
      <c r="K63" s="17" t="str">
        <f>'Q2 - IRTree'!K54</f>
        <v/>
      </c>
      <c r="L63" s="17" t="str">
        <f>'Q2 - IRTree'!L54</f>
        <v/>
      </c>
      <c r="M63" s="17" t="str">
        <f>'Q2 - IRTree'!M54</f>
        <v/>
      </c>
      <c r="N63" s="17" t="str">
        <f>'Q2 - IRTree'!N54</f>
        <v/>
      </c>
      <c r="O63" s="17" t="str">
        <f>'Q2 - IRTree'!O54</f>
        <v/>
      </c>
      <c r="P63" s="17" t="str">
        <f>'Q2 - IRTree'!P54</f>
        <v/>
      </c>
      <c r="Q63" s="17" t="str">
        <f>'Q2 - IRTree'!Q54</f>
        <v/>
      </c>
      <c r="R63" s="17" t="str">
        <f>'Q2 - IRTree'!R54</f>
        <v/>
      </c>
      <c r="S63" s="17" t="str">
        <f>'Q2 - IRTree'!S54</f>
        <v/>
      </c>
      <c r="T63" s="17" t="str">
        <f>'Q2 - IRTree'!T54</f>
        <v/>
      </c>
      <c r="U63" s="17" t="str">
        <f>'Q2 - IRTree'!U54</f>
        <v/>
      </c>
      <c r="V63" s="17" t="str">
        <f>'Q2 - IRTree'!V54</f>
        <v/>
      </c>
      <c r="W63" s="17" t="str">
        <f>'Q2 - IRTree'!W54</f>
        <v/>
      </c>
      <c r="X63" s="17" t="str">
        <f>'Q2 - IRTree'!X54</f>
        <v/>
      </c>
      <c r="Y63" s="17" t="str">
        <f>'Q2 - IRTree'!Y54</f>
        <v/>
      </c>
      <c r="Z63" s="17" t="str">
        <f>'Q2 - IRTree'!Z54</f>
        <v/>
      </c>
      <c r="AA63" s="17" t="str">
        <f>'Q2 - IRTree'!AA54</f>
        <v/>
      </c>
      <c r="AB63" s="17" t="str">
        <f>'Q2 - IRTree'!AB54</f>
        <v/>
      </c>
      <c r="AC63" s="17" t="str">
        <f>'Q2 - IRTree'!AC54</f>
        <v/>
      </c>
      <c r="AD63" s="17" t="str">
        <f>'Q2 - IRTree'!AD54</f>
        <v/>
      </c>
      <c r="AE63" s="17" t="str">
        <f>'Q2 - IRTree'!AE54</f>
        <v/>
      </c>
      <c r="AF63" s="17" t="str">
        <f>'Q2 - IRTree'!AF54</f>
        <v/>
      </c>
      <c r="AG63" s="17" t="str">
        <f>'Q2 - IRTree'!AG54</f>
        <v/>
      </c>
      <c r="AH63" s="17" t="str">
        <f>'Q2 - IRTree'!AH54</f>
        <v/>
      </c>
      <c r="AI63" s="17" t="str">
        <f>'Q2 - IRTree'!AI54</f>
        <v/>
      </c>
      <c r="AJ63" s="17" t="str">
        <f>'Q2 - IRTree'!AJ54</f>
        <v/>
      </c>
      <c r="AK63" s="17" t="str">
        <f>'Q2 - IRTree'!AK54</f>
        <v/>
      </c>
      <c r="AL63" s="17" t="str">
        <f>'Q2 - IRTree'!AL54</f>
        <v/>
      </c>
      <c r="AM63" s="17" t="str">
        <f>'Q2 - IRTree'!AM54</f>
        <v/>
      </c>
      <c r="AN63" s="17" t="str">
        <f>'Q2 - IRTree'!AN54</f>
        <v/>
      </c>
      <c r="AO63" s="17" t="str">
        <f>'Q2 - IRTree'!AO54</f>
        <v/>
      </c>
      <c r="AP63" s="17">
        <f>'Q2 - IRTree'!AP54</f>
        <v>5.0682154636656651E-2</v>
      </c>
      <c r="AQ63" s="17">
        <f>'Q2 - IRTree'!AQ54</f>
        <v>5.0682154636656651E-2</v>
      </c>
      <c r="AR63" s="17">
        <f>'Q2 - IRTree'!AR54</f>
        <v>5.0682154636656651E-2</v>
      </c>
      <c r="AS63" s="17">
        <f>'Q2 - IRTree'!AS54</f>
        <v>5.0682154636656651E-2</v>
      </c>
      <c r="AT63" s="17">
        <f>'Q2 - IRTree'!AT54</f>
        <v>5.0682154636656651E-2</v>
      </c>
      <c r="AU63" s="17">
        <f>'Q2 - IRTree'!AU54</f>
        <v>5.0682154636656651E-2</v>
      </c>
      <c r="AV63" s="17">
        <f>'Q2 - IRTree'!AV54</f>
        <v>5.0682154636656651E-2</v>
      </c>
      <c r="AW63" s="17">
        <f>'Q2 - IRTree'!AW54</f>
        <v>5.0682154636656651E-2</v>
      </c>
      <c r="AX63" s="17">
        <f>'Q2 - IRTree'!AX54</f>
        <v>5.0682154636656651E-2</v>
      </c>
      <c r="AY63" s="17">
        <f>'Q2 - IRTree'!AY54</f>
        <v>5.0682154636656651E-2</v>
      </c>
      <c r="AZ63" s="17">
        <f>'Q2 - IRTree'!AZ54</f>
        <v>5.0682154636656651E-2</v>
      </c>
      <c r="BA63" s="17">
        <f>'Q2 - IRTree'!BA54</f>
        <v>5.0682154636656651E-2</v>
      </c>
      <c r="BB63" s="17">
        <f>'Q2 - IRTree'!BB54</f>
        <v>5.0682154636656651E-2</v>
      </c>
      <c r="BC63" s="17">
        <f>'Q2 - IRTree'!BC54</f>
        <v>5.0682154636656651E-2</v>
      </c>
      <c r="BD63" s="17">
        <f>'Q2 - IRTree'!BD54</f>
        <v>5.0682154636656651E-2</v>
      </c>
      <c r="BE63" s="17">
        <f>'Q2 - IRTree'!BE54</f>
        <v>5.0682154636656651E-2</v>
      </c>
      <c r="BF63" s="17">
        <f>'Q2 - IRTree'!BF54</f>
        <v>5.0682154636656651E-2</v>
      </c>
      <c r="BG63" s="17">
        <f>'Q2 - IRTree'!BG54</f>
        <v>5.0682154636656651E-2</v>
      </c>
      <c r="BH63" s="17">
        <f>'Q2 - IRTree'!BH54</f>
        <v>5.0682154636656651E-2</v>
      </c>
      <c r="BI63" s="17">
        <f>'Q2 - IRTree'!BI54</f>
        <v>5.0682154636656651E-2</v>
      </c>
      <c r="BJ63" s="17" t="str">
        <f>'Q2 - IRTree'!BJ54</f>
        <v/>
      </c>
    </row>
    <row r="64" spans="1:62" outlineLevel="1">
      <c r="A64" s="11">
        <f t="shared" si="2"/>
        <v>41</v>
      </c>
      <c r="B64" s="17" t="str">
        <f>'Q2 - IRTree'!B55</f>
        <v/>
      </c>
      <c r="C64" s="17" t="str">
        <f>'Q2 - IRTree'!C55</f>
        <v/>
      </c>
      <c r="D64" s="17" t="str">
        <f>'Q2 - IRTree'!D55</f>
        <v/>
      </c>
      <c r="E64" s="17" t="str">
        <f>'Q2 - IRTree'!E55</f>
        <v/>
      </c>
      <c r="F64" s="17" t="str">
        <f>'Q2 - IRTree'!F55</f>
        <v/>
      </c>
      <c r="G64" s="17" t="str">
        <f>'Q2 - IRTree'!G55</f>
        <v/>
      </c>
      <c r="H64" s="17" t="str">
        <f>'Q2 - IRTree'!H55</f>
        <v/>
      </c>
      <c r="I64" s="17" t="str">
        <f>'Q2 - IRTree'!I55</f>
        <v/>
      </c>
      <c r="J64" s="17" t="str">
        <f>'Q2 - IRTree'!J55</f>
        <v/>
      </c>
      <c r="K64" s="17" t="str">
        <f>'Q2 - IRTree'!K55</f>
        <v/>
      </c>
      <c r="L64" s="17" t="str">
        <f>'Q2 - IRTree'!L55</f>
        <v/>
      </c>
      <c r="M64" s="17" t="str">
        <f>'Q2 - IRTree'!M55</f>
        <v/>
      </c>
      <c r="N64" s="17" t="str">
        <f>'Q2 - IRTree'!N55</f>
        <v/>
      </c>
      <c r="O64" s="17" t="str">
        <f>'Q2 - IRTree'!O55</f>
        <v/>
      </c>
      <c r="P64" s="17" t="str">
        <f>'Q2 - IRTree'!P55</f>
        <v/>
      </c>
      <c r="Q64" s="17" t="str">
        <f>'Q2 - IRTree'!Q55</f>
        <v/>
      </c>
      <c r="R64" s="17" t="str">
        <f>'Q2 - IRTree'!R55</f>
        <v/>
      </c>
      <c r="S64" s="17" t="str">
        <f>'Q2 - IRTree'!S55</f>
        <v/>
      </c>
      <c r="T64" s="17" t="str">
        <f>'Q2 - IRTree'!T55</f>
        <v/>
      </c>
      <c r="U64" s="17" t="str">
        <f>'Q2 - IRTree'!U55</f>
        <v/>
      </c>
      <c r="V64" s="17" t="str">
        <f>'Q2 - IRTree'!V55</f>
        <v/>
      </c>
      <c r="W64" s="17" t="str">
        <f>'Q2 - IRTree'!W55</f>
        <v/>
      </c>
      <c r="X64" s="17" t="str">
        <f>'Q2 - IRTree'!X55</f>
        <v/>
      </c>
      <c r="Y64" s="17" t="str">
        <f>'Q2 - IRTree'!Y55</f>
        <v/>
      </c>
      <c r="Z64" s="17" t="str">
        <f>'Q2 - IRTree'!Z55</f>
        <v/>
      </c>
      <c r="AA64" s="17" t="str">
        <f>'Q2 - IRTree'!AA55</f>
        <v/>
      </c>
      <c r="AB64" s="17" t="str">
        <f>'Q2 - IRTree'!AB55</f>
        <v/>
      </c>
      <c r="AC64" s="17" t="str">
        <f>'Q2 - IRTree'!AC55</f>
        <v/>
      </c>
      <c r="AD64" s="17" t="str">
        <f>'Q2 - IRTree'!AD55</f>
        <v/>
      </c>
      <c r="AE64" s="17" t="str">
        <f>'Q2 - IRTree'!AE55</f>
        <v/>
      </c>
      <c r="AF64" s="17" t="str">
        <f>'Q2 - IRTree'!AF55</f>
        <v/>
      </c>
      <c r="AG64" s="17" t="str">
        <f>'Q2 - IRTree'!AG55</f>
        <v/>
      </c>
      <c r="AH64" s="17" t="str">
        <f>'Q2 - IRTree'!AH55</f>
        <v/>
      </c>
      <c r="AI64" s="17" t="str">
        <f>'Q2 - IRTree'!AI55</f>
        <v/>
      </c>
      <c r="AJ64" s="17" t="str">
        <f>'Q2 - IRTree'!AJ55</f>
        <v/>
      </c>
      <c r="AK64" s="17" t="str">
        <f>'Q2 - IRTree'!AK55</f>
        <v/>
      </c>
      <c r="AL64" s="17" t="str">
        <f>'Q2 - IRTree'!AL55</f>
        <v/>
      </c>
      <c r="AM64" s="17" t="str">
        <f>'Q2 - IRTree'!AM55</f>
        <v/>
      </c>
      <c r="AN64" s="17" t="str">
        <f>'Q2 - IRTree'!AN55</f>
        <v/>
      </c>
      <c r="AO64" s="17" t="str">
        <f>'Q2 - IRTree'!AO55</f>
        <v/>
      </c>
      <c r="AP64" s="17" t="str">
        <f>'Q2 - IRTree'!AP55</f>
        <v/>
      </c>
      <c r="AQ64" s="17">
        <f>'Q2 - IRTree'!AQ55</f>
        <v>5.0682154636656651E-2</v>
      </c>
      <c r="AR64" s="17">
        <f>'Q2 - IRTree'!AR55</f>
        <v>5.0682154636656651E-2</v>
      </c>
      <c r="AS64" s="17">
        <f>'Q2 - IRTree'!AS55</f>
        <v>5.0682154636656651E-2</v>
      </c>
      <c r="AT64" s="17">
        <f>'Q2 - IRTree'!AT55</f>
        <v>5.0682154636656651E-2</v>
      </c>
      <c r="AU64" s="17">
        <f>'Q2 - IRTree'!AU55</f>
        <v>5.0682154636656651E-2</v>
      </c>
      <c r="AV64" s="17">
        <f>'Q2 - IRTree'!AV55</f>
        <v>5.0682154636656651E-2</v>
      </c>
      <c r="AW64" s="17">
        <f>'Q2 - IRTree'!AW55</f>
        <v>5.0682154636656651E-2</v>
      </c>
      <c r="AX64" s="17">
        <f>'Q2 - IRTree'!AX55</f>
        <v>5.0682154636656651E-2</v>
      </c>
      <c r="AY64" s="17">
        <f>'Q2 - IRTree'!AY55</f>
        <v>5.0682154636656651E-2</v>
      </c>
      <c r="AZ64" s="17">
        <f>'Q2 - IRTree'!AZ55</f>
        <v>5.0682154636656651E-2</v>
      </c>
      <c r="BA64" s="17">
        <f>'Q2 - IRTree'!BA55</f>
        <v>5.0682154636656651E-2</v>
      </c>
      <c r="BB64" s="17">
        <f>'Q2 - IRTree'!BB55</f>
        <v>5.0682154636656651E-2</v>
      </c>
      <c r="BC64" s="17">
        <f>'Q2 - IRTree'!BC55</f>
        <v>5.0682154636656651E-2</v>
      </c>
      <c r="BD64" s="17">
        <f>'Q2 - IRTree'!BD55</f>
        <v>5.0682154636656651E-2</v>
      </c>
      <c r="BE64" s="17">
        <f>'Q2 - IRTree'!BE55</f>
        <v>5.0682154636656651E-2</v>
      </c>
      <c r="BF64" s="17">
        <f>'Q2 - IRTree'!BF55</f>
        <v>5.0682154636656651E-2</v>
      </c>
      <c r="BG64" s="17">
        <f>'Q2 - IRTree'!BG55</f>
        <v>5.0682154636656651E-2</v>
      </c>
      <c r="BH64" s="17">
        <f>'Q2 - IRTree'!BH55</f>
        <v>5.0682154636656651E-2</v>
      </c>
      <c r="BI64" s="17">
        <f>'Q2 - IRTree'!BI55</f>
        <v>5.0682154636656651E-2</v>
      </c>
      <c r="BJ64" s="17" t="str">
        <f>'Q2 - IRTree'!BJ55</f>
        <v/>
      </c>
    </row>
    <row r="65" spans="1:62" outlineLevel="1">
      <c r="A65" s="11">
        <f t="shared" si="2"/>
        <v>42</v>
      </c>
      <c r="B65" s="17" t="str">
        <f>'Q2 - IRTree'!B56</f>
        <v/>
      </c>
      <c r="C65" s="17" t="str">
        <f>'Q2 - IRTree'!C56</f>
        <v/>
      </c>
      <c r="D65" s="17" t="str">
        <f>'Q2 - IRTree'!D56</f>
        <v/>
      </c>
      <c r="E65" s="17" t="str">
        <f>'Q2 - IRTree'!E56</f>
        <v/>
      </c>
      <c r="F65" s="17" t="str">
        <f>'Q2 - IRTree'!F56</f>
        <v/>
      </c>
      <c r="G65" s="17" t="str">
        <f>'Q2 - IRTree'!G56</f>
        <v/>
      </c>
      <c r="H65" s="17" t="str">
        <f>'Q2 - IRTree'!H56</f>
        <v/>
      </c>
      <c r="I65" s="17" t="str">
        <f>'Q2 - IRTree'!I56</f>
        <v/>
      </c>
      <c r="J65" s="17" t="str">
        <f>'Q2 - IRTree'!J56</f>
        <v/>
      </c>
      <c r="K65" s="17" t="str">
        <f>'Q2 - IRTree'!K56</f>
        <v/>
      </c>
      <c r="L65" s="17" t="str">
        <f>'Q2 - IRTree'!L56</f>
        <v/>
      </c>
      <c r="M65" s="17" t="str">
        <f>'Q2 - IRTree'!M56</f>
        <v/>
      </c>
      <c r="N65" s="17" t="str">
        <f>'Q2 - IRTree'!N56</f>
        <v/>
      </c>
      <c r="O65" s="17" t="str">
        <f>'Q2 - IRTree'!O56</f>
        <v/>
      </c>
      <c r="P65" s="17" t="str">
        <f>'Q2 - IRTree'!P56</f>
        <v/>
      </c>
      <c r="Q65" s="17" t="str">
        <f>'Q2 - IRTree'!Q56</f>
        <v/>
      </c>
      <c r="R65" s="17" t="str">
        <f>'Q2 - IRTree'!R56</f>
        <v/>
      </c>
      <c r="S65" s="17" t="str">
        <f>'Q2 - IRTree'!S56</f>
        <v/>
      </c>
      <c r="T65" s="17" t="str">
        <f>'Q2 - IRTree'!T56</f>
        <v/>
      </c>
      <c r="U65" s="17" t="str">
        <f>'Q2 - IRTree'!U56</f>
        <v/>
      </c>
      <c r="V65" s="17" t="str">
        <f>'Q2 - IRTree'!V56</f>
        <v/>
      </c>
      <c r="W65" s="17" t="str">
        <f>'Q2 - IRTree'!W56</f>
        <v/>
      </c>
      <c r="X65" s="17" t="str">
        <f>'Q2 - IRTree'!X56</f>
        <v/>
      </c>
      <c r="Y65" s="17" t="str">
        <f>'Q2 - IRTree'!Y56</f>
        <v/>
      </c>
      <c r="Z65" s="17" t="str">
        <f>'Q2 - IRTree'!Z56</f>
        <v/>
      </c>
      <c r="AA65" s="17" t="str">
        <f>'Q2 - IRTree'!AA56</f>
        <v/>
      </c>
      <c r="AB65" s="17" t="str">
        <f>'Q2 - IRTree'!AB56</f>
        <v/>
      </c>
      <c r="AC65" s="17" t="str">
        <f>'Q2 - IRTree'!AC56</f>
        <v/>
      </c>
      <c r="AD65" s="17" t="str">
        <f>'Q2 - IRTree'!AD56</f>
        <v/>
      </c>
      <c r="AE65" s="17" t="str">
        <f>'Q2 - IRTree'!AE56</f>
        <v/>
      </c>
      <c r="AF65" s="17" t="str">
        <f>'Q2 - IRTree'!AF56</f>
        <v/>
      </c>
      <c r="AG65" s="17" t="str">
        <f>'Q2 - IRTree'!AG56</f>
        <v/>
      </c>
      <c r="AH65" s="17" t="str">
        <f>'Q2 - IRTree'!AH56</f>
        <v/>
      </c>
      <c r="AI65" s="17" t="str">
        <f>'Q2 - IRTree'!AI56</f>
        <v/>
      </c>
      <c r="AJ65" s="17" t="str">
        <f>'Q2 - IRTree'!AJ56</f>
        <v/>
      </c>
      <c r="AK65" s="17" t="str">
        <f>'Q2 - IRTree'!AK56</f>
        <v/>
      </c>
      <c r="AL65" s="17" t="str">
        <f>'Q2 - IRTree'!AL56</f>
        <v/>
      </c>
      <c r="AM65" s="17" t="str">
        <f>'Q2 - IRTree'!AM56</f>
        <v/>
      </c>
      <c r="AN65" s="17" t="str">
        <f>'Q2 - IRTree'!AN56</f>
        <v/>
      </c>
      <c r="AO65" s="17" t="str">
        <f>'Q2 - IRTree'!AO56</f>
        <v/>
      </c>
      <c r="AP65" s="17" t="str">
        <f>'Q2 - IRTree'!AP56</f>
        <v/>
      </c>
      <c r="AQ65" s="17" t="str">
        <f>'Q2 - IRTree'!AQ56</f>
        <v/>
      </c>
      <c r="AR65" s="17">
        <f>'Q2 - IRTree'!AR56</f>
        <v>5.0682154636656651E-2</v>
      </c>
      <c r="AS65" s="17">
        <f>'Q2 - IRTree'!AS56</f>
        <v>5.0682154636656651E-2</v>
      </c>
      <c r="AT65" s="17">
        <f>'Q2 - IRTree'!AT56</f>
        <v>5.0682154636656651E-2</v>
      </c>
      <c r="AU65" s="17">
        <f>'Q2 - IRTree'!AU56</f>
        <v>5.0682154636656651E-2</v>
      </c>
      <c r="AV65" s="17">
        <f>'Q2 - IRTree'!AV56</f>
        <v>5.0682154636656651E-2</v>
      </c>
      <c r="AW65" s="17">
        <f>'Q2 - IRTree'!AW56</f>
        <v>5.0682154636656651E-2</v>
      </c>
      <c r="AX65" s="17">
        <f>'Q2 - IRTree'!AX56</f>
        <v>5.0682154636656651E-2</v>
      </c>
      <c r="AY65" s="17">
        <f>'Q2 - IRTree'!AY56</f>
        <v>5.0682154636656651E-2</v>
      </c>
      <c r="AZ65" s="17">
        <f>'Q2 - IRTree'!AZ56</f>
        <v>5.0682154636656651E-2</v>
      </c>
      <c r="BA65" s="17">
        <f>'Q2 - IRTree'!BA56</f>
        <v>5.0682154636656651E-2</v>
      </c>
      <c r="BB65" s="17">
        <f>'Q2 - IRTree'!BB56</f>
        <v>5.0682154636656651E-2</v>
      </c>
      <c r="BC65" s="17">
        <f>'Q2 - IRTree'!BC56</f>
        <v>5.0682154636656651E-2</v>
      </c>
      <c r="BD65" s="17">
        <f>'Q2 - IRTree'!BD56</f>
        <v>5.0682154636656651E-2</v>
      </c>
      <c r="BE65" s="17">
        <f>'Q2 - IRTree'!BE56</f>
        <v>5.0682154636656651E-2</v>
      </c>
      <c r="BF65" s="17">
        <f>'Q2 - IRTree'!BF56</f>
        <v>5.0682154636656651E-2</v>
      </c>
      <c r="BG65" s="17">
        <f>'Q2 - IRTree'!BG56</f>
        <v>5.0682154636656651E-2</v>
      </c>
      <c r="BH65" s="17">
        <f>'Q2 - IRTree'!BH56</f>
        <v>5.0682154636656651E-2</v>
      </c>
      <c r="BI65" s="17">
        <f>'Q2 - IRTree'!BI56</f>
        <v>5.0682154636656651E-2</v>
      </c>
      <c r="BJ65" s="17" t="str">
        <f>'Q2 - IRTree'!BJ56</f>
        <v/>
      </c>
    </row>
    <row r="66" spans="1:62" outlineLevel="1">
      <c r="A66" s="11">
        <f t="shared" si="2"/>
        <v>43</v>
      </c>
      <c r="B66" s="17" t="str">
        <f>'Q2 - IRTree'!B57</f>
        <v/>
      </c>
      <c r="C66" s="17" t="str">
        <f>'Q2 - IRTree'!C57</f>
        <v/>
      </c>
      <c r="D66" s="17" t="str">
        <f>'Q2 - IRTree'!D57</f>
        <v/>
      </c>
      <c r="E66" s="17" t="str">
        <f>'Q2 - IRTree'!E57</f>
        <v/>
      </c>
      <c r="F66" s="17" t="str">
        <f>'Q2 - IRTree'!F57</f>
        <v/>
      </c>
      <c r="G66" s="17" t="str">
        <f>'Q2 - IRTree'!G57</f>
        <v/>
      </c>
      <c r="H66" s="17" t="str">
        <f>'Q2 - IRTree'!H57</f>
        <v/>
      </c>
      <c r="I66" s="17" t="str">
        <f>'Q2 - IRTree'!I57</f>
        <v/>
      </c>
      <c r="J66" s="17" t="str">
        <f>'Q2 - IRTree'!J57</f>
        <v/>
      </c>
      <c r="K66" s="17" t="str">
        <f>'Q2 - IRTree'!K57</f>
        <v/>
      </c>
      <c r="L66" s="17" t="str">
        <f>'Q2 - IRTree'!L57</f>
        <v/>
      </c>
      <c r="M66" s="17" t="str">
        <f>'Q2 - IRTree'!M57</f>
        <v/>
      </c>
      <c r="N66" s="17" t="str">
        <f>'Q2 - IRTree'!N57</f>
        <v/>
      </c>
      <c r="O66" s="17" t="str">
        <f>'Q2 - IRTree'!O57</f>
        <v/>
      </c>
      <c r="P66" s="17" t="str">
        <f>'Q2 - IRTree'!P57</f>
        <v/>
      </c>
      <c r="Q66" s="17" t="str">
        <f>'Q2 - IRTree'!Q57</f>
        <v/>
      </c>
      <c r="R66" s="17" t="str">
        <f>'Q2 - IRTree'!R57</f>
        <v/>
      </c>
      <c r="S66" s="17" t="str">
        <f>'Q2 - IRTree'!S57</f>
        <v/>
      </c>
      <c r="T66" s="17" t="str">
        <f>'Q2 - IRTree'!T57</f>
        <v/>
      </c>
      <c r="U66" s="17" t="str">
        <f>'Q2 - IRTree'!U57</f>
        <v/>
      </c>
      <c r="V66" s="17" t="str">
        <f>'Q2 - IRTree'!V57</f>
        <v/>
      </c>
      <c r="W66" s="17" t="str">
        <f>'Q2 - IRTree'!W57</f>
        <v/>
      </c>
      <c r="X66" s="17" t="str">
        <f>'Q2 - IRTree'!X57</f>
        <v/>
      </c>
      <c r="Y66" s="17" t="str">
        <f>'Q2 - IRTree'!Y57</f>
        <v/>
      </c>
      <c r="Z66" s="17" t="str">
        <f>'Q2 - IRTree'!Z57</f>
        <v/>
      </c>
      <c r="AA66" s="17" t="str">
        <f>'Q2 - IRTree'!AA57</f>
        <v/>
      </c>
      <c r="AB66" s="17" t="str">
        <f>'Q2 - IRTree'!AB57</f>
        <v/>
      </c>
      <c r="AC66" s="17" t="str">
        <f>'Q2 - IRTree'!AC57</f>
        <v/>
      </c>
      <c r="AD66" s="17" t="str">
        <f>'Q2 - IRTree'!AD57</f>
        <v/>
      </c>
      <c r="AE66" s="17" t="str">
        <f>'Q2 - IRTree'!AE57</f>
        <v/>
      </c>
      <c r="AF66" s="17" t="str">
        <f>'Q2 - IRTree'!AF57</f>
        <v/>
      </c>
      <c r="AG66" s="17" t="str">
        <f>'Q2 - IRTree'!AG57</f>
        <v/>
      </c>
      <c r="AH66" s="17" t="str">
        <f>'Q2 - IRTree'!AH57</f>
        <v/>
      </c>
      <c r="AI66" s="17" t="str">
        <f>'Q2 - IRTree'!AI57</f>
        <v/>
      </c>
      <c r="AJ66" s="17" t="str">
        <f>'Q2 - IRTree'!AJ57</f>
        <v/>
      </c>
      <c r="AK66" s="17" t="str">
        <f>'Q2 - IRTree'!AK57</f>
        <v/>
      </c>
      <c r="AL66" s="17" t="str">
        <f>'Q2 - IRTree'!AL57</f>
        <v/>
      </c>
      <c r="AM66" s="17" t="str">
        <f>'Q2 - IRTree'!AM57</f>
        <v/>
      </c>
      <c r="AN66" s="17" t="str">
        <f>'Q2 - IRTree'!AN57</f>
        <v/>
      </c>
      <c r="AO66" s="17" t="str">
        <f>'Q2 - IRTree'!AO57</f>
        <v/>
      </c>
      <c r="AP66" s="17" t="str">
        <f>'Q2 - IRTree'!AP57</f>
        <v/>
      </c>
      <c r="AQ66" s="17" t="str">
        <f>'Q2 - IRTree'!AQ57</f>
        <v/>
      </c>
      <c r="AR66" s="17" t="str">
        <f>'Q2 - IRTree'!AR57</f>
        <v/>
      </c>
      <c r="AS66" s="17">
        <f>'Q2 - IRTree'!AS57</f>
        <v>5.0682154636656651E-2</v>
      </c>
      <c r="AT66" s="17">
        <f>'Q2 - IRTree'!AT57</f>
        <v>5.0682154636656651E-2</v>
      </c>
      <c r="AU66" s="17">
        <f>'Q2 - IRTree'!AU57</f>
        <v>5.0682154636656651E-2</v>
      </c>
      <c r="AV66" s="17">
        <f>'Q2 - IRTree'!AV57</f>
        <v>5.0682154636656651E-2</v>
      </c>
      <c r="AW66" s="17">
        <f>'Q2 - IRTree'!AW57</f>
        <v>5.0682154636656651E-2</v>
      </c>
      <c r="AX66" s="17">
        <f>'Q2 - IRTree'!AX57</f>
        <v>5.0682154636656651E-2</v>
      </c>
      <c r="AY66" s="17">
        <f>'Q2 - IRTree'!AY57</f>
        <v>5.0682154636656651E-2</v>
      </c>
      <c r="AZ66" s="17">
        <f>'Q2 - IRTree'!AZ57</f>
        <v>5.0682154636656651E-2</v>
      </c>
      <c r="BA66" s="17">
        <f>'Q2 - IRTree'!BA57</f>
        <v>5.0682154636656651E-2</v>
      </c>
      <c r="BB66" s="17">
        <f>'Q2 - IRTree'!BB57</f>
        <v>5.0682154636656651E-2</v>
      </c>
      <c r="BC66" s="17">
        <f>'Q2 - IRTree'!BC57</f>
        <v>5.0682154636656651E-2</v>
      </c>
      <c r="BD66" s="17">
        <f>'Q2 - IRTree'!BD57</f>
        <v>5.0682154636656651E-2</v>
      </c>
      <c r="BE66" s="17">
        <f>'Q2 - IRTree'!BE57</f>
        <v>5.0682154636656651E-2</v>
      </c>
      <c r="BF66" s="17">
        <f>'Q2 - IRTree'!BF57</f>
        <v>5.0682154636656651E-2</v>
      </c>
      <c r="BG66" s="17">
        <f>'Q2 - IRTree'!BG57</f>
        <v>5.0682154636656651E-2</v>
      </c>
      <c r="BH66" s="17">
        <f>'Q2 - IRTree'!BH57</f>
        <v>5.0682154636656651E-2</v>
      </c>
      <c r="BI66" s="17">
        <f>'Q2 - IRTree'!BI57</f>
        <v>5.0682154636656651E-2</v>
      </c>
      <c r="BJ66" s="17" t="str">
        <f>'Q2 - IRTree'!BJ57</f>
        <v/>
      </c>
    </row>
    <row r="67" spans="1:62" outlineLevel="1">
      <c r="A67" s="11">
        <f t="shared" si="2"/>
        <v>44</v>
      </c>
      <c r="B67" s="17" t="str">
        <f>'Q2 - IRTree'!B58</f>
        <v/>
      </c>
      <c r="C67" s="17" t="str">
        <f>'Q2 - IRTree'!C58</f>
        <v/>
      </c>
      <c r="D67" s="17" t="str">
        <f>'Q2 - IRTree'!D58</f>
        <v/>
      </c>
      <c r="E67" s="17" t="str">
        <f>'Q2 - IRTree'!E58</f>
        <v/>
      </c>
      <c r="F67" s="17" t="str">
        <f>'Q2 - IRTree'!F58</f>
        <v/>
      </c>
      <c r="G67" s="17" t="str">
        <f>'Q2 - IRTree'!G58</f>
        <v/>
      </c>
      <c r="H67" s="17" t="str">
        <f>'Q2 - IRTree'!H58</f>
        <v/>
      </c>
      <c r="I67" s="17" t="str">
        <f>'Q2 - IRTree'!I58</f>
        <v/>
      </c>
      <c r="J67" s="17" t="str">
        <f>'Q2 - IRTree'!J58</f>
        <v/>
      </c>
      <c r="K67" s="17" t="str">
        <f>'Q2 - IRTree'!K58</f>
        <v/>
      </c>
      <c r="L67" s="17" t="str">
        <f>'Q2 - IRTree'!L58</f>
        <v/>
      </c>
      <c r="M67" s="17" t="str">
        <f>'Q2 - IRTree'!M58</f>
        <v/>
      </c>
      <c r="N67" s="17" t="str">
        <f>'Q2 - IRTree'!N58</f>
        <v/>
      </c>
      <c r="O67" s="17" t="str">
        <f>'Q2 - IRTree'!O58</f>
        <v/>
      </c>
      <c r="P67" s="17" t="str">
        <f>'Q2 - IRTree'!P58</f>
        <v/>
      </c>
      <c r="Q67" s="17" t="str">
        <f>'Q2 - IRTree'!Q58</f>
        <v/>
      </c>
      <c r="R67" s="17" t="str">
        <f>'Q2 - IRTree'!R58</f>
        <v/>
      </c>
      <c r="S67" s="17" t="str">
        <f>'Q2 - IRTree'!S58</f>
        <v/>
      </c>
      <c r="T67" s="17" t="str">
        <f>'Q2 - IRTree'!T58</f>
        <v/>
      </c>
      <c r="U67" s="17" t="str">
        <f>'Q2 - IRTree'!U58</f>
        <v/>
      </c>
      <c r="V67" s="17" t="str">
        <f>'Q2 - IRTree'!V58</f>
        <v/>
      </c>
      <c r="W67" s="17" t="str">
        <f>'Q2 - IRTree'!W58</f>
        <v/>
      </c>
      <c r="X67" s="17" t="str">
        <f>'Q2 - IRTree'!X58</f>
        <v/>
      </c>
      <c r="Y67" s="17" t="str">
        <f>'Q2 - IRTree'!Y58</f>
        <v/>
      </c>
      <c r="Z67" s="17" t="str">
        <f>'Q2 - IRTree'!Z58</f>
        <v/>
      </c>
      <c r="AA67" s="17" t="str">
        <f>'Q2 - IRTree'!AA58</f>
        <v/>
      </c>
      <c r="AB67" s="17" t="str">
        <f>'Q2 - IRTree'!AB58</f>
        <v/>
      </c>
      <c r="AC67" s="17" t="str">
        <f>'Q2 - IRTree'!AC58</f>
        <v/>
      </c>
      <c r="AD67" s="17" t="str">
        <f>'Q2 - IRTree'!AD58</f>
        <v/>
      </c>
      <c r="AE67" s="17" t="str">
        <f>'Q2 - IRTree'!AE58</f>
        <v/>
      </c>
      <c r="AF67" s="17" t="str">
        <f>'Q2 - IRTree'!AF58</f>
        <v/>
      </c>
      <c r="AG67" s="17" t="str">
        <f>'Q2 - IRTree'!AG58</f>
        <v/>
      </c>
      <c r="AH67" s="17" t="str">
        <f>'Q2 - IRTree'!AH58</f>
        <v/>
      </c>
      <c r="AI67" s="17" t="str">
        <f>'Q2 - IRTree'!AI58</f>
        <v/>
      </c>
      <c r="AJ67" s="17" t="str">
        <f>'Q2 - IRTree'!AJ58</f>
        <v/>
      </c>
      <c r="AK67" s="17" t="str">
        <f>'Q2 - IRTree'!AK58</f>
        <v/>
      </c>
      <c r="AL67" s="17" t="str">
        <f>'Q2 - IRTree'!AL58</f>
        <v/>
      </c>
      <c r="AM67" s="17" t="str">
        <f>'Q2 - IRTree'!AM58</f>
        <v/>
      </c>
      <c r="AN67" s="17" t="str">
        <f>'Q2 - IRTree'!AN58</f>
        <v/>
      </c>
      <c r="AO67" s="17" t="str">
        <f>'Q2 - IRTree'!AO58</f>
        <v/>
      </c>
      <c r="AP67" s="17" t="str">
        <f>'Q2 - IRTree'!AP58</f>
        <v/>
      </c>
      <c r="AQ67" s="17" t="str">
        <f>'Q2 - IRTree'!AQ58</f>
        <v/>
      </c>
      <c r="AR67" s="17" t="str">
        <f>'Q2 - IRTree'!AR58</f>
        <v/>
      </c>
      <c r="AS67" s="17" t="str">
        <f>'Q2 - IRTree'!AS58</f>
        <v/>
      </c>
      <c r="AT67" s="17">
        <f>'Q2 - IRTree'!AT58</f>
        <v>5.0682154636656651E-2</v>
      </c>
      <c r="AU67" s="17">
        <f>'Q2 - IRTree'!AU58</f>
        <v>5.0682154636656651E-2</v>
      </c>
      <c r="AV67" s="17">
        <f>'Q2 - IRTree'!AV58</f>
        <v>5.0682154636656651E-2</v>
      </c>
      <c r="AW67" s="17">
        <f>'Q2 - IRTree'!AW58</f>
        <v>5.0682154636656651E-2</v>
      </c>
      <c r="AX67" s="17">
        <f>'Q2 - IRTree'!AX58</f>
        <v>5.0682154636656651E-2</v>
      </c>
      <c r="AY67" s="17">
        <f>'Q2 - IRTree'!AY58</f>
        <v>5.0682154636656651E-2</v>
      </c>
      <c r="AZ67" s="17">
        <f>'Q2 - IRTree'!AZ58</f>
        <v>5.0682154636656651E-2</v>
      </c>
      <c r="BA67" s="17">
        <f>'Q2 - IRTree'!BA58</f>
        <v>5.0682154636656651E-2</v>
      </c>
      <c r="BB67" s="17">
        <f>'Q2 - IRTree'!BB58</f>
        <v>5.0682154636656651E-2</v>
      </c>
      <c r="BC67" s="17">
        <f>'Q2 - IRTree'!BC58</f>
        <v>5.0682154636656651E-2</v>
      </c>
      <c r="BD67" s="17">
        <f>'Q2 - IRTree'!BD58</f>
        <v>5.0682154636656651E-2</v>
      </c>
      <c r="BE67" s="17">
        <f>'Q2 - IRTree'!BE58</f>
        <v>5.0682154636656651E-2</v>
      </c>
      <c r="BF67" s="17">
        <f>'Q2 - IRTree'!BF58</f>
        <v>5.0682154636656651E-2</v>
      </c>
      <c r="BG67" s="17">
        <f>'Q2 - IRTree'!BG58</f>
        <v>5.0682154636656651E-2</v>
      </c>
      <c r="BH67" s="17">
        <f>'Q2 - IRTree'!BH58</f>
        <v>5.0682154636656651E-2</v>
      </c>
      <c r="BI67" s="17">
        <f>'Q2 - IRTree'!BI58</f>
        <v>5.0682154636656651E-2</v>
      </c>
      <c r="BJ67" s="17" t="str">
        <f>'Q2 - IRTree'!BJ58</f>
        <v/>
      </c>
    </row>
    <row r="68" spans="1:62" outlineLevel="1">
      <c r="A68" s="11">
        <f t="shared" si="2"/>
        <v>45</v>
      </c>
      <c r="B68" s="17" t="str">
        <f>'Q2 - IRTree'!B59</f>
        <v/>
      </c>
      <c r="C68" s="17" t="str">
        <f>'Q2 - IRTree'!C59</f>
        <v/>
      </c>
      <c r="D68" s="17" t="str">
        <f>'Q2 - IRTree'!D59</f>
        <v/>
      </c>
      <c r="E68" s="17" t="str">
        <f>'Q2 - IRTree'!E59</f>
        <v/>
      </c>
      <c r="F68" s="17" t="str">
        <f>'Q2 - IRTree'!F59</f>
        <v/>
      </c>
      <c r="G68" s="17" t="str">
        <f>'Q2 - IRTree'!G59</f>
        <v/>
      </c>
      <c r="H68" s="17" t="str">
        <f>'Q2 - IRTree'!H59</f>
        <v/>
      </c>
      <c r="I68" s="17" t="str">
        <f>'Q2 - IRTree'!I59</f>
        <v/>
      </c>
      <c r="J68" s="17" t="str">
        <f>'Q2 - IRTree'!J59</f>
        <v/>
      </c>
      <c r="K68" s="17" t="str">
        <f>'Q2 - IRTree'!K59</f>
        <v/>
      </c>
      <c r="L68" s="17" t="str">
        <f>'Q2 - IRTree'!L59</f>
        <v/>
      </c>
      <c r="M68" s="17" t="str">
        <f>'Q2 - IRTree'!M59</f>
        <v/>
      </c>
      <c r="N68" s="17" t="str">
        <f>'Q2 - IRTree'!N59</f>
        <v/>
      </c>
      <c r="O68" s="17" t="str">
        <f>'Q2 - IRTree'!O59</f>
        <v/>
      </c>
      <c r="P68" s="17" t="str">
        <f>'Q2 - IRTree'!P59</f>
        <v/>
      </c>
      <c r="Q68" s="17" t="str">
        <f>'Q2 - IRTree'!Q59</f>
        <v/>
      </c>
      <c r="R68" s="17" t="str">
        <f>'Q2 - IRTree'!R59</f>
        <v/>
      </c>
      <c r="S68" s="17" t="str">
        <f>'Q2 - IRTree'!S59</f>
        <v/>
      </c>
      <c r="T68" s="17" t="str">
        <f>'Q2 - IRTree'!T59</f>
        <v/>
      </c>
      <c r="U68" s="17" t="str">
        <f>'Q2 - IRTree'!U59</f>
        <v/>
      </c>
      <c r="V68" s="17" t="str">
        <f>'Q2 - IRTree'!V59</f>
        <v/>
      </c>
      <c r="W68" s="17" t="str">
        <f>'Q2 - IRTree'!W59</f>
        <v/>
      </c>
      <c r="X68" s="17" t="str">
        <f>'Q2 - IRTree'!X59</f>
        <v/>
      </c>
      <c r="Y68" s="17" t="str">
        <f>'Q2 - IRTree'!Y59</f>
        <v/>
      </c>
      <c r="Z68" s="17" t="str">
        <f>'Q2 - IRTree'!Z59</f>
        <v/>
      </c>
      <c r="AA68" s="17" t="str">
        <f>'Q2 - IRTree'!AA59</f>
        <v/>
      </c>
      <c r="AB68" s="17" t="str">
        <f>'Q2 - IRTree'!AB59</f>
        <v/>
      </c>
      <c r="AC68" s="17" t="str">
        <f>'Q2 - IRTree'!AC59</f>
        <v/>
      </c>
      <c r="AD68" s="17" t="str">
        <f>'Q2 - IRTree'!AD59</f>
        <v/>
      </c>
      <c r="AE68" s="17" t="str">
        <f>'Q2 - IRTree'!AE59</f>
        <v/>
      </c>
      <c r="AF68" s="17" t="str">
        <f>'Q2 - IRTree'!AF59</f>
        <v/>
      </c>
      <c r="AG68" s="17" t="str">
        <f>'Q2 - IRTree'!AG59</f>
        <v/>
      </c>
      <c r="AH68" s="17" t="str">
        <f>'Q2 - IRTree'!AH59</f>
        <v/>
      </c>
      <c r="AI68" s="17" t="str">
        <f>'Q2 - IRTree'!AI59</f>
        <v/>
      </c>
      <c r="AJ68" s="17" t="str">
        <f>'Q2 - IRTree'!AJ59</f>
        <v/>
      </c>
      <c r="AK68" s="17" t="str">
        <f>'Q2 - IRTree'!AK59</f>
        <v/>
      </c>
      <c r="AL68" s="17" t="str">
        <f>'Q2 - IRTree'!AL59</f>
        <v/>
      </c>
      <c r="AM68" s="17" t="str">
        <f>'Q2 - IRTree'!AM59</f>
        <v/>
      </c>
      <c r="AN68" s="17" t="str">
        <f>'Q2 - IRTree'!AN59</f>
        <v/>
      </c>
      <c r="AO68" s="17" t="str">
        <f>'Q2 - IRTree'!AO59</f>
        <v/>
      </c>
      <c r="AP68" s="17" t="str">
        <f>'Q2 - IRTree'!AP59</f>
        <v/>
      </c>
      <c r="AQ68" s="17" t="str">
        <f>'Q2 - IRTree'!AQ59</f>
        <v/>
      </c>
      <c r="AR68" s="17" t="str">
        <f>'Q2 - IRTree'!AR59</f>
        <v/>
      </c>
      <c r="AS68" s="17" t="str">
        <f>'Q2 - IRTree'!AS59</f>
        <v/>
      </c>
      <c r="AT68" s="17" t="str">
        <f>'Q2 - IRTree'!AT59</f>
        <v/>
      </c>
      <c r="AU68" s="17">
        <f>'Q2 - IRTree'!AU59</f>
        <v>5.0682154636656651E-2</v>
      </c>
      <c r="AV68" s="17">
        <f>'Q2 - IRTree'!AV59</f>
        <v>5.0682154636656651E-2</v>
      </c>
      <c r="AW68" s="17">
        <f>'Q2 - IRTree'!AW59</f>
        <v>5.0682154636656651E-2</v>
      </c>
      <c r="AX68" s="17">
        <f>'Q2 - IRTree'!AX59</f>
        <v>5.0682154636656651E-2</v>
      </c>
      <c r="AY68" s="17">
        <f>'Q2 - IRTree'!AY59</f>
        <v>5.0682154636656651E-2</v>
      </c>
      <c r="AZ68" s="17">
        <f>'Q2 - IRTree'!AZ59</f>
        <v>5.0682154636656651E-2</v>
      </c>
      <c r="BA68" s="17">
        <f>'Q2 - IRTree'!BA59</f>
        <v>5.0682154636656651E-2</v>
      </c>
      <c r="BB68" s="17">
        <f>'Q2 - IRTree'!BB59</f>
        <v>5.0682154636656651E-2</v>
      </c>
      <c r="BC68" s="17">
        <f>'Q2 - IRTree'!BC59</f>
        <v>5.0682154636656651E-2</v>
      </c>
      <c r="BD68" s="17">
        <f>'Q2 - IRTree'!BD59</f>
        <v>5.0682154636656651E-2</v>
      </c>
      <c r="BE68" s="17">
        <f>'Q2 - IRTree'!BE59</f>
        <v>5.0682154636656651E-2</v>
      </c>
      <c r="BF68" s="17">
        <f>'Q2 - IRTree'!BF59</f>
        <v>5.0682154636656651E-2</v>
      </c>
      <c r="BG68" s="17">
        <f>'Q2 - IRTree'!BG59</f>
        <v>5.0682154636656651E-2</v>
      </c>
      <c r="BH68" s="17">
        <f>'Q2 - IRTree'!BH59</f>
        <v>5.0682154636656651E-2</v>
      </c>
      <c r="BI68" s="17">
        <f>'Q2 - IRTree'!BI59</f>
        <v>5.0682154636656651E-2</v>
      </c>
      <c r="BJ68" s="17" t="str">
        <f>'Q2 - IRTree'!BJ59</f>
        <v/>
      </c>
    </row>
    <row r="69" spans="1:62" outlineLevel="1">
      <c r="A69" s="11">
        <f t="shared" si="2"/>
        <v>46</v>
      </c>
      <c r="B69" s="17" t="str">
        <f>'Q2 - IRTree'!B60</f>
        <v/>
      </c>
      <c r="C69" s="17" t="str">
        <f>'Q2 - IRTree'!C60</f>
        <v/>
      </c>
      <c r="D69" s="17" t="str">
        <f>'Q2 - IRTree'!D60</f>
        <v/>
      </c>
      <c r="E69" s="17" t="str">
        <f>'Q2 - IRTree'!E60</f>
        <v/>
      </c>
      <c r="F69" s="17" t="str">
        <f>'Q2 - IRTree'!F60</f>
        <v/>
      </c>
      <c r="G69" s="17" t="str">
        <f>'Q2 - IRTree'!G60</f>
        <v/>
      </c>
      <c r="H69" s="17" t="str">
        <f>'Q2 - IRTree'!H60</f>
        <v/>
      </c>
      <c r="I69" s="17" t="str">
        <f>'Q2 - IRTree'!I60</f>
        <v/>
      </c>
      <c r="J69" s="17" t="str">
        <f>'Q2 - IRTree'!J60</f>
        <v/>
      </c>
      <c r="K69" s="17" t="str">
        <f>'Q2 - IRTree'!K60</f>
        <v/>
      </c>
      <c r="L69" s="17" t="str">
        <f>'Q2 - IRTree'!L60</f>
        <v/>
      </c>
      <c r="M69" s="17" t="str">
        <f>'Q2 - IRTree'!M60</f>
        <v/>
      </c>
      <c r="N69" s="17" t="str">
        <f>'Q2 - IRTree'!N60</f>
        <v/>
      </c>
      <c r="O69" s="17" t="str">
        <f>'Q2 - IRTree'!O60</f>
        <v/>
      </c>
      <c r="P69" s="17" t="str">
        <f>'Q2 - IRTree'!P60</f>
        <v/>
      </c>
      <c r="Q69" s="17" t="str">
        <f>'Q2 - IRTree'!Q60</f>
        <v/>
      </c>
      <c r="R69" s="17" t="str">
        <f>'Q2 - IRTree'!R60</f>
        <v/>
      </c>
      <c r="S69" s="17" t="str">
        <f>'Q2 - IRTree'!S60</f>
        <v/>
      </c>
      <c r="T69" s="17" t="str">
        <f>'Q2 - IRTree'!T60</f>
        <v/>
      </c>
      <c r="U69" s="17" t="str">
        <f>'Q2 - IRTree'!U60</f>
        <v/>
      </c>
      <c r="V69" s="17" t="str">
        <f>'Q2 - IRTree'!V60</f>
        <v/>
      </c>
      <c r="W69" s="17" t="str">
        <f>'Q2 - IRTree'!W60</f>
        <v/>
      </c>
      <c r="X69" s="17" t="str">
        <f>'Q2 - IRTree'!X60</f>
        <v/>
      </c>
      <c r="Y69" s="17" t="str">
        <f>'Q2 - IRTree'!Y60</f>
        <v/>
      </c>
      <c r="Z69" s="17" t="str">
        <f>'Q2 - IRTree'!Z60</f>
        <v/>
      </c>
      <c r="AA69" s="17" t="str">
        <f>'Q2 - IRTree'!AA60</f>
        <v/>
      </c>
      <c r="AB69" s="17" t="str">
        <f>'Q2 - IRTree'!AB60</f>
        <v/>
      </c>
      <c r="AC69" s="17" t="str">
        <f>'Q2 - IRTree'!AC60</f>
        <v/>
      </c>
      <c r="AD69" s="17" t="str">
        <f>'Q2 - IRTree'!AD60</f>
        <v/>
      </c>
      <c r="AE69" s="17" t="str">
        <f>'Q2 - IRTree'!AE60</f>
        <v/>
      </c>
      <c r="AF69" s="17" t="str">
        <f>'Q2 - IRTree'!AF60</f>
        <v/>
      </c>
      <c r="AG69" s="17" t="str">
        <f>'Q2 - IRTree'!AG60</f>
        <v/>
      </c>
      <c r="AH69" s="17" t="str">
        <f>'Q2 - IRTree'!AH60</f>
        <v/>
      </c>
      <c r="AI69" s="17" t="str">
        <f>'Q2 - IRTree'!AI60</f>
        <v/>
      </c>
      <c r="AJ69" s="17" t="str">
        <f>'Q2 - IRTree'!AJ60</f>
        <v/>
      </c>
      <c r="AK69" s="17" t="str">
        <f>'Q2 - IRTree'!AK60</f>
        <v/>
      </c>
      <c r="AL69" s="17" t="str">
        <f>'Q2 - IRTree'!AL60</f>
        <v/>
      </c>
      <c r="AM69" s="17" t="str">
        <f>'Q2 - IRTree'!AM60</f>
        <v/>
      </c>
      <c r="AN69" s="17" t="str">
        <f>'Q2 - IRTree'!AN60</f>
        <v/>
      </c>
      <c r="AO69" s="17" t="str">
        <f>'Q2 - IRTree'!AO60</f>
        <v/>
      </c>
      <c r="AP69" s="17" t="str">
        <f>'Q2 - IRTree'!AP60</f>
        <v/>
      </c>
      <c r="AQ69" s="17" t="str">
        <f>'Q2 - IRTree'!AQ60</f>
        <v/>
      </c>
      <c r="AR69" s="17" t="str">
        <f>'Q2 - IRTree'!AR60</f>
        <v/>
      </c>
      <c r="AS69" s="17" t="str">
        <f>'Q2 - IRTree'!AS60</f>
        <v/>
      </c>
      <c r="AT69" s="17" t="str">
        <f>'Q2 - IRTree'!AT60</f>
        <v/>
      </c>
      <c r="AU69" s="17" t="str">
        <f>'Q2 - IRTree'!AU60</f>
        <v/>
      </c>
      <c r="AV69" s="17">
        <f>'Q2 - IRTree'!AV60</f>
        <v>5.0682154636656651E-2</v>
      </c>
      <c r="AW69" s="17">
        <f>'Q2 - IRTree'!AW60</f>
        <v>5.0682154636656651E-2</v>
      </c>
      <c r="AX69" s="17">
        <f>'Q2 - IRTree'!AX60</f>
        <v>5.0682154636656651E-2</v>
      </c>
      <c r="AY69" s="17">
        <f>'Q2 - IRTree'!AY60</f>
        <v>5.0682154636656651E-2</v>
      </c>
      <c r="AZ69" s="17">
        <f>'Q2 - IRTree'!AZ60</f>
        <v>5.0682154636656651E-2</v>
      </c>
      <c r="BA69" s="17">
        <f>'Q2 - IRTree'!BA60</f>
        <v>5.0682154636656651E-2</v>
      </c>
      <c r="BB69" s="17">
        <f>'Q2 - IRTree'!BB60</f>
        <v>5.0682154636656651E-2</v>
      </c>
      <c r="BC69" s="17">
        <f>'Q2 - IRTree'!BC60</f>
        <v>5.0682154636656651E-2</v>
      </c>
      <c r="BD69" s="17">
        <f>'Q2 - IRTree'!BD60</f>
        <v>5.0682154636656651E-2</v>
      </c>
      <c r="BE69" s="17">
        <f>'Q2 - IRTree'!BE60</f>
        <v>5.0682154636656651E-2</v>
      </c>
      <c r="BF69" s="17">
        <f>'Q2 - IRTree'!BF60</f>
        <v>5.0682154636656651E-2</v>
      </c>
      <c r="BG69" s="17">
        <f>'Q2 - IRTree'!BG60</f>
        <v>5.0682154636656651E-2</v>
      </c>
      <c r="BH69" s="17">
        <f>'Q2 - IRTree'!BH60</f>
        <v>5.0682154636656651E-2</v>
      </c>
      <c r="BI69" s="17">
        <f>'Q2 - IRTree'!BI60</f>
        <v>5.0682154636656651E-2</v>
      </c>
      <c r="BJ69" s="17" t="str">
        <f>'Q2 - IRTree'!BJ60</f>
        <v/>
      </c>
    </row>
    <row r="70" spans="1:62" outlineLevel="1">
      <c r="A70" s="11">
        <f t="shared" si="2"/>
        <v>47</v>
      </c>
      <c r="B70" s="17" t="str">
        <f>'Q2 - IRTree'!B61</f>
        <v/>
      </c>
      <c r="C70" s="17" t="str">
        <f>'Q2 - IRTree'!C61</f>
        <v/>
      </c>
      <c r="D70" s="17" t="str">
        <f>'Q2 - IRTree'!D61</f>
        <v/>
      </c>
      <c r="E70" s="17" t="str">
        <f>'Q2 - IRTree'!E61</f>
        <v/>
      </c>
      <c r="F70" s="17" t="str">
        <f>'Q2 - IRTree'!F61</f>
        <v/>
      </c>
      <c r="G70" s="17" t="str">
        <f>'Q2 - IRTree'!G61</f>
        <v/>
      </c>
      <c r="H70" s="17" t="str">
        <f>'Q2 - IRTree'!H61</f>
        <v/>
      </c>
      <c r="I70" s="17" t="str">
        <f>'Q2 - IRTree'!I61</f>
        <v/>
      </c>
      <c r="J70" s="17" t="str">
        <f>'Q2 - IRTree'!J61</f>
        <v/>
      </c>
      <c r="K70" s="17" t="str">
        <f>'Q2 - IRTree'!K61</f>
        <v/>
      </c>
      <c r="L70" s="17" t="str">
        <f>'Q2 - IRTree'!L61</f>
        <v/>
      </c>
      <c r="M70" s="17" t="str">
        <f>'Q2 - IRTree'!M61</f>
        <v/>
      </c>
      <c r="N70" s="17" t="str">
        <f>'Q2 - IRTree'!N61</f>
        <v/>
      </c>
      <c r="O70" s="17" t="str">
        <f>'Q2 - IRTree'!O61</f>
        <v/>
      </c>
      <c r="P70" s="17" t="str">
        <f>'Q2 - IRTree'!P61</f>
        <v/>
      </c>
      <c r="Q70" s="17" t="str">
        <f>'Q2 - IRTree'!Q61</f>
        <v/>
      </c>
      <c r="R70" s="17" t="str">
        <f>'Q2 - IRTree'!R61</f>
        <v/>
      </c>
      <c r="S70" s="17" t="str">
        <f>'Q2 - IRTree'!S61</f>
        <v/>
      </c>
      <c r="T70" s="17" t="str">
        <f>'Q2 - IRTree'!T61</f>
        <v/>
      </c>
      <c r="U70" s="17" t="str">
        <f>'Q2 - IRTree'!U61</f>
        <v/>
      </c>
      <c r="V70" s="17" t="str">
        <f>'Q2 - IRTree'!V61</f>
        <v/>
      </c>
      <c r="W70" s="17" t="str">
        <f>'Q2 - IRTree'!W61</f>
        <v/>
      </c>
      <c r="X70" s="17" t="str">
        <f>'Q2 - IRTree'!X61</f>
        <v/>
      </c>
      <c r="Y70" s="17" t="str">
        <f>'Q2 - IRTree'!Y61</f>
        <v/>
      </c>
      <c r="Z70" s="17" t="str">
        <f>'Q2 - IRTree'!Z61</f>
        <v/>
      </c>
      <c r="AA70" s="17" t="str">
        <f>'Q2 - IRTree'!AA61</f>
        <v/>
      </c>
      <c r="AB70" s="17" t="str">
        <f>'Q2 - IRTree'!AB61</f>
        <v/>
      </c>
      <c r="AC70" s="17" t="str">
        <f>'Q2 - IRTree'!AC61</f>
        <v/>
      </c>
      <c r="AD70" s="17" t="str">
        <f>'Q2 - IRTree'!AD61</f>
        <v/>
      </c>
      <c r="AE70" s="17" t="str">
        <f>'Q2 - IRTree'!AE61</f>
        <v/>
      </c>
      <c r="AF70" s="17" t="str">
        <f>'Q2 - IRTree'!AF61</f>
        <v/>
      </c>
      <c r="AG70" s="17" t="str">
        <f>'Q2 - IRTree'!AG61</f>
        <v/>
      </c>
      <c r="AH70" s="17" t="str">
        <f>'Q2 - IRTree'!AH61</f>
        <v/>
      </c>
      <c r="AI70" s="17" t="str">
        <f>'Q2 - IRTree'!AI61</f>
        <v/>
      </c>
      <c r="AJ70" s="17" t="str">
        <f>'Q2 - IRTree'!AJ61</f>
        <v/>
      </c>
      <c r="AK70" s="17" t="str">
        <f>'Q2 - IRTree'!AK61</f>
        <v/>
      </c>
      <c r="AL70" s="17" t="str">
        <f>'Q2 - IRTree'!AL61</f>
        <v/>
      </c>
      <c r="AM70" s="17" t="str">
        <f>'Q2 - IRTree'!AM61</f>
        <v/>
      </c>
      <c r="AN70" s="17" t="str">
        <f>'Q2 - IRTree'!AN61</f>
        <v/>
      </c>
      <c r="AO70" s="17" t="str">
        <f>'Q2 - IRTree'!AO61</f>
        <v/>
      </c>
      <c r="AP70" s="17" t="str">
        <f>'Q2 - IRTree'!AP61</f>
        <v/>
      </c>
      <c r="AQ70" s="17" t="str">
        <f>'Q2 - IRTree'!AQ61</f>
        <v/>
      </c>
      <c r="AR70" s="17" t="str">
        <f>'Q2 - IRTree'!AR61</f>
        <v/>
      </c>
      <c r="AS70" s="17" t="str">
        <f>'Q2 - IRTree'!AS61</f>
        <v/>
      </c>
      <c r="AT70" s="17" t="str">
        <f>'Q2 - IRTree'!AT61</f>
        <v/>
      </c>
      <c r="AU70" s="17" t="str">
        <f>'Q2 - IRTree'!AU61</f>
        <v/>
      </c>
      <c r="AV70" s="17" t="str">
        <f>'Q2 - IRTree'!AV61</f>
        <v/>
      </c>
      <c r="AW70" s="17">
        <f>'Q2 - IRTree'!AW61</f>
        <v>5.0682154636656651E-2</v>
      </c>
      <c r="AX70" s="17">
        <f>'Q2 - IRTree'!AX61</f>
        <v>5.0682154636656651E-2</v>
      </c>
      <c r="AY70" s="17">
        <f>'Q2 - IRTree'!AY61</f>
        <v>5.0682154636656651E-2</v>
      </c>
      <c r="AZ70" s="17">
        <f>'Q2 - IRTree'!AZ61</f>
        <v>5.0682154636656651E-2</v>
      </c>
      <c r="BA70" s="17">
        <f>'Q2 - IRTree'!BA61</f>
        <v>5.0682154636656651E-2</v>
      </c>
      <c r="BB70" s="17">
        <f>'Q2 - IRTree'!BB61</f>
        <v>5.0682154636656651E-2</v>
      </c>
      <c r="BC70" s="17">
        <f>'Q2 - IRTree'!BC61</f>
        <v>5.0682154636656651E-2</v>
      </c>
      <c r="BD70" s="17">
        <f>'Q2 - IRTree'!BD61</f>
        <v>5.0682154636656651E-2</v>
      </c>
      <c r="BE70" s="17">
        <f>'Q2 - IRTree'!BE61</f>
        <v>5.0682154636656651E-2</v>
      </c>
      <c r="BF70" s="17">
        <f>'Q2 - IRTree'!BF61</f>
        <v>5.0682154636656651E-2</v>
      </c>
      <c r="BG70" s="17">
        <f>'Q2 - IRTree'!BG61</f>
        <v>5.0682154636656651E-2</v>
      </c>
      <c r="BH70" s="17">
        <f>'Q2 - IRTree'!BH61</f>
        <v>5.0682154636656651E-2</v>
      </c>
      <c r="BI70" s="17">
        <f>'Q2 - IRTree'!BI61</f>
        <v>5.0682154636656651E-2</v>
      </c>
      <c r="BJ70" s="17" t="str">
        <f>'Q2 - IRTree'!BJ61</f>
        <v/>
      </c>
    </row>
    <row r="71" spans="1:62" outlineLevel="1">
      <c r="A71" s="11">
        <f t="shared" si="2"/>
        <v>48</v>
      </c>
      <c r="B71" s="17" t="str">
        <f>'Q2 - IRTree'!B62</f>
        <v/>
      </c>
      <c r="C71" s="17" t="str">
        <f>'Q2 - IRTree'!C62</f>
        <v/>
      </c>
      <c r="D71" s="17" t="str">
        <f>'Q2 - IRTree'!D62</f>
        <v/>
      </c>
      <c r="E71" s="17" t="str">
        <f>'Q2 - IRTree'!E62</f>
        <v/>
      </c>
      <c r="F71" s="17" t="str">
        <f>'Q2 - IRTree'!F62</f>
        <v/>
      </c>
      <c r="G71" s="17" t="str">
        <f>'Q2 - IRTree'!G62</f>
        <v/>
      </c>
      <c r="H71" s="17" t="str">
        <f>'Q2 - IRTree'!H62</f>
        <v/>
      </c>
      <c r="I71" s="17" t="str">
        <f>'Q2 - IRTree'!I62</f>
        <v/>
      </c>
      <c r="J71" s="17" t="str">
        <f>'Q2 - IRTree'!J62</f>
        <v/>
      </c>
      <c r="K71" s="17" t="str">
        <f>'Q2 - IRTree'!K62</f>
        <v/>
      </c>
      <c r="L71" s="17" t="str">
        <f>'Q2 - IRTree'!L62</f>
        <v/>
      </c>
      <c r="M71" s="17" t="str">
        <f>'Q2 - IRTree'!M62</f>
        <v/>
      </c>
      <c r="N71" s="17" t="str">
        <f>'Q2 - IRTree'!N62</f>
        <v/>
      </c>
      <c r="O71" s="17" t="str">
        <f>'Q2 - IRTree'!O62</f>
        <v/>
      </c>
      <c r="P71" s="17" t="str">
        <f>'Q2 - IRTree'!P62</f>
        <v/>
      </c>
      <c r="Q71" s="17" t="str">
        <f>'Q2 - IRTree'!Q62</f>
        <v/>
      </c>
      <c r="R71" s="17" t="str">
        <f>'Q2 - IRTree'!R62</f>
        <v/>
      </c>
      <c r="S71" s="17" t="str">
        <f>'Q2 - IRTree'!S62</f>
        <v/>
      </c>
      <c r="T71" s="17" t="str">
        <f>'Q2 - IRTree'!T62</f>
        <v/>
      </c>
      <c r="U71" s="17" t="str">
        <f>'Q2 - IRTree'!U62</f>
        <v/>
      </c>
      <c r="V71" s="17" t="str">
        <f>'Q2 - IRTree'!V62</f>
        <v/>
      </c>
      <c r="W71" s="17" t="str">
        <f>'Q2 - IRTree'!W62</f>
        <v/>
      </c>
      <c r="X71" s="17" t="str">
        <f>'Q2 - IRTree'!X62</f>
        <v/>
      </c>
      <c r="Y71" s="17" t="str">
        <f>'Q2 - IRTree'!Y62</f>
        <v/>
      </c>
      <c r="Z71" s="17" t="str">
        <f>'Q2 - IRTree'!Z62</f>
        <v/>
      </c>
      <c r="AA71" s="17" t="str">
        <f>'Q2 - IRTree'!AA62</f>
        <v/>
      </c>
      <c r="AB71" s="17" t="str">
        <f>'Q2 - IRTree'!AB62</f>
        <v/>
      </c>
      <c r="AC71" s="17" t="str">
        <f>'Q2 - IRTree'!AC62</f>
        <v/>
      </c>
      <c r="AD71" s="17" t="str">
        <f>'Q2 - IRTree'!AD62</f>
        <v/>
      </c>
      <c r="AE71" s="17" t="str">
        <f>'Q2 - IRTree'!AE62</f>
        <v/>
      </c>
      <c r="AF71" s="17" t="str">
        <f>'Q2 - IRTree'!AF62</f>
        <v/>
      </c>
      <c r="AG71" s="17" t="str">
        <f>'Q2 - IRTree'!AG62</f>
        <v/>
      </c>
      <c r="AH71" s="17" t="str">
        <f>'Q2 - IRTree'!AH62</f>
        <v/>
      </c>
      <c r="AI71" s="17" t="str">
        <f>'Q2 - IRTree'!AI62</f>
        <v/>
      </c>
      <c r="AJ71" s="17" t="str">
        <f>'Q2 - IRTree'!AJ62</f>
        <v/>
      </c>
      <c r="AK71" s="17" t="str">
        <f>'Q2 - IRTree'!AK62</f>
        <v/>
      </c>
      <c r="AL71" s="17" t="str">
        <f>'Q2 - IRTree'!AL62</f>
        <v/>
      </c>
      <c r="AM71" s="17" t="str">
        <f>'Q2 - IRTree'!AM62</f>
        <v/>
      </c>
      <c r="AN71" s="17" t="str">
        <f>'Q2 - IRTree'!AN62</f>
        <v/>
      </c>
      <c r="AO71" s="17" t="str">
        <f>'Q2 - IRTree'!AO62</f>
        <v/>
      </c>
      <c r="AP71" s="17" t="str">
        <f>'Q2 - IRTree'!AP62</f>
        <v/>
      </c>
      <c r="AQ71" s="17" t="str">
        <f>'Q2 - IRTree'!AQ62</f>
        <v/>
      </c>
      <c r="AR71" s="17" t="str">
        <f>'Q2 - IRTree'!AR62</f>
        <v/>
      </c>
      <c r="AS71" s="17" t="str">
        <f>'Q2 - IRTree'!AS62</f>
        <v/>
      </c>
      <c r="AT71" s="17" t="str">
        <f>'Q2 - IRTree'!AT62</f>
        <v/>
      </c>
      <c r="AU71" s="17" t="str">
        <f>'Q2 - IRTree'!AU62</f>
        <v/>
      </c>
      <c r="AV71" s="17" t="str">
        <f>'Q2 - IRTree'!AV62</f>
        <v/>
      </c>
      <c r="AW71" s="17" t="str">
        <f>'Q2 - IRTree'!AW62</f>
        <v/>
      </c>
      <c r="AX71" s="17">
        <f>'Q2 - IRTree'!AX62</f>
        <v>5.0682154636656651E-2</v>
      </c>
      <c r="AY71" s="17">
        <f>'Q2 - IRTree'!AY62</f>
        <v>5.0682154636656651E-2</v>
      </c>
      <c r="AZ71" s="17">
        <f>'Q2 - IRTree'!AZ62</f>
        <v>5.0682154636656651E-2</v>
      </c>
      <c r="BA71" s="17">
        <f>'Q2 - IRTree'!BA62</f>
        <v>5.0682154636656651E-2</v>
      </c>
      <c r="BB71" s="17">
        <f>'Q2 - IRTree'!BB62</f>
        <v>5.0682154636656651E-2</v>
      </c>
      <c r="BC71" s="17">
        <f>'Q2 - IRTree'!BC62</f>
        <v>5.0682154636656651E-2</v>
      </c>
      <c r="BD71" s="17">
        <f>'Q2 - IRTree'!BD62</f>
        <v>5.0682154636656651E-2</v>
      </c>
      <c r="BE71" s="17">
        <f>'Q2 - IRTree'!BE62</f>
        <v>5.0682154636656651E-2</v>
      </c>
      <c r="BF71" s="17">
        <f>'Q2 - IRTree'!BF62</f>
        <v>5.0682154636656651E-2</v>
      </c>
      <c r="BG71" s="17">
        <f>'Q2 - IRTree'!BG62</f>
        <v>5.0682154636656651E-2</v>
      </c>
      <c r="BH71" s="17">
        <f>'Q2 - IRTree'!BH62</f>
        <v>5.0682154636656651E-2</v>
      </c>
      <c r="BI71" s="17">
        <f>'Q2 - IRTree'!BI62</f>
        <v>5.0682154636656651E-2</v>
      </c>
      <c r="BJ71" s="17" t="str">
        <f>'Q2 - IRTree'!BJ62</f>
        <v/>
      </c>
    </row>
    <row r="72" spans="1:62" outlineLevel="1">
      <c r="A72" s="11">
        <f t="shared" si="2"/>
        <v>49</v>
      </c>
      <c r="B72" s="17" t="str">
        <f>'Q2 - IRTree'!B63</f>
        <v/>
      </c>
      <c r="C72" s="17" t="str">
        <f>'Q2 - IRTree'!C63</f>
        <v/>
      </c>
      <c r="D72" s="17" t="str">
        <f>'Q2 - IRTree'!D63</f>
        <v/>
      </c>
      <c r="E72" s="17" t="str">
        <f>'Q2 - IRTree'!E63</f>
        <v/>
      </c>
      <c r="F72" s="17" t="str">
        <f>'Q2 - IRTree'!F63</f>
        <v/>
      </c>
      <c r="G72" s="17" t="str">
        <f>'Q2 - IRTree'!G63</f>
        <v/>
      </c>
      <c r="H72" s="17" t="str">
        <f>'Q2 - IRTree'!H63</f>
        <v/>
      </c>
      <c r="I72" s="17" t="str">
        <f>'Q2 - IRTree'!I63</f>
        <v/>
      </c>
      <c r="J72" s="17" t="str">
        <f>'Q2 - IRTree'!J63</f>
        <v/>
      </c>
      <c r="K72" s="17" t="str">
        <f>'Q2 - IRTree'!K63</f>
        <v/>
      </c>
      <c r="L72" s="17" t="str">
        <f>'Q2 - IRTree'!L63</f>
        <v/>
      </c>
      <c r="M72" s="17" t="str">
        <f>'Q2 - IRTree'!M63</f>
        <v/>
      </c>
      <c r="N72" s="17" t="str">
        <f>'Q2 - IRTree'!N63</f>
        <v/>
      </c>
      <c r="O72" s="17" t="str">
        <f>'Q2 - IRTree'!O63</f>
        <v/>
      </c>
      <c r="P72" s="17" t="str">
        <f>'Q2 - IRTree'!P63</f>
        <v/>
      </c>
      <c r="Q72" s="17" t="str">
        <f>'Q2 - IRTree'!Q63</f>
        <v/>
      </c>
      <c r="R72" s="17" t="str">
        <f>'Q2 - IRTree'!R63</f>
        <v/>
      </c>
      <c r="S72" s="17" t="str">
        <f>'Q2 - IRTree'!S63</f>
        <v/>
      </c>
      <c r="T72" s="17" t="str">
        <f>'Q2 - IRTree'!T63</f>
        <v/>
      </c>
      <c r="U72" s="17" t="str">
        <f>'Q2 - IRTree'!U63</f>
        <v/>
      </c>
      <c r="V72" s="17" t="str">
        <f>'Q2 - IRTree'!V63</f>
        <v/>
      </c>
      <c r="W72" s="17" t="str">
        <f>'Q2 - IRTree'!W63</f>
        <v/>
      </c>
      <c r="X72" s="17" t="str">
        <f>'Q2 - IRTree'!X63</f>
        <v/>
      </c>
      <c r="Y72" s="17" t="str">
        <f>'Q2 - IRTree'!Y63</f>
        <v/>
      </c>
      <c r="Z72" s="17" t="str">
        <f>'Q2 - IRTree'!Z63</f>
        <v/>
      </c>
      <c r="AA72" s="17" t="str">
        <f>'Q2 - IRTree'!AA63</f>
        <v/>
      </c>
      <c r="AB72" s="17" t="str">
        <f>'Q2 - IRTree'!AB63</f>
        <v/>
      </c>
      <c r="AC72" s="17" t="str">
        <f>'Q2 - IRTree'!AC63</f>
        <v/>
      </c>
      <c r="AD72" s="17" t="str">
        <f>'Q2 - IRTree'!AD63</f>
        <v/>
      </c>
      <c r="AE72" s="17" t="str">
        <f>'Q2 - IRTree'!AE63</f>
        <v/>
      </c>
      <c r="AF72" s="17" t="str">
        <f>'Q2 - IRTree'!AF63</f>
        <v/>
      </c>
      <c r="AG72" s="17" t="str">
        <f>'Q2 - IRTree'!AG63</f>
        <v/>
      </c>
      <c r="AH72" s="17" t="str">
        <f>'Q2 - IRTree'!AH63</f>
        <v/>
      </c>
      <c r="AI72" s="17" t="str">
        <f>'Q2 - IRTree'!AI63</f>
        <v/>
      </c>
      <c r="AJ72" s="17" t="str">
        <f>'Q2 - IRTree'!AJ63</f>
        <v/>
      </c>
      <c r="AK72" s="17" t="str">
        <f>'Q2 - IRTree'!AK63</f>
        <v/>
      </c>
      <c r="AL72" s="17" t="str">
        <f>'Q2 - IRTree'!AL63</f>
        <v/>
      </c>
      <c r="AM72" s="17" t="str">
        <f>'Q2 - IRTree'!AM63</f>
        <v/>
      </c>
      <c r="AN72" s="17" t="str">
        <f>'Q2 - IRTree'!AN63</f>
        <v/>
      </c>
      <c r="AO72" s="17" t="str">
        <f>'Q2 - IRTree'!AO63</f>
        <v/>
      </c>
      <c r="AP72" s="17" t="str">
        <f>'Q2 - IRTree'!AP63</f>
        <v/>
      </c>
      <c r="AQ72" s="17" t="str">
        <f>'Q2 - IRTree'!AQ63</f>
        <v/>
      </c>
      <c r="AR72" s="17" t="str">
        <f>'Q2 - IRTree'!AR63</f>
        <v/>
      </c>
      <c r="AS72" s="17" t="str">
        <f>'Q2 - IRTree'!AS63</f>
        <v/>
      </c>
      <c r="AT72" s="17" t="str">
        <f>'Q2 - IRTree'!AT63</f>
        <v/>
      </c>
      <c r="AU72" s="17" t="str">
        <f>'Q2 - IRTree'!AU63</f>
        <v/>
      </c>
      <c r="AV72" s="17" t="str">
        <f>'Q2 - IRTree'!AV63</f>
        <v/>
      </c>
      <c r="AW72" s="17" t="str">
        <f>'Q2 - IRTree'!AW63</f>
        <v/>
      </c>
      <c r="AX72" s="17" t="str">
        <f>'Q2 - IRTree'!AX63</f>
        <v/>
      </c>
      <c r="AY72" s="17">
        <f>'Q2 - IRTree'!AY63</f>
        <v>5.0682154636656651E-2</v>
      </c>
      <c r="AZ72" s="17">
        <f>'Q2 - IRTree'!AZ63</f>
        <v>5.0682154636656651E-2</v>
      </c>
      <c r="BA72" s="17">
        <f>'Q2 - IRTree'!BA63</f>
        <v>5.0682154636656651E-2</v>
      </c>
      <c r="BB72" s="17">
        <f>'Q2 - IRTree'!BB63</f>
        <v>5.0682154636656651E-2</v>
      </c>
      <c r="BC72" s="17">
        <f>'Q2 - IRTree'!BC63</f>
        <v>5.0682154636656651E-2</v>
      </c>
      <c r="BD72" s="17">
        <f>'Q2 - IRTree'!BD63</f>
        <v>5.0682154636656651E-2</v>
      </c>
      <c r="BE72" s="17">
        <f>'Q2 - IRTree'!BE63</f>
        <v>5.0682154636656651E-2</v>
      </c>
      <c r="BF72" s="17">
        <f>'Q2 - IRTree'!BF63</f>
        <v>5.0682154636656651E-2</v>
      </c>
      <c r="BG72" s="17">
        <f>'Q2 - IRTree'!BG63</f>
        <v>5.0682154636656651E-2</v>
      </c>
      <c r="BH72" s="17">
        <f>'Q2 - IRTree'!BH63</f>
        <v>5.0682154636656651E-2</v>
      </c>
      <c r="BI72" s="17">
        <f>'Q2 - IRTree'!BI63</f>
        <v>5.0682154636656651E-2</v>
      </c>
      <c r="BJ72" s="17" t="str">
        <f>'Q2 - IRTree'!BJ63</f>
        <v/>
      </c>
    </row>
    <row r="73" spans="1:62" outlineLevel="1">
      <c r="A73" s="11">
        <f t="shared" si="2"/>
        <v>50</v>
      </c>
      <c r="B73" s="17" t="str">
        <f>'Q2 - IRTree'!B64</f>
        <v/>
      </c>
      <c r="C73" s="17" t="str">
        <f>'Q2 - IRTree'!C64</f>
        <v/>
      </c>
      <c r="D73" s="17" t="str">
        <f>'Q2 - IRTree'!D64</f>
        <v/>
      </c>
      <c r="E73" s="17" t="str">
        <f>'Q2 - IRTree'!E64</f>
        <v/>
      </c>
      <c r="F73" s="17" t="str">
        <f>'Q2 - IRTree'!F64</f>
        <v/>
      </c>
      <c r="G73" s="17" t="str">
        <f>'Q2 - IRTree'!G64</f>
        <v/>
      </c>
      <c r="H73" s="17" t="str">
        <f>'Q2 - IRTree'!H64</f>
        <v/>
      </c>
      <c r="I73" s="17" t="str">
        <f>'Q2 - IRTree'!I64</f>
        <v/>
      </c>
      <c r="J73" s="17" t="str">
        <f>'Q2 - IRTree'!J64</f>
        <v/>
      </c>
      <c r="K73" s="17" t="str">
        <f>'Q2 - IRTree'!K64</f>
        <v/>
      </c>
      <c r="L73" s="17" t="str">
        <f>'Q2 - IRTree'!L64</f>
        <v/>
      </c>
      <c r="M73" s="17" t="str">
        <f>'Q2 - IRTree'!M64</f>
        <v/>
      </c>
      <c r="N73" s="17" t="str">
        <f>'Q2 - IRTree'!N64</f>
        <v/>
      </c>
      <c r="O73" s="17" t="str">
        <f>'Q2 - IRTree'!O64</f>
        <v/>
      </c>
      <c r="P73" s="17" t="str">
        <f>'Q2 - IRTree'!P64</f>
        <v/>
      </c>
      <c r="Q73" s="17" t="str">
        <f>'Q2 - IRTree'!Q64</f>
        <v/>
      </c>
      <c r="R73" s="17" t="str">
        <f>'Q2 - IRTree'!R64</f>
        <v/>
      </c>
      <c r="S73" s="17" t="str">
        <f>'Q2 - IRTree'!S64</f>
        <v/>
      </c>
      <c r="T73" s="17" t="str">
        <f>'Q2 - IRTree'!T64</f>
        <v/>
      </c>
      <c r="U73" s="17" t="str">
        <f>'Q2 - IRTree'!U64</f>
        <v/>
      </c>
      <c r="V73" s="17" t="str">
        <f>'Q2 - IRTree'!V64</f>
        <v/>
      </c>
      <c r="W73" s="17" t="str">
        <f>'Q2 - IRTree'!W64</f>
        <v/>
      </c>
      <c r="X73" s="17" t="str">
        <f>'Q2 - IRTree'!X64</f>
        <v/>
      </c>
      <c r="Y73" s="17" t="str">
        <f>'Q2 - IRTree'!Y64</f>
        <v/>
      </c>
      <c r="Z73" s="17" t="str">
        <f>'Q2 - IRTree'!Z64</f>
        <v/>
      </c>
      <c r="AA73" s="17" t="str">
        <f>'Q2 - IRTree'!AA64</f>
        <v/>
      </c>
      <c r="AB73" s="17" t="str">
        <f>'Q2 - IRTree'!AB64</f>
        <v/>
      </c>
      <c r="AC73" s="17" t="str">
        <f>'Q2 - IRTree'!AC64</f>
        <v/>
      </c>
      <c r="AD73" s="17" t="str">
        <f>'Q2 - IRTree'!AD64</f>
        <v/>
      </c>
      <c r="AE73" s="17" t="str">
        <f>'Q2 - IRTree'!AE64</f>
        <v/>
      </c>
      <c r="AF73" s="17" t="str">
        <f>'Q2 - IRTree'!AF64</f>
        <v/>
      </c>
      <c r="AG73" s="17" t="str">
        <f>'Q2 - IRTree'!AG64</f>
        <v/>
      </c>
      <c r="AH73" s="17" t="str">
        <f>'Q2 - IRTree'!AH64</f>
        <v/>
      </c>
      <c r="AI73" s="17" t="str">
        <f>'Q2 - IRTree'!AI64</f>
        <v/>
      </c>
      <c r="AJ73" s="17" t="str">
        <f>'Q2 - IRTree'!AJ64</f>
        <v/>
      </c>
      <c r="AK73" s="17" t="str">
        <f>'Q2 - IRTree'!AK64</f>
        <v/>
      </c>
      <c r="AL73" s="17" t="str">
        <f>'Q2 - IRTree'!AL64</f>
        <v/>
      </c>
      <c r="AM73" s="17" t="str">
        <f>'Q2 - IRTree'!AM64</f>
        <v/>
      </c>
      <c r="AN73" s="17" t="str">
        <f>'Q2 - IRTree'!AN64</f>
        <v/>
      </c>
      <c r="AO73" s="17" t="str">
        <f>'Q2 - IRTree'!AO64</f>
        <v/>
      </c>
      <c r="AP73" s="17" t="str">
        <f>'Q2 - IRTree'!AP64</f>
        <v/>
      </c>
      <c r="AQ73" s="17" t="str">
        <f>'Q2 - IRTree'!AQ64</f>
        <v/>
      </c>
      <c r="AR73" s="17" t="str">
        <f>'Q2 - IRTree'!AR64</f>
        <v/>
      </c>
      <c r="AS73" s="17" t="str">
        <f>'Q2 - IRTree'!AS64</f>
        <v/>
      </c>
      <c r="AT73" s="17" t="str">
        <f>'Q2 - IRTree'!AT64</f>
        <v/>
      </c>
      <c r="AU73" s="17" t="str">
        <f>'Q2 - IRTree'!AU64</f>
        <v/>
      </c>
      <c r="AV73" s="17" t="str">
        <f>'Q2 - IRTree'!AV64</f>
        <v/>
      </c>
      <c r="AW73" s="17" t="str">
        <f>'Q2 - IRTree'!AW64</f>
        <v/>
      </c>
      <c r="AX73" s="17" t="str">
        <f>'Q2 - IRTree'!AX64</f>
        <v/>
      </c>
      <c r="AY73" s="17" t="str">
        <f>'Q2 - IRTree'!AY64</f>
        <v/>
      </c>
      <c r="AZ73" s="17">
        <f>'Q2 - IRTree'!AZ64</f>
        <v>5.0682154636656651E-2</v>
      </c>
      <c r="BA73" s="17">
        <f>'Q2 - IRTree'!BA64</f>
        <v>5.0682154636656651E-2</v>
      </c>
      <c r="BB73" s="17">
        <f>'Q2 - IRTree'!BB64</f>
        <v>5.0682154636656651E-2</v>
      </c>
      <c r="BC73" s="17">
        <f>'Q2 - IRTree'!BC64</f>
        <v>5.0682154636656651E-2</v>
      </c>
      <c r="BD73" s="17">
        <f>'Q2 - IRTree'!BD64</f>
        <v>5.0682154636656651E-2</v>
      </c>
      <c r="BE73" s="17">
        <f>'Q2 - IRTree'!BE64</f>
        <v>5.0682154636656651E-2</v>
      </c>
      <c r="BF73" s="17">
        <f>'Q2 - IRTree'!BF64</f>
        <v>5.0682154636656651E-2</v>
      </c>
      <c r="BG73" s="17">
        <f>'Q2 - IRTree'!BG64</f>
        <v>5.0682154636656651E-2</v>
      </c>
      <c r="BH73" s="17">
        <f>'Q2 - IRTree'!BH64</f>
        <v>5.0682154636656651E-2</v>
      </c>
      <c r="BI73" s="17">
        <f>'Q2 - IRTree'!BI64</f>
        <v>5.0682154636656651E-2</v>
      </c>
      <c r="BJ73" s="17" t="str">
        <f>'Q2 - IRTree'!BJ64</f>
        <v/>
      </c>
    </row>
    <row r="74" spans="1:62" outlineLevel="1">
      <c r="A74" s="11">
        <f t="shared" si="2"/>
        <v>51</v>
      </c>
      <c r="B74" s="17" t="str">
        <f>'Q2 - IRTree'!B65</f>
        <v/>
      </c>
      <c r="C74" s="17" t="str">
        <f>'Q2 - IRTree'!C65</f>
        <v/>
      </c>
      <c r="D74" s="17" t="str">
        <f>'Q2 - IRTree'!D65</f>
        <v/>
      </c>
      <c r="E74" s="17" t="str">
        <f>'Q2 - IRTree'!E65</f>
        <v/>
      </c>
      <c r="F74" s="17" t="str">
        <f>'Q2 - IRTree'!F65</f>
        <v/>
      </c>
      <c r="G74" s="17" t="str">
        <f>'Q2 - IRTree'!G65</f>
        <v/>
      </c>
      <c r="H74" s="17" t="str">
        <f>'Q2 - IRTree'!H65</f>
        <v/>
      </c>
      <c r="I74" s="17" t="str">
        <f>'Q2 - IRTree'!I65</f>
        <v/>
      </c>
      <c r="J74" s="17" t="str">
        <f>'Q2 - IRTree'!J65</f>
        <v/>
      </c>
      <c r="K74" s="17" t="str">
        <f>'Q2 - IRTree'!K65</f>
        <v/>
      </c>
      <c r="L74" s="17" t="str">
        <f>'Q2 - IRTree'!L65</f>
        <v/>
      </c>
      <c r="M74" s="17" t="str">
        <f>'Q2 - IRTree'!M65</f>
        <v/>
      </c>
      <c r="N74" s="17" t="str">
        <f>'Q2 - IRTree'!N65</f>
        <v/>
      </c>
      <c r="O74" s="17" t="str">
        <f>'Q2 - IRTree'!O65</f>
        <v/>
      </c>
      <c r="P74" s="17" t="str">
        <f>'Q2 - IRTree'!P65</f>
        <v/>
      </c>
      <c r="Q74" s="17" t="str">
        <f>'Q2 - IRTree'!Q65</f>
        <v/>
      </c>
      <c r="R74" s="17" t="str">
        <f>'Q2 - IRTree'!R65</f>
        <v/>
      </c>
      <c r="S74" s="17" t="str">
        <f>'Q2 - IRTree'!S65</f>
        <v/>
      </c>
      <c r="T74" s="17" t="str">
        <f>'Q2 - IRTree'!T65</f>
        <v/>
      </c>
      <c r="U74" s="17" t="str">
        <f>'Q2 - IRTree'!U65</f>
        <v/>
      </c>
      <c r="V74" s="17" t="str">
        <f>'Q2 - IRTree'!V65</f>
        <v/>
      </c>
      <c r="W74" s="17" t="str">
        <f>'Q2 - IRTree'!W65</f>
        <v/>
      </c>
      <c r="X74" s="17" t="str">
        <f>'Q2 - IRTree'!X65</f>
        <v/>
      </c>
      <c r="Y74" s="17" t="str">
        <f>'Q2 - IRTree'!Y65</f>
        <v/>
      </c>
      <c r="Z74" s="17" t="str">
        <f>'Q2 - IRTree'!Z65</f>
        <v/>
      </c>
      <c r="AA74" s="17" t="str">
        <f>'Q2 - IRTree'!AA65</f>
        <v/>
      </c>
      <c r="AB74" s="17" t="str">
        <f>'Q2 - IRTree'!AB65</f>
        <v/>
      </c>
      <c r="AC74" s="17" t="str">
        <f>'Q2 - IRTree'!AC65</f>
        <v/>
      </c>
      <c r="AD74" s="17" t="str">
        <f>'Q2 - IRTree'!AD65</f>
        <v/>
      </c>
      <c r="AE74" s="17" t="str">
        <f>'Q2 - IRTree'!AE65</f>
        <v/>
      </c>
      <c r="AF74" s="17" t="str">
        <f>'Q2 - IRTree'!AF65</f>
        <v/>
      </c>
      <c r="AG74" s="17" t="str">
        <f>'Q2 - IRTree'!AG65</f>
        <v/>
      </c>
      <c r="AH74" s="17" t="str">
        <f>'Q2 - IRTree'!AH65</f>
        <v/>
      </c>
      <c r="AI74" s="17" t="str">
        <f>'Q2 - IRTree'!AI65</f>
        <v/>
      </c>
      <c r="AJ74" s="17" t="str">
        <f>'Q2 - IRTree'!AJ65</f>
        <v/>
      </c>
      <c r="AK74" s="17" t="str">
        <f>'Q2 - IRTree'!AK65</f>
        <v/>
      </c>
      <c r="AL74" s="17" t="str">
        <f>'Q2 - IRTree'!AL65</f>
        <v/>
      </c>
      <c r="AM74" s="17" t="str">
        <f>'Q2 - IRTree'!AM65</f>
        <v/>
      </c>
      <c r="AN74" s="17" t="str">
        <f>'Q2 - IRTree'!AN65</f>
        <v/>
      </c>
      <c r="AO74" s="17" t="str">
        <f>'Q2 - IRTree'!AO65</f>
        <v/>
      </c>
      <c r="AP74" s="17" t="str">
        <f>'Q2 - IRTree'!AP65</f>
        <v/>
      </c>
      <c r="AQ74" s="17" t="str">
        <f>'Q2 - IRTree'!AQ65</f>
        <v/>
      </c>
      <c r="AR74" s="17" t="str">
        <f>'Q2 - IRTree'!AR65</f>
        <v/>
      </c>
      <c r="AS74" s="17" t="str">
        <f>'Q2 - IRTree'!AS65</f>
        <v/>
      </c>
      <c r="AT74" s="17" t="str">
        <f>'Q2 - IRTree'!AT65</f>
        <v/>
      </c>
      <c r="AU74" s="17" t="str">
        <f>'Q2 - IRTree'!AU65</f>
        <v/>
      </c>
      <c r="AV74" s="17" t="str">
        <f>'Q2 - IRTree'!AV65</f>
        <v/>
      </c>
      <c r="AW74" s="17" t="str">
        <f>'Q2 - IRTree'!AW65</f>
        <v/>
      </c>
      <c r="AX74" s="17" t="str">
        <f>'Q2 - IRTree'!AX65</f>
        <v/>
      </c>
      <c r="AY74" s="17" t="str">
        <f>'Q2 - IRTree'!AY65</f>
        <v/>
      </c>
      <c r="AZ74" s="17" t="str">
        <f>'Q2 - IRTree'!AZ65</f>
        <v/>
      </c>
      <c r="BA74" s="17">
        <f>'Q2 - IRTree'!BA65</f>
        <v>5.0682154636656651E-2</v>
      </c>
      <c r="BB74" s="17">
        <f>'Q2 - IRTree'!BB65</f>
        <v>5.0682154636656651E-2</v>
      </c>
      <c r="BC74" s="17">
        <f>'Q2 - IRTree'!BC65</f>
        <v>5.0682154636656651E-2</v>
      </c>
      <c r="BD74" s="17">
        <f>'Q2 - IRTree'!BD65</f>
        <v>5.0682154636656651E-2</v>
      </c>
      <c r="BE74" s="17">
        <f>'Q2 - IRTree'!BE65</f>
        <v>5.0682154636656651E-2</v>
      </c>
      <c r="BF74" s="17">
        <f>'Q2 - IRTree'!BF65</f>
        <v>5.0682154636656651E-2</v>
      </c>
      <c r="BG74" s="17">
        <f>'Q2 - IRTree'!BG65</f>
        <v>5.0682154636656651E-2</v>
      </c>
      <c r="BH74" s="17">
        <f>'Q2 - IRTree'!BH65</f>
        <v>5.0682154636656651E-2</v>
      </c>
      <c r="BI74" s="17">
        <f>'Q2 - IRTree'!BI65</f>
        <v>5.0682154636656651E-2</v>
      </c>
      <c r="BJ74" s="17" t="str">
        <f>'Q2 - IRTree'!BJ65</f>
        <v/>
      </c>
    </row>
    <row r="75" spans="1:62" outlineLevel="1">
      <c r="A75" s="11">
        <f t="shared" si="2"/>
        <v>52</v>
      </c>
      <c r="B75" s="17" t="str">
        <f>'Q2 - IRTree'!B66</f>
        <v/>
      </c>
      <c r="C75" s="17" t="str">
        <f>'Q2 - IRTree'!C66</f>
        <v/>
      </c>
      <c r="D75" s="17" t="str">
        <f>'Q2 - IRTree'!D66</f>
        <v/>
      </c>
      <c r="E75" s="17" t="str">
        <f>'Q2 - IRTree'!E66</f>
        <v/>
      </c>
      <c r="F75" s="17" t="str">
        <f>'Q2 - IRTree'!F66</f>
        <v/>
      </c>
      <c r="G75" s="17" t="str">
        <f>'Q2 - IRTree'!G66</f>
        <v/>
      </c>
      <c r="H75" s="17" t="str">
        <f>'Q2 - IRTree'!H66</f>
        <v/>
      </c>
      <c r="I75" s="17" t="str">
        <f>'Q2 - IRTree'!I66</f>
        <v/>
      </c>
      <c r="J75" s="17" t="str">
        <f>'Q2 - IRTree'!J66</f>
        <v/>
      </c>
      <c r="K75" s="17" t="str">
        <f>'Q2 - IRTree'!K66</f>
        <v/>
      </c>
      <c r="L75" s="17" t="str">
        <f>'Q2 - IRTree'!L66</f>
        <v/>
      </c>
      <c r="M75" s="17" t="str">
        <f>'Q2 - IRTree'!M66</f>
        <v/>
      </c>
      <c r="N75" s="17" t="str">
        <f>'Q2 - IRTree'!N66</f>
        <v/>
      </c>
      <c r="O75" s="17" t="str">
        <f>'Q2 - IRTree'!O66</f>
        <v/>
      </c>
      <c r="P75" s="17" t="str">
        <f>'Q2 - IRTree'!P66</f>
        <v/>
      </c>
      <c r="Q75" s="17" t="str">
        <f>'Q2 - IRTree'!Q66</f>
        <v/>
      </c>
      <c r="R75" s="17" t="str">
        <f>'Q2 - IRTree'!R66</f>
        <v/>
      </c>
      <c r="S75" s="17" t="str">
        <f>'Q2 - IRTree'!S66</f>
        <v/>
      </c>
      <c r="T75" s="17" t="str">
        <f>'Q2 - IRTree'!T66</f>
        <v/>
      </c>
      <c r="U75" s="17" t="str">
        <f>'Q2 - IRTree'!U66</f>
        <v/>
      </c>
      <c r="V75" s="17" t="str">
        <f>'Q2 - IRTree'!V66</f>
        <v/>
      </c>
      <c r="W75" s="17" t="str">
        <f>'Q2 - IRTree'!W66</f>
        <v/>
      </c>
      <c r="X75" s="17" t="str">
        <f>'Q2 - IRTree'!X66</f>
        <v/>
      </c>
      <c r="Y75" s="17" t="str">
        <f>'Q2 - IRTree'!Y66</f>
        <v/>
      </c>
      <c r="Z75" s="17" t="str">
        <f>'Q2 - IRTree'!Z66</f>
        <v/>
      </c>
      <c r="AA75" s="17" t="str">
        <f>'Q2 - IRTree'!AA66</f>
        <v/>
      </c>
      <c r="AB75" s="17" t="str">
        <f>'Q2 - IRTree'!AB66</f>
        <v/>
      </c>
      <c r="AC75" s="17" t="str">
        <f>'Q2 - IRTree'!AC66</f>
        <v/>
      </c>
      <c r="AD75" s="17" t="str">
        <f>'Q2 - IRTree'!AD66</f>
        <v/>
      </c>
      <c r="AE75" s="17" t="str">
        <f>'Q2 - IRTree'!AE66</f>
        <v/>
      </c>
      <c r="AF75" s="17" t="str">
        <f>'Q2 - IRTree'!AF66</f>
        <v/>
      </c>
      <c r="AG75" s="17" t="str">
        <f>'Q2 - IRTree'!AG66</f>
        <v/>
      </c>
      <c r="AH75" s="17" t="str">
        <f>'Q2 - IRTree'!AH66</f>
        <v/>
      </c>
      <c r="AI75" s="17" t="str">
        <f>'Q2 - IRTree'!AI66</f>
        <v/>
      </c>
      <c r="AJ75" s="17" t="str">
        <f>'Q2 - IRTree'!AJ66</f>
        <v/>
      </c>
      <c r="AK75" s="17" t="str">
        <f>'Q2 - IRTree'!AK66</f>
        <v/>
      </c>
      <c r="AL75" s="17" t="str">
        <f>'Q2 - IRTree'!AL66</f>
        <v/>
      </c>
      <c r="AM75" s="17" t="str">
        <f>'Q2 - IRTree'!AM66</f>
        <v/>
      </c>
      <c r="AN75" s="17" t="str">
        <f>'Q2 - IRTree'!AN66</f>
        <v/>
      </c>
      <c r="AO75" s="17" t="str">
        <f>'Q2 - IRTree'!AO66</f>
        <v/>
      </c>
      <c r="AP75" s="17" t="str">
        <f>'Q2 - IRTree'!AP66</f>
        <v/>
      </c>
      <c r="AQ75" s="17" t="str">
        <f>'Q2 - IRTree'!AQ66</f>
        <v/>
      </c>
      <c r="AR75" s="17" t="str">
        <f>'Q2 - IRTree'!AR66</f>
        <v/>
      </c>
      <c r="AS75" s="17" t="str">
        <f>'Q2 - IRTree'!AS66</f>
        <v/>
      </c>
      <c r="AT75" s="17" t="str">
        <f>'Q2 - IRTree'!AT66</f>
        <v/>
      </c>
      <c r="AU75" s="17" t="str">
        <f>'Q2 - IRTree'!AU66</f>
        <v/>
      </c>
      <c r="AV75" s="17" t="str">
        <f>'Q2 - IRTree'!AV66</f>
        <v/>
      </c>
      <c r="AW75" s="17" t="str">
        <f>'Q2 - IRTree'!AW66</f>
        <v/>
      </c>
      <c r="AX75" s="17" t="str">
        <f>'Q2 - IRTree'!AX66</f>
        <v/>
      </c>
      <c r="AY75" s="17" t="str">
        <f>'Q2 - IRTree'!AY66</f>
        <v/>
      </c>
      <c r="AZ75" s="17" t="str">
        <f>'Q2 - IRTree'!AZ66</f>
        <v/>
      </c>
      <c r="BA75" s="17" t="str">
        <f>'Q2 - IRTree'!BA66</f>
        <v/>
      </c>
      <c r="BB75" s="17">
        <f>'Q2 - IRTree'!BB66</f>
        <v>5.0682154636656651E-2</v>
      </c>
      <c r="BC75" s="17">
        <f>'Q2 - IRTree'!BC66</f>
        <v>5.0682154636656651E-2</v>
      </c>
      <c r="BD75" s="17">
        <f>'Q2 - IRTree'!BD66</f>
        <v>5.0682154636656651E-2</v>
      </c>
      <c r="BE75" s="17">
        <f>'Q2 - IRTree'!BE66</f>
        <v>5.0682154636656651E-2</v>
      </c>
      <c r="BF75" s="17">
        <f>'Q2 - IRTree'!BF66</f>
        <v>5.0682154636656651E-2</v>
      </c>
      <c r="BG75" s="17">
        <f>'Q2 - IRTree'!BG66</f>
        <v>5.0682154636656651E-2</v>
      </c>
      <c r="BH75" s="17">
        <f>'Q2 - IRTree'!BH66</f>
        <v>5.0682154636656651E-2</v>
      </c>
      <c r="BI75" s="17">
        <f>'Q2 - IRTree'!BI66</f>
        <v>5.0682154636656651E-2</v>
      </c>
      <c r="BJ75" s="17" t="str">
        <f>'Q2 - IRTree'!BJ66</f>
        <v/>
      </c>
    </row>
    <row r="76" spans="1:62" outlineLevel="1">
      <c r="A76" s="11">
        <f t="shared" si="2"/>
        <v>53</v>
      </c>
      <c r="B76" s="17" t="str">
        <f>'Q2 - IRTree'!B67</f>
        <v/>
      </c>
      <c r="C76" s="17" t="str">
        <f>'Q2 - IRTree'!C67</f>
        <v/>
      </c>
      <c r="D76" s="17" t="str">
        <f>'Q2 - IRTree'!D67</f>
        <v/>
      </c>
      <c r="E76" s="17" t="str">
        <f>'Q2 - IRTree'!E67</f>
        <v/>
      </c>
      <c r="F76" s="17" t="str">
        <f>'Q2 - IRTree'!F67</f>
        <v/>
      </c>
      <c r="G76" s="17" t="str">
        <f>'Q2 - IRTree'!G67</f>
        <v/>
      </c>
      <c r="H76" s="17" t="str">
        <f>'Q2 - IRTree'!H67</f>
        <v/>
      </c>
      <c r="I76" s="17" t="str">
        <f>'Q2 - IRTree'!I67</f>
        <v/>
      </c>
      <c r="J76" s="17" t="str">
        <f>'Q2 - IRTree'!J67</f>
        <v/>
      </c>
      <c r="K76" s="17" t="str">
        <f>'Q2 - IRTree'!K67</f>
        <v/>
      </c>
      <c r="L76" s="17" t="str">
        <f>'Q2 - IRTree'!L67</f>
        <v/>
      </c>
      <c r="M76" s="17" t="str">
        <f>'Q2 - IRTree'!M67</f>
        <v/>
      </c>
      <c r="N76" s="17" t="str">
        <f>'Q2 - IRTree'!N67</f>
        <v/>
      </c>
      <c r="O76" s="17" t="str">
        <f>'Q2 - IRTree'!O67</f>
        <v/>
      </c>
      <c r="P76" s="17" t="str">
        <f>'Q2 - IRTree'!P67</f>
        <v/>
      </c>
      <c r="Q76" s="17" t="str">
        <f>'Q2 - IRTree'!Q67</f>
        <v/>
      </c>
      <c r="R76" s="17" t="str">
        <f>'Q2 - IRTree'!R67</f>
        <v/>
      </c>
      <c r="S76" s="17" t="str">
        <f>'Q2 - IRTree'!S67</f>
        <v/>
      </c>
      <c r="T76" s="17" t="str">
        <f>'Q2 - IRTree'!T67</f>
        <v/>
      </c>
      <c r="U76" s="17" t="str">
        <f>'Q2 - IRTree'!U67</f>
        <v/>
      </c>
      <c r="V76" s="17" t="str">
        <f>'Q2 - IRTree'!V67</f>
        <v/>
      </c>
      <c r="W76" s="17" t="str">
        <f>'Q2 - IRTree'!W67</f>
        <v/>
      </c>
      <c r="X76" s="17" t="str">
        <f>'Q2 - IRTree'!X67</f>
        <v/>
      </c>
      <c r="Y76" s="17" t="str">
        <f>'Q2 - IRTree'!Y67</f>
        <v/>
      </c>
      <c r="Z76" s="17" t="str">
        <f>'Q2 - IRTree'!Z67</f>
        <v/>
      </c>
      <c r="AA76" s="17" t="str">
        <f>'Q2 - IRTree'!AA67</f>
        <v/>
      </c>
      <c r="AB76" s="17" t="str">
        <f>'Q2 - IRTree'!AB67</f>
        <v/>
      </c>
      <c r="AC76" s="17" t="str">
        <f>'Q2 - IRTree'!AC67</f>
        <v/>
      </c>
      <c r="AD76" s="17" t="str">
        <f>'Q2 - IRTree'!AD67</f>
        <v/>
      </c>
      <c r="AE76" s="17" t="str">
        <f>'Q2 - IRTree'!AE67</f>
        <v/>
      </c>
      <c r="AF76" s="17" t="str">
        <f>'Q2 - IRTree'!AF67</f>
        <v/>
      </c>
      <c r="AG76" s="17" t="str">
        <f>'Q2 - IRTree'!AG67</f>
        <v/>
      </c>
      <c r="AH76" s="17" t="str">
        <f>'Q2 - IRTree'!AH67</f>
        <v/>
      </c>
      <c r="AI76" s="17" t="str">
        <f>'Q2 - IRTree'!AI67</f>
        <v/>
      </c>
      <c r="AJ76" s="17" t="str">
        <f>'Q2 - IRTree'!AJ67</f>
        <v/>
      </c>
      <c r="AK76" s="17" t="str">
        <f>'Q2 - IRTree'!AK67</f>
        <v/>
      </c>
      <c r="AL76" s="17" t="str">
        <f>'Q2 - IRTree'!AL67</f>
        <v/>
      </c>
      <c r="AM76" s="17" t="str">
        <f>'Q2 - IRTree'!AM67</f>
        <v/>
      </c>
      <c r="AN76" s="17" t="str">
        <f>'Q2 - IRTree'!AN67</f>
        <v/>
      </c>
      <c r="AO76" s="17" t="str">
        <f>'Q2 - IRTree'!AO67</f>
        <v/>
      </c>
      <c r="AP76" s="17" t="str">
        <f>'Q2 - IRTree'!AP67</f>
        <v/>
      </c>
      <c r="AQ76" s="17" t="str">
        <f>'Q2 - IRTree'!AQ67</f>
        <v/>
      </c>
      <c r="AR76" s="17" t="str">
        <f>'Q2 - IRTree'!AR67</f>
        <v/>
      </c>
      <c r="AS76" s="17" t="str">
        <f>'Q2 - IRTree'!AS67</f>
        <v/>
      </c>
      <c r="AT76" s="17" t="str">
        <f>'Q2 - IRTree'!AT67</f>
        <v/>
      </c>
      <c r="AU76" s="17" t="str">
        <f>'Q2 - IRTree'!AU67</f>
        <v/>
      </c>
      <c r="AV76" s="17" t="str">
        <f>'Q2 - IRTree'!AV67</f>
        <v/>
      </c>
      <c r="AW76" s="17" t="str">
        <f>'Q2 - IRTree'!AW67</f>
        <v/>
      </c>
      <c r="AX76" s="17" t="str">
        <f>'Q2 - IRTree'!AX67</f>
        <v/>
      </c>
      <c r="AY76" s="17" t="str">
        <f>'Q2 - IRTree'!AY67</f>
        <v/>
      </c>
      <c r="AZ76" s="17" t="str">
        <f>'Q2 - IRTree'!AZ67</f>
        <v/>
      </c>
      <c r="BA76" s="17" t="str">
        <f>'Q2 - IRTree'!BA67</f>
        <v/>
      </c>
      <c r="BB76" s="17" t="str">
        <f>'Q2 - IRTree'!BB67</f>
        <v/>
      </c>
      <c r="BC76" s="17">
        <f>'Q2 - IRTree'!BC67</f>
        <v>5.0682154636656651E-2</v>
      </c>
      <c r="BD76" s="17">
        <f>'Q2 - IRTree'!BD67</f>
        <v>5.0682154636656651E-2</v>
      </c>
      <c r="BE76" s="17">
        <f>'Q2 - IRTree'!BE67</f>
        <v>5.0682154636656651E-2</v>
      </c>
      <c r="BF76" s="17">
        <f>'Q2 - IRTree'!BF67</f>
        <v>5.0682154636656651E-2</v>
      </c>
      <c r="BG76" s="17">
        <f>'Q2 - IRTree'!BG67</f>
        <v>5.0682154636656651E-2</v>
      </c>
      <c r="BH76" s="17">
        <f>'Q2 - IRTree'!BH67</f>
        <v>5.0682154636656651E-2</v>
      </c>
      <c r="BI76" s="17">
        <f>'Q2 - IRTree'!BI67</f>
        <v>5.0682154636656651E-2</v>
      </c>
      <c r="BJ76" s="17" t="str">
        <f>'Q2 - IRTree'!BJ67</f>
        <v/>
      </c>
    </row>
    <row r="77" spans="1:62" outlineLevel="1">
      <c r="A77" s="11">
        <f t="shared" si="2"/>
        <v>54</v>
      </c>
      <c r="B77" s="17" t="str">
        <f>'Q2 - IRTree'!B68</f>
        <v/>
      </c>
      <c r="C77" s="17" t="str">
        <f>'Q2 - IRTree'!C68</f>
        <v/>
      </c>
      <c r="D77" s="17" t="str">
        <f>'Q2 - IRTree'!D68</f>
        <v/>
      </c>
      <c r="E77" s="17" t="str">
        <f>'Q2 - IRTree'!E68</f>
        <v/>
      </c>
      <c r="F77" s="17" t="str">
        <f>'Q2 - IRTree'!F68</f>
        <v/>
      </c>
      <c r="G77" s="17" t="str">
        <f>'Q2 - IRTree'!G68</f>
        <v/>
      </c>
      <c r="H77" s="17" t="str">
        <f>'Q2 - IRTree'!H68</f>
        <v/>
      </c>
      <c r="I77" s="17" t="str">
        <f>'Q2 - IRTree'!I68</f>
        <v/>
      </c>
      <c r="J77" s="17" t="str">
        <f>'Q2 - IRTree'!J68</f>
        <v/>
      </c>
      <c r="K77" s="17" t="str">
        <f>'Q2 - IRTree'!K68</f>
        <v/>
      </c>
      <c r="L77" s="17" t="str">
        <f>'Q2 - IRTree'!L68</f>
        <v/>
      </c>
      <c r="M77" s="17" t="str">
        <f>'Q2 - IRTree'!M68</f>
        <v/>
      </c>
      <c r="N77" s="17" t="str">
        <f>'Q2 - IRTree'!N68</f>
        <v/>
      </c>
      <c r="O77" s="17" t="str">
        <f>'Q2 - IRTree'!O68</f>
        <v/>
      </c>
      <c r="P77" s="17" t="str">
        <f>'Q2 - IRTree'!P68</f>
        <v/>
      </c>
      <c r="Q77" s="17" t="str">
        <f>'Q2 - IRTree'!Q68</f>
        <v/>
      </c>
      <c r="R77" s="17" t="str">
        <f>'Q2 - IRTree'!R68</f>
        <v/>
      </c>
      <c r="S77" s="17" t="str">
        <f>'Q2 - IRTree'!S68</f>
        <v/>
      </c>
      <c r="T77" s="17" t="str">
        <f>'Q2 - IRTree'!T68</f>
        <v/>
      </c>
      <c r="U77" s="17" t="str">
        <f>'Q2 - IRTree'!U68</f>
        <v/>
      </c>
      <c r="V77" s="17" t="str">
        <f>'Q2 - IRTree'!V68</f>
        <v/>
      </c>
      <c r="W77" s="17" t="str">
        <f>'Q2 - IRTree'!W68</f>
        <v/>
      </c>
      <c r="X77" s="17" t="str">
        <f>'Q2 - IRTree'!X68</f>
        <v/>
      </c>
      <c r="Y77" s="17" t="str">
        <f>'Q2 - IRTree'!Y68</f>
        <v/>
      </c>
      <c r="Z77" s="17" t="str">
        <f>'Q2 - IRTree'!Z68</f>
        <v/>
      </c>
      <c r="AA77" s="17" t="str">
        <f>'Q2 - IRTree'!AA68</f>
        <v/>
      </c>
      <c r="AB77" s="17" t="str">
        <f>'Q2 - IRTree'!AB68</f>
        <v/>
      </c>
      <c r="AC77" s="17" t="str">
        <f>'Q2 - IRTree'!AC68</f>
        <v/>
      </c>
      <c r="AD77" s="17" t="str">
        <f>'Q2 - IRTree'!AD68</f>
        <v/>
      </c>
      <c r="AE77" s="17" t="str">
        <f>'Q2 - IRTree'!AE68</f>
        <v/>
      </c>
      <c r="AF77" s="17" t="str">
        <f>'Q2 - IRTree'!AF68</f>
        <v/>
      </c>
      <c r="AG77" s="17" t="str">
        <f>'Q2 - IRTree'!AG68</f>
        <v/>
      </c>
      <c r="AH77" s="17" t="str">
        <f>'Q2 - IRTree'!AH68</f>
        <v/>
      </c>
      <c r="AI77" s="17" t="str">
        <f>'Q2 - IRTree'!AI68</f>
        <v/>
      </c>
      <c r="AJ77" s="17" t="str">
        <f>'Q2 - IRTree'!AJ68</f>
        <v/>
      </c>
      <c r="AK77" s="17" t="str">
        <f>'Q2 - IRTree'!AK68</f>
        <v/>
      </c>
      <c r="AL77" s="17" t="str">
        <f>'Q2 - IRTree'!AL68</f>
        <v/>
      </c>
      <c r="AM77" s="17" t="str">
        <f>'Q2 - IRTree'!AM68</f>
        <v/>
      </c>
      <c r="AN77" s="17" t="str">
        <f>'Q2 - IRTree'!AN68</f>
        <v/>
      </c>
      <c r="AO77" s="17" t="str">
        <f>'Q2 - IRTree'!AO68</f>
        <v/>
      </c>
      <c r="AP77" s="17" t="str">
        <f>'Q2 - IRTree'!AP68</f>
        <v/>
      </c>
      <c r="AQ77" s="17" t="str">
        <f>'Q2 - IRTree'!AQ68</f>
        <v/>
      </c>
      <c r="AR77" s="17" t="str">
        <f>'Q2 - IRTree'!AR68</f>
        <v/>
      </c>
      <c r="AS77" s="17" t="str">
        <f>'Q2 - IRTree'!AS68</f>
        <v/>
      </c>
      <c r="AT77" s="17" t="str">
        <f>'Q2 - IRTree'!AT68</f>
        <v/>
      </c>
      <c r="AU77" s="17" t="str">
        <f>'Q2 - IRTree'!AU68</f>
        <v/>
      </c>
      <c r="AV77" s="17" t="str">
        <f>'Q2 - IRTree'!AV68</f>
        <v/>
      </c>
      <c r="AW77" s="17" t="str">
        <f>'Q2 - IRTree'!AW68</f>
        <v/>
      </c>
      <c r="AX77" s="17" t="str">
        <f>'Q2 - IRTree'!AX68</f>
        <v/>
      </c>
      <c r="AY77" s="17" t="str">
        <f>'Q2 - IRTree'!AY68</f>
        <v/>
      </c>
      <c r="AZ77" s="17" t="str">
        <f>'Q2 - IRTree'!AZ68</f>
        <v/>
      </c>
      <c r="BA77" s="17" t="str">
        <f>'Q2 - IRTree'!BA68</f>
        <v/>
      </c>
      <c r="BB77" s="17" t="str">
        <f>'Q2 - IRTree'!BB68</f>
        <v/>
      </c>
      <c r="BC77" s="17" t="str">
        <f>'Q2 - IRTree'!BC68</f>
        <v/>
      </c>
      <c r="BD77" s="17">
        <f>'Q2 - IRTree'!BD68</f>
        <v>5.0682154636656651E-2</v>
      </c>
      <c r="BE77" s="17">
        <f>'Q2 - IRTree'!BE68</f>
        <v>5.0682154636656651E-2</v>
      </c>
      <c r="BF77" s="17">
        <f>'Q2 - IRTree'!BF68</f>
        <v>5.0682154636656651E-2</v>
      </c>
      <c r="BG77" s="17">
        <f>'Q2 - IRTree'!BG68</f>
        <v>5.0682154636656651E-2</v>
      </c>
      <c r="BH77" s="17">
        <f>'Q2 - IRTree'!BH68</f>
        <v>5.0682154636656651E-2</v>
      </c>
      <c r="BI77" s="17">
        <f>'Q2 - IRTree'!BI68</f>
        <v>5.0682154636656651E-2</v>
      </c>
      <c r="BJ77" s="17" t="str">
        <f>'Q2 - IRTree'!BJ68</f>
        <v/>
      </c>
    </row>
    <row r="78" spans="1:62" outlineLevel="1">
      <c r="A78" s="11">
        <f t="shared" si="2"/>
        <v>55</v>
      </c>
      <c r="B78" s="17" t="str">
        <f>'Q2 - IRTree'!B69</f>
        <v/>
      </c>
      <c r="C78" s="17" t="str">
        <f>'Q2 - IRTree'!C69</f>
        <v/>
      </c>
      <c r="D78" s="17" t="str">
        <f>'Q2 - IRTree'!D69</f>
        <v/>
      </c>
      <c r="E78" s="17" t="str">
        <f>'Q2 - IRTree'!E69</f>
        <v/>
      </c>
      <c r="F78" s="17" t="str">
        <f>'Q2 - IRTree'!F69</f>
        <v/>
      </c>
      <c r="G78" s="17" t="str">
        <f>'Q2 - IRTree'!G69</f>
        <v/>
      </c>
      <c r="H78" s="17" t="str">
        <f>'Q2 - IRTree'!H69</f>
        <v/>
      </c>
      <c r="I78" s="17" t="str">
        <f>'Q2 - IRTree'!I69</f>
        <v/>
      </c>
      <c r="J78" s="17" t="str">
        <f>'Q2 - IRTree'!J69</f>
        <v/>
      </c>
      <c r="K78" s="17" t="str">
        <f>'Q2 - IRTree'!K69</f>
        <v/>
      </c>
      <c r="L78" s="17" t="str">
        <f>'Q2 - IRTree'!L69</f>
        <v/>
      </c>
      <c r="M78" s="17" t="str">
        <f>'Q2 - IRTree'!M69</f>
        <v/>
      </c>
      <c r="N78" s="17" t="str">
        <f>'Q2 - IRTree'!N69</f>
        <v/>
      </c>
      <c r="O78" s="17" t="str">
        <f>'Q2 - IRTree'!O69</f>
        <v/>
      </c>
      <c r="P78" s="17" t="str">
        <f>'Q2 - IRTree'!P69</f>
        <v/>
      </c>
      <c r="Q78" s="17" t="str">
        <f>'Q2 - IRTree'!Q69</f>
        <v/>
      </c>
      <c r="R78" s="17" t="str">
        <f>'Q2 - IRTree'!R69</f>
        <v/>
      </c>
      <c r="S78" s="17" t="str">
        <f>'Q2 - IRTree'!S69</f>
        <v/>
      </c>
      <c r="T78" s="17" t="str">
        <f>'Q2 - IRTree'!T69</f>
        <v/>
      </c>
      <c r="U78" s="17" t="str">
        <f>'Q2 - IRTree'!U69</f>
        <v/>
      </c>
      <c r="V78" s="17" t="str">
        <f>'Q2 - IRTree'!V69</f>
        <v/>
      </c>
      <c r="W78" s="17" t="str">
        <f>'Q2 - IRTree'!W69</f>
        <v/>
      </c>
      <c r="X78" s="17" t="str">
        <f>'Q2 - IRTree'!X69</f>
        <v/>
      </c>
      <c r="Y78" s="17" t="str">
        <f>'Q2 - IRTree'!Y69</f>
        <v/>
      </c>
      <c r="Z78" s="17" t="str">
        <f>'Q2 - IRTree'!Z69</f>
        <v/>
      </c>
      <c r="AA78" s="17" t="str">
        <f>'Q2 - IRTree'!AA69</f>
        <v/>
      </c>
      <c r="AB78" s="17" t="str">
        <f>'Q2 - IRTree'!AB69</f>
        <v/>
      </c>
      <c r="AC78" s="17" t="str">
        <f>'Q2 - IRTree'!AC69</f>
        <v/>
      </c>
      <c r="AD78" s="17" t="str">
        <f>'Q2 - IRTree'!AD69</f>
        <v/>
      </c>
      <c r="AE78" s="17" t="str">
        <f>'Q2 - IRTree'!AE69</f>
        <v/>
      </c>
      <c r="AF78" s="17" t="str">
        <f>'Q2 - IRTree'!AF69</f>
        <v/>
      </c>
      <c r="AG78" s="17" t="str">
        <f>'Q2 - IRTree'!AG69</f>
        <v/>
      </c>
      <c r="AH78" s="17" t="str">
        <f>'Q2 - IRTree'!AH69</f>
        <v/>
      </c>
      <c r="AI78" s="17" t="str">
        <f>'Q2 - IRTree'!AI69</f>
        <v/>
      </c>
      <c r="AJ78" s="17" t="str">
        <f>'Q2 - IRTree'!AJ69</f>
        <v/>
      </c>
      <c r="AK78" s="17" t="str">
        <f>'Q2 - IRTree'!AK69</f>
        <v/>
      </c>
      <c r="AL78" s="17" t="str">
        <f>'Q2 - IRTree'!AL69</f>
        <v/>
      </c>
      <c r="AM78" s="17" t="str">
        <f>'Q2 - IRTree'!AM69</f>
        <v/>
      </c>
      <c r="AN78" s="17" t="str">
        <f>'Q2 - IRTree'!AN69</f>
        <v/>
      </c>
      <c r="AO78" s="17" t="str">
        <f>'Q2 - IRTree'!AO69</f>
        <v/>
      </c>
      <c r="AP78" s="17" t="str">
        <f>'Q2 - IRTree'!AP69</f>
        <v/>
      </c>
      <c r="AQ78" s="17" t="str">
        <f>'Q2 - IRTree'!AQ69</f>
        <v/>
      </c>
      <c r="AR78" s="17" t="str">
        <f>'Q2 - IRTree'!AR69</f>
        <v/>
      </c>
      <c r="AS78" s="17" t="str">
        <f>'Q2 - IRTree'!AS69</f>
        <v/>
      </c>
      <c r="AT78" s="17" t="str">
        <f>'Q2 - IRTree'!AT69</f>
        <v/>
      </c>
      <c r="AU78" s="17" t="str">
        <f>'Q2 - IRTree'!AU69</f>
        <v/>
      </c>
      <c r="AV78" s="17" t="str">
        <f>'Q2 - IRTree'!AV69</f>
        <v/>
      </c>
      <c r="AW78" s="17" t="str">
        <f>'Q2 - IRTree'!AW69</f>
        <v/>
      </c>
      <c r="AX78" s="17" t="str">
        <f>'Q2 - IRTree'!AX69</f>
        <v/>
      </c>
      <c r="AY78" s="17" t="str">
        <f>'Q2 - IRTree'!AY69</f>
        <v/>
      </c>
      <c r="AZ78" s="17" t="str">
        <f>'Q2 - IRTree'!AZ69</f>
        <v/>
      </c>
      <c r="BA78" s="17" t="str">
        <f>'Q2 - IRTree'!BA69</f>
        <v/>
      </c>
      <c r="BB78" s="17" t="str">
        <f>'Q2 - IRTree'!BB69</f>
        <v/>
      </c>
      <c r="BC78" s="17" t="str">
        <f>'Q2 - IRTree'!BC69</f>
        <v/>
      </c>
      <c r="BD78" s="17" t="str">
        <f>'Q2 - IRTree'!BD69</f>
        <v/>
      </c>
      <c r="BE78" s="17">
        <f>'Q2 - IRTree'!BE69</f>
        <v>5.0682154636656651E-2</v>
      </c>
      <c r="BF78" s="17">
        <f>'Q2 - IRTree'!BF69</f>
        <v>5.0682154636656651E-2</v>
      </c>
      <c r="BG78" s="17">
        <f>'Q2 - IRTree'!BG69</f>
        <v>5.0682154636656651E-2</v>
      </c>
      <c r="BH78" s="17">
        <f>'Q2 - IRTree'!BH69</f>
        <v>5.0682154636656651E-2</v>
      </c>
      <c r="BI78" s="17">
        <f>'Q2 - IRTree'!BI69</f>
        <v>5.0682154636656651E-2</v>
      </c>
      <c r="BJ78" s="17" t="str">
        <f>'Q2 - IRTree'!BJ69</f>
        <v/>
      </c>
    </row>
    <row r="79" spans="1:62" outlineLevel="1">
      <c r="A79" s="11">
        <f t="shared" si="2"/>
        <v>56</v>
      </c>
      <c r="B79" s="17" t="str">
        <f>'Q2 - IRTree'!B70</f>
        <v/>
      </c>
      <c r="C79" s="17" t="str">
        <f>'Q2 - IRTree'!C70</f>
        <v/>
      </c>
      <c r="D79" s="17" t="str">
        <f>'Q2 - IRTree'!D70</f>
        <v/>
      </c>
      <c r="E79" s="17" t="str">
        <f>'Q2 - IRTree'!E70</f>
        <v/>
      </c>
      <c r="F79" s="17" t="str">
        <f>'Q2 - IRTree'!F70</f>
        <v/>
      </c>
      <c r="G79" s="17" t="str">
        <f>'Q2 - IRTree'!G70</f>
        <v/>
      </c>
      <c r="H79" s="17" t="str">
        <f>'Q2 - IRTree'!H70</f>
        <v/>
      </c>
      <c r="I79" s="17" t="str">
        <f>'Q2 - IRTree'!I70</f>
        <v/>
      </c>
      <c r="J79" s="17" t="str">
        <f>'Q2 - IRTree'!J70</f>
        <v/>
      </c>
      <c r="K79" s="17" t="str">
        <f>'Q2 - IRTree'!K70</f>
        <v/>
      </c>
      <c r="L79" s="17" t="str">
        <f>'Q2 - IRTree'!L70</f>
        <v/>
      </c>
      <c r="M79" s="17" t="str">
        <f>'Q2 - IRTree'!M70</f>
        <v/>
      </c>
      <c r="N79" s="17" t="str">
        <f>'Q2 - IRTree'!N70</f>
        <v/>
      </c>
      <c r="O79" s="17" t="str">
        <f>'Q2 - IRTree'!O70</f>
        <v/>
      </c>
      <c r="P79" s="17" t="str">
        <f>'Q2 - IRTree'!P70</f>
        <v/>
      </c>
      <c r="Q79" s="17" t="str">
        <f>'Q2 - IRTree'!Q70</f>
        <v/>
      </c>
      <c r="R79" s="17" t="str">
        <f>'Q2 - IRTree'!R70</f>
        <v/>
      </c>
      <c r="S79" s="17" t="str">
        <f>'Q2 - IRTree'!S70</f>
        <v/>
      </c>
      <c r="T79" s="17" t="str">
        <f>'Q2 - IRTree'!T70</f>
        <v/>
      </c>
      <c r="U79" s="17" t="str">
        <f>'Q2 - IRTree'!U70</f>
        <v/>
      </c>
      <c r="V79" s="17" t="str">
        <f>'Q2 - IRTree'!V70</f>
        <v/>
      </c>
      <c r="W79" s="17" t="str">
        <f>'Q2 - IRTree'!W70</f>
        <v/>
      </c>
      <c r="X79" s="17" t="str">
        <f>'Q2 - IRTree'!X70</f>
        <v/>
      </c>
      <c r="Y79" s="17" t="str">
        <f>'Q2 - IRTree'!Y70</f>
        <v/>
      </c>
      <c r="Z79" s="17" t="str">
        <f>'Q2 - IRTree'!Z70</f>
        <v/>
      </c>
      <c r="AA79" s="17" t="str">
        <f>'Q2 - IRTree'!AA70</f>
        <v/>
      </c>
      <c r="AB79" s="17" t="str">
        <f>'Q2 - IRTree'!AB70</f>
        <v/>
      </c>
      <c r="AC79" s="17" t="str">
        <f>'Q2 - IRTree'!AC70</f>
        <v/>
      </c>
      <c r="AD79" s="17" t="str">
        <f>'Q2 - IRTree'!AD70</f>
        <v/>
      </c>
      <c r="AE79" s="17" t="str">
        <f>'Q2 - IRTree'!AE70</f>
        <v/>
      </c>
      <c r="AF79" s="17" t="str">
        <f>'Q2 - IRTree'!AF70</f>
        <v/>
      </c>
      <c r="AG79" s="17" t="str">
        <f>'Q2 - IRTree'!AG70</f>
        <v/>
      </c>
      <c r="AH79" s="17" t="str">
        <f>'Q2 - IRTree'!AH70</f>
        <v/>
      </c>
      <c r="AI79" s="17" t="str">
        <f>'Q2 - IRTree'!AI70</f>
        <v/>
      </c>
      <c r="AJ79" s="17" t="str">
        <f>'Q2 - IRTree'!AJ70</f>
        <v/>
      </c>
      <c r="AK79" s="17" t="str">
        <f>'Q2 - IRTree'!AK70</f>
        <v/>
      </c>
      <c r="AL79" s="17" t="str">
        <f>'Q2 - IRTree'!AL70</f>
        <v/>
      </c>
      <c r="AM79" s="17" t="str">
        <f>'Q2 - IRTree'!AM70</f>
        <v/>
      </c>
      <c r="AN79" s="17" t="str">
        <f>'Q2 - IRTree'!AN70</f>
        <v/>
      </c>
      <c r="AO79" s="17" t="str">
        <f>'Q2 - IRTree'!AO70</f>
        <v/>
      </c>
      <c r="AP79" s="17" t="str">
        <f>'Q2 - IRTree'!AP70</f>
        <v/>
      </c>
      <c r="AQ79" s="17" t="str">
        <f>'Q2 - IRTree'!AQ70</f>
        <v/>
      </c>
      <c r="AR79" s="17" t="str">
        <f>'Q2 - IRTree'!AR70</f>
        <v/>
      </c>
      <c r="AS79" s="17" t="str">
        <f>'Q2 - IRTree'!AS70</f>
        <v/>
      </c>
      <c r="AT79" s="17" t="str">
        <f>'Q2 - IRTree'!AT70</f>
        <v/>
      </c>
      <c r="AU79" s="17" t="str">
        <f>'Q2 - IRTree'!AU70</f>
        <v/>
      </c>
      <c r="AV79" s="17" t="str">
        <f>'Q2 - IRTree'!AV70</f>
        <v/>
      </c>
      <c r="AW79" s="17" t="str">
        <f>'Q2 - IRTree'!AW70</f>
        <v/>
      </c>
      <c r="AX79" s="17" t="str">
        <f>'Q2 - IRTree'!AX70</f>
        <v/>
      </c>
      <c r="AY79" s="17" t="str">
        <f>'Q2 - IRTree'!AY70</f>
        <v/>
      </c>
      <c r="AZ79" s="17" t="str">
        <f>'Q2 - IRTree'!AZ70</f>
        <v/>
      </c>
      <c r="BA79" s="17" t="str">
        <f>'Q2 - IRTree'!BA70</f>
        <v/>
      </c>
      <c r="BB79" s="17" t="str">
        <f>'Q2 - IRTree'!BB70</f>
        <v/>
      </c>
      <c r="BC79" s="17" t="str">
        <f>'Q2 - IRTree'!BC70</f>
        <v/>
      </c>
      <c r="BD79" s="17" t="str">
        <f>'Q2 - IRTree'!BD70</f>
        <v/>
      </c>
      <c r="BE79" s="17" t="str">
        <f>'Q2 - IRTree'!BE70</f>
        <v/>
      </c>
      <c r="BF79" s="17">
        <f>'Q2 - IRTree'!BF70</f>
        <v>5.0682154636656651E-2</v>
      </c>
      <c r="BG79" s="17">
        <f>'Q2 - IRTree'!BG70</f>
        <v>5.0682154636656651E-2</v>
      </c>
      <c r="BH79" s="17">
        <f>'Q2 - IRTree'!BH70</f>
        <v>5.0682154636656651E-2</v>
      </c>
      <c r="BI79" s="17">
        <f>'Q2 - IRTree'!BI70</f>
        <v>5.0682154636656651E-2</v>
      </c>
      <c r="BJ79" s="17" t="str">
        <f>'Q2 - IRTree'!BJ70</f>
        <v/>
      </c>
    </row>
    <row r="80" spans="1:62" outlineLevel="1">
      <c r="A80" s="11">
        <f t="shared" si="2"/>
        <v>57</v>
      </c>
      <c r="B80" s="17" t="str">
        <f>'Q2 - IRTree'!B71</f>
        <v/>
      </c>
      <c r="C80" s="17" t="str">
        <f>'Q2 - IRTree'!C71</f>
        <v/>
      </c>
      <c r="D80" s="17" t="str">
        <f>'Q2 - IRTree'!D71</f>
        <v/>
      </c>
      <c r="E80" s="17" t="str">
        <f>'Q2 - IRTree'!E71</f>
        <v/>
      </c>
      <c r="F80" s="17" t="str">
        <f>'Q2 - IRTree'!F71</f>
        <v/>
      </c>
      <c r="G80" s="17" t="str">
        <f>'Q2 - IRTree'!G71</f>
        <v/>
      </c>
      <c r="H80" s="17" t="str">
        <f>'Q2 - IRTree'!H71</f>
        <v/>
      </c>
      <c r="I80" s="17" t="str">
        <f>'Q2 - IRTree'!I71</f>
        <v/>
      </c>
      <c r="J80" s="17" t="str">
        <f>'Q2 - IRTree'!J71</f>
        <v/>
      </c>
      <c r="K80" s="17" t="str">
        <f>'Q2 - IRTree'!K71</f>
        <v/>
      </c>
      <c r="L80" s="17" t="str">
        <f>'Q2 - IRTree'!L71</f>
        <v/>
      </c>
      <c r="M80" s="17" t="str">
        <f>'Q2 - IRTree'!M71</f>
        <v/>
      </c>
      <c r="N80" s="17" t="str">
        <f>'Q2 - IRTree'!N71</f>
        <v/>
      </c>
      <c r="O80" s="17" t="str">
        <f>'Q2 - IRTree'!O71</f>
        <v/>
      </c>
      <c r="P80" s="17" t="str">
        <f>'Q2 - IRTree'!P71</f>
        <v/>
      </c>
      <c r="Q80" s="17" t="str">
        <f>'Q2 - IRTree'!Q71</f>
        <v/>
      </c>
      <c r="R80" s="17" t="str">
        <f>'Q2 - IRTree'!R71</f>
        <v/>
      </c>
      <c r="S80" s="17" t="str">
        <f>'Q2 - IRTree'!S71</f>
        <v/>
      </c>
      <c r="T80" s="17" t="str">
        <f>'Q2 - IRTree'!T71</f>
        <v/>
      </c>
      <c r="U80" s="17" t="str">
        <f>'Q2 - IRTree'!U71</f>
        <v/>
      </c>
      <c r="V80" s="17" t="str">
        <f>'Q2 - IRTree'!V71</f>
        <v/>
      </c>
      <c r="W80" s="17" t="str">
        <f>'Q2 - IRTree'!W71</f>
        <v/>
      </c>
      <c r="X80" s="17" t="str">
        <f>'Q2 - IRTree'!X71</f>
        <v/>
      </c>
      <c r="Y80" s="17" t="str">
        <f>'Q2 - IRTree'!Y71</f>
        <v/>
      </c>
      <c r="Z80" s="17" t="str">
        <f>'Q2 - IRTree'!Z71</f>
        <v/>
      </c>
      <c r="AA80" s="17" t="str">
        <f>'Q2 - IRTree'!AA71</f>
        <v/>
      </c>
      <c r="AB80" s="17" t="str">
        <f>'Q2 - IRTree'!AB71</f>
        <v/>
      </c>
      <c r="AC80" s="17" t="str">
        <f>'Q2 - IRTree'!AC71</f>
        <v/>
      </c>
      <c r="AD80" s="17" t="str">
        <f>'Q2 - IRTree'!AD71</f>
        <v/>
      </c>
      <c r="AE80" s="17" t="str">
        <f>'Q2 - IRTree'!AE71</f>
        <v/>
      </c>
      <c r="AF80" s="17" t="str">
        <f>'Q2 - IRTree'!AF71</f>
        <v/>
      </c>
      <c r="AG80" s="17" t="str">
        <f>'Q2 - IRTree'!AG71</f>
        <v/>
      </c>
      <c r="AH80" s="17" t="str">
        <f>'Q2 - IRTree'!AH71</f>
        <v/>
      </c>
      <c r="AI80" s="17" t="str">
        <f>'Q2 - IRTree'!AI71</f>
        <v/>
      </c>
      <c r="AJ80" s="17" t="str">
        <f>'Q2 - IRTree'!AJ71</f>
        <v/>
      </c>
      <c r="AK80" s="17" t="str">
        <f>'Q2 - IRTree'!AK71</f>
        <v/>
      </c>
      <c r="AL80" s="17" t="str">
        <f>'Q2 - IRTree'!AL71</f>
        <v/>
      </c>
      <c r="AM80" s="17" t="str">
        <f>'Q2 - IRTree'!AM71</f>
        <v/>
      </c>
      <c r="AN80" s="17" t="str">
        <f>'Q2 - IRTree'!AN71</f>
        <v/>
      </c>
      <c r="AO80" s="17" t="str">
        <f>'Q2 - IRTree'!AO71</f>
        <v/>
      </c>
      <c r="AP80" s="17" t="str">
        <f>'Q2 - IRTree'!AP71</f>
        <v/>
      </c>
      <c r="AQ80" s="17" t="str">
        <f>'Q2 - IRTree'!AQ71</f>
        <v/>
      </c>
      <c r="AR80" s="17" t="str">
        <f>'Q2 - IRTree'!AR71</f>
        <v/>
      </c>
      <c r="AS80" s="17" t="str">
        <f>'Q2 - IRTree'!AS71</f>
        <v/>
      </c>
      <c r="AT80" s="17" t="str">
        <f>'Q2 - IRTree'!AT71</f>
        <v/>
      </c>
      <c r="AU80" s="17" t="str">
        <f>'Q2 - IRTree'!AU71</f>
        <v/>
      </c>
      <c r="AV80" s="17" t="str">
        <f>'Q2 - IRTree'!AV71</f>
        <v/>
      </c>
      <c r="AW80" s="17" t="str">
        <f>'Q2 - IRTree'!AW71</f>
        <v/>
      </c>
      <c r="AX80" s="17" t="str">
        <f>'Q2 - IRTree'!AX71</f>
        <v/>
      </c>
      <c r="AY80" s="17" t="str">
        <f>'Q2 - IRTree'!AY71</f>
        <v/>
      </c>
      <c r="AZ80" s="17" t="str">
        <f>'Q2 - IRTree'!AZ71</f>
        <v/>
      </c>
      <c r="BA80" s="17" t="str">
        <f>'Q2 - IRTree'!BA71</f>
        <v/>
      </c>
      <c r="BB80" s="17" t="str">
        <f>'Q2 - IRTree'!BB71</f>
        <v/>
      </c>
      <c r="BC80" s="17" t="str">
        <f>'Q2 - IRTree'!BC71</f>
        <v/>
      </c>
      <c r="BD80" s="17" t="str">
        <f>'Q2 - IRTree'!BD71</f>
        <v/>
      </c>
      <c r="BE80" s="17" t="str">
        <f>'Q2 - IRTree'!BE71</f>
        <v/>
      </c>
      <c r="BF80" s="17" t="str">
        <f>'Q2 - IRTree'!BF71</f>
        <v/>
      </c>
      <c r="BG80" s="17">
        <f>'Q2 - IRTree'!BG71</f>
        <v>5.0682154636656651E-2</v>
      </c>
      <c r="BH80" s="17">
        <f>'Q2 - IRTree'!BH71</f>
        <v>5.0682154636656651E-2</v>
      </c>
      <c r="BI80" s="17">
        <f>'Q2 - IRTree'!BI71</f>
        <v>5.0682154636656651E-2</v>
      </c>
      <c r="BJ80" s="17" t="str">
        <f>'Q2 - IRTree'!BJ71</f>
        <v/>
      </c>
    </row>
    <row r="81" spans="1:62">
      <c r="A81" s="11">
        <f t="shared" si="2"/>
        <v>58</v>
      </c>
      <c r="B81" s="17" t="str">
        <f>'Q2 - IRTree'!B72</f>
        <v/>
      </c>
      <c r="C81" s="17" t="str">
        <f>'Q2 - IRTree'!C72</f>
        <v/>
      </c>
      <c r="D81" s="17" t="str">
        <f>'Q2 - IRTree'!D72</f>
        <v/>
      </c>
      <c r="E81" s="17" t="str">
        <f>'Q2 - IRTree'!E72</f>
        <v/>
      </c>
      <c r="F81" s="17" t="str">
        <f>'Q2 - IRTree'!F72</f>
        <v/>
      </c>
      <c r="G81" s="17" t="str">
        <f>'Q2 - IRTree'!G72</f>
        <v/>
      </c>
      <c r="H81" s="17" t="str">
        <f>'Q2 - IRTree'!H72</f>
        <v/>
      </c>
      <c r="I81" s="17" t="str">
        <f>'Q2 - IRTree'!I72</f>
        <v/>
      </c>
      <c r="J81" s="17" t="str">
        <f>'Q2 - IRTree'!J72</f>
        <v/>
      </c>
      <c r="K81" s="17" t="str">
        <f>'Q2 - IRTree'!K72</f>
        <v/>
      </c>
      <c r="L81" s="17" t="str">
        <f>'Q2 - IRTree'!L72</f>
        <v/>
      </c>
      <c r="M81" s="17" t="str">
        <f>'Q2 - IRTree'!M72</f>
        <v/>
      </c>
      <c r="N81" s="17" t="str">
        <f>'Q2 - IRTree'!N72</f>
        <v/>
      </c>
      <c r="O81" s="17" t="str">
        <f>'Q2 - IRTree'!O72</f>
        <v/>
      </c>
      <c r="P81" s="17" t="str">
        <f>'Q2 - IRTree'!P72</f>
        <v/>
      </c>
      <c r="Q81" s="17" t="str">
        <f>'Q2 - IRTree'!Q72</f>
        <v/>
      </c>
      <c r="R81" s="17" t="str">
        <f>'Q2 - IRTree'!R72</f>
        <v/>
      </c>
      <c r="S81" s="17" t="str">
        <f>'Q2 - IRTree'!S72</f>
        <v/>
      </c>
      <c r="T81" s="17" t="str">
        <f>'Q2 - IRTree'!T72</f>
        <v/>
      </c>
      <c r="U81" s="17" t="str">
        <f>'Q2 - IRTree'!U72</f>
        <v/>
      </c>
      <c r="V81" s="17" t="str">
        <f>'Q2 - IRTree'!V72</f>
        <v/>
      </c>
      <c r="W81" s="17" t="str">
        <f>'Q2 - IRTree'!W72</f>
        <v/>
      </c>
      <c r="X81" s="17" t="str">
        <f>'Q2 - IRTree'!X72</f>
        <v/>
      </c>
      <c r="Y81" s="17" t="str">
        <f>'Q2 - IRTree'!Y72</f>
        <v/>
      </c>
      <c r="Z81" s="17" t="str">
        <f>'Q2 - IRTree'!Z72</f>
        <v/>
      </c>
      <c r="AA81" s="17" t="str">
        <f>'Q2 - IRTree'!AA72</f>
        <v/>
      </c>
      <c r="AB81" s="17" t="str">
        <f>'Q2 - IRTree'!AB72</f>
        <v/>
      </c>
      <c r="AC81" s="17" t="str">
        <f>'Q2 - IRTree'!AC72</f>
        <v/>
      </c>
      <c r="AD81" s="17" t="str">
        <f>'Q2 - IRTree'!AD72</f>
        <v/>
      </c>
      <c r="AE81" s="17" t="str">
        <f>'Q2 - IRTree'!AE72</f>
        <v/>
      </c>
      <c r="AF81" s="17" t="str">
        <f>'Q2 - IRTree'!AF72</f>
        <v/>
      </c>
      <c r="AG81" s="17" t="str">
        <f>'Q2 - IRTree'!AG72</f>
        <v/>
      </c>
      <c r="AH81" s="17" t="str">
        <f>'Q2 - IRTree'!AH72</f>
        <v/>
      </c>
      <c r="AI81" s="17" t="str">
        <f>'Q2 - IRTree'!AI72</f>
        <v/>
      </c>
      <c r="AJ81" s="17" t="str">
        <f>'Q2 - IRTree'!AJ72</f>
        <v/>
      </c>
      <c r="AK81" s="17" t="str">
        <f>'Q2 - IRTree'!AK72</f>
        <v/>
      </c>
      <c r="AL81" s="17" t="str">
        <f>'Q2 - IRTree'!AL72</f>
        <v/>
      </c>
      <c r="AM81" s="17" t="str">
        <f>'Q2 - IRTree'!AM72</f>
        <v/>
      </c>
      <c r="AN81" s="17" t="str">
        <f>'Q2 - IRTree'!AN72</f>
        <v/>
      </c>
      <c r="AO81" s="17" t="str">
        <f>'Q2 - IRTree'!AO72</f>
        <v/>
      </c>
      <c r="AP81" s="17" t="str">
        <f>'Q2 - IRTree'!AP72</f>
        <v/>
      </c>
      <c r="AQ81" s="17" t="str">
        <f>'Q2 - IRTree'!AQ72</f>
        <v/>
      </c>
      <c r="AR81" s="17" t="str">
        <f>'Q2 - IRTree'!AR72</f>
        <v/>
      </c>
      <c r="AS81" s="17" t="str">
        <f>'Q2 - IRTree'!AS72</f>
        <v/>
      </c>
      <c r="AT81" s="17" t="str">
        <f>'Q2 - IRTree'!AT72</f>
        <v/>
      </c>
      <c r="AU81" s="17" t="str">
        <f>'Q2 - IRTree'!AU72</f>
        <v/>
      </c>
      <c r="AV81" s="17" t="str">
        <f>'Q2 - IRTree'!AV72</f>
        <v/>
      </c>
      <c r="AW81" s="17" t="str">
        <f>'Q2 - IRTree'!AW72</f>
        <v/>
      </c>
      <c r="AX81" s="17" t="str">
        <f>'Q2 - IRTree'!AX72</f>
        <v/>
      </c>
      <c r="AY81" s="17" t="str">
        <f>'Q2 - IRTree'!AY72</f>
        <v/>
      </c>
      <c r="AZ81" s="17" t="str">
        <f>'Q2 - IRTree'!AZ72</f>
        <v/>
      </c>
      <c r="BA81" s="17" t="str">
        <f>'Q2 - IRTree'!BA72</f>
        <v/>
      </c>
      <c r="BB81" s="17" t="str">
        <f>'Q2 - IRTree'!BB72</f>
        <v/>
      </c>
      <c r="BC81" s="17" t="str">
        <f>'Q2 - IRTree'!BC72</f>
        <v/>
      </c>
      <c r="BD81" s="17" t="str">
        <f>'Q2 - IRTree'!BD72</f>
        <v/>
      </c>
      <c r="BE81" s="17" t="str">
        <f>'Q2 - IRTree'!BE72</f>
        <v/>
      </c>
      <c r="BF81" s="17" t="str">
        <f>'Q2 - IRTree'!BF72</f>
        <v/>
      </c>
      <c r="BG81" s="17" t="str">
        <f>'Q2 - IRTree'!BG72</f>
        <v/>
      </c>
      <c r="BH81" s="17">
        <f>'Q2 - IRTree'!BH72</f>
        <v>5.0682154636656651E-2</v>
      </c>
      <c r="BI81" s="17">
        <f>'Q2 - IRTree'!BI72</f>
        <v>5.0682154636656651E-2</v>
      </c>
      <c r="BJ81" s="17" t="str">
        <f>'Q2 - IRTree'!BJ72</f>
        <v/>
      </c>
    </row>
    <row r="82" spans="1:62">
      <c r="A82" s="11">
        <f t="shared" si="2"/>
        <v>59</v>
      </c>
      <c r="B82" s="17" t="str">
        <f>'Q2 - IRTree'!B73</f>
        <v/>
      </c>
      <c r="C82" s="17" t="str">
        <f>'Q2 - IRTree'!C73</f>
        <v/>
      </c>
      <c r="D82" s="17" t="str">
        <f>'Q2 - IRTree'!D73</f>
        <v/>
      </c>
      <c r="E82" s="17" t="str">
        <f>'Q2 - IRTree'!E73</f>
        <v/>
      </c>
      <c r="F82" s="17" t="str">
        <f>'Q2 - IRTree'!F73</f>
        <v/>
      </c>
      <c r="G82" s="17" t="str">
        <f>'Q2 - IRTree'!G73</f>
        <v/>
      </c>
      <c r="H82" s="17" t="str">
        <f>'Q2 - IRTree'!H73</f>
        <v/>
      </c>
      <c r="I82" s="17" t="str">
        <f>'Q2 - IRTree'!I73</f>
        <v/>
      </c>
      <c r="J82" s="17" t="str">
        <f>'Q2 - IRTree'!J73</f>
        <v/>
      </c>
      <c r="K82" s="17" t="str">
        <f>'Q2 - IRTree'!K73</f>
        <v/>
      </c>
      <c r="L82" s="17" t="str">
        <f>'Q2 - IRTree'!L73</f>
        <v/>
      </c>
      <c r="M82" s="17" t="str">
        <f>'Q2 - IRTree'!M73</f>
        <v/>
      </c>
      <c r="N82" s="17" t="str">
        <f>'Q2 - IRTree'!N73</f>
        <v/>
      </c>
      <c r="O82" s="17" t="str">
        <f>'Q2 - IRTree'!O73</f>
        <v/>
      </c>
      <c r="P82" s="17" t="str">
        <f>'Q2 - IRTree'!P73</f>
        <v/>
      </c>
      <c r="Q82" s="17" t="str">
        <f>'Q2 - IRTree'!Q73</f>
        <v/>
      </c>
      <c r="R82" s="17" t="str">
        <f>'Q2 - IRTree'!R73</f>
        <v/>
      </c>
      <c r="S82" s="17" t="str">
        <f>'Q2 - IRTree'!S73</f>
        <v/>
      </c>
      <c r="T82" s="17" t="str">
        <f>'Q2 - IRTree'!T73</f>
        <v/>
      </c>
      <c r="U82" s="17" t="str">
        <f>'Q2 - IRTree'!U73</f>
        <v/>
      </c>
      <c r="V82" s="17" t="str">
        <f>'Q2 - IRTree'!V73</f>
        <v/>
      </c>
      <c r="W82" s="17" t="str">
        <f>'Q2 - IRTree'!W73</f>
        <v/>
      </c>
      <c r="X82" s="17" t="str">
        <f>'Q2 - IRTree'!X73</f>
        <v/>
      </c>
      <c r="Y82" s="17" t="str">
        <f>'Q2 - IRTree'!Y73</f>
        <v/>
      </c>
      <c r="Z82" s="17" t="str">
        <f>'Q2 - IRTree'!Z73</f>
        <v/>
      </c>
      <c r="AA82" s="17" t="str">
        <f>'Q2 - IRTree'!AA73</f>
        <v/>
      </c>
      <c r="AB82" s="17" t="str">
        <f>'Q2 - IRTree'!AB73</f>
        <v/>
      </c>
      <c r="AC82" s="17" t="str">
        <f>'Q2 - IRTree'!AC73</f>
        <v/>
      </c>
      <c r="AD82" s="17" t="str">
        <f>'Q2 - IRTree'!AD73</f>
        <v/>
      </c>
      <c r="AE82" s="17" t="str">
        <f>'Q2 - IRTree'!AE73</f>
        <v/>
      </c>
      <c r="AF82" s="17" t="str">
        <f>'Q2 - IRTree'!AF73</f>
        <v/>
      </c>
      <c r="AG82" s="17" t="str">
        <f>'Q2 - IRTree'!AG73</f>
        <v/>
      </c>
      <c r="AH82" s="17" t="str">
        <f>'Q2 - IRTree'!AH73</f>
        <v/>
      </c>
      <c r="AI82" s="17" t="str">
        <f>'Q2 - IRTree'!AI73</f>
        <v/>
      </c>
      <c r="AJ82" s="17" t="str">
        <f>'Q2 - IRTree'!AJ73</f>
        <v/>
      </c>
      <c r="AK82" s="17" t="str">
        <f>'Q2 - IRTree'!AK73</f>
        <v/>
      </c>
      <c r="AL82" s="17" t="str">
        <f>'Q2 - IRTree'!AL73</f>
        <v/>
      </c>
      <c r="AM82" s="17" t="str">
        <f>'Q2 - IRTree'!AM73</f>
        <v/>
      </c>
      <c r="AN82" s="17" t="str">
        <f>'Q2 - IRTree'!AN73</f>
        <v/>
      </c>
      <c r="AO82" s="17" t="str">
        <f>'Q2 - IRTree'!AO73</f>
        <v/>
      </c>
      <c r="AP82" s="17" t="str">
        <f>'Q2 - IRTree'!AP73</f>
        <v/>
      </c>
      <c r="AQ82" s="17" t="str">
        <f>'Q2 - IRTree'!AQ73</f>
        <v/>
      </c>
      <c r="AR82" s="17" t="str">
        <f>'Q2 - IRTree'!AR73</f>
        <v/>
      </c>
      <c r="AS82" s="17" t="str">
        <f>'Q2 - IRTree'!AS73</f>
        <v/>
      </c>
      <c r="AT82" s="17" t="str">
        <f>'Q2 - IRTree'!AT73</f>
        <v/>
      </c>
      <c r="AU82" s="17" t="str">
        <f>'Q2 - IRTree'!AU73</f>
        <v/>
      </c>
      <c r="AV82" s="17" t="str">
        <f>'Q2 - IRTree'!AV73</f>
        <v/>
      </c>
      <c r="AW82" s="17" t="str">
        <f>'Q2 - IRTree'!AW73</f>
        <v/>
      </c>
      <c r="AX82" s="17" t="str">
        <f>'Q2 - IRTree'!AX73</f>
        <v/>
      </c>
      <c r="AY82" s="17" t="str">
        <f>'Q2 - IRTree'!AY73</f>
        <v/>
      </c>
      <c r="AZ82" s="17" t="str">
        <f>'Q2 - IRTree'!AZ73</f>
        <v/>
      </c>
      <c r="BA82" s="17" t="str">
        <f>'Q2 - IRTree'!BA73</f>
        <v/>
      </c>
      <c r="BB82" s="17" t="str">
        <f>'Q2 - IRTree'!BB73</f>
        <v/>
      </c>
      <c r="BC82" s="17" t="str">
        <f>'Q2 - IRTree'!BC73</f>
        <v/>
      </c>
      <c r="BD82" s="17" t="str">
        <f>'Q2 - IRTree'!BD73</f>
        <v/>
      </c>
      <c r="BE82" s="17" t="str">
        <f>'Q2 - IRTree'!BE73</f>
        <v/>
      </c>
      <c r="BF82" s="17" t="str">
        <f>'Q2 - IRTree'!BF73</f>
        <v/>
      </c>
      <c r="BG82" s="17" t="str">
        <f>'Q2 - IRTree'!BG73</f>
        <v/>
      </c>
      <c r="BH82" s="17" t="str">
        <f>'Q2 - IRTree'!BH73</f>
        <v/>
      </c>
      <c r="BI82" s="17">
        <f>'Q2 - IRTree'!BI73</f>
        <v>5.0682154636656651E-2</v>
      </c>
      <c r="BJ82" s="17" t="str">
        <f>'Q2 - IRTree'!BJ73</f>
        <v/>
      </c>
    </row>
    <row r="83" spans="1:62">
      <c r="A83" s="11">
        <f t="shared" si="2"/>
        <v>60</v>
      </c>
      <c r="B83" s="17" t="str">
        <f>'Q2 - IRTree'!B74</f>
        <v/>
      </c>
      <c r="C83" s="17" t="str">
        <f>'Q2 - IRTree'!C74</f>
        <v/>
      </c>
      <c r="D83" s="17" t="str">
        <f>'Q2 - IRTree'!D74</f>
        <v/>
      </c>
      <c r="E83" s="17" t="str">
        <f>'Q2 - IRTree'!E74</f>
        <v/>
      </c>
      <c r="F83" s="17" t="str">
        <f>'Q2 - IRTree'!F74</f>
        <v/>
      </c>
      <c r="G83" s="17" t="str">
        <f>'Q2 - IRTree'!G74</f>
        <v/>
      </c>
      <c r="H83" s="17" t="str">
        <f>'Q2 - IRTree'!H74</f>
        <v/>
      </c>
      <c r="I83" s="17" t="str">
        <f>'Q2 - IRTree'!I74</f>
        <v/>
      </c>
      <c r="J83" s="17" t="str">
        <f>'Q2 - IRTree'!J74</f>
        <v/>
      </c>
      <c r="K83" s="17" t="str">
        <f>'Q2 - IRTree'!K74</f>
        <v/>
      </c>
      <c r="L83" s="17" t="str">
        <f>'Q2 - IRTree'!L74</f>
        <v/>
      </c>
      <c r="M83" s="17" t="str">
        <f>'Q2 - IRTree'!M74</f>
        <v/>
      </c>
      <c r="N83" s="17" t="str">
        <f>'Q2 - IRTree'!N74</f>
        <v/>
      </c>
      <c r="O83" s="17" t="str">
        <f>'Q2 - IRTree'!O74</f>
        <v/>
      </c>
      <c r="P83" s="17" t="str">
        <f>'Q2 - IRTree'!P74</f>
        <v/>
      </c>
      <c r="Q83" s="17" t="str">
        <f>'Q2 - IRTree'!Q74</f>
        <v/>
      </c>
      <c r="R83" s="17" t="str">
        <f>'Q2 - IRTree'!R74</f>
        <v/>
      </c>
      <c r="S83" s="17" t="str">
        <f>'Q2 - IRTree'!S74</f>
        <v/>
      </c>
      <c r="T83" s="17" t="str">
        <f>'Q2 - IRTree'!T74</f>
        <v/>
      </c>
      <c r="U83" s="17" t="str">
        <f>'Q2 - IRTree'!U74</f>
        <v/>
      </c>
      <c r="V83" s="17" t="str">
        <f>'Q2 - IRTree'!V74</f>
        <v/>
      </c>
      <c r="W83" s="17" t="str">
        <f>'Q2 - IRTree'!W74</f>
        <v/>
      </c>
      <c r="X83" s="17" t="str">
        <f>'Q2 - IRTree'!X74</f>
        <v/>
      </c>
      <c r="Y83" s="17" t="str">
        <f>'Q2 - IRTree'!Y74</f>
        <v/>
      </c>
      <c r="Z83" s="17" t="str">
        <f>'Q2 - IRTree'!Z74</f>
        <v/>
      </c>
      <c r="AA83" s="17" t="str">
        <f>'Q2 - IRTree'!AA74</f>
        <v/>
      </c>
      <c r="AB83" s="17" t="str">
        <f>'Q2 - IRTree'!AB74</f>
        <v/>
      </c>
      <c r="AC83" s="17" t="str">
        <f>'Q2 - IRTree'!AC74</f>
        <v/>
      </c>
      <c r="AD83" s="17" t="str">
        <f>'Q2 - IRTree'!AD74</f>
        <v/>
      </c>
      <c r="AE83" s="17" t="str">
        <f>'Q2 - IRTree'!AE74</f>
        <v/>
      </c>
      <c r="AF83" s="17" t="str">
        <f>'Q2 - IRTree'!AF74</f>
        <v/>
      </c>
      <c r="AG83" s="17" t="str">
        <f>'Q2 - IRTree'!AG74</f>
        <v/>
      </c>
      <c r="AH83" s="17" t="str">
        <f>'Q2 - IRTree'!AH74</f>
        <v/>
      </c>
      <c r="AI83" s="17" t="str">
        <f>'Q2 - IRTree'!AI74</f>
        <v/>
      </c>
      <c r="AJ83" s="17" t="str">
        <f>'Q2 - IRTree'!AJ74</f>
        <v/>
      </c>
      <c r="AK83" s="17" t="str">
        <f>'Q2 - IRTree'!AK74</f>
        <v/>
      </c>
      <c r="AL83" s="17" t="str">
        <f>'Q2 - IRTree'!AL74</f>
        <v/>
      </c>
      <c r="AM83" s="17" t="str">
        <f>'Q2 - IRTree'!AM74</f>
        <v/>
      </c>
      <c r="AN83" s="17" t="str">
        <f>'Q2 - IRTree'!AN74</f>
        <v/>
      </c>
      <c r="AO83" s="17" t="str">
        <f>'Q2 - IRTree'!AO74</f>
        <v/>
      </c>
      <c r="AP83" s="17" t="str">
        <f>'Q2 - IRTree'!AP74</f>
        <v/>
      </c>
      <c r="AQ83" s="17" t="str">
        <f>'Q2 - IRTree'!AQ74</f>
        <v/>
      </c>
      <c r="AR83" s="17" t="str">
        <f>'Q2 - IRTree'!AR74</f>
        <v/>
      </c>
      <c r="AS83" s="17" t="str">
        <f>'Q2 - IRTree'!AS74</f>
        <v/>
      </c>
      <c r="AT83" s="17" t="str">
        <f>'Q2 - IRTree'!AT74</f>
        <v/>
      </c>
      <c r="AU83" s="17" t="str">
        <f>'Q2 - IRTree'!AU74</f>
        <v/>
      </c>
      <c r="AV83" s="17" t="str">
        <f>'Q2 - IRTree'!AV74</f>
        <v/>
      </c>
      <c r="AW83" s="17" t="str">
        <f>'Q2 - IRTree'!AW74</f>
        <v/>
      </c>
      <c r="AX83" s="17" t="str">
        <f>'Q2 - IRTree'!AX74</f>
        <v/>
      </c>
      <c r="AY83" s="17" t="str">
        <f>'Q2 - IRTree'!AY74</f>
        <v/>
      </c>
      <c r="AZ83" s="17" t="str">
        <f>'Q2 - IRTree'!AZ74</f>
        <v/>
      </c>
      <c r="BA83" s="17" t="str">
        <f>'Q2 - IRTree'!BA74</f>
        <v/>
      </c>
      <c r="BB83" s="17" t="str">
        <f>'Q2 - IRTree'!BB74</f>
        <v/>
      </c>
      <c r="BC83" s="17" t="str">
        <f>'Q2 - IRTree'!BC74</f>
        <v/>
      </c>
      <c r="BD83" s="17" t="str">
        <f>'Q2 - IRTree'!BD74</f>
        <v/>
      </c>
      <c r="BE83" s="17" t="str">
        <f>'Q2 - IRTree'!BE74</f>
        <v/>
      </c>
      <c r="BF83" s="17" t="str">
        <f>'Q2 - IRTree'!BF74</f>
        <v/>
      </c>
      <c r="BG83" s="17" t="str">
        <f>'Q2 - IRTree'!BG74</f>
        <v/>
      </c>
      <c r="BH83" s="17" t="str">
        <f>'Q2 - IRTree'!BH74</f>
        <v/>
      </c>
      <c r="BI83" s="17" t="str">
        <f>'Q2 - IRTree'!BI74</f>
        <v/>
      </c>
      <c r="BJ83" s="17" t="str">
        <f>'Q2 - IRTree'!BJ74</f>
        <v/>
      </c>
    </row>
    <row r="88" spans="1:62">
      <c r="B88" s="7"/>
      <c r="C88" s="61"/>
      <c r="E88" s="69"/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61"/>
      <c r="Z88" s="61"/>
      <c r="AA88" s="61"/>
      <c r="AB88" s="61"/>
      <c r="AC88" s="61"/>
      <c r="AD88" s="61"/>
      <c r="AE88" s="61"/>
      <c r="AF88" s="61"/>
      <c r="AG88" s="61"/>
      <c r="AH88" s="61"/>
      <c r="AI88" s="61"/>
      <c r="AJ88" s="61"/>
      <c r="AK88" s="61"/>
      <c r="AL88" s="61"/>
      <c r="AM88" s="61"/>
      <c r="AN88" s="61"/>
      <c r="AO88" s="61"/>
      <c r="AP88" s="61"/>
      <c r="AQ88" s="61"/>
      <c r="AR88" s="61"/>
      <c r="AS88" s="61"/>
      <c r="AT88" s="61"/>
      <c r="AU88" s="61"/>
      <c r="AV88" s="61"/>
      <c r="AW88" s="61"/>
      <c r="AX88" s="61"/>
      <c r="AY88" s="61"/>
      <c r="AZ88" s="61"/>
      <c r="BA88" s="61"/>
      <c r="BB88" s="61"/>
      <c r="BC88" s="61"/>
      <c r="BD88" s="61"/>
      <c r="BE88" s="61"/>
      <c r="BF88" s="61"/>
    </row>
    <row r="89" spans="1:62">
      <c r="B89" s="61"/>
      <c r="C89" s="61"/>
      <c r="D89" s="61"/>
      <c r="E89" s="61"/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  <c r="AK89" s="61"/>
      <c r="AL89" s="61"/>
      <c r="AM89" s="61"/>
      <c r="AN89" s="61"/>
      <c r="AO89" s="61"/>
      <c r="AP89" s="61"/>
      <c r="AQ89" s="61"/>
      <c r="AR89" s="61"/>
      <c r="AS89" s="61"/>
      <c r="AT89" s="61"/>
      <c r="AU89" s="61"/>
      <c r="AV89" s="61"/>
      <c r="AW89" s="61"/>
      <c r="AX89" s="61"/>
      <c r="AY89" s="61"/>
      <c r="AZ89" s="61"/>
      <c r="BA89" s="61"/>
      <c r="BB89" s="61"/>
      <c r="BC89" s="61"/>
      <c r="BD89" s="61"/>
      <c r="BE89" s="61"/>
      <c r="BF89" s="61"/>
    </row>
    <row r="90" spans="1:62">
      <c r="B90" s="7" t="s">
        <v>662</v>
      </c>
      <c r="C90" s="61"/>
      <c r="D90" s="61"/>
      <c r="E90" s="61"/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/>
      <c r="Z90" s="61"/>
      <c r="AA90" s="61"/>
      <c r="AB90" s="61"/>
      <c r="AC90" s="61"/>
      <c r="AD90" s="61"/>
      <c r="AE90" s="61"/>
      <c r="AF90" s="61"/>
      <c r="AG90" s="61"/>
      <c r="AH90" s="61"/>
      <c r="AI90" s="61"/>
      <c r="AJ90" s="61"/>
      <c r="AK90" s="61"/>
      <c r="AL90" s="61"/>
      <c r="AM90" s="61"/>
      <c r="AN90" s="61"/>
      <c r="AO90" s="61"/>
      <c r="AP90" s="61"/>
      <c r="AQ90" s="61"/>
      <c r="AR90" s="61"/>
      <c r="AS90" s="61"/>
      <c r="AT90" s="61"/>
      <c r="AU90" s="61"/>
      <c r="AV90" s="61"/>
      <c r="AW90" s="61"/>
      <c r="AX90" s="61"/>
      <c r="AY90" s="61"/>
      <c r="AZ90" s="61"/>
      <c r="BA90" s="61"/>
      <c r="BB90" s="61"/>
      <c r="BC90" s="61"/>
      <c r="BD90" s="61"/>
      <c r="BE90" s="61"/>
      <c r="BF90" s="61"/>
    </row>
    <row r="91" spans="1:62">
      <c r="C91" s="61"/>
      <c r="D91" s="61"/>
      <c r="E91" s="61"/>
      <c r="F91" s="61"/>
      <c r="G91" s="61"/>
      <c r="H91" s="61"/>
      <c r="I91" s="61"/>
      <c r="J91" s="61"/>
      <c r="K91" s="61"/>
      <c r="L91" s="61"/>
      <c r="M91" s="61"/>
      <c r="N91" s="61"/>
      <c r="O91" s="61"/>
      <c r="P91" s="61"/>
      <c r="Q91" s="61"/>
      <c r="R91" s="61"/>
      <c r="S91" s="61"/>
      <c r="T91" s="61"/>
      <c r="U91" s="61"/>
      <c r="V91" s="61"/>
      <c r="W91" s="61"/>
      <c r="X91" s="61"/>
      <c r="Y91" s="61"/>
      <c r="Z91" s="61"/>
      <c r="AA91" s="61"/>
      <c r="AB91" s="61"/>
      <c r="AC91" s="61"/>
      <c r="AD91" s="61"/>
      <c r="AE91" s="61"/>
      <c r="AF91" s="61"/>
      <c r="AG91" s="61"/>
      <c r="AH91" s="61"/>
      <c r="AI91" s="61"/>
      <c r="AJ91" s="61"/>
      <c r="AK91" s="61"/>
      <c r="AL91" s="61"/>
      <c r="AM91" s="61"/>
      <c r="AN91" s="61"/>
      <c r="AO91" s="61"/>
      <c r="AP91" s="61"/>
      <c r="AQ91" s="61"/>
      <c r="AR91" s="61"/>
      <c r="AS91" s="61"/>
      <c r="AT91" s="61"/>
      <c r="AU91" s="61"/>
      <c r="AV91" s="61"/>
      <c r="AW91" s="61"/>
      <c r="AX91" s="61"/>
      <c r="AY91" s="61"/>
      <c r="AZ91" s="61"/>
      <c r="BA91" s="61"/>
      <c r="BB91" s="61"/>
      <c r="BC91" s="61"/>
      <c r="BD91" s="61"/>
      <c r="BE91" s="61"/>
      <c r="BF91" s="61"/>
    </row>
    <row r="92" spans="1:62" s="13" customFormat="1">
      <c r="A92" s="21" t="s">
        <v>25</v>
      </c>
      <c r="B92" s="13">
        <f t="shared" ref="B92:AG92" si="3">B93*h</f>
        <v>0</v>
      </c>
      <c r="C92" s="13">
        <f t="shared" si="3"/>
        <v>0.5</v>
      </c>
      <c r="D92" s="13">
        <f t="shared" si="3"/>
        <v>1</v>
      </c>
      <c r="E92" s="13">
        <f t="shared" si="3"/>
        <v>1.5</v>
      </c>
      <c r="F92" s="13">
        <f t="shared" si="3"/>
        <v>2</v>
      </c>
      <c r="G92" s="13">
        <f t="shared" si="3"/>
        <v>2.5</v>
      </c>
      <c r="H92" s="13">
        <f t="shared" si="3"/>
        <v>3</v>
      </c>
      <c r="I92" s="13">
        <f t="shared" si="3"/>
        <v>3.5</v>
      </c>
      <c r="J92" s="13">
        <f t="shared" si="3"/>
        <v>4</v>
      </c>
      <c r="K92" s="13">
        <f t="shared" si="3"/>
        <v>4.5</v>
      </c>
      <c r="L92" s="13">
        <f t="shared" si="3"/>
        <v>5</v>
      </c>
      <c r="M92" s="13">
        <f t="shared" si="3"/>
        <v>5.5</v>
      </c>
      <c r="N92" s="13">
        <f t="shared" si="3"/>
        <v>6</v>
      </c>
      <c r="O92" s="13">
        <f t="shared" si="3"/>
        <v>6.5</v>
      </c>
      <c r="P92" s="13">
        <f t="shared" si="3"/>
        <v>7</v>
      </c>
      <c r="Q92" s="13">
        <f t="shared" si="3"/>
        <v>7.5</v>
      </c>
      <c r="R92" s="13">
        <f t="shared" si="3"/>
        <v>8</v>
      </c>
      <c r="S92" s="13">
        <f t="shared" si="3"/>
        <v>8.5</v>
      </c>
      <c r="T92" s="13">
        <f t="shared" si="3"/>
        <v>9</v>
      </c>
      <c r="U92" s="13">
        <f t="shared" si="3"/>
        <v>9.5</v>
      </c>
      <c r="V92" s="13">
        <f t="shared" si="3"/>
        <v>10</v>
      </c>
      <c r="W92" s="13">
        <f t="shared" si="3"/>
        <v>10.5</v>
      </c>
      <c r="X92" s="13">
        <f t="shared" si="3"/>
        <v>11</v>
      </c>
      <c r="Y92" s="13">
        <f t="shared" si="3"/>
        <v>11.5</v>
      </c>
      <c r="Z92" s="13">
        <f t="shared" si="3"/>
        <v>12</v>
      </c>
      <c r="AA92" s="13">
        <f t="shared" si="3"/>
        <v>12.5</v>
      </c>
      <c r="AB92" s="13">
        <f t="shared" si="3"/>
        <v>13</v>
      </c>
      <c r="AC92" s="13">
        <f t="shared" si="3"/>
        <v>13.5</v>
      </c>
      <c r="AD92" s="13">
        <f t="shared" si="3"/>
        <v>14</v>
      </c>
      <c r="AE92" s="13">
        <f t="shared" si="3"/>
        <v>14.5</v>
      </c>
      <c r="AF92" s="13">
        <f t="shared" si="3"/>
        <v>15</v>
      </c>
      <c r="AG92" s="13">
        <f t="shared" si="3"/>
        <v>15.5</v>
      </c>
      <c r="AH92" s="13">
        <f t="shared" ref="AH92:BJ92" si="4">AH93*h</f>
        <v>16</v>
      </c>
      <c r="AI92" s="13">
        <f t="shared" si="4"/>
        <v>16.5</v>
      </c>
      <c r="AJ92" s="13">
        <f t="shared" si="4"/>
        <v>17</v>
      </c>
      <c r="AK92" s="13">
        <f t="shared" si="4"/>
        <v>17.5</v>
      </c>
      <c r="AL92" s="13">
        <f t="shared" si="4"/>
        <v>18</v>
      </c>
      <c r="AM92" s="13">
        <f t="shared" si="4"/>
        <v>18.5</v>
      </c>
      <c r="AN92" s="13">
        <f t="shared" si="4"/>
        <v>19</v>
      </c>
      <c r="AO92" s="13">
        <f t="shared" si="4"/>
        <v>19.5</v>
      </c>
      <c r="AP92" s="13">
        <f t="shared" si="4"/>
        <v>20</v>
      </c>
      <c r="AQ92" s="13">
        <f t="shared" si="4"/>
        <v>20.5</v>
      </c>
      <c r="AR92" s="13">
        <f t="shared" si="4"/>
        <v>21</v>
      </c>
      <c r="AS92" s="13">
        <f t="shared" si="4"/>
        <v>21.5</v>
      </c>
      <c r="AT92" s="13">
        <f t="shared" si="4"/>
        <v>22</v>
      </c>
      <c r="AU92" s="13">
        <f t="shared" si="4"/>
        <v>22.5</v>
      </c>
      <c r="AV92" s="13">
        <f t="shared" si="4"/>
        <v>23</v>
      </c>
      <c r="AW92" s="13">
        <f t="shared" si="4"/>
        <v>23.5</v>
      </c>
      <c r="AX92" s="13">
        <f t="shared" si="4"/>
        <v>24</v>
      </c>
      <c r="AY92" s="13">
        <f t="shared" si="4"/>
        <v>24.5</v>
      </c>
      <c r="AZ92" s="13">
        <f t="shared" si="4"/>
        <v>25</v>
      </c>
      <c r="BA92" s="13">
        <f t="shared" si="4"/>
        <v>25.5</v>
      </c>
      <c r="BB92" s="13">
        <f t="shared" si="4"/>
        <v>26</v>
      </c>
      <c r="BC92" s="13">
        <f t="shared" si="4"/>
        <v>26.5</v>
      </c>
      <c r="BD92" s="13">
        <f t="shared" si="4"/>
        <v>27</v>
      </c>
      <c r="BE92" s="13">
        <f t="shared" si="4"/>
        <v>27.5</v>
      </c>
      <c r="BF92" s="13">
        <f t="shared" si="4"/>
        <v>28</v>
      </c>
      <c r="BG92" s="13">
        <f t="shared" si="4"/>
        <v>28.5</v>
      </c>
      <c r="BH92" s="13">
        <f t="shared" si="4"/>
        <v>29</v>
      </c>
      <c r="BI92" s="13">
        <f t="shared" si="4"/>
        <v>29.5</v>
      </c>
      <c r="BJ92" s="13">
        <f t="shared" si="4"/>
        <v>30</v>
      </c>
    </row>
    <row r="93" spans="1:62">
      <c r="A93" s="22" t="s">
        <v>18</v>
      </c>
      <c r="B93" s="3">
        <v>0</v>
      </c>
      <c r="C93" s="3">
        <f t="shared" ref="C93:AH93" si="5">B93+1</f>
        <v>1</v>
      </c>
      <c r="D93" s="3">
        <f>C93+1</f>
        <v>2</v>
      </c>
      <c r="E93" s="3">
        <f>D93+1</f>
        <v>3</v>
      </c>
      <c r="F93" s="3">
        <f t="shared" si="5"/>
        <v>4</v>
      </c>
      <c r="G93" s="3">
        <f t="shared" si="5"/>
        <v>5</v>
      </c>
      <c r="H93" s="3">
        <f t="shared" si="5"/>
        <v>6</v>
      </c>
      <c r="I93" s="3">
        <f t="shared" si="5"/>
        <v>7</v>
      </c>
      <c r="J93" s="3">
        <f t="shared" si="5"/>
        <v>8</v>
      </c>
      <c r="K93" s="3">
        <f t="shared" si="5"/>
        <v>9</v>
      </c>
      <c r="L93" s="3">
        <f t="shared" si="5"/>
        <v>10</v>
      </c>
      <c r="M93" s="3">
        <f t="shared" si="5"/>
        <v>11</v>
      </c>
      <c r="N93" s="3">
        <f t="shared" si="5"/>
        <v>12</v>
      </c>
      <c r="O93" s="3">
        <f t="shared" si="5"/>
        <v>13</v>
      </c>
      <c r="P93" s="3">
        <f t="shared" si="5"/>
        <v>14</v>
      </c>
      <c r="Q93" s="3">
        <f t="shared" si="5"/>
        <v>15</v>
      </c>
      <c r="R93" s="3">
        <f t="shared" si="5"/>
        <v>16</v>
      </c>
      <c r="S93" s="3">
        <f t="shared" si="5"/>
        <v>17</v>
      </c>
      <c r="T93" s="3">
        <f t="shared" si="5"/>
        <v>18</v>
      </c>
      <c r="U93" s="3">
        <f t="shared" si="5"/>
        <v>19</v>
      </c>
      <c r="V93" s="3">
        <f t="shared" si="5"/>
        <v>20</v>
      </c>
      <c r="W93" s="3">
        <f t="shared" si="5"/>
        <v>21</v>
      </c>
      <c r="X93" s="3">
        <f t="shared" si="5"/>
        <v>22</v>
      </c>
      <c r="Y93" s="3">
        <f t="shared" si="5"/>
        <v>23</v>
      </c>
      <c r="Z93" s="3">
        <f t="shared" si="5"/>
        <v>24</v>
      </c>
      <c r="AA93" s="3">
        <f t="shared" si="5"/>
        <v>25</v>
      </c>
      <c r="AB93" s="3">
        <f t="shared" si="5"/>
        <v>26</v>
      </c>
      <c r="AC93" s="3">
        <f t="shared" si="5"/>
        <v>27</v>
      </c>
      <c r="AD93" s="3">
        <f t="shared" si="5"/>
        <v>28</v>
      </c>
      <c r="AE93" s="3">
        <f t="shared" si="5"/>
        <v>29</v>
      </c>
      <c r="AF93" s="3">
        <f t="shared" si="5"/>
        <v>30</v>
      </c>
      <c r="AG93" s="3">
        <f t="shared" si="5"/>
        <v>31</v>
      </c>
      <c r="AH93" s="3">
        <f t="shared" si="5"/>
        <v>32</v>
      </c>
      <c r="AI93" s="3">
        <f t="shared" ref="AI93:BJ93" si="6">AH93+1</f>
        <v>33</v>
      </c>
      <c r="AJ93" s="3">
        <f t="shared" si="6"/>
        <v>34</v>
      </c>
      <c r="AK93" s="3">
        <f t="shared" si="6"/>
        <v>35</v>
      </c>
      <c r="AL93" s="3">
        <f t="shared" si="6"/>
        <v>36</v>
      </c>
      <c r="AM93" s="3">
        <f t="shared" si="6"/>
        <v>37</v>
      </c>
      <c r="AN93" s="3">
        <f t="shared" si="6"/>
        <v>38</v>
      </c>
      <c r="AO93" s="3">
        <f t="shared" si="6"/>
        <v>39</v>
      </c>
      <c r="AP93" s="3">
        <f t="shared" si="6"/>
        <v>40</v>
      </c>
      <c r="AQ93" s="3">
        <f t="shared" si="6"/>
        <v>41</v>
      </c>
      <c r="AR93" s="3">
        <f t="shared" si="6"/>
        <v>42</v>
      </c>
      <c r="AS93" s="3">
        <f t="shared" si="6"/>
        <v>43</v>
      </c>
      <c r="AT93" s="3">
        <f t="shared" si="6"/>
        <v>44</v>
      </c>
      <c r="AU93" s="3">
        <f t="shared" si="6"/>
        <v>45</v>
      </c>
      <c r="AV93" s="3">
        <f t="shared" si="6"/>
        <v>46</v>
      </c>
      <c r="AW93" s="3">
        <f t="shared" si="6"/>
        <v>47</v>
      </c>
      <c r="AX93" s="3">
        <f t="shared" si="6"/>
        <v>48</v>
      </c>
      <c r="AY93" s="3">
        <f t="shared" si="6"/>
        <v>49</v>
      </c>
      <c r="AZ93" s="3">
        <f t="shared" si="6"/>
        <v>50</v>
      </c>
      <c r="BA93" s="3">
        <f t="shared" si="6"/>
        <v>51</v>
      </c>
      <c r="BB93" s="3">
        <f t="shared" si="6"/>
        <v>52</v>
      </c>
      <c r="BC93" s="3">
        <f t="shared" si="6"/>
        <v>53</v>
      </c>
      <c r="BD93" s="3">
        <f t="shared" si="6"/>
        <v>54</v>
      </c>
      <c r="BE93" s="3">
        <f t="shared" si="6"/>
        <v>55</v>
      </c>
      <c r="BF93" s="3">
        <f t="shared" si="6"/>
        <v>56</v>
      </c>
      <c r="BG93" s="3">
        <f t="shared" si="6"/>
        <v>57</v>
      </c>
      <c r="BH93" s="3">
        <f t="shared" si="6"/>
        <v>58</v>
      </c>
      <c r="BI93" s="3">
        <f t="shared" si="6"/>
        <v>59</v>
      </c>
      <c r="BJ93" s="3">
        <f t="shared" si="6"/>
        <v>60</v>
      </c>
    </row>
    <row r="94" spans="1:62">
      <c r="A94" s="11">
        <v>0</v>
      </c>
      <c r="B94" s="88"/>
      <c r="C94" s="88"/>
      <c r="D94" s="88"/>
      <c r="E94" s="88"/>
      <c r="F94" s="88"/>
      <c r="G94" s="88"/>
      <c r="H94" s="88"/>
      <c r="I94" s="88"/>
      <c r="J94" s="88"/>
      <c r="K94" s="88"/>
      <c r="L94" s="88"/>
      <c r="M94" s="88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88"/>
      <c r="AB94" s="88"/>
      <c r="AC94" s="88"/>
      <c r="AD94" s="88"/>
      <c r="AE94" s="88"/>
      <c r="AF94" s="88"/>
      <c r="AG94" s="88"/>
      <c r="AH94" s="88"/>
      <c r="AI94" s="88"/>
      <c r="AJ94" s="88"/>
      <c r="AK94" s="88"/>
      <c r="AL94" s="88"/>
      <c r="AM94" s="88"/>
      <c r="AN94" s="88"/>
      <c r="AO94" s="88"/>
      <c r="AP94" s="88"/>
      <c r="AQ94" s="88"/>
      <c r="AR94" s="88"/>
      <c r="AS94" s="88"/>
      <c r="AT94" s="88"/>
      <c r="AU94" s="88"/>
      <c r="AV94" s="88"/>
      <c r="AW94" s="88"/>
      <c r="AX94" s="88"/>
      <c r="AY94" s="88"/>
      <c r="AZ94" s="88"/>
      <c r="BA94" s="88"/>
      <c r="BB94" s="88"/>
      <c r="BC94" s="88"/>
      <c r="BD94" s="88"/>
      <c r="BE94" s="88"/>
      <c r="BF94" s="88"/>
      <c r="BG94" s="88"/>
      <c r="BH94" s="88"/>
      <c r="BI94" s="88"/>
      <c r="BJ94" s="88"/>
    </row>
    <row r="95" spans="1:62">
      <c r="A95" s="11">
        <f t="shared" ref="A95:A126" si="7">A94+1</f>
        <v>1</v>
      </c>
      <c r="B95" s="88"/>
      <c r="C95" s="88"/>
      <c r="D95" s="88"/>
      <c r="E95" s="88"/>
      <c r="F95" s="88"/>
      <c r="G95" s="88"/>
      <c r="H95" s="88"/>
      <c r="I95" s="88"/>
      <c r="J95" s="88"/>
      <c r="K95" s="88"/>
      <c r="L95" s="88"/>
      <c r="M95" s="88"/>
      <c r="N95" s="88"/>
      <c r="O95" s="88"/>
      <c r="P95" s="88"/>
      <c r="Q95" s="88"/>
      <c r="R95" s="88"/>
      <c r="S95" s="88"/>
      <c r="T95" s="88"/>
      <c r="U95" s="88"/>
      <c r="V95" s="88"/>
      <c r="W95" s="88"/>
      <c r="X95" s="88"/>
      <c r="Y95" s="88"/>
      <c r="Z95" s="88"/>
      <c r="AA95" s="88"/>
      <c r="AB95" s="88"/>
      <c r="AC95" s="88"/>
      <c r="AD95" s="88"/>
      <c r="AE95" s="88"/>
      <c r="AF95" s="88"/>
      <c r="AG95" s="88"/>
      <c r="AH95" s="88"/>
      <c r="AI95" s="88"/>
      <c r="AJ95" s="88"/>
      <c r="AK95" s="88"/>
      <c r="AL95" s="88"/>
      <c r="AM95" s="88"/>
      <c r="AN95" s="88"/>
      <c r="AO95" s="88"/>
      <c r="AP95" s="88"/>
      <c r="AQ95" s="88"/>
      <c r="AR95" s="88"/>
      <c r="AS95" s="88"/>
      <c r="AT95" s="88"/>
      <c r="AU95" s="88"/>
      <c r="AV95" s="88"/>
      <c r="AW95" s="88"/>
      <c r="AX95" s="88"/>
      <c r="AY95" s="88"/>
      <c r="AZ95" s="88"/>
      <c r="BA95" s="88"/>
      <c r="BB95" s="88"/>
      <c r="BC95" s="88"/>
      <c r="BD95" s="88"/>
      <c r="BE95" s="88"/>
      <c r="BF95" s="88"/>
      <c r="BG95" s="88"/>
      <c r="BH95" s="88"/>
      <c r="BI95" s="88"/>
      <c r="BJ95" s="88"/>
    </row>
    <row r="96" spans="1:62">
      <c r="A96" s="11">
        <f t="shared" si="7"/>
        <v>2</v>
      </c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</row>
    <row r="97" spans="1:62" outlineLevel="1">
      <c r="A97" s="11">
        <f t="shared" si="7"/>
        <v>3</v>
      </c>
      <c r="B97" s="88"/>
      <c r="C97" s="88"/>
      <c r="D97" s="88"/>
      <c r="E97" s="88"/>
      <c r="F97" s="88"/>
      <c r="G97" s="88"/>
      <c r="H97" s="88"/>
      <c r="I97" s="88"/>
      <c r="J97" s="88"/>
      <c r="K97" s="88"/>
      <c r="L97" s="88"/>
      <c r="M97" s="88"/>
      <c r="N97" s="88"/>
      <c r="O97" s="88"/>
      <c r="P97" s="88"/>
      <c r="Q97" s="88"/>
      <c r="R97" s="88"/>
      <c r="S97" s="88"/>
      <c r="T97" s="88"/>
      <c r="U97" s="88"/>
      <c r="V97" s="88"/>
      <c r="W97" s="88"/>
      <c r="X97" s="88"/>
      <c r="Y97" s="88"/>
      <c r="Z97" s="88"/>
      <c r="AA97" s="88"/>
      <c r="AB97" s="88"/>
      <c r="AC97" s="88"/>
      <c r="AD97" s="88"/>
      <c r="AE97" s="88"/>
      <c r="AF97" s="88"/>
      <c r="AG97" s="88"/>
      <c r="AH97" s="88"/>
      <c r="AI97" s="88"/>
      <c r="AJ97" s="88"/>
      <c r="AK97" s="88"/>
      <c r="AL97" s="88"/>
      <c r="AM97" s="88"/>
      <c r="AN97" s="88"/>
      <c r="AO97" s="88"/>
      <c r="AP97" s="88"/>
      <c r="AQ97" s="88"/>
      <c r="AR97" s="88"/>
      <c r="AS97" s="88"/>
      <c r="AT97" s="88"/>
      <c r="AU97" s="88"/>
      <c r="AV97" s="88"/>
      <c r="AW97" s="88"/>
      <c r="AX97" s="88"/>
      <c r="AY97" s="88"/>
      <c r="AZ97" s="88"/>
      <c r="BA97" s="88"/>
      <c r="BB97" s="88"/>
      <c r="BC97" s="88"/>
      <c r="BD97" s="88"/>
      <c r="BE97" s="88"/>
      <c r="BF97" s="88"/>
      <c r="BG97" s="88"/>
      <c r="BH97" s="88"/>
      <c r="BI97" s="88"/>
      <c r="BJ97" s="88"/>
    </row>
    <row r="98" spans="1:62" outlineLevel="1">
      <c r="A98" s="11">
        <f t="shared" si="7"/>
        <v>4</v>
      </c>
      <c r="B98" s="88"/>
      <c r="C98" s="88"/>
      <c r="D98" s="88"/>
      <c r="E98" s="88"/>
      <c r="F98" s="88"/>
      <c r="G98" s="88"/>
      <c r="H98" s="88"/>
      <c r="I98" s="88"/>
      <c r="J98" s="88"/>
      <c r="K98" s="88"/>
      <c r="L98" s="88"/>
      <c r="M98" s="88"/>
      <c r="N98" s="88"/>
      <c r="O98" s="88"/>
      <c r="P98" s="88"/>
      <c r="Q98" s="88"/>
      <c r="R98" s="88"/>
      <c r="S98" s="88"/>
      <c r="T98" s="88"/>
      <c r="U98" s="88"/>
      <c r="V98" s="88"/>
      <c r="W98" s="88"/>
      <c r="X98" s="88"/>
      <c r="Y98" s="88"/>
      <c r="Z98" s="88"/>
      <c r="AA98" s="88"/>
      <c r="AB98" s="88"/>
      <c r="AC98" s="88"/>
      <c r="AD98" s="88"/>
      <c r="AE98" s="88"/>
      <c r="AF98" s="88"/>
      <c r="AG98" s="88"/>
      <c r="AH98" s="88"/>
      <c r="AI98" s="88"/>
      <c r="AJ98" s="88"/>
      <c r="AK98" s="88"/>
      <c r="AL98" s="88"/>
      <c r="AM98" s="88"/>
      <c r="AN98" s="88"/>
      <c r="AO98" s="88"/>
      <c r="AP98" s="88"/>
      <c r="AQ98" s="88"/>
      <c r="AR98" s="88"/>
      <c r="AS98" s="88"/>
      <c r="AT98" s="88"/>
      <c r="AU98" s="88"/>
      <c r="AV98" s="88"/>
      <c r="AW98" s="88"/>
      <c r="AX98" s="88"/>
      <c r="AY98" s="88"/>
      <c r="AZ98" s="88"/>
      <c r="BA98" s="88"/>
      <c r="BB98" s="88"/>
      <c r="BC98" s="88"/>
      <c r="BD98" s="88"/>
      <c r="BE98" s="88"/>
      <c r="BF98" s="88"/>
      <c r="BG98" s="88"/>
      <c r="BH98" s="88"/>
      <c r="BI98" s="88"/>
      <c r="BJ98" s="88"/>
    </row>
    <row r="99" spans="1:62" outlineLevel="1">
      <c r="A99" s="11">
        <f t="shared" si="7"/>
        <v>5</v>
      </c>
      <c r="B99" s="88"/>
      <c r="C99" s="88"/>
      <c r="D99" s="88"/>
      <c r="E99" s="88"/>
      <c r="F99" s="88"/>
      <c r="G99" s="88"/>
      <c r="H99" s="88"/>
      <c r="I99" s="88"/>
      <c r="J99" s="88"/>
      <c r="K99" s="88"/>
      <c r="L99" s="88"/>
      <c r="M99" s="88"/>
      <c r="N99" s="88"/>
      <c r="O99" s="88"/>
      <c r="P99" s="88"/>
      <c r="Q99" s="88"/>
      <c r="R99" s="88"/>
      <c r="S99" s="88"/>
      <c r="T99" s="88"/>
      <c r="U99" s="88"/>
      <c r="V99" s="88"/>
      <c r="W99" s="88"/>
      <c r="X99" s="88"/>
      <c r="Y99" s="88"/>
      <c r="Z99" s="88"/>
      <c r="AA99" s="88"/>
      <c r="AB99" s="88"/>
      <c r="AC99" s="88"/>
      <c r="AD99" s="88"/>
      <c r="AE99" s="88"/>
      <c r="AF99" s="88"/>
      <c r="AG99" s="88"/>
      <c r="AH99" s="88"/>
      <c r="AI99" s="88"/>
      <c r="AJ99" s="88"/>
      <c r="AK99" s="88"/>
      <c r="AL99" s="88"/>
      <c r="AM99" s="88"/>
      <c r="AN99" s="88"/>
      <c r="AO99" s="88"/>
      <c r="AP99" s="88"/>
      <c r="AQ99" s="88"/>
      <c r="AR99" s="88"/>
      <c r="AS99" s="88"/>
      <c r="AT99" s="88"/>
      <c r="AU99" s="88"/>
      <c r="AV99" s="88"/>
      <c r="AW99" s="88"/>
      <c r="AX99" s="88"/>
      <c r="AY99" s="88"/>
      <c r="AZ99" s="88"/>
      <c r="BA99" s="88"/>
      <c r="BB99" s="88"/>
      <c r="BC99" s="88"/>
      <c r="BD99" s="88"/>
      <c r="BE99" s="88"/>
      <c r="BF99" s="88"/>
      <c r="BG99" s="88"/>
      <c r="BH99" s="88"/>
      <c r="BI99" s="88"/>
      <c r="BJ99" s="88"/>
    </row>
    <row r="100" spans="1:62" outlineLevel="1">
      <c r="A100" s="11">
        <f t="shared" si="7"/>
        <v>6</v>
      </c>
      <c r="B100" s="88"/>
      <c r="C100" s="88"/>
      <c r="D100" s="88"/>
      <c r="E100" s="88"/>
      <c r="F100" s="88"/>
      <c r="G100" s="88"/>
      <c r="H100" s="88"/>
      <c r="I100" s="88"/>
      <c r="J100" s="88"/>
      <c r="K100" s="88"/>
      <c r="L100" s="88"/>
      <c r="M100" s="88"/>
      <c r="N100" s="88"/>
      <c r="O100" s="88"/>
      <c r="P100" s="88"/>
      <c r="Q100" s="88"/>
      <c r="R100" s="88"/>
      <c r="S100" s="88"/>
      <c r="T100" s="88"/>
      <c r="U100" s="88"/>
      <c r="V100" s="88"/>
      <c r="W100" s="88"/>
      <c r="X100" s="88"/>
      <c r="Y100" s="88"/>
      <c r="Z100" s="88"/>
      <c r="AA100" s="88"/>
      <c r="AB100" s="88"/>
      <c r="AC100" s="88"/>
      <c r="AD100" s="88"/>
      <c r="AE100" s="88"/>
      <c r="AF100" s="88"/>
      <c r="AG100" s="88"/>
      <c r="AH100" s="88"/>
      <c r="AI100" s="88"/>
      <c r="AJ100" s="88"/>
      <c r="AK100" s="88"/>
      <c r="AL100" s="88"/>
      <c r="AM100" s="88"/>
      <c r="AN100" s="88"/>
      <c r="AO100" s="88"/>
      <c r="AP100" s="88"/>
      <c r="AQ100" s="88"/>
      <c r="AR100" s="88"/>
      <c r="AS100" s="88"/>
      <c r="AT100" s="88"/>
      <c r="AU100" s="88"/>
      <c r="AV100" s="88"/>
      <c r="AW100" s="88"/>
      <c r="AX100" s="88"/>
      <c r="AY100" s="88"/>
      <c r="AZ100" s="88"/>
      <c r="BA100" s="88"/>
      <c r="BB100" s="88"/>
      <c r="BC100" s="88"/>
      <c r="BD100" s="88"/>
      <c r="BE100" s="88"/>
      <c r="BF100" s="88"/>
      <c r="BG100" s="88"/>
      <c r="BH100" s="88"/>
      <c r="BI100" s="88"/>
      <c r="BJ100" s="88"/>
    </row>
    <row r="101" spans="1:62" outlineLevel="1">
      <c r="A101" s="11">
        <f t="shared" si="7"/>
        <v>7</v>
      </c>
      <c r="B101" s="88"/>
      <c r="C101" s="88"/>
      <c r="D101" s="88"/>
      <c r="E101" s="88"/>
      <c r="F101" s="88"/>
      <c r="G101" s="88"/>
      <c r="H101" s="88"/>
      <c r="I101" s="88"/>
      <c r="J101" s="88"/>
      <c r="K101" s="88"/>
      <c r="L101" s="88"/>
      <c r="M101" s="88"/>
      <c r="N101" s="88"/>
      <c r="O101" s="88"/>
      <c r="P101" s="88"/>
      <c r="Q101" s="88"/>
      <c r="R101" s="88"/>
      <c r="S101" s="88"/>
      <c r="T101" s="88"/>
      <c r="U101" s="88"/>
      <c r="V101" s="88"/>
      <c r="W101" s="88"/>
      <c r="X101" s="88"/>
      <c r="Y101" s="88"/>
      <c r="Z101" s="88"/>
      <c r="AA101" s="88"/>
      <c r="AB101" s="88"/>
      <c r="AC101" s="88"/>
      <c r="AD101" s="88"/>
      <c r="AE101" s="88"/>
      <c r="AF101" s="88"/>
      <c r="AG101" s="88"/>
      <c r="AH101" s="88"/>
      <c r="AI101" s="88"/>
      <c r="AJ101" s="88"/>
      <c r="AK101" s="88"/>
      <c r="AL101" s="88"/>
      <c r="AM101" s="88"/>
      <c r="AN101" s="88"/>
      <c r="AO101" s="88"/>
      <c r="AP101" s="88"/>
      <c r="AQ101" s="88"/>
      <c r="AR101" s="88"/>
      <c r="AS101" s="88"/>
      <c r="AT101" s="88"/>
      <c r="AU101" s="88"/>
      <c r="AV101" s="88"/>
      <c r="AW101" s="88"/>
      <c r="AX101" s="88"/>
      <c r="AY101" s="88"/>
      <c r="AZ101" s="88"/>
      <c r="BA101" s="88"/>
      <c r="BB101" s="88"/>
      <c r="BC101" s="88"/>
      <c r="BD101" s="88"/>
      <c r="BE101" s="88"/>
      <c r="BF101" s="88"/>
      <c r="BG101" s="88"/>
      <c r="BH101" s="88"/>
      <c r="BI101" s="88"/>
      <c r="BJ101" s="88"/>
    </row>
    <row r="102" spans="1:62" outlineLevel="1">
      <c r="A102" s="11">
        <f t="shared" si="7"/>
        <v>8</v>
      </c>
      <c r="B102" s="88"/>
      <c r="C102" s="88"/>
      <c r="D102" s="88"/>
      <c r="E102" s="88"/>
      <c r="F102" s="88"/>
      <c r="G102" s="88"/>
      <c r="H102" s="88"/>
      <c r="I102" s="88"/>
      <c r="J102" s="88"/>
      <c r="K102" s="88"/>
      <c r="L102" s="88"/>
      <c r="M102" s="88"/>
      <c r="N102" s="88"/>
      <c r="O102" s="88"/>
      <c r="P102" s="88"/>
      <c r="Q102" s="88"/>
      <c r="R102" s="88"/>
      <c r="S102" s="88"/>
      <c r="T102" s="88"/>
      <c r="U102" s="88"/>
      <c r="V102" s="88"/>
      <c r="W102" s="88"/>
      <c r="X102" s="88"/>
      <c r="Y102" s="88"/>
      <c r="Z102" s="88"/>
      <c r="AA102" s="88"/>
      <c r="AB102" s="88"/>
      <c r="AC102" s="88"/>
      <c r="AD102" s="88"/>
      <c r="AE102" s="88"/>
      <c r="AF102" s="88"/>
      <c r="AG102" s="88"/>
      <c r="AH102" s="88"/>
      <c r="AI102" s="88"/>
      <c r="AJ102" s="88"/>
      <c r="AK102" s="88"/>
      <c r="AL102" s="88"/>
      <c r="AM102" s="88"/>
      <c r="AN102" s="88"/>
      <c r="AO102" s="88"/>
      <c r="AP102" s="88"/>
      <c r="AQ102" s="88"/>
      <c r="AR102" s="88"/>
      <c r="AS102" s="88"/>
      <c r="AT102" s="88"/>
      <c r="AU102" s="88"/>
      <c r="AV102" s="88"/>
      <c r="AW102" s="88"/>
      <c r="AX102" s="88"/>
      <c r="AY102" s="88"/>
      <c r="AZ102" s="88"/>
      <c r="BA102" s="88"/>
      <c r="BB102" s="88"/>
      <c r="BC102" s="88"/>
      <c r="BD102" s="88"/>
      <c r="BE102" s="88"/>
      <c r="BF102" s="88"/>
      <c r="BG102" s="88"/>
      <c r="BH102" s="88"/>
      <c r="BI102" s="88"/>
      <c r="BJ102" s="88"/>
    </row>
    <row r="103" spans="1:62" outlineLevel="1">
      <c r="A103" s="11">
        <f t="shared" si="7"/>
        <v>9</v>
      </c>
      <c r="B103" s="88"/>
      <c r="C103" s="88"/>
      <c r="D103" s="88"/>
      <c r="E103" s="88"/>
      <c r="F103" s="88"/>
      <c r="G103" s="88"/>
      <c r="H103" s="88"/>
      <c r="I103" s="88"/>
      <c r="J103" s="88"/>
      <c r="K103" s="88"/>
      <c r="L103" s="88"/>
      <c r="M103" s="88"/>
      <c r="N103" s="88"/>
      <c r="O103" s="88"/>
      <c r="P103" s="88"/>
      <c r="Q103" s="88"/>
      <c r="R103" s="88"/>
      <c r="S103" s="88"/>
      <c r="T103" s="88"/>
      <c r="U103" s="88"/>
      <c r="V103" s="88"/>
      <c r="W103" s="88"/>
      <c r="X103" s="88"/>
      <c r="Y103" s="88"/>
      <c r="Z103" s="88"/>
      <c r="AA103" s="88"/>
      <c r="AB103" s="88"/>
      <c r="AC103" s="88"/>
      <c r="AD103" s="88"/>
      <c r="AE103" s="88"/>
      <c r="AF103" s="88"/>
      <c r="AG103" s="88"/>
      <c r="AH103" s="88"/>
      <c r="AI103" s="88"/>
      <c r="AJ103" s="88"/>
      <c r="AK103" s="88"/>
      <c r="AL103" s="88"/>
      <c r="AM103" s="88"/>
      <c r="AN103" s="88"/>
      <c r="AO103" s="88"/>
      <c r="AP103" s="88"/>
      <c r="AQ103" s="88"/>
      <c r="AR103" s="88"/>
      <c r="AS103" s="88"/>
      <c r="AT103" s="88"/>
      <c r="AU103" s="88"/>
      <c r="AV103" s="88"/>
      <c r="AW103" s="88"/>
      <c r="AX103" s="88"/>
      <c r="AY103" s="88"/>
      <c r="AZ103" s="88"/>
      <c r="BA103" s="88"/>
      <c r="BB103" s="88"/>
      <c r="BC103" s="88"/>
      <c r="BD103" s="88"/>
      <c r="BE103" s="88"/>
      <c r="BF103" s="88"/>
      <c r="BG103" s="88"/>
      <c r="BH103" s="88"/>
      <c r="BI103" s="88"/>
      <c r="BJ103" s="88"/>
    </row>
    <row r="104" spans="1:62" outlineLevel="1">
      <c r="A104" s="11">
        <f t="shared" si="7"/>
        <v>10</v>
      </c>
      <c r="B104" s="88"/>
      <c r="C104" s="88"/>
      <c r="D104" s="88"/>
      <c r="E104" s="88"/>
      <c r="F104" s="88"/>
      <c r="G104" s="88"/>
      <c r="H104" s="88"/>
      <c r="I104" s="88"/>
      <c r="J104" s="88"/>
      <c r="K104" s="88"/>
      <c r="L104" s="88"/>
      <c r="M104" s="88"/>
      <c r="N104" s="88"/>
      <c r="O104" s="88"/>
      <c r="P104" s="88"/>
      <c r="Q104" s="88"/>
      <c r="R104" s="88"/>
      <c r="S104" s="88"/>
      <c r="T104" s="88"/>
      <c r="U104" s="88"/>
      <c r="V104" s="88"/>
      <c r="W104" s="88"/>
      <c r="X104" s="88"/>
      <c r="Y104" s="88"/>
      <c r="Z104" s="88"/>
      <c r="AA104" s="88"/>
      <c r="AB104" s="88"/>
      <c r="AC104" s="88"/>
      <c r="AD104" s="88"/>
      <c r="AE104" s="88"/>
      <c r="AF104" s="88"/>
      <c r="AG104" s="88"/>
      <c r="AH104" s="88"/>
      <c r="AI104" s="88"/>
      <c r="AJ104" s="88"/>
      <c r="AK104" s="88"/>
      <c r="AL104" s="88"/>
      <c r="AM104" s="88"/>
      <c r="AN104" s="88"/>
      <c r="AO104" s="88"/>
      <c r="AP104" s="88"/>
      <c r="AQ104" s="88"/>
      <c r="AR104" s="88"/>
      <c r="AS104" s="88"/>
      <c r="AT104" s="88"/>
      <c r="AU104" s="88"/>
      <c r="AV104" s="88"/>
      <c r="AW104" s="88"/>
      <c r="AX104" s="88"/>
      <c r="AY104" s="88"/>
      <c r="AZ104" s="88"/>
      <c r="BA104" s="88"/>
      <c r="BB104" s="88"/>
      <c r="BC104" s="88"/>
      <c r="BD104" s="88"/>
      <c r="BE104" s="88"/>
      <c r="BF104" s="88"/>
      <c r="BG104" s="88"/>
      <c r="BH104" s="88"/>
      <c r="BI104" s="88"/>
      <c r="BJ104" s="88"/>
    </row>
    <row r="105" spans="1:62" outlineLevel="1">
      <c r="A105" s="11">
        <f t="shared" si="7"/>
        <v>11</v>
      </c>
      <c r="B105" s="88"/>
      <c r="C105" s="88"/>
      <c r="D105" s="88"/>
      <c r="E105" s="88"/>
      <c r="F105" s="88"/>
      <c r="G105" s="88"/>
      <c r="H105" s="88"/>
      <c r="I105" s="88"/>
      <c r="J105" s="88"/>
      <c r="K105" s="88"/>
      <c r="L105" s="88"/>
      <c r="M105" s="88"/>
      <c r="N105" s="88"/>
      <c r="O105" s="88"/>
      <c r="P105" s="88"/>
      <c r="Q105" s="88"/>
      <c r="R105" s="88"/>
      <c r="S105" s="88"/>
      <c r="T105" s="88"/>
      <c r="U105" s="88"/>
      <c r="V105" s="88"/>
      <c r="W105" s="88"/>
      <c r="X105" s="88"/>
      <c r="Y105" s="88"/>
      <c r="Z105" s="88"/>
      <c r="AA105" s="88"/>
      <c r="AB105" s="88"/>
      <c r="AC105" s="88"/>
      <c r="AD105" s="88"/>
      <c r="AE105" s="88"/>
      <c r="AF105" s="88"/>
      <c r="AG105" s="88"/>
      <c r="AH105" s="88"/>
      <c r="AI105" s="88"/>
      <c r="AJ105" s="88"/>
      <c r="AK105" s="88"/>
      <c r="AL105" s="88"/>
      <c r="AM105" s="88"/>
      <c r="AN105" s="88"/>
      <c r="AO105" s="88"/>
      <c r="AP105" s="88"/>
      <c r="AQ105" s="88"/>
      <c r="AR105" s="88"/>
      <c r="AS105" s="88"/>
      <c r="AT105" s="88"/>
      <c r="AU105" s="88"/>
      <c r="AV105" s="88"/>
      <c r="AW105" s="88"/>
      <c r="AX105" s="88"/>
      <c r="AY105" s="88"/>
      <c r="AZ105" s="88"/>
      <c r="BA105" s="88"/>
      <c r="BB105" s="88"/>
      <c r="BC105" s="88"/>
      <c r="BD105" s="88"/>
      <c r="BE105" s="88"/>
      <c r="BF105" s="88"/>
      <c r="BG105" s="88"/>
      <c r="BH105" s="88"/>
      <c r="BI105" s="88"/>
      <c r="BJ105" s="88"/>
    </row>
    <row r="106" spans="1:62" outlineLevel="1">
      <c r="A106" s="11">
        <f t="shared" si="7"/>
        <v>12</v>
      </c>
      <c r="B106" s="88"/>
      <c r="C106" s="88"/>
      <c r="D106" s="88"/>
      <c r="E106" s="88"/>
      <c r="F106" s="88"/>
      <c r="G106" s="88"/>
      <c r="H106" s="88"/>
      <c r="I106" s="88"/>
      <c r="J106" s="88"/>
      <c r="K106" s="88"/>
      <c r="L106" s="88"/>
      <c r="M106" s="88"/>
      <c r="N106" s="88"/>
      <c r="O106" s="88"/>
      <c r="P106" s="88"/>
      <c r="Q106" s="88"/>
      <c r="R106" s="88"/>
      <c r="S106" s="88"/>
      <c r="T106" s="88"/>
      <c r="U106" s="88"/>
      <c r="V106" s="88"/>
      <c r="W106" s="88"/>
      <c r="X106" s="88"/>
      <c r="Y106" s="88"/>
      <c r="Z106" s="88"/>
      <c r="AA106" s="88"/>
      <c r="AB106" s="88"/>
      <c r="AC106" s="88"/>
      <c r="AD106" s="88"/>
      <c r="AE106" s="88"/>
      <c r="AF106" s="88"/>
      <c r="AG106" s="88"/>
      <c r="AH106" s="88"/>
      <c r="AI106" s="88"/>
      <c r="AJ106" s="88"/>
      <c r="AK106" s="88"/>
      <c r="AL106" s="88"/>
      <c r="AM106" s="88"/>
      <c r="AN106" s="88"/>
      <c r="AO106" s="88"/>
      <c r="AP106" s="88"/>
      <c r="AQ106" s="88"/>
      <c r="AR106" s="88"/>
      <c r="AS106" s="88"/>
      <c r="AT106" s="88"/>
      <c r="AU106" s="88"/>
      <c r="AV106" s="88"/>
      <c r="AW106" s="88"/>
      <c r="AX106" s="88"/>
      <c r="AY106" s="88"/>
      <c r="AZ106" s="88"/>
      <c r="BA106" s="88"/>
      <c r="BB106" s="88"/>
      <c r="BC106" s="88"/>
      <c r="BD106" s="88"/>
      <c r="BE106" s="88"/>
      <c r="BF106" s="88"/>
      <c r="BG106" s="88"/>
      <c r="BH106" s="88"/>
      <c r="BI106" s="88"/>
      <c r="BJ106" s="88"/>
    </row>
    <row r="107" spans="1:62" outlineLevel="1">
      <c r="A107" s="11">
        <f t="shared" si="7"/>
        <v>13</v>
      </c>
      <c r="B107" s="88"/>
      <c r="C107" s="88"/>
      <c r="D107" s="88"/>
      <c r="E107" s="88"/>
      <c r="F107" s="88"/>
      <c r="G107" s="88"/>
      <c r="H107" s="88"/>
      <c r="I107" s="88"/>
      <c r="J107" s="88"/>
      <c r="K107" s="88"/>
      <c r="L107" s="88"/>
      <c r="M107" s="88"/>
      <c r="N107" s="88"/>
      <c r="O107" s="88"/>
      <c r="P107" s="88"/>
      <c r="Q107" s="88"/>
      <c r="R107" s="88"/>
      <c r="S107" s="88"/>
      <c r="T107" s="88"/>
      <c r="U107" s="88"/>
      <c r="V107" s="88"/>
      <c r="W107" s="88"/>
      <c r="X107" s="88"/>
      <c r="Y107" s="88"/>
      <c r="Z107" s="88"/>
      <c r="AA107" s="88"/>
      <c r="AB107" s="88"/>
      <c r="AC107" s="88"/>
      <c r="AD107" s="88"/>
      <c r="AE107" s="88"/>
      <c r="AF107" s="88"/>
      <c r="AG107" s="88"/>
      <c r="AH107" s="88"/>
      <c r="AI107" s="88"/>
      <c r="AJ107" s="88"/>
      <c r="AK107" s="88"/>
      <c r="AL107" s="88"/>
      <c r="AM107" s="88"/>
      <c r="AN107" s="88"/>
      <c r="AO107" s="88"/>
      <c r="AP107" s="88"/>
      <c r="AQ107" s="88"/>
      <c r="AR107" s="88"/>
      <c r="AS107" s="88"/>
      <c r="AT107" s="88"/>
      <c r="AU107" s="88"/>
      <c r="AV107" s="88"/>
      <c r="AW107" s="88"/>
      <c r="AX107" s="88"/>
      <c r="AY107" s="88"/>
      <c r="AZ107" s="88"/>
      <c r="BA107" s="88"/>
      <c r="BB107" s="88"/>
      <c r="BC107" s="88"/>
      <c r="BD107" s="88"/>
      <c r="BE107" s="88"/>
      <c r="BF107" s="88"/>
      <c r="BG107" s="88"/>
      <c r="BH107" s="88"/>
      <c r="BI107" s="88"/>
      <c r="BJ107" s="88"/>
    </row>
    <row r="108" spans="1:62" outlineLevel="1">
      <c r="A108" s="11">
        <f t="shared" si="7"/>
        <v>14</v>
      </c>
      <c r="B108" s="88"/>
      <c r="C108" s="88"/>
      <c r="D108" s="88"/>
      <c r="E108" s="88"/>
      <c r="F108" s="88"/>
      <c r="G108" s="88"/>
      <c r="H108" s="88"/>
      <c r="I108" s="88"/>
      <c r="J108" s="88"/>
      <c r="K108" s="88"/>
      <c r="L108" s="88"/>
      <c r="M108" s="88"/>
      <c r="N108" s="88"/>
      <c r="O108" s="88"/>
      <c r="P108" s="88"/>
      <c r="Q108" s="88"/>
      <c r="R108" s="88"/>
      <c r="S108" s="88"/>
      <c r="T108" s="88"/>
      <c r="U108" s="88"/>
      <c r="V108" s="88"/>
      <c r="W108" s="88"/>
      <c r="X108" s="88"/>
      <c r="Y108" s="88"/>
      <c r="Z108" s="88"/>
      <c r="AA108" s="88"/>
      <c r="AB108" s="88"/>
      <c r="AC108" s="88"/>
      <c r="AD108" s="88"/>
      <c r="AE108" s="88"/>
      <c r="AF108" s="88"/>
      <c r="AG108" s="88"/>
      <c r="AH108" s="88"/>
      <c r="AI108" s="88"/>
      <c r="AJ108" s="88"/>
      <c r="AK108" s="88"/>
      <c r="AL108" s="88"/>
      <c r="AM108" s="88"/>
      <c r="AN108" s="88"/>
      <c r="AO108" s="88"/>
      <c r="AP108" s="88"/>
      <c r="AQ108" s="88"/>
      <c r="AR108" s="88"/>
      <c r="AS108" s="88"/>
      <c r="AT108" s="88"/>
      <c r="AU108" s="88"/>
      <c r="AV108" s="88"/>
      <c r="AW108" s="88"/>
      <c r="AX108" s="88"/>
      <c r="AY108" s="88"/>
      <c r="AZ108" s="88"/>
      <c r="BA108" s="88"/>
      <c r="BB108" s="88"/>
      <c r="BC108" s="88"/>
      <c r="BD108" s="88"/>
      <c r="BE108" s="88"/>
      <c r="BF108" s="88"/>
      <c r="BG108" s="88"/>
      <c r="BH108" s="88"/>
      <c r="BI108" s="88"/>
      <c r="BJ108" s="88"/>
    </row>
    <row r="109" spans="1:62" outlineLevel="1">
      <c r="A109" s="11">
        <f t="shared" si="7"/>
        <v>15</v>
      </c>
      <c r="B109" s="88"/>
      <c r="C109" s="88"/>
      <c r="D109" s="88"/>
      <c r="E109" s="88"/>
      <c r="F109" s="88"/>
      <c r="G109" s="88"/>
      <c r="H109" s="88"/>
      <c r="I109" s="88"/>
      <c r="J109" s="88"/>
      <c r="K109" s="88"/>
      <c r="L109" s="88"/>
      <c r="M109" s="88"/>
      <c r="N109" s="88"/>
      <c r="O109" s="88"/>
      <c r="P109" s="88"/>
      <c r="Q109" s="88"/>
      <c r="R109" s="88"/>
      <c r="S109" s="88"/>
      <c r="T109" s="88"/>
      <c r="U109" s="88"/>
      <c r="V109" s="88"/>
      <c r="W109" s="88"/>
      <c r="X109" s="88"/>
      <c r="Y109" s="88"/>
      <c r="Z109" s="88"/>
      <c r="AA109" s="88"/>
      <c r="AB109" s="88"/>
      <c r="AC109" s="88"/>
      <c r="AD109" s="88"/>
      <c r="AE109" s="88"/>
      <c r="AF109" s="88"/>
      <c r="AG109" s="88"/>
      <c r="AH109" s="88"/>
      <c r="AI109" s="88"/>
      <c r="AJ109" s="88"/>
      <c r="AK109" s="88"/>
      <c r="AL109" s="88"/>
      <c r="AM109" s="88"/>
      <c r="AN109" s="88"/>
      <c r="AO109" s="88"/>
      <c r="AP109" s="88"/>
      <c r="AQ109" s="88"/>
      <c r="AR109" s="88"/>
      <c r="AS109" s="88"/>
      <c r="AT109" s="88"/>
      <c r="AU109" s="88"/>
      <c r="AV109" s="88"/>
      <c r="AW109" s="88"/>
      <c r="AX109" s="88"/>
      <c r="AY109" s="88"/>
      <c r="AZ109" s="88"/>
      <c r="BA109" s="88"/>
      <c r="BB109" s="88"/>
      <c r="BC109" s="88"/>
      <c r="BD109" s="88"/>
      <c r="BE109" s="88"/>
      <c r="BF109" s="88"/>
      <c r="BG109" s="88"/>
      <c r="BH109" s="88"/>
      <c r="BI109" s="88"/>
      <c r="BJ109" s="88"/>
    </row>
    <row r="110" spans="1:62" outlineLevel="1">
      <c r="A110" s="11">
        <f t="shared" si="7"/>
        <v>16</v>
      </c>
      <c r="B110" s="88"/>
      <c r="C110" s="88"/>
      <c r="D110" s="88"/>
      <c r="E110" s="88"/>
      <c r="F110" s="88"/>
      <c r="G110" s="88"/>
      <c r="H110" s="88"/>
      <c r="I110" s="88"/>
      <c r="J110" s="88"/>
      <c r="K110" s="88"/>
      <c r="L110" s="88"/>
      <c r="M110" s="88"/>
      <c r="N110" s="88"/>
      <c r="O110" s="88"/>
      <c r="P110" s="88"/>
      <c r="Q110" s="88"/>
      <c r="R110" s="88"/>
      <c r="S110" s="88"/>
      <c r="T110" s="88"/>
      <c r="U110" s="88"/>
      <c r="V110" s="88"/>
      <c r="W110" s="88"/>
      <c r="X110" s="88"/>
      <c r="Y110" s="88"/>
      <c r="Z110" s="88"/>
      <c r="AA110" s="88"/>
      <c r="AB110" s="88"/>
      <c r="AC110" s="88"/>
      <c r="AD110" s="88"/>
      <c r="AE110" s="88"/>
      <c r="AF110" s="88"/>
      <c r="AG110" s="88"/>
      <c r="AH110" s="88"/>
      <c r="AI110" s="88"/>
      <c r="AJ110" s="88"/>
      <c r="AK110" s="88"/>
      <c r="AL110" s="88"/>
      <c r="AM110" s="88"/>
      <c r="AN110" s="88"/>
      <c r="AO110" s="88"/>
      <c r="AP110" s="88"/>
      <c r="AQ110" s="88"/>
      <c r="AR110" s="88"/>
      <c r="AS110" s="88"/>
      <c r="AT110" s="88"/>
      <c r="AU110" s="88"/>
      <c r="AV110" s="88"/>
      <c r="AW110" s="88"/>
      <c r="AX110" s="88"/>
      <c r="AY110" s="88"/>
      <c r="AZ110" s="88"/>
      <c r="BA110" s="88"/>
      <c r="BB110" s="88"/>
      <c r="BC110" s="88"/>
      <c r="BD110" s="88"/>
      <c r="BE110" s="88"/>
      <c r="BF110" s="88"/>
      <c r="BG110" s="88"/>
      <c r="BH110" s="88"/>
      <c r="BI110" s="88"/>
      <c r="BJ110" s="88"/>
    </row>
    <row r="111" spans="1:62" outlineLevel="1">
      <c r="A111" s="11">
        <f t="shared" si="7"/>
        <v>17</v>
      </c>
      <c r="B111" s="88"/>
      <c r="C111" s="88"/>
      <c r="D111" s="88"/>
      <c r="E111" s="88"/>
      <c r="F111" s="88"/>
      <c r="G111" s="88"/>
      <c r="H111" s="88"/>
      <c r="I111" s="88"/>
      <c r="J111" s="88"/>
      <c r="K111" s="88"/>
      <c r="L111" s="88"/>
      <c r="M111" s="88"/>
      <c r="N111" s="88"/>
      <c r="O111" s="88"/>
      <c r="P111" s="88"/>
      <c r="Q111" s="88"/>
      <c r="R111" s="88"/>
      <c r="S111" s="88"/>
      <c r="T111" s="88"/>
      <c r="U111" s="88"/>
      <c r="V111" s="88"/>
      <c r="W111" s="88"/>
      <c r="X111" s="88"/>
      <c r="Y111" s="88"/>
      <c r="Z111" s="88"/>
      <c r="AA111" s="88"/>
      <c r="AB111" s="88"/>
      <c r="AC111" s="88"/>
      <c r="AD111" s="88"/>
      <c r="AE111" s="88"/>
      <c r="AF111" s="88"/>
      <c r="AG111" s="88"/>
      <c r="AH111" s="88"/>
      <c r="AI111" s="88"/>
      <c r="AJ111" s="88"/>
      <c r="AK111" s="88"/>
      <c r="AL111" s="88"/>
      <c r="AM111" s="88"/>
      <c r="AN111" s="88"/>
      <c r="AO111" s="88"/>
      <c r="AP111" s="88"/>
      <c r="AQ111" s="88"/>
      <c r="AR111" s="88"/>
      <c r="AS111" s="88"/>
      <c r="AT111" s="88"/>
      <c r="AU111" s="88"/>
      <c r="AV111" s="88"/>
      <c r="AW111" s="88"/>
      <c r="AX111" s="88"/>
      <c r="AY111" s="88"/>
      <c r="AZ111" s="88"/>
      <c r="BA111" s="88"/>
      <c r="BB111" s="88"/>
      <c r="BC111" s="88"/>
      <c r="BD111" s="88"/>
      <c r="BE111" s="88"/>
      <c r="BF111" s="88"/>
      <c r="BG111" s="88"/>
      <c r="BH111" s="88"/>
      <c r="BI111" s="88"/>
      <c r="BJ111" s="88"/>
    </row>
    <row r="112" spans="1:62" outlineLevel="1">
      <c r="A112" s="11">
        <f t="shared" si="7"/>
        <v>18</v>
      </c>
      <c r="B112" s="88"/>
      <c r="C112" s="88"/>
      <c r="D112" s="88"/>
      <c r="E112" s="88"/>
      <c r="F112" s="88"/>
      <c r="G112" s="88"/>
      <c r="H112" s="88"/>
      <c r="I112" s="88"/>
      <c r="J112" s="88"/>
      <c r="K112" s="88"/>
      <c r="L112" s="88"/>
      <c r="M112" s="88"/>
      <c r="N112" s="88"/>
      <c r="O112" s="88"/>
      <c r="P112" s="88"/>
      <c r="Q112" s="88"/>
      <c r="R112" s="88"/>
      <c r="S112" s="88"/>
      <c r="T112" s="88"/>
      <c r="U112" s="88"/>
      <c r="V112" s="88"/>
      <c r="W112" s="88"/>
      <c r="X112" s="88"/>
      <c r="Y112" s="88"/>
      <c r="Z112" s="88"/>
      <c r="AA112" s="88"/>
      <c r="AB112" s="88"/>
      <c r="AC112" s="88"/>
      <c r="AD112" s="88"/>
      <c r="AE112" s="88"/>
      <c r="AF112" s="88"/>
      <c r="AG112" s="88"/>
      <c r="AH112" s="88"/>
      <c r="AI112" s="88"/>
      <c r="AJ112" s="88"/>
      <c r="AK112" s="88"/>
      <c r="AL112" s="88"/>
      <c r="AM112" s="88"/>
      <c r="AN112" s="88"/>
      <c r="AO112" s="88"/>
      <c r="AP112" s="88"/>
      <c r="AQ112" s="88"/>
      <c r="AR112" s="88"/>
      <c r="AS112" s="88"/>
      <c r="AT112" s="88"/>
      <c r="AU112" s="88"/>
      <c r="AV112" s="88"/>
      <c r="AW112" s="88"/>
      <c r="AX112" s="88"/>
      <c r="AY112" s="88"/>
      <c r="AZ112" s="88"/>
      <c r="BA112" s="88"/>
      <c r="BB112" s="88"/>
      <c r="BC112" s="88"/>
      <c r="BD112" s="88"/>
      <c r="BE112" s="88"/>
      <c r="BF112" s="88"/>
      <c r="BG112" s="88"/>
      <c r="BH112" s="88"/>
      <c r="BI112" s="88"/>
      <c r="BJ112" s="88"/>
    </row>
    <row r="113" spans="1:62" outlineLevel="1">
      <c r="A113" s="11">
        <f t="shared" si="7"/>
        <v>19</v>
      </c>
      <c r="B113" s="88"/>
      <c r="C113" s="88"/>
      <c r="D113" s="88"/>
      <c r="E113" s="88"/>
      <c r="F113" s="88"/>
      <c r="G113" s="88"/>
      <c r="H113" s="88"/>
      <c r="I113" s="88"/>
      <c r="J113" s="88"/>
      <c r="K113" s="88"/>
      <c r="L113" s="88"/>
      <c r="M113" s="88"/>
      <c r="N113" s="88"/>
      <c r="O113" s="88"/>
      <c r="P113" s="88"/>
      <c r="Q113" s="88"/>
      <c r="R113" s="88"/>
      <c r="S113" s="88"/>
      <c r="T113" s="88"/>
      <c r="U113" s="88"/>
      <c r="V113" s="88"/>
      <c r="W113" s="88"/>
      <c r="X113" s="88"/>
      <c r="Y113" s="88"/>
      <c r="Z113" s="88"/>
      <c r="AA113" s="88"/>
      <c r="AB113" s="88"/>
      <c r="AC113" s="88"/>
      <c r="AD113" s="88"/>
      <c r="AE113" s="88"/>
      <c r="AF113" s="88"/>
      <c r="AG113" s="88"/>
      <c r="AH113" s="88"/>
      <c r="AI113" s="88"/>
      <c r="AJ113" s="88"/>
      <c r="AK113" s="88"/>
      <c r="AL113" s="88"/>
      <c r="AM113" s="88"/>
      <c r="AN113" s="88"/>
      <c r="AO113" s="88"/>
      <c r="AP113" s="88"/>
      <c r="AQ113" s="88"/>
      <c r="AR113" s="88"/>
      <c r="AS113" s="88"/>
      <c r="AT113" s="88"/>
      <c r="AU113" s="88"/>
      <c r="AV113" s="88"/>
      <c r="AW113" s="88"/>
      <c r="AX113" s="88"/>
      <c r="AY113" s="88"/>
      <c r="AZ113" s="88"/>
      <c r="BA113" s="88"/>
      <c r="BB113" s="88"/>
      <c r="BC113" s="88"/>
      <c r="BD113" s="88"/>
      <c r="BE113" s="88"/>
      <c r="BF113" s="88"/>
      <c r="BG113" s="88"/>
      <c r="BH113" s="88"/>
      <c r="BI113" s="88"/>
      <c r="BJ113" s="88"/>
    </row>
    <row r="114" spans="1:62" outlineLevel="1">
      <c r="A114" s="11">
        <f t="shared" si="7"/>
        <v>20</v>
      </c>
      <c r="B114" s="88"/>
      <c r="C114" s="88"/>
      <c r="D114" s="88"/>
      <c r="E114" s="88"/>
      <c r="F114" s="88"/>
      <c r="G114" s="88"/>
      <c r="H114" s="88"/>
      <c r="I114" s="88"/>
      <c r="J114" s="88"/>
      <c r="K114" s="88"/>
      <c r="L114" s="88"/>
      <c r="M114" s="88"/>
      <c r="N114" s="88"/>
      <c r="O114" s="88"/>
      <c r="P114" s="88"/>
      <c r="Q114" s="88"/>
      <c r="R114" s="88"/>
      <c r="S114" s="88"/>
      <c r="T114" s="88"/>
      <c r="U114" s="88"/>
      <c r="V114" s="88"/>
      <c r="W114" s="88"/>
      <c r="X114" s="88"/>
      <c r="Y114" s="88"/>
      <c r="Z114" s="88"/>
      <c r="AA114" s="88"/>
      <c r="AB114" s="88"/>
      <c r="AC114" s="88"/>
      <c r="AD114" s="88"/>
      <c r="AE114" s="88"/>
      <c r="AF114" s="88"/>
      <c r="AG114" s="88"/>
      <c r="AH114" s="88"/>
      <c r="AI114" s="88"/>
      <c r="AJ114" s="88"/>
      <c r="AK114" s="88"/>
      <c r="AL114" s="88"/>
      <c r="AM114" s="88"/>
      <c r="AN114" s="88"/>
      <c r="AO114" s="88"/>
      <c r="AP114" s="88"/>
      <c r="AQ114" s="88"/>
      <c r="AR114" s="88"/>
      <c r="AS114" s="88"/>
      <c r="AT114" s="88"/>
      <c r="AU114" s="88"/>
      <c r="AV114" s="88"/>
      <c r="AW114" s="88"/>
      <c r="AX114" s="88"/>
      <c r="AY114" s="88"/>
      <c r="AZ114" s="88"/>
      <c r="BA114" s="88"/>
      <c r="BB114" s="88"/>
      <c r="BC114" s="88"/>
      <c r="BD114" s="88"/>
      <c r="BE114" s="88"/>
      <c r="BF114" s="88"/>
      <c r="BG114" s="88"/>
      <c r="BH114" s="88"/>
      <c r="BI114" s="88"/>
      <c r="BJ114" s="88"/>
    </row>
    <row r="115" spans="1:62" outlineLevel="1">
      <c r="A115" s="11">
        <f t="shared" si="7"/>
        <v>21</v>
      </c>
      <c r="B115" s="88"/>
      <c r="C115" s="88"/>
      <c r="D115" s="88"/>
      <c r="E115" s="88"/>
      <c r="F115" s="88"/>
      <c r="G115" s="88"/>
      <c r="H115" s="88"/>
      <c r="I115" s="88"/>
      <c r="J115" s="88"/>
      <c r="K115" s="88"/>
      <c r="L115" s="88"/>
      <c r="M115" s="88"/>
      <c r="N115" s="88"/>
      <c r="O115" s="88"/>
      <c r="P115" s="88"/>
      <c r="Q115" s="88"/>
      <c r="R115" s="88"/>
      <c r="S115" s="88"/>
      <c r="T115" s="88"/>
      <c r="U115" s="88"/>
      <c r="V115" s="88"/>
      <c r="W115" s="88"/>
      <c r="X115" s="88"/>
      <c r="Y115" s="88"/>
      <c r="Z115" s="88"/>
      <c r="AA115" s="88"/>
      <c r="AB115" s="88"/>
      <c r="AC115" s="88"/>
      <c r="AD115" s="88"/>
      <c r="AE115" s="88"/>
      <c r="AF115" s="88"/>
      <c r="AG115" s="88"/>
      <c r="AH115" s="88"/>
      <c r="AI115" s="88"/>
      <c r="AJ115" s="88"/>
      <c r="AK115" s="88"/>
      <c r="AL115" s="88"/>
      <c r="AM115" s="88"/>
      <c r="AN115" s="88"/>
      <c r="AO115" s="88"/>
      <c r="AP115" s="88"/>
      <c r="AQ115" s="88"/>
      <c r="AR115" s="88"/>
      <c r="AS115" s="88"/>
      <c r="AT115" s="88"/>
      <c r="AU115" s="88"/>
      <c r="AV115" s="88"/>
      <c r="AW115" s="88"/>
      <c r="AX115" s="88"/>
      <c r="AY115" s="88"/>
      <c r="AZ115" s="88"/>
      <c r="BA115" s="88"/>
      <c r="BB115" s="88"/>
      <c r="BC115" s="88"/>
      <c r="BD115" s="88"/>
      <c r="BE115" s="88"/>
      <c r="BF115" s="88"/>
      <c r="BG115" s="88"/>
      <c r="BH115" s="88"/>
      <c r="BI115" s="88"/>
      <c r="BJ115" s="88"/>
    </row>
    <row r="116" spans="1:62" outlineLevel="1">
      <c r="A116" s="11">
        <f t="shared" si="7"/>
        <v>22</v>
      </c>
      <c r="B116" s="88"/>
      <c r="C116" s="88"/>
      <c r="D116" s="88"/>
      <c r="E116" s="88"/>
      <c r="F116" s="88"/>
      <c r="G116" s="88"/>
      <c r="H116" s="88"/>
      <c r="I116" s="88"/>
      <c r="J116" s="88"/>
      <c r="K116" s="88"/>
      <c r="L116" s="88"/>
      <c r="M116" s="88"/>
      <c r="N116" s="88"/>
      <c r="O116" s="88"/>
      <c r="P116" s="88"/>
      <c r="Q116" s="88"/>
      <c r="R116" s="88"/>
      <c r="S116" s="88"/>
      <c r="T116" s="88"/>
      <c r="U116" s="88"/>
      <c r="V116" s="88"/>
      <c r="W116" s="88"/>
      <c r="X116" s="88"/>
      <c r="Y116" s="88"/>
      <c r="Z116" s="88"/>
      <c r="AA116" s="88"/>
      <c r="AB116" s="88"/>
      <c r="AC116" s="88"/>
      <c r="AD116" s="88"/>
      <c r="AE116" s="88"/>
      <c r="AF116" s="88"/>
      <c r="AG116" s="88"/>
      <c r="AH116" s="88"/>
      <c r="AI116" s="88"/>
      <c r="AJ116" s="88"/>
      <c r="AK116" s="88"/>
      <c r="AL116" s="88"/>
      <c r="AM116" s="88"/>
      <c r="AN116" s="88"/>
      <c r="AO116" s="88"/>
      <c r="AP116" s="88"/>
      <c r="AQ116" s="88"/>
      <c r="AR116" s="88"/>
      <c r="AS116" s="88"/>
      <c r="AT116" s="88"/>
      <c r="AU116" s="88"/>
      <c r="AV116" s="88"/>
      <c r="AW116" s="88"/>
      <c r="AX116" s="88"/>
      <c r="AY116" s="88"/>
      <c r="AZ116" s="88"/>
      <c r="BA116" s="88"/>
      <c r="BB116" s="88"/>
      <c r="BC116" s="88"/>
      <c r="BD116" s="88"/>
      <c r="BE116" s="88"/>
      <c r="BF116" s="88"/>
      <c r="BG116" s="88"/>
      <c r="BH116" s="88"/>
      <c r="BI116" s="88"/>
      <c r="BJ116" s="88"/>
    </row>
    <row r="117" spans="1:62" outlineLevel="1">
      <c r="A117" s="11">
        <f t="shared" si="7"/>
        <v>23</v>
      </c>
      <c r="B117" s="88"/>
      <c r="C117" s="88"/>
      <c r="D117" s="88"/>
      <c r="E117" s="88"/>
      <c r="F117" s="88"/>
      <c r="G117" s="88"/>
      <c r="H117" s="88"/>
      <c r="I117" s="88"/>
      <c r="J117" s="88"/>
      <c r="K117" s="88"/>
      <c r="L117" s="88"/>
      <c r="M117" s="88"/>
      <c r="N117" s="88"/>
      <c r="O117" s="88"/>
      <c r="P117" s="88"/>
      <c r="Q117" s="88"/>
      <c r="R117" s="88"/>
      <c r="S117" s="88"/>
      <c r="T117" s="88"/>
      <c r="U117" s="88"/>
      <c r="V117" s="88"/>
      <c r="W117" s="88"/>
      <c r="X117" s="88"/>
      <c r="Y117" s="88"/>
      <c r="Z117" s="88"/>
      <c r="AA117" s="88"/>
      <c r="AB117" s="88"/>
      <c r="AC117" s="88"/>
      <c r="AD117" s="88"/>
      <c r="AE117" s="88"/>
      <c r="AF117" s="88"/>
      <c r="AG117" s="88"/>
      <c r="AH117" s="88"/>
      <c r="AI117" s="88"/>
      <c r="AJ117" s="88"/>
      <c r="AK117" s="88"/>
      <c r="AL117" s="88"/>
      <c r="AM117" s="88"/>
      <c r="AN117" s="88"/>
      <c r="AO117" s="88"/>
      <c r="AP117" s="88"/>
      <c r="AQ117" s="88"/>
      <c r="AR117" s="88"/>
      <c r="AS117" s="88"/>
      <c r="AT117" s="88"/>
      <c r="AU117" s="88"/>
      <c r="AV117" s="88"/>
      <c r="AW117" s="88"/>
      <c r="AX117" s="88"/>
      <c r="AY117" s="88"/>
      <c r="AZ117" s="88"/>
      <c r="BA117" s="88"/>
      <c r="BB117" s="88"/>
      <c r="BC117" s="88"/>
      <c r="BD117" s="88"/>
      <c r="BE117" s="88"/>
      <c r="BF117" s="88"/>
      <c r="BG117" s="88"/>
      <c r="BH117" s="88"/>
      <c r="BI117" s="88"/>
      <c r="BJ117" s="88"/>
    </row>
    <row r="118" spans="1:62" outlineLevel="1">
      <c r="A118" s="11">
        <f t="shared" si="7"/>
        <v>24</v>
      </c>
      <c r="B118" s="88"/>
      <c r="C118" s="88"/>
      <c r="D118" s="88"/>
      <c r="E118" s="88"/>
      <c r="F118" s="88"/>
      <c r="G118" s="88"/>
      <c r="H118" s="88"/>
      <c r="I118" s="88"/>
      <c r="J118" s="88"/>
      <c r="K118" s="88"/>
      <c r="L118" s="88"/>
      <c r="M118" s="88"/>
      <c r="N118" s="88"/>
      <c r="O118" s="88"/>
      <c r="P118" s="88"/>
      <c r="Q118" s="88"/>
      <c r="R118" s="88"/>
      <c r="S118" s="88"/>
      <c r="T118" s="88"/>
      <c r="U118" s="88"/>
      <c r="V118" s="88"/>
      <c r="W118" s="88"/>
      <c r="X118" s="88"/>
      <c r="Y118" s="88"/>
      <c r="Z118" s="88"/>
      <c r="AA118" s="88"/>
      <c r="AB118" s="88"/>
      <c r="AC118" s="88"/>
      <c r="AD118" s="88"/>
      <c r="AE118" s="88"/>
      <c r="AF118" s="88"/>
      <c r="AG118" s="88"/>
      <c r="AH118" s="88"/>
      <c r="AI118" s="88"/>
      <c r="AJ118" s="88"/>
      <c r="AK118" s="88"/>
      <c r="AL118" s="88"/>
      <c r="AM118" s="88"/>
      <c r="AN118" s="88"/>
      <c r="AO118" s="88"/>
      <c r="AP118" s="88"/>
      <c r="AQ118" s="88"/>
      <c r="AR118" s="88"/>
      <c r="AS118" s="88"/>
      <c r="AT118" s="88"/>
      <c r="AU118" s="88"/>
      <c r="AV118" s="88"/>
      <c r="AW118" s="88"/>
      <c r="AX118" s="88"/>
      <c r="AY118" s="88"/>
      <c r="AZ118" s="88"/>
      <c r="BA118" s="88"/>
      <c r="BB118" s="88"/>
      <c r="BC118" s="88"/>
      <c r="BD118" s="88"/>
      <c r="BE118" s="88"/>
      <c r="BF118" s="88"/>
      <c r="BG118" s="88"/>
      <c r="BH118" s="88"/>
      <c r="BI118" s="88"/>
      <c r="BJ118" s="88"/>
    </row>
    <row r="119" spans="1:62" outlineLevel="1">
      <c r="A119" s="11">
        <f t="shared" si="7"/>
        <v>25</v>
      </c>
      <c r="B119" s="88"/>
      <c r="C119" s="88"/>
      <c r="D119" s="88"/>
      <c r="E119" s="88"/>
      <c r="F119" s="88"/>
      <c r="G119" s="88"/>
      <c r="H119" s="88"/>
      <c r="I119" s="88"/>
      <c r="J119" s="88"/>
      <c r="K119" s="88"/>
      <c r="L119" s="88"/>
      <c r="M119" s="88"/>
      <c r="N119" s="88"/>
      <c r="O119" s="88"/>
      <c r="P119" s="88"/>
      <c r="Q119" s="88"/>
      <c r="R119" s="88"/>
      <c r="S119" s="88"/>
      <c r="T119" s="88"/>
      <c r="U119" s="88"/>
      <c r="V119" s="88"/>
      <c r="W119" s="88"/>
      <c r="X119" s="88"/>
      <c r="Y119" s="88"/>
      <c r="Z119" s="88"/>
      <c r="AA119" s="88"/>
      <c r="AB119" s="88"/>
      <c r="AC119" s="88"/>
      <c r="AD119" s="88"/>
      <c r="AE119" s="88"/>
      <c r="AF119" s="88"/>
      <c r="AG119" s="88"/>
      <c r="AH119" s="88"/>
      <c r="AI119" s="88"/>
      <c r="AJ119" s="88"/>
      <c r="AK119" s="88"/>
      <c r="AL119" s="88"/>
      <c r="AM119" s="88"/>
      <c r="AN119" s="88"/>
      <c r="AO119" s="88"/>
      <c r="AP119" s="88"/>
      <c r="AQ119" s="88"/>
      <c r="AR119" s="88"/>
      <c r="AS119" s="88"/>
      <c r="AT119" s="88"/>
      <c r="AU119" s="88"/>
      <c r="AV119" s="88"/>
      <c r="AW119" s="88"/>
      <c r="AX119" s="88"/>
      <c r="AY119" s="88"/>
      <c r="AZ119" s="88"/>
      <c r="BA119" s="88"/>
      <c r="BB119" s="88"/>
      <c r="BC119" s="88"/>
      <c r="BD119" s="88"/>
      <c r="BE119" s="88"/>
      <c r="BF119" s="88"/>
      <c r="BG119" s="88"/>
      <c r="BH119" s="88"/>
      <c r="BI119" s="88"/>
      <c r="BJ119" s="88"/>
    </row>
    <row r="120" spans="1:62" outlineLevel="1">
      <c r="A120" s="11">
        <f t="shared" si="7"/>
        <v>26</v>
      </c>
      <c r="B120" s="88"/>
      <c r="C120" s="88"/>
      <c r="D120" s="88"/>
      <c r="E120" s="88"/>
      <c r="F120" s="88"/>
      <c r="G120" s="88"/>
      <c r="H120" s="88"/>
      <c r="I120" s="88"/>
      <c r="J120" s="88"/>
      <c r="K120" s="88"/>
      <c r="L120" s="88"/>
      <c r="M120" s="88"/>
      <c r="N120" s="88"/>
      <c r="O120" s="88"/>
      <c r="P120" s="88"/>
      <c r="Q120" s="88"/>
      <c r="R120" s="88"/>
      <c r="S120" s="88"/>
      <c r="T120" s="88"/>
      <c r="U120" s="88"/>
      <c r="V120" s="88"/>
      <c r="W120" s="88"/>
      <c r="X120" s="88"/>
      <c r="Y120" s="88"/>
      <c r="Z120" s="88"/>
      <c r="AA120" s="88"/>
      <c r="AB120" s="88"/>
      <c r="AC120" s="88"/>
      <c r="AD120" s="88"/>
      <c r="AE120" s="88"/>
      <c r="AF120" s="88"/>
      <c r="AG120" s="88"/>
      <c r="AH120" s="88"/>
      <c r="AI120" s="88"/>
      <c r="AJ120" s="88"/>
      <c r="AK120" s="88"/>
      <c r="AL120" s="88"/>
      <c r="AM120" s="88"/>
      <c r="AN120" s="88"/>
      <c r="AO120" s="88"/>
      <c r="AP120" s="88"/>
      <c r="AQ120" s="88"/>
      <c r="AR120" s="88"/>
      <c r="AS120" s="88"/>
      <c r="AT120" s="88"/>
      <c r="AU120" s="88"/>
      <c r="AV120" s="88"/>
      <c r="AW120" s="88"/>
      <c r="AX120" s="88"/>
      <c r="AY120" s="88"/>
      <c r="AZ120" s="88"/>
      <c r="BA120" s="88"/>
      <c r="BB120" s="88"/>
      <c r="BC120" s="88"/>
      <c r="BD120" s="88"/>
      <c r="BE120" s="88"/>
      <c r="BF120" s="88"/>
      <c r="BG120" s="88"/>
      <c r="BH120" s="88"/>
      <c r="BI120" s="88"/>
      <c r="BJ120" s="88"/>
    </row>
    <row r="121" spans="1:62" outlineLevel="1">
      <c r="A121" s="11">
        <f t="shared" si="7"/>
        <v>27</v>
      </c>
      <c r="B121" s="88"/>
      <c r="C121" s="88"/>
      <c r="D121" s="88"/>
      <c r="E121" s="88"/>
      <c r="F121" s="88"/>
      <c r="G121" s="88"/>
      <c r="H121" s="88"/>
      <c r="I121" s="88"/>
      <c r="J121" s="88"/>
      <c r="K121" s="88"/>
      <c r="L121" s="88"/>
      <c r="M121" s="88"/>
      <c r="N121" s="88"/>
      <c r="O121" s="88"/>
      <c r="P121" s="88"/>
      <c r="Q121" s="88"/>
      <c r="R121" s="88"/>
      <c r="S121" s="88"/>
      <c r="T121" s="88"/>
      <c r="U121" s="88"/>
      <c r="V121" s="88"/>
      <c r="W121" s="88"/>
      <c r="X121" s="88"/>
      <c r="Y121" s="88"/>
      <c r="Z121" s="88"/>
      <c r="AA121" s="88"/>
      <c r="AB121" s="88"/>
      <c r="AC121" s="88"/>
      <c r="AD121" s="88"/>
      <c r="AE121" s="88"/>
      <c r="AF121" s="88"/>
      <c r="AG121" s="88"/>
      <c r="AH121" s="88"/>
      <c r="AI121" s="88"/>
      <c r="AJ121" s="88"/>
      <c r="AK121" s="88"/>
      <c r="AL121" s="88"/>
      <c r="AM121" s="88"/>
      <c r="AN121" s="88"/>
      <c r="AO121" s="88"/>
      <c r="AP121" s="88"/>
      <c r="AQ121" s="88"/>
      <c r="AR121" s="88"/>
      <c r="AS121" s="88"/>
      <c r="AT121" s="88"/>
      <c r="AU121" s="88"/>
      <c r="AV121" s="88"/>
      <c r="AW121" s="88"/>
      <c r="AX121" s="88"/>
      <c r="AY121" s="88"/>
      <c r="AZ121" s="88"/>
      <c r="BA121" s="88"/>
      <c r="BB121" s="88"/>
      <c r="BC121" s="88"/>
      <c r="BD121" s="88"/>
      <c r="BE121" s="88"/>
      <c r="BF121" s="88"/>
      <c r="BG121" s="88"/>
      <c r="BH121" s="88"/>
      <c r="BI121" s="88"/>
      <c r="BJ121" s="88"/>
    </row>
    <row r="122" spans="1:62" outlineLevel="1">
      <c r="A122" s="11">
        <f t="shared" si="7"/>
        <v>28</v>
      </c>
      <c r="B122" s="88"/>
      <c r="C122" s="88"/>
      <c r="D122" s="88"/>
      <c r="E122" s="88"/>
      <c r="F122" s="88"/>
      <c r="G122" s="88"/>
      <c r="H122" s="88"/>
      <c r="I122" s="88"/>
      <c r="J122" s="88"/>
      <c r="K122" s="88"/>
      <c r="L122" s="88"/>
      <c r="M122" s="88"/>
      <c r="N122" s="88"/>
      <c r="O122" s="88"/>
      <c r="P122" s="88"/>
      <c r="Q122" s="88"/>
      <c r="R122" s="88"/>
      <c r="S122" s="88"/>
      <c r="T122" s="88"/>
      <c r="U122" s="88"/>
      <c r="V122" s="88"/>
      <c r="W122" s="88"/>
      <c r="X122" s="88"/>
      <c r="Y122" s="88"/>
      <c r="Z122" s="88"/>
      <c r="AA122" s="88"/>
      <c r="AB122" s="88"/>
      <c r="AC122" s="88"/>
      <c r="AD122" s="88"/>
      <c r="AE122" s="88"/>
      <c r="AF122" s="88"/>
      <c r="AG122" s="88"/>
      <c r="AH122" s="88"/>
      <c r="AI122" s="88"/>
      <c r="AJ122" s="88"/>
      <c r="AK122" s="88"/>
      <c r="AL122" s="88"/>
      <c r="AM122" s="88"/>
      <c r="AN122" s="88"/>
      <c r="AO122" s="88"/>
      <c r="AP122" s="88"/>
      <c r="AQ122" s="88"/>
      <c r="AR122" s="88"/>
      <c r="AS122" s="88"/>
      <c r="AT122" s="88"/>
      <c r="AU122" s="88"/>
      <c r="AV122" s="88"/>
      <c r="AW122" s="88"/>
      <c r="AX122" s="88"/>
      <c r="AY122" s="88"/>
      <c r="AZ122" s="88"/>
      <c r="BA122" s="88"/>
      <c r="BB122" s="88"/>
      <c r="BC122" s="88"/>
      <c r="BD122" s="88"/>
      <c r="BE122" s="88"/>
      <c r="BF122" s="88"/>
      <c r="BG122" s="88"/>
      <c r="BH122" s="88"/>
      <c r="BI122" s="88"/>
      <c r="BJ122" s="88"/>
    </row>
    <row r="123" spans="1:62" outlineLevel="1">
      <c r="A123" s="11">
        <f t="shared" si="7"/>
        <v>29</v>
      </c>
      <c r="B123" s="88"/>
      <c r="C123" s="88"/>
      <c r="D123" s="88"/>
      <c r="E123" s="88"/>
      <c r="F123" s="88"/>
      <c r="G123" s="88"/>
      <c r="H123" s="88"/>
      <c r="I123" s="88"/>
      <c r="J123" s="88"/>
      <c r="K123" s="88"/>
      <c r="L123" s="88"/>
      <c r="M123" s="88"/>
      <c r="N123" s="88"/>
      <c r="O123" s="88"/>
      <c r="P123" s="88"/>
      <c r="Q123" s="88"/>
      <c r="R123" s="88"/>
      <c r="S123" s="88"/>
      <c r="T123" s="88"/>
      <c r="U123" s="88"/>
      <c r="V123" s="88"/>
      <c r="W123" s="88"/>
      <c r="X123" s="88"/>
      <c r="Y123" s="88"/>
      <c r="Z123" s="88"/>
      <c r="AA123" s="88"/>
      <c r="AB123" s="88"/>
      <c r="AC123" s="88"/>
      <c r="AD123" s="88"/>
      <c r="AE123" s="88"/>
      <c r="AF123" s="88"/>
      <c r="AG123" s="88"/>
      <c r="AH123" s="88"/>
      <c r="AI123" s="88"/>
      <c r="AJ123" s="88"/>
      <c r="AK123" s="88"/>
      <c r="AL123" s="88"/>
      <c r="AM123" s="88"/>
      <c r="AN123" s="88"/>
      <c r="AO123" s="88"/>
      <c r="AP123" s="88"/>
      <c r="AQ123" s="88"/>
      <c r="AR123" s="88"/>
      <c r="AS123" s="88"/>
      <c r="AT123" s="88"/>
      <c r="AU123" s="88"/>
      <c r="AV123" s="88"/>
      <c r="AW123" s="88"/>
      <c r="AX123" s="88"/>
      <c r="AY123" s="88"/>
      <c r="AZ123" s="88"/>
      <c r="BA123" s="88"/>
      <c r="BB123" s="88"/>
      <c r="BC123" s="88"/>
      <c r="BD123" s="88"/>
      <c r="BE123" s="88"/>
      <c r="BF123" s="88"/>
      <c r="BG123" s="88"/>
      <c r="BH123" s="88"/>
      <c r="BI123" s="88"/>
      <c r="BJ123" s="88"/>
    </row>
    <row r="124" spans="1:62" outlineLevel="1">
      <c r="A124" s="11">
        <f t="shared" si="7"/>
        <v>30</v>
      </c>
      <c r="B124" s="88"/>
      <c r="C124" s="88"/>
      <c r="D124" s="88"/>
      <c r="E124" s="88"/>
      <c r="F124" s="88"/>
      <c r="G124" s="88"/>
      <c r="H124" s="88"/>
      <c r="I124" s="88"/>
      <c r="J124" s="88"/>
      <c r="K124" s="88"/>
      <c r="L124" s="88"/>
      <c r="M124" s="88"/>
      <c r="N124" s="88"/>
      <c r="O124" s="88"/>
      <c r="P124" s="88"/>
      <c r="Q124" s="88"/>
      <c r="R124" s="88"/>
      <c r="S124" s="88"/>
      <c r="T124" s="88"/>
      <c r="U124" s="88"/>
      <c r="V124" s="88"/>
      <c r="W124" s="88"/>
      <c r="X124" s="88"/>
      <c r="Y124" s="88"/>
      <c r="Z124" s="88"/>
      <c r="AA124" s="88"/>
      <c r="AB124" s="88"/>
      <c r="AC124" s="88"/>
      <c r="AD124" s="88"/>
      <c r="AE124" s="88"/>
      <c r="AF124" s="88"/>
      <c r="AG124" s="88"/>
      <c r="AH124" s="88"/>
      <c r="AI124" s="88"/>
      <c r="AJ124" s="88"/>
      <c r="AK124" s="88"/>
      <c r="AL124" s="88"/>
      <c r="AM124" s="88"/>
      <c r="AN124" s="88"/>
      <c r="AO124" s="88"/>
      <c r="AP124" s="88"/>
      <c r="AQ124" s="88"/>
      <c r="AR124" s="88"/>
      <c r="AS124" s="88"/>
      <c r="AT124" s="88"/>
      <c r="AU124" s="88"/>
      <c r="AV124" s="88"/>
      <c r="AW124" s="88"/>
      <c r="AX124" s="88"/>
      <c r="AY124" s="88"/>
      <c r="AZ124" s="88"/>
      <c r="BA124" s="88"/>
      <c r="BB124" s="88"/>
      <c r="BC124" s="88"/>
      <c r="BD124" s="88"/>
      <c r="BE124" s="88"/>
      <c r="BF124" s="88"/>
      <c r="BG124" s="88"/>
      <c r="BH124" s="88"/>
      <c r="BI124" s="88"/>
      <c r="BJ124" s="88"/>
    </row>
    <row r="125" spans="1:62" outlineLevel="1">
      <c r="A125" s="11">
        <f t="shared" si="7"/>
        <v>31</v>
      </c>
      <c r="B125" s="88"/>
      <c r="C125" s="88"/>
      <c r="D125" s="88"/>
      <c r="E125" s="88"/>
      <c r="F125" s="88"/>
      <c r="G125" s="88"/>
      <c r="H125" s="88"/>
      <c r="I125" s="88"/>
      <c r="J125" s="88"/>
      <c r="K125" s="88"/>
      <c r="L125" s="88"/>
      <c r="M125" s="88"/>
      <c r="N125" s="88"/>
      <c r="O125" s="88"/>
      <c r="P125" s="88"/>
      <c r="Q125" s="88"/>
      <c r="R125" s="88"/>
      <c r="S125" s="88"/>
      <c r="T125" s="88"/>
      <c r="U125" s="88"/>
      <c r="V125" s="88"/>
      <c r="W125" s="88"/>
      <c r="X125" s="88"/>
      <c r="Y125" s="88"/>
      <c r="Z125" s="88"/>
      <c r="AA125" s="88"/>
      <c r="AB125" s="88"/>
      <c r="AC125" s="88"/>
      <c r="AD125" s="88"/>
      <c r="AE125" s="88"/>
      <c r="AF125" s="88"/>
      <c r="AG125" s="88"/>
      <c r="AH125" s="88"/>
      <c r="AI125" s="88"/>
      <c r="AJ125" s="88"/>
      <c r="AK125" s="88"/>
      <c r="AL125" s="88"/>
      <c r="AM125" s="88"/>
      <c r="AN125" s="88"/>
      <c r="AO125" s="88"/>
      <c r="AP125" s="88"/>
      <c r="AQ125" s="88"/>
      <c r="AR125" s="88"/>
      <c r="AS125" s="88"/>
      <c r="AT125" s="88"/>
      <c r="AU125" s="88"/>
      <c r="AV125" s="88"/>
      <c r="AW125" s="88"/>
      <c r="AX125" s="88"/>
      <c r="AY125" s="88"/>
      <c r="AZ125" s="88"/>
      <c r="BA125" s="88"/>
      <c r="BB125" s="88"/>
      <c r="BC125" s="88"/>
      <c r="BD125" s="88"/>
      <c r="BE125" s="88"/>
      <c r="BF125" s="88"/>
      <c r="BG125" s="88"/>
      <c r="BH125" s="88"/>
      <c r="BI125" s="88"/>
      <c r="BJ125" s="88"/>
    </row>
    <row r="126" spans="1:62" outlineLevel="1">
      <c r="A126" s="11">
        <f t="shared" si="7"/>
        <v>32</v>
      </c>
      <c r="B126" s="88"/>
      <c r="C126" s="88"/>
      <c r="D126" s="88"/>
      <c r="E126" s="88"/>
      <c r="F126" s="88"/>
      <c r="G126" s="88"/>
      <c r="H126" s="88"/>
      <c r="I126" s="88"/>
      <c r="J126" s="88"/>
      <c r="K126" s="88"/>
      <c r="L126" s="88"/>
      <c r="M126" s="88"/>
      <c r="N126" s="88"/>
      <c r="O126" s="88"/>
      <c r="P126" s="88"/>
      <c r="Q126" s="88"/>
      <c r="R126" s="88"/>
      <c r="S126" s="88"/>
      <c r="T126" s="88"/>
      <c r="U126" s="88"/>
      <c r="V126" s="88"/>
      <c r="W126" s="88"/>
      <c r="X126" s="88"/>
      <c r="Y126" s="88"/>
      <c r="Z126" s="88"/>
      <c r="AA126" s="88"/>
      <c r="AB126" s="88"/>
      <c r="AC126" s="88"/>
      <c r="AD126" s="88"/>
      <c r="AE126" s="88"/>
      <c r="AF126" s="88"/>
      <c r="AG126" s="88"/>
      <c r="AH126" s="88"/>
      <c r="AI126" s="88"/>
      <c r="AJ126" s="88"/>
      <c r="AK126" s="88"/>
      <c r="AL126" s="88"/>
      <c r="AM126" s="88"/>
      <c r="AN126" s="88"/>
      <c r="AO126" s="88"/>
      <c r="AP126" s="88"/>
      <c r="AQ126" s="88"/>
      <c r="AR126" s="88"/>
      <c r="AS126" s="88"/>
      <c r="AT126" s="88"/>
      <c r="AU126" s="88"/>
      <c r="AV126" s="88"/>
      <c r="AW126" s="88"/>
      <c r="AX126" s="88"/>
      <c r="AY126" s="88"/>
      <c r="AZ126" s="88"/>
      <c r="BA126" s="88"/>
      <c r="BB126" s="88"/>
      <c r="BC126" s="88"/>
      <c r="BD126" s="88"/>
      <c r="BE126" s="88"/>
      <c r="BF126" s="88"/>
      <c r="BG126" s="88"/>
      <c r="BH126" s="88"/>
      <c r="BI126" s="88"/>
      <c r="BJ126" s="88"/>
    </row>
    <row r="127" spans="1:62" outlineLevel="1">
      <c r="A127" s="11">
        <f t="shared" ref="A127:A154" si="8">A126+1</f>
        <v>33</v>
      </c>
      <c r="B127" s="88"/>
      <c r="C127" s="88"/>
      <c r="D127" s="88"/>
      <c r="E127" s="88"/>
      <c r="F127" s="88"/>
      <c r="G127" s="88"/>
      <c r="H127" s="88"/>
      <c r="I127" s="88"/>
      <c r="J127" s="88"/>
      <c r="K127" s="88"/>
      <c r="L127" s="88"/>
      <c r="M127" s="88"/>
      <c r="N127" s="88"/>
      <c r="O127" s="88"/>
      <c r="P127" s="88"/>
      <c r="Q127" s="88"/>
      <c r="R127" s="88"/>
      <c r="S127" s="88"/>
      <c r="T127" s="88"/>
      <c r="U127" s="88"/>
      <c r="V127" s="88"/>
      <c r="W127" s="88"/>
      <c r="X127" s="88"/>
      <c r="Y127" s="88"/>
      <c r="Z127" s="88"/>
      <c r="AA127" s="88"/>
      <c r="AB127" s="88"/>
      <c r="AC127" s="88"/>
      <c r="AD127" s="88"/>
      <c r="AE127" s="88"/>
      <c r="AF127" s="88"/>
      <c r="AG127" s="88"/>
      <c r="AH127" s="88"/>
      <c r="AI127" s="88"/>
      <c r="AJ127" s="88"/>
      <c r="AK127" s="88"/>
      <c r="AL127" s="88"/>
      <c r="AM127" s="88"/>
      <c r="AN127" s="88"/>
      <c r="AO127" s="88"/>
      <c r="AP127" s="88"/>
      <c r="AQ127" s="88"/>
      <c r="AR127" s="88"/>
      <c r="AS127" s="88"/>
      <c r="AT127" s="88"/>
      <c r="AU127" s="88"/>
      <c r="AV127" s="88"/>
      <c r="AW127" s="88"/>
      <c r="AX127" s="88"/>
      <c r="AY127" s="88"/>
      <c r="AZ127" s="88"/>
      <c r="BA127" s="88"/>
      <c r="BB127" s="88"/>
      <c r="BC127" s="88"/>
      <c r="BD127" s="88"/>
      <c r="BE127" s="88"/>
      <c r="BF127" s="88"/>
      <c r="BG127" s="88"/>
      <c r="BH127" s="88"/>
      <c r="BI127" s="88"/>
      <c r="BJ127" s="88"/>
    </row>
    <row r="128" spans="1:62" outlineLevel="1">
      <c r="A128" s="11">
        <f t="shared" si="8"/>
        <v>34</v>
      </c>
      <c r="B128" s="88"/>
      <c r="C128" s="88"/>
      <c r="D128" s="88"/>
      <c r="E128" s="88"/>
      <c r="F128" s="88"/>
      <c r="G128" s="88"/>
      <c r="H128" s="88"/>
      <c r="I128" s="88"/>
      <c r="J128" s="88"/>
      <c r="K128" s="88"/>
      <c r="L128" s="88"/>
      <c r="M128" s="88"/>
      <c r="N128" s="88"/>
      <c r="O128" s="88"/>
      <c r="P128" s="88"/>
      <c r="Q128" s="88"/>
      <c r="R128" s="88"/>
      <c r="S128" s="88"/>
      <c r="T128" s="88"/>
      <c r="U128" s="88"/>
      <c r="V128" s="88"/>
      <c r="W128" s="88"/>
      <c r="X128" s="88"/>
      <c r="Y128" s="88"/>
      <c r="Z128" s="88"/>
      <c r="AA128" s="88"/>
      <c r="AB128" s="88"/>
      <c r="AC128" s="88"/>
      <c r="AD128" s="88"/>
      <c r="AE128" s="88"/>
      <c r="AF128" s="88"/>
      <c r="AG128" s="88"/>
      <c r="AH128" s="88"/>
      <c r="AI128" s="88"/>
      <c r="AJ128" s="88"/>
      <c r="AK128" s="88"/>
      <c r="AL128" s="88"/>
      <c r="AM128" s="88"/>
      <c r="AN128" s="88"/>
      <c r="AO128" s="88"/>
      <c r="AP128" s="88"/>
      <c r="AQ128" s="88"/>
      <c r="AR128" s="88"/>
      <c r="AS128" s="88"/>
      <c r="AT128" s="88"/>
      <c r="AU128" s="88"/>
      <c r="AV128" s="88"/>
      <c r="AW128" s="88"/>
      <c r="AX128" s="88"/>
      <c r="AY128" s="88"/>
      <c r="AZ128" s="88"/>
      <c r="BA128" s="88"/>
      <c r="BB128" s="88"/>
      <c r="BC128" s="88"/>
      <c r="BD128" s="88"/>
      <c r="BE128" s="88"/>
      <c r="BF128" s="88"/>
      <c r="BG128" s="88"/>
      <c r="BH128" s="88"/>
      <c r="BI128" s="88"/>
      <c r="BJ128" s="88"/>
    </row>
    <row r="129" spans="1:62" outlineLevel="1">
      <c r="A129" s="11">
        <f t="shared" si="8"/>
        <v>35</v>
      </c>
      <c r="B129" s="88"/>
      <c r="C129" s="88"/>
      <c r="D129" s="88"/>
      <c r="E129" s="88"/>
      <c r="F129" s="88"/>
      <c r="G129" s="88"/>
      <c r="H129" s="88"/>
      <c r="I129" s="88"/>
      <c r="J129" s="88"/>
      <c r="K129" s="88"/>
      <c r="L129" s="88"/>
      <c r="M129" s="88"/>
      <c r="N129" s="88"/>
      <c r="O129" s="88"/>
      <c r="P129" s="88"/>
      <c r="Q129" s="88"/>
      <c r="R129" s="88"/>
      <c r="S129" s="88"/>
      <c r="T129" s="88"/>
      <c r="U129" s="88"/>
      <c r="V129" s="88"/>
      <c r="W129" s="88"/>
      <c r="X129" s="88"/>
      <c r="Y129" s="88"/>
      <c r="Z129" s="88"/>
      <c r="AA129" s="88"/>
      <c r="AB129" s="88"/>
      <c r="AC129" s="88"/>
      <c r="AD129" s="88"/>
      <c r="AE129" s="88"/>
      <c r="AF129" s="88"/>
      <c r="AG129" s="88"/>
      <c r="AH129" s="88"/>
      <c r="AI129" s="88"/>
      <c r="AJ129" s="88"/>
      <c r="AK129" s="88"/>
      <c r="AL129" s="88"/>
      <c r="AM129" s="88"/>
      <c r="AN129" s="88"/>
      <c r="AO129" s="88"/>
      <c r="AP129" s="88"/>
      <c r="AQ129" s="88"/>
      <c r="AR129" s="88"/>
      <c r="AS129" s="88"/>
      <c r="AT129" s="88"/>
      <c r="AU129" s="88"/>
      <c r="AV129" s="88"/>
      <c r="AW129" s="88"/>
      <c r="AX129" s="88"/>
      <c r="AY129" s="88"/>
      <c r="AZ129" s="88"/>
      <c r="BA129" s="88"/>
      <c r="BB129" s="88"/>
      <c r="BC129" s="88"/>
      <c r="BD129" s="88"/>
      <c r="BE129" s="88"/>
      <c r="BF129" s="88"/>
      <c r="BG129" s="88"/>
      <c r="BH129" s="88"/>
      <c r="BI129" s="88"/>
      <c r="BJ129" s="88"/>
    </row>
    <row r="130" spans="1:62" outlineLevel="1">
      <c r="A130" s="11">
        <f t="shared" si="8"/>
        <v>36</v>
      </c>
      <c r="B130" s="88"/>
      <c r="C130" s="88"/>
      <c r="D130" s="88"/>
      <c r="E130" s="88"/>
      <c r="F130" s="88"/>
      <c r="G130" s="88"/>
      <c r="H130" s="88"/>
      <c r="I130" s="88"/>
      <c r="J130" s="88"/>
      <c r="K130" s="88"/>
      <c r="L130" s="88"/>
      <c r="M130" s="88"/>
      <c r="N130" s="88"/>
      <c r="O130" s="88"/>
      <c r="P130" s="88"/>
      <c r="Q130" s="88"/>
      <c r="R130" s="88"/>
      <c r="S130" s="88"/>
      <c r="T130" s="88"/>
      <c r="U130" s="88"/>
      <c r="V130" s="88"/>
      <c r="W130" s="88"/>
      <c r="X130" s="88"/>
      <c r="Y130" s="88"/>
      <c r="Z130" s="88"/>
      <c r="AA130" s="88"/>
      <c r="AB130" s="88"/>
      <c r="AC130" s="88"/>
      <c r="AD130" s="88"/>
      <c r="AE130" s="88"/>
      <c r="AF130" s="88"/>
      <c r="AG130" s="88"/>
      <c r="AH130" s="88"/>
      <c r="AI130" s="88"/>
      <c r="AJ130" s="88"/>
      <c r="AK130" s="88"/>
      <c r="AL130" s="88"/>
      <c r="AM130" s="88"/>
      <c r="AN130" s="88"/>
      <c r="AO130" s="88"/>
      <c r="AP130" s="88"/>
      <c r="AQ130" s="88"/>
      <c r="AR130" s="88"/>
      <c r="AS130" s="88"/>
      <c r="AT130" s="88"/>
      <c r="AU130" s="88"/>
      <c r="AV130" s="88"/>
      <c r="AW130" s="88"/>
      <c r="AX130" s="88"/>
      <c r="AY130" s="88"/>
      <c r="AZ130" s="88"/>
      <c r="BA130" s="88"/>
      <c r="BB130" s="88"/>
      <c r="BC130" s="88"/>
      <c r="BD130" s="88"/>
      <c r="BE130" s="88"/>
      <c r="BF130" s="88"/>
      <c r="BG130" s="88"/>
      <c r="BH130" s="88"/>
      <c r="BI130" s="88"/>
      <c r="BJ130" s="88"/>
    </row>
    <row r="131" spans="1:62" outlineLevel="1">
      <c r="A131" s="11">
        <f t="shared" si="8"/>
        <v>37</v>
      </c>
      <c r="B131" s="88"/>
      <c r="C131" s="88"/>
      <c r="D131" s="88"/>
      <c r="E131" s="88"/>
      <c r="F131" s="88"/>
      <c r="G131" s="88"/>
      <c r="H131" s="88"/>
      <c r="I131" s="88"/>
      <c r="J131" s="88"/>
      <c r="K131" s="88"/>
      <c r="L131" s="88"/>
      <c r="M131" s="88"/>
      <c r="N131" s="88"/>
      <c r="O131" s="88"/>
      <c r="P131" s="88"/>
      <c r="Q131" s="88"/>
      <c r="R131" s="88"/>
      <c r="S131" s="88"/>
      <c r="T131" s="88"/>
      <c r="U131" s="88"/>
      <c r="V131" s="88"/>
      <c r="W131" s="88"/>
      <c r="X131" s="88"/>
      <c r="Y131" s="88"/>
      <c r="Z131" s="88"/>
      <c r="AA131" s="88"/>
      <c r="AB131" s="88"/>
      <c r="AC131" s="88"/>
      <c r="AD131" s="88"/>
      <c r="AE131" s="88"/>
      <c r="AF131" s="88"/>
      <c r="AG131" s="88"/>
      <c r="AH131" s="88"/>
      <c r="AI131" s="88"/>
      <c r="AJ131" s="88"/>
      <c r="AK131" s="88"/>
      <c r="AL131" s="88"/>
      <c r="AM131" s="88"/>
      <c r="AN131" s="88"/>
      <c r="AO131" s="88"/>
      <c r="AP131" s="88"/>
      <c r="AQ131" s="88"/>
      <c r="AR131" s="88"/>
      <c r="AS131" s="88"/>
      <c r="AT131" s="88"/>
      <c r="AU131" s="88"/>
      <c r="AV131" s="88"/>
      <c r="AW131" s="88"/>
      <c r="AX131" s="88"/>
      <c r="AY131" s="88"/>
      <c r="AZ131" s="88"/>
      <c r="BA131" s="88"/>
      <c r="BB131" s="88"/>
      <c r="BC131" s="88"/>
      <c r="BD131" s="88"/>
      <c r="BE131" s="88"/>
      <c r="BF131" s="88"/>
      <c r="BG131" s="88"/>
      <c r="BH131" s="88"/>
      <c r="BI131" s="88"/>
      <c r="BJ131" s="88"/>
    </row>
    <row r="132" spans="1:62" outlineLevel="1">
      <c r="A132" s="11">
        <f t="shared" si="8"/>
        <v>38</v>
      </c>
      <c r="B132" s="88"/>
      <c r="C132" s="88"/>
      <c r="D132" s="88"/>
      <c r="E132" s="88"/>
      <c r="F132" s="88"/>
      <c r="G132" s="88"/>
      <c r="H132" s="88"/>
      <c r="I132" s="88"/>
      <c r="J132" s="88"/>
      <c r="K132" s="88"/>
      <c r="L132" s="88"/>
      <c r="M132" s="88"/>
      <c r="N132" s="88"/>
      <c r="O132" s="88"/>
      <c r="P132" s="88"/>
      <c r="Q132" s="88"/>
      <c r="R132" s="88"/>
      <c r="S132" s="88"/>
      <c r="T132" s="88"/>
      <c r="U132" s="88"/>
      <c r="V132" s="88"/>
      <c r="W132" s="88"/>
      <c r="X132" s="88"/>
      <c r="Y132" s="88"/>
      <c r="Z132" s="88"/>
      <c r="AA132" s="88"/>
      <c r="AB132" s="88"/>
      <c r="AC132" s="88"/>
      <c r="AD132" s="88"/>
      <c r="AE132" s="88"/>
      <c r="AF132" s="88"/>
      <c r="AG132" s="88"/>
      <c r="AH132" s="88"/>
      <c r="AI132" s="88"/>
      <c r="AJ132" s="88"/>
      <c r="AK132" s="88"/>
      <c r="AL132" s="88"/>
      <c r="AM132" s="88"/>
      <c r="AN132" s="88"/>
      <c r="AO132" s="88"/>
      <c r="AP132" s="88"/>
      <c r="AQ132" s="88"/>
      <c r="AR132" s="88"/>
      <c r="AS132" s="88"/>
      <c r="AT132" s="88"/>
      <c r="AU132" s="88"/>
      <c r="AV132" s="88"/>
      <c r="AW132" s="88"/>
      <c r="AX132" s="88"/>
      <c r="AY132" s="88"/>
      <c r="AZ132" s="88"/>
      <c r="BA132" s="88"/>
      <c r="BB132" s="88"/>
      <c r="BC132" s="88"/>
      <c r="BD132" s="88"/>
      <c r="BE132" s="88"/>
      <c r="BF132" s="88"/>
      <c r="BG132" s="88"/>
      <c r="BH132" s="88"/>
      <c r="BI132" s="88"/>
      <c r="BJ132" s="88"/>
    </row>
    <row r="133" spans="1:62" outlineLevel="1">
      <c r="A133" s="11">
        <f t="shared" si="8"/>
        <v>39</v>
      </c>
      <c r="B133" s="88"/>
      <c r="C133" s="88"/>
      <c r="D133" s="88"/>
      <c r="E133" s="88"/>
      <c r="F133" s="88"/>
      <c r="G133" s="88"/>
      <c r="H133" s="88"/>
      <c r="I133" s="88"/>
      <c r="J133" s="88"/>
      <c r="K133" s="88"/>
      <c r="L133" s="88"/>
      <c r="M133" s="88"/>
      <c r="N133" s="88"/>
      <c r="O133" s="88"/>
      <c r="P133" s="88"/>
      <c r="Q133" s="88"/>
      <c r="R133" s="88"/>
      <c r="S133" s="88"/>
      <c r="T133" s="88"/>
      <c r="U133" s="88"/>
      <c r="V133" s="88"/>
      <c r="W133" s="88"/>
      <c r="X133" s="88"/>
      <c r="Y133" s="88"/>
      <c r="Z133" s="88"/>
      <c r="AA133" s="88"/>
      <c r="AB133" s="88"/>
      <c r="AC133" s="88"/>
      <c r="AD133" s="88"/>
      <c r="AE133" s="88"/>
      <c r="AF133" s="88"/>
      <c r="AG133" s="88"/>
      <c r="AH133" s="88"/>
      <c r="AI133" s="88"/>
      <c r="AJ133" s="88"/>
      <c r="AK133" s="88"/>
      <c r="AL133" s="88"/>
      <c r="AM133" s="88"/>
      <c r="AN133" s="88"/>
      <c r="AO133" s="88"/>
      <c r="AP133" s="88"/>
      <c r="AQ133" s="88"/>
      <c r="AR133" s="88"/>
      <c r="AS133" s="88"/>
      <c r="AT133" s="88"/>
      <c r="AU133" s="88"/>
      <c r="AV133" s="88"/>
      <c r="AW133" s="88"/>
      <c r="AX133" s="88"/>
      <c r="AY133" s="88"/>
      <c r="AZ133" s="88"/>
      <c r="BA133" s="88"/>
      <c r="BB133" s="88"/>
      <c r="BC133" s="88"/>
      <c r="BD133" s="88"/>
      <c r="BE133" s="88"/>
      <c r="BF133" s="88"/>
      <c r="BG133" s="88"/>
      <c r="BH133" s="88"/>
      <c r="BI133" s="88"/>
      <c r="BJ133" s="88"/>
    </row>
    <row r="134" spans="1:62" outlineLevel="1">
      <c r="A134" s="11">
        <f t="shared" si="8"/>
        <v>40</v>
      </c>
      <c r="B134" s="88"/>
      <c r="C134" s="88"/>
      <c r="D134" s="88"/>
      <c r="E134" s="88"/>
      <c r="F134" s="88"/>
      <c r="G134" s="88"/>
      <c r="H134" s="88"/>
      <c r="I134" s="88"/>
      <c r="J134" s="88"/>
      <c r="K134" s="88"/>
      <c r="L134" s="88"/>
      <c r="M134" s="88"/>
      <c r="N134" s="88"/>
      <c r="O134" s="88"/>
      <c r="P134" s="88"/>
      <c r="Q134" s="88"/>
      <c r="R134" s="88"/>
      <c r="S134" s="88"/>
      <c r="T134" s="88"/>
      <c r="U134" s="88"/>
      <c r="V134" s="88"/>
      <c r="W134" s="88"/>
      <c r="X134" s="88"/>
      <c r="Y134" s="88"/>
      <c r="Z134" s="88"/>
      <c r="AA134" s="88"/>
      <c r="AB134" s="88"/>
      <c r="AC134" s="88"/>
      <c r="AD134" s="88"/>
      <c r="AE134" s="88"/>
      <c r="AF134" s="88"/>
      <c r="AG134" s="88"/>
      <c r="AH134" s="88"/>
      <c r="AI134" s="88"/>
      <c r="AJ134" s="88"/>
      <c r="AK134" s="88"/>
      <c r="AL134" s="88"/>
      <c r="AM134" s="88"/>
      <c r="AN134" s="88"/>
      <c r="AO134" s="88"/>
      <c r="AP134" s="88"/>
      <c r="AQ134" s="88"/>
      <c r="AR134" s="88"/>
      <c r="AS134" s="88"/>
      <c r="AT134" s="88"/>
      <c r="AU134" s="88"/>
      <c r="AV134" s="88"/>
      <c r="AW134" s="88"/>
      <c r="AX134" s="88"/>
      <c r="AY134" s="88"/>
      <c r="AZ134" s="88"/>
      <c r="BA134" s="88"/>
      <c r="BB134" s="88"/>
      <c r="BC134" s="88"/>
      <c r="BD134" s="88"/>
      <c r="BE134" s="88"/>
      <c r="BF134" s="88"/>
      <c r="BG134" s="88"/>
      <c r="BH134" s="88"/>
      <c r="BI134" s="88"/>
      <c r="BJ134" s="88"/>
    </row>
    <row r="135" spans="1:62" outlineLevel="1">
      <c r="A135" s="11">
        <f t="shared" si="8"/>
        <v>41</v>
      </c>
      <c r="B135" s="88"/>
      <c r="C135" s="88"/>
      <c r="D135" s="88"/>
      <c r="E135" s="88"/>
      <c r="F135" s="88"/>
      <c r="G135" s="88"/>
      <c r="H135" s="88"/>
      <c r="I135" s="88"/>
      <c r="J135" s="88"/>
      <c r="K135" s="88"/>
      <c r="L135" s="88"/>
      <c r="M135" s="88"/>
      <c r="N135" s="88"/>
      <c r="O135" s="88"/>
      <c r="P135" s="88"/>
      <c r="Q135" s="88"/>
      <c r="R135" s="88"/>
      <c r="S135" s="88"/>
      <c r="T135" s="88"/>
      <c r="U135" s="88"/>
      <c r="V135" s="88"/>
      <c r="W135" s="88"/>
      <c r="X135" s="88"/>
      <c r="Y135" s="88"/>
      <c r="Z135" s="88"/>
      <c r="AA135" s="88"/>
      <c r="AB135" s="88"/>
      <c r="AC135" s="88"/>
      <c r="AD135" s="88"/>
      <c r="AE135" s="88"/>
      <c r="AF135" s="88"/>
      <c r="AG135" s="88"/>
      <c r="AH135" s="88"/>
      <c r="AI135" s="88"/>
      <c r="AJ135" s="88"/>
      <c r="AK135" s="88"/>
      <c r="AL135" s="88"/>
      <c r="AM135" s="88"/>
      <c r="AN135" s="88"/>
      <c r="AO135" s="88"/>
      <c r="AP135" s="88"/>
      <c r="AQ135" s="88"/>
      <c r="AR135" s="88"/>
      <c r="AS135" s="88"/>
      <c r="AT135" s="88"/>
      <c r="AU135" s="88"/>
      <c r="AV135" s="88"/>
      <c r="AW135" s="88"/>
      <c r="AX135" s="88"/>
      <c r="AY135" s="88"/>
      <c r="AZ135" s="88"/>
      <c r="BA135" s="88"/>
      <c r="BB135" s="88"/>
      <c r="BC135" s="88"/>
      <c r="BD135" s="88"/>
      <c r="BE135" s="88"/>
      <c r="BF135" s="88"/>
      <c r="BG135" s="88"/>
      <c r="BH135" s="88"/>
      <c r="BI135" s="88"/>
      <c r="BJ135" s="88"/>
    </row>
    <row r="136" spans="1:62" outlineLevel="1">
      <c r="A136" s="11">
        <f t="shared" si="8"/>
        <v>42</v>
      </c>
      <c r="B136" s="88"/>
      <c r="C136" s="88"/>
      <c r="D136" s="88"/>
      <c r="E136" s="88"/>
      <c r="F136" s="88"/>
      <c r="G136" s="88"/>
      <c r="H136" s="88"/>
      <c r="I136" s="88"/>
      <c r="J136" s="88"/>
      <c r="K136" s="88"/>
      <c r="L136" s="88"/>
      <c r="M136" s="88"/>
      <c r="N136" s="88"/>
      <c r="O136" s="88"/>
      <c r="P136" s="88"/>
      <c r="Q136" s="88"/>
      <c r="R136" s="88"/>
      <c r="S136" s="88"/>
      <c r="T136" s="88"/>
      <c r="U136" s="88"/>
      <c r="V136" s="88"/>
      <c r="W136" s="88"/>
      <c r="X136" s="88"/>
      <c r="Y136" s="88"/>
      <c r="Z136" s="88"/>
      <c r="AA136" s="88"/>
      <c r="AB136" s="88"/>
      <c r="AC136" s="88"/>
      <c r="AD136" s="88"/>
      <c r="AE136" s="88"/>
      <c r="AF136" s="88"/>
      <c r="AG136" s="88"/>
      <c r="AH136" s="88"/>
      <c r="AI136" s="88"/>
      <c r="AJ136" s="88"/>
      <c r="AK136" s="88"/>
      <c r="AL136" s="88"/>
      <c r="AM136" s="88"/>
      <c r="AN136" s="88"/>
      <c r="AO136" s="88"/>
      <c r="AP136" s="88"/>
      <c r="AQ136" s="88"/>
      <c r="AR136" s="88"/>
      <c r="AS136" s="88"/>
      <c r="AT136" s="88"/>
      <c r="AU136" s="88"/>
      <c r="AV136" s="88"/>
      <c r="AW136" s="88"/>
      <c r="AX136" s="88"/>
      <c r="AY136" s="88"/>
      <c r="AZ136" s="88"/>
      <c r="BA136" s="88"/>
      <c r="BB136" s="88"/>
      <c r="BC136" s="88"/>
      <c r="BD136" s="88"/>
      <c r="BE136" s="88"/>
      <c r="BF136" s="88"/>
      <c r="BG136" s="88"/>
      <c r="BH136" s="88"/>
      <c r="BI136" s="88"/>
      <c r="BJ136" s="88"/>
    </row>
    <row r="137" spans="1:62" outlineLevel="1">
      <c r="A137" s="11">
        <f t="shared" si="8"/>
        <v>43</v>
      </c>
      <c r="B137" s="88"/>
      <c r="C137" s="88"/>
      <c r="D137" s="88"/>
      <c r="E137" s="88"/>
      <c r="F137" s="88"/>
      <c r="G137" s="88"/>
      <c r="H137" s="88"/>
      <c r="I137" s="88"/>
      <c r="J137" s="88"/>
      <c r="K137" s="88"/>
      <c r="L137" s="88"/>
      <c r="M137" s="88"/>
      <c r="N137" s="88"/>
      <c r="O137" s="88"/>
      <c r="P137" s="88"/>
      <c r="Q137" s="88"/>
      <c r="R137" s="88"/>
      <c r="S137" s="88"/>
      <c r="T137" s="88"/>
      <c r="U137" s="88"/>
      <c r="V137" s="88"/>
      <c r="W137" s="88"/>
      <c r="X137" s="88"/>
      <c r="Y137" s="88"/>
      <c r="Z137" s="88"/>
      <c r="AA137" s="88"/>
      <c r="AB137" s="88"/>
      <c r="AC137" s="88"/>
      <c r="AD137" s="88"/>
      <c r="AE137" s="88"/>
      <c r="AF137" s="88"/>
      <c r="AG137" s="88"/>
      <c r="AH137" s="88"/>
      <c r="AI137" s="88"/>
      <c r="AJ137" s="88"/>
      <c r="AK137" s="88"/>
      <c r="AL137" s="88"/>
      <c r="AM137" s="88"/>
      <c r="AN137" s="88"/>
      <c r="AO137" s="88"/>
      <c r="AP137" s="88"/>
      <c r="AQ137" s="88"/>
      <c r="AR137" s="88"/>
      <c r="AS137" s="88"/>
      <c r="AT137" s="88"/>
      <c r="AU137" s="88"/>
      <c r="AV137" s="88"/>
      <c r="AW137" s="88"/>
      <c r="AX137" s="88"/>
      <c r="AY137" s="88"/>
      <c r="AZ137" s="88"/>
      <c r="BA137" s="88"/>
      <c r="BB137" s="88"/>
      <c r="BC137" s="88"/>
      <c r="BD137" s="88"/>
      <c r="BE137" s="88"/>
      <c r="BF137" s="88"/>
      <c r="BG137" s="88"/>
      <c r="BH137" s="88"/>
      <c r="BI137" s="88"/>
      <c r="BJ137" s="88"/>
    </row>
    <row r="138" spans="1:62" outlineLevel="1">
      <c r="A138" s="11">
        <f t="shared" si="8"/>
        <v>44</v>
      </c>
      <c r="B138" s="88"/>
      <c r="C138" s="88"/>
      <c r="D138" s="88"/>
      <c r="E138" s="88"/>
      <c r="F138" s="88"/>
      <c r="G138" s="88"/>
      <c r="H138" s="88"/>
      <c r="I138" s="88"/>
      <c r="J138" s="88"/>
      <c r="K138" s="88"/>
      <c r="L138" s="88"/>
      <c r="M138" s="88"/>
      <c r="N138" s="88"/>
      <c r="O138" s="88"/>
      <c r="P138" s="88"/>
      <c r="Q138" s="88"/>
      <c r="R138" s="88"/>
      <c r="S138" s="88"/>
      <c r="T138" s="88"/>
      <c r="U138" s="88"/>
      <c r="V138" s="88"/>
      <c r="W138" s="88"/>
      <c r="X138" s="88"/>
      <c r="Y138" s="88"/>
      <c r="Z138" s="88"/>
      <c r="AA138" s="88"/>
      <c r="AB138" s="88"/>
      <c r="AC138" s="88"/>
      <c r="AD138" s="88"/>
      <c r="AE138" s="88"/>
      <c r="AF138" s="88"/>
      <c r="AG138" s="88"/>
      <c r="AH138" s="88"/>
      <c r="AI138" s="88"/>
      <c r="AJ138" s="88"/>
      <c r="AK138" s="88"/>
      <c r="AL138" s="88"/>
      <c r="AM138" s="88"/>
      <c r="AN138" s="88"/>
      <c r="AO138" s="88"/>
      <c r="AP138" s="88"/>
      <c r="AQ138" s="88"/>
      <c r="AR138" s="88"/>
      <c r="AS138" s="88"/>
      <c r="AT138" s="88"/>
      <c r="AU138" s="88"/>
      <c r="AV138" s="88"/>
      <c r="AW138" s="88"/>
      <c r="AX138" s="88"/>
      <c r="AY138" s="88"/>
      <c r="AZ138" s="88"/>
      <c r="BA138" s="88"/>
      <c r="BB138" s="88"/>
      <c r="BC138" s="88"/>
      <c r="BD138" s="88"/>
      <c r="BE138" s="88"/>
      <c r="BF138" s="88"/>
      <c r="BG138" s="88"/>
      <c r="BH138" s="88"/>
      <c r="BI138" s="88"/>
      <c r="BJ138" s="88"/>
    </row>
    <row r="139" spans="1:62" outlineLevel="1">
      <c r="A139" s="11">
        <f t="shared" si="8"/>
        <v>45</v>
      </c>
      <c r="B139" s="88"/>
      <c r="C139" s="88"/>
      <c r="D139" s="88"/>
      <c r="E139" s="88"/>
      <c r="F139" s="88"/>
      <c r="G139" s="88"/>
      <c r="H139" s="88"/>
      <c r="I139" s="88"/>
      <c r="J139" s="88"/>
      <c r="K139" s="88"/>
      <c r="L139" s="88"/>
      <c r="M139" s="88"/>
      <c r="N139" s="88"/>
      <c r="O139" s="88"/>
      <c r="P139" s="88"/>
      <c r="Q139" s="88"/>
      <c r="R139" s="88"/>
      <c r="S139" s="88"/>
      <c r="T139" s="88"/>
      <c r="U139" s="88"/>
      <c r="V139" s="88"/>
      <c r="W139" s="88"/>
      <c r="X139" s="88"/>
      <c r="Y139" s="88"/>
      <c r="Z139" s="88"/>
      <c r="AA139" s="88"/>
      <c r="AB139" s="88"/>
      <c r="AC139" s="88"/>
      <c r="AD139" s="88"/>
      <c r="AE139" s="88"/>
      <c r="AF139" s="88"/>
      <c r="AG139" s="88"/>
      <c r="AH139" s="88"/>
      <c r="AI139" s="88"/>
      <c r="AJ139" s="88"/>
      <c r="AK139" s="88"/>
      <c r="AL139" s="88"/>
      <c r="AM139" s="88"/>
      <c r="AN139" s="88"/>
      <c r="AO139" s="88"/>
      <c r="AP139" s="88"/>
      <c r="AQ139" s="88"/>
      <c r="AR139" s="88"/>
      <c r="AS139" s="88"/>
      <c r="AT139" s="88"/>
      <c r="AU139" s="88"/>
      <c r="AV139" s="88"/>
      <c r="AW139" s="88"/>
      <c r="AX139" s="88"/>
      <c r="AY139" s="88"/>
      <c r="AZ139" s="88"/>
      <c r="BA139" s="88"/>
      <c r="BB139" s="88"/>
      <c r="BC139" s="88"/>
      <c r="BD139" s="88"/>
      <c r="BE139" s="88"/>
      <c r="BF139" s="88"/>
      <c r="BG139" s="88"/>
      <c r="BH139" s="88"/>
      <c r="BI139" s="88"/>
      <c r="BJ139" s="88"/>
    </row>
    <row r="140" spans="1:62" outlineLevel="1">
      <c r="A140" s="11">
        <f t="shared" si="8"/>
        <v>46</v>
      </c>
      <c r="B140" s="88"/>
      <c r="C140" s="88"/>
      <c r="D140" s="88"/>
      <c r="E140" s="88"/>
      <c r="F140" s="88"/>
      <c r="G140" s="88"/>
      <c r="H140" s="88"/>
      <c r="I140" s="88"/>
      <c r="J140" s="88"/>
      <c r="K140" s="88"/>
      <c r="L140" s="88"/>
      <c r="M140" s="88"/>
      <c r="N140" s="88"/>
      <c r="O140" s="88"/>
      <c r="P140" s="88"/>
      <c r="Q140" s="88"/>
      <c r="R140" s="88"/>
      <c r="S140" s="88"/>
      <c r="T140" s="88"/>
      <c r="U140" s="88"/>
      <c r="V140" s="88"/>
      <c r="W140" s="88"/>
      <c r="X140" s="88"/>
      <c r="Y140" s="88"/>
      <c r="Z140" s="88"/>
      <c r="AA140" s="88"/>
      <c r="AB140" s="88"/>
      <c r="AC140" s="88"/>
      <c r="AD140" s="88"/>
      <c r="AE140" s="88"/>
      <c r="AF140" s="88"/>
      <c r="AG140" s="88"/>
      <c r="AH140" s="88"/>
      <c r="AI140" s="88"/>
      <c r="AJ140" s="88"/>
      <c r="AK140" s="88"/>
      <c r="AL140" s="88"/>
      <c r="AM140" s="88"/>
      <c r="AN140" s="88"/>
      <c r="AO140" s="88"/>
      <c r="AP140" s="88"/>
      <c r="AQ140" s="88"/>
      <c r="AR140" s="88"/>
      <c r="AS140" s="88"/>
      <c r="AT140" s="88"/>
      <c r="AU140" s="88"/>
      <c r="AV140" s="88"/>
      <c r="AW140" s="88"/>
      <c r="AX140" s="88"/>
      <c r="AY140" s="88"/>
      <c r="AZ140" s="88"/>
      <c r="BA140" s="88"/>
      <c r="BB140" s="88"/>
      <c r="BC140" s="88"/>
      <c r="BD140" s="88"/>
      <c r="BE140" s="88"/>
      <c r="BF140" s="88"/>
      <c r="BG140" s="88"/>
      <c r="BH140" s="88"/>
      <c r="BI140" s="88"/>
      <c r="BJ140" s="88"/>
    </row>
    <row r="141" spans="1:62" outlineLevel="1">
      <c r="A141" s="11">
        <f t="shared" si="8"/>
        <v>47</v>
      </c>
      <c r="B141" s="88"/>
      <c r="C141" s="88"/>
      <c r="D141" s="88"/>
      <c r="E141" s="88"/>
      <c r="F141" s="88"/>
      <c r="G141" s="88"/>
      <c r="H141" s="88"/>
      <c r="I141" s="88"/>
      <c r="J141" s="88"/>
      <c r="K141" s="88"/>
      <c r="L141" s="88"/>
      <c r="M141" s="88"/>
      <c r="N141" s="88"/>
      <c r="O141" s="88"/>
      <c r="P141" s="88"/>
      <c r="Q141" s="88"/>
      <c r="R141" s="88"/>
      <c r="S141" s="88"/>
      <c r="T141" s="88"/>
      <c r="U141" s="88"/>
      <c r="V141" s="88"/>
      <c r="W141" s="88"/>
      <c r="X141" s="88"/>
      <c r="Y141" s="88"/>
      <c r="Z141" s="88"/>
      <c r="AA141" s="88"/>
      <c r="AB141" s="88"/>
      <c r="AC141" s="88"/>
      <c r="AD141" s="88"/>
      <c r="AE141" s="88"/>
      <c r="AF141" s="88"/>
      <c r="AG141" s="88"/>
      <c r="AH141" s="88"/>
      <c r="AI141" s="88"/>
      <c r="AJ141" s="88"/>
      <c r="AK141" s="88"/>
      <c r="AL141" s="88"/>
      <c r="AM141" s="88"/>
      <c r="AN141" s="88"/>
      <c r="AO141" s="88"/>
      <c r="AP141" s="88"/>
      <c r="AQ141" s="88"/>
      <c r="AR141" s="88"/>
      <c r="AS141" s="88"/>
      <c r="AT141" s="88"/>
      <c r="AU141" s="88"/>
      <c r="AV141" s="88"/>
      <c r="AW141" s="88"/>
      <c r="AX141" s="88"/>
      <c r="AY141" s="88"/>
      <c r="AZ141" s="88"/>
      <c r="BA141" s="88"/>
      <c r="BB141" s="88"/>
      <c r="BC141" s="88"/>
      <c r="BD141" s="88"/>
      <c r="BE141" s="88"/>
      <c r="BF141" s="88"/>
      <c r="BG141" s="88"/>
      <c r="BH141" s="88"/>
      <c r="BI141" s="88"/>
      <c r="BJ141" s="88"/>
    </row>
    <row r="142" spans="1:62" outlineLevel="1">
      <c r="A142" s="11">
        <f t="shared" si="8"/>
        <v>48</v>
      </c>
      <c r="B142" s="88"/>
      <c r="C142" s="88"/>
      <c r="D142" s="88"/>
      <c r="E142" s="88"/>
      <c r="F142" s="88"/>
      <c r="G142" s="88"/>
      <c r="H142" s="88"/>
      <c r="I142" s="88"/>
      <c r="J142" s="88"/>
      <c r="K142" s="88"/>
      <c r="L142" s="88"/>
      <c r="M142" s="88"/>
      <c r="N142" s="88"/>
      <c r="O142" s="88"/>
      <c r="P142" s="88"/>
      <c r="Q142" s="88"/>
      <c r="R142" s="88"/>
      <c r="S142" s="88"/>
      <c r="T142" s="88"/>
      <c r="U142" s="88"/>
      <c r="V142" s="88"/>
      <c r="W142" s="88"/>
      <c r="X142" s="88"/>
      <c r="Y142" s="88"/>
      <c r="Z142" s="88"/>
      <c r="AA142" s="88"/>
      <c r="AB142" s="88"/>
      <c r="AC142" s="88"/>
      <c r="AD142" s="88"/>
      <c r="AE142" s="88"/>
      <c r="AF142" s="88"/>
      <c r="AG142" s="88"/>
      <c r="AH142" s="88"/>
      <c r="AI142" s="88"/>
      <c r="AJ142" s="88"/>
      <c r="AK142" s="88"/>
      <c r="AL142" s="88"/>
      <c r="AM142" s="88"/>
      <c r="AN142" s="88"/>
      <c r="AO142" s="88"/>
      <c r="AP142" s="88"/>
      <c r="AQ142" s="88"/>
      <c r="AR142" s="88"/>
      <c r="AS142" s="88"/>
      <c r="AT142" s="88"/>
      <c r="AU142" s="88"/>
      <c r="AV142" s="88"/>
      <c r="AW142" s="88"/>
      <c r="AX142" s="88"/>
      <c r="AY142" s="88"/>
      <c r="AZ142" s="88"/>
      <c r="BA142" s="88"/>
      <c r="BB142" s="88"/>
      <c r="BC142" s="88"/>
      <c r="BD142" s="88"/>
      <c r="BE142" s="88"/>
      <c r="BF142" s="88"/>
      <c r="BG142" s="88"/>
      <c r="BH142" s="88"/>
      <c r="BI142" s="88"/>
      <c r="BJ142" s="88"/>
    </row>
    <row r="143" spans="1:62" outlineLevel="1">
      <c r="A143" s="11">
        <f t="shared" si="8"/>
        <v>49</v>
      </c>
      <c r="B143" s="88"/>
      <c r="C143" s="88"/>
      <c r="D143" s="88"/>
      <c r="E143" s="88"/>
      <c r="F143" s="88"/>
      <c r="G143" s="88"/>
      <c r="H143" s="88"/>
      <c r="I143" s="88"/>
      <c r="J143" s="88"/>
      <c r="K143" s="88"/>
      <c r="L143" s="88"/>
      <c r="M143" s="88"/>
      <c r="N143" s="88"/>
      <c r="O143" s="88"/>
      <c r="P143" s="88"/>
      <c r="Q143" s="88"/>
      <c r="R143" s="88"/>
      <c r="S143" s="88"/>
      <c r="T143" s="88"/>
      <c r="U143" s="88"/>
      <c r="V143" s="88"/>
      <c r="W143" s="88"/>
      <c r="X143" s="88"/>
      <c r="Y143" s="88"/>
      <c r="Z143" s="88"/>
      <c r="AA143" s="88"/>
      <c r="AB143" s="88"/>
      <c r="AC143" s="88"/>
      <c r="AD143" s="88"/>
      <c r="AE143" s="88"/>
      <c r="AF143" s="88"/>
      <c r="AG143" s="88"/>
      <c r="AH143" s="88"/>
      <c r="AI143" s="88"/>
      <c r="AJ143" s="88"/>
      <c r="AK143" s="88"/>
      <c r="AL143" s="88"/>
      <c r="AM143" s="88"/>
      <c r="AN143" s="88"/>
      <c r="AO143" s="88"/>
      <c r="AP143" s="88"/>
      <c r="AQ143" s="88"/>
      <c r="AR143" s="88"/>
      <c r="AS143" s="88"/>
      <c r="AT143" s="88"/>
      <c r="AU143" s="88"/>
      <c r="AV143" s="88"/>
      <c r="AW143" s="88"/>
      <c r="AX143" s="88"/>
      <c r="AY143" s="88"/>
      <c r="AZ143" s="88"/>
      <c r="BA143" s="88"/>
      <c r="BB143" s="88"/>
      <c r="BC143" s="88"/>
      <c r="BD143" s="88"/>
      <c r="BE143" s="88"/>
      <c r="BF143" s="88"/>
      <c r="BG143" s="88"/>
      <c r="BH143" s="88"/>
      <c r="BI143" s="88"/>
      <c r="BJ143" s="88"/>
    </row>
    <row r="144" spans="1:62" outlineLevel="1">
      <c r="A144" s="11">
        <f t="shared" si="8"/>
        <v>50</v>
      </c>
      <c r="B144" s="88"/>
      <c r="C144" s="88"/>
      <c r="D144" s="88"/>
      <c r="E144" s="88"/>
      <c r="F144" s="88"/>
      <c r="G144" s="88"/>
      <c r="H144" s="88"/>
      <c r="I144" s="88"/>
      <c r="J144" s="88"/>
      <c r="K144" s="88"/>
      <c r="L144" s="88"/>
      <c r="M144" s="88"/>
      <c r="N144" s="88"/>
      <c r="O144" s="88"/>
      <c r="P144" s="88"/>
      <c r="Q144" s="88"/>
      <c r="R144" s="88"/>
      <c r="S144" s="88"/>
      <c r="T144" s="88"/>
      <c r="U144" s="88"/>
      <c r="V144" s="88"/>
      <c r="W144" s="88"/>
      <c r="X144" s="88"/>
      <c r="Y144" s="88"/>
      <c r="Z144" s="88"/>
      <c r="AA144" s="88"/>
      <c r="AB144" s="88"/>
      <c r="AC144" s="88"/>
      <c r="AD144" s="88"/>
      <c r="AE144" s="88"/>
      <c r="AF144" s="88"/>
      <c r="AG144" s="88"/>
      <c r="AH144" s="88"/>
      <c r="AI144" s="88"/>
      <c r="AJ144" s="88"/>
      <c r="AK144" s="88"/>
      <c r="AL144" s="88"/>
      <c r="AM144" s="88"/>
      <c r="AN144" s="88"/>
      <c r="AO144" s="88"/>
      <c r="AP144" s="88"/>
      <c r="AQ144" s="88"/>
      <c r="AR144" s="88"/>
      <c r="AS144" s="88"/>
      <c r="AT144" s="88"/>
      <c r="AU144" s="88"/>
      <c r="AV144" s="88"/>
      <c r="AW144" s="88"/>
      <c r="AX144" s="88"/>
      <c r="AY144" s="88"/>
      <c r="AZ144" s="88"/>
      <c r="BA144" s="88"/>
      <c r="BB144" s="88"/>
      <c r="BC144" s="88"/>
      <c r="BD144" s="88"/>
      <c r="BE144" s="88"/>
      <c r="BF144" s="88"/>
      <c r="BG144" s="88"/>
      <c r="BH144" s="88"/>
      <c r="BI144" s="88"/>
      <c r="BJ144" s="88"/>
    </row>
    <row r="145" spans="1:62" outlineLevel="1">
      <c r="A145" s="11">
        <f t="shared" si="8"/>
        <v>51</v>
      </c>
      <c r="B145" s="88"/>
      <c r="C145" s="88"/>
      <c r="D145" s="88"/>
      <c r="E145" s="88"/>
      <c r="F145" s="88"/>
      <c r="G145" s="88"/>
      <c r="H145" s="88"/>
      <c r="I145" s="88"/>
      <c r="J145" s="88"/>
      <c r="K145" s="88"/>
      <c r="L145" s="88"/>
      <c r="M145" s="88"/>
      <c r="N145" s="88"/>
      <c r="O145" s="88"/>
      <c r="P145" s="88"/>
      <c r="Q145" s="88"/>
      <c r="R145" s="88"/>
      <c r="S145" s="88"/>
      <c r="T145" s="88"/>
      <c r="U145" s="88"/>
      <c r="V145" s="88"/>
      <c r="W145" s="88"/>
      <c r="X145" s="88"/>
      <c r="Y145" s="88"/>
      <c r="Z145" s="88"/>
      <c r="AA145" s="88"/>
      <c r="AB145" s="88"/>
      <c r="AC145" s="88"/>
      <c r="AD145" s="88"/>
      <c r="AE145" s="88"/>
      <c r="AF145" s="88"/>
      <c r="AG145" s="88"/>
      <c r="AH145" s="88"/>
      <c r="AI145" s="88"/>
      <c r="AJ145" s="88"/>
      <c r="AK145" s="88"/>
      <c r="AL145" s="88"/>
      <c r="AM145" s="88"/>
      <c r="AN145" s="88"/>
      <c r="AO145" s="88"/>
      <c r="AP145" s="88"/>
      <c r="AQ145" s="88"/>
      <c r="AR145" s="88"/>
      <c r="AS145" s="88"/>
      <c r="AT145" s="88"/>
      <c r="AU145" s="88"/>
      <c r="AV145" s="88"/>
      <c r="AW145" s="88"/>
      <c r="AX145" s="88"/>
      <c r="AY145" s="88"/>
      <c r="AZ145" s="88"/>
      <c r="BA145" s="88"/>
      <c r="BB145" s="88"/>
      <c r="BC145" s="88"/>
      <c r="BD145" s="88"/>
      <c r="BE145" s="88"/>
      <c r="BF145" s="88"/>
      <c r="BG145" s="88"/>
      <c r="BH145" s="88"/>
      <c r="BI145" s="88"/>
      <c r="BJ145" s="88"/>
    </row>
    <row r="146" spans="1:62" outlineLevel="1">
      <c r="A146" s="11">
        <f t="shared" si="8"/>
        <v>52</v>
      </c>
      <c r="B146" s="88"/>
      <c r="C146" s="88"/>
      <c r="D146" s="88"/>
      <c r="E146" s="88"/>
      <c r="F146" s="88"/>
      <c r="G146" s="88"/>
      <c r="H146" s="88"/>
      <c r="I146" s="88"/>
      <c r="J146" s="88"/>
      <c r="K146" s="88"/>
      <c r="L146" s="88"/>
      <c r="M146" s="88"/>
      <c r="N146" s="88"/>
      <c r="O146" s="88"/>
      <c r="P146" s="88"/>
      <c r="Q146" s="88"/>
      <c r="R146" s="88"/>
      <c r="S146" s="88"/>
      <c r="T146" s="88"/>
      <c r="U146" s="88"/>
      <c r="V146" s="88"/>
      <c r="W146" s="88"/>
      <c r="X146" s="88"/>
      <c r="Y146" s="88"/>
      <c r="Z146" s="88"/>
      <c r="AA146" s="88"/>
      <c r="AB146" s="88"/>
      <c r="AC146" s="88"/>
      <c r="AD146" s="88"/>
      <c r="AE146" s="88"/>
      <c r="AF146" s="88"/>
      <c r="AG146" s="88"/>
      <c r="AH146" s="88"/>
      <c r="AI146" s="88"/>
      <c r="AJ146" s="88"/>
      <c r="AK146" s="88"/>
      <c r="AL146" s="88"/>
      <c r="AM146" s="88"/>
      <c r="AN146" s="88"/>
      <c r="AO146" s="88"/>
      <c r="AP146" s="88"/>
      <c r="AQ146" s="88"/>
      <c r="AR146" s="88"/>
      <c r="AS146" s="88"/>
      <c r="AT146" s="88"/>
      <c r="AU146" s="88"/>
      <c r="AV146" s="88"/>
      <c r="AW146" s="88"/>
      <c r="AX146" s="88"/>
      <c r="AY146" s="88"/>
      <c r="AZ146" s="88"/>
      <c r="BA146" s="88"/>
      <c r="BB146" s="88"/>
      <c r="BC146" s="88"/>
      <c r="BD146" s="88"/>
      <c r="BE146" s="88"/>
      <c r="BF146" s="88"/>
      <c r="BG146" s="88"/>
      <c r="BH146" s="88"/>
      <c r="BI146" s="88"/>
      <c r="BJ146" s="88"/>
    </row>
    <row r="147" spans="1:62" outlineLevel="1">
      <c r="A147" s="11">
        <f t="shared" si="8"/>
        <v>53</v>
      </c>
      <c r="B147" s="88"/>
      <c r="C147" s="88"/>
      <c r="D147" s="88"/>
      <c r="E147" s="88"/>
      <c r="F147" s="88"/>
      <c r="G147" s="88"/>
      <c r="H147" s="88"/>
      <c r="I147" s="88"/>
      <c r="J147" s="88"/>
      <c r="K147" s="88"/>
      <c r="L147" s="88"/>
      <c r="M147" s="88"/>
      <c r="N147" s="88"/>
      <c r="O147" s="88"/>
      <c r="P147" s="88"/>
      <c r="Q147" s="88"/>
      <c r="R147" s="88"/>
      <c r="S147" s="88"/>
      <c r="T147" s="88"/>
      <c r="U147" s="88"/>
      <c r="V147" s="88"/>
      <c r="W147" s="88"/>
      <c r="X147" s="88"/>
      <c r="Y147" s="88"/>
      <c r="Z147" s="88"/>
      <c r="AA147" s="88"/>
      <c r="AB147" s="88"/>
      <c r="AC147" s="88"/>
      <c r="AD147" s="88"/>
      <c r="AE147" s="88"/>
      <c r="AF147" s="88"/>
      <c r="AG147" s="88"/>
      <c r="AH147" s="88"/>
      <c r="AI147" s="88"/>
      <c r="AJ147" s="88"/>
      <c r="AK147" s="88"/>
      <c r="AL147" s="88"/>
      <c r="AM147" s="88"/>
      <c r="AN147" s="88"/>
      <c r="AO147" s="88"/>
      <c r="AP147" s="88"/>
      <c r="AQ147" s="88"/>
      <c r="AR147" s="88"/>
      <c r="AS147" s="88"/>
      <c r="AT147" s="88"/>
      <c r="AU147" s="88"/>
      <c r="AV147" s="88"/>
      <c r="AW147" s="88"/>
      <c r="AX147" s="88"/>
      <c r="AY147" s="88"/>
      <c r="AZ147" s="88"/>
      <c r="BA147" s="88"/>
      <c r="BB147" s="88"/>
      <c r="BC147" s="88"/>
      <c r="BD147" s="88"/>
      <c r="BE147" s="88"/>
      <c r="BF147" s="88"/>
      <c r="BG147" s="88"/>
      <c r="BH147" s="88"/>
      <c r="BI147" s="88"/>
      <c r="BJ147" s="88"/>
    </row>
    <row r="148" spans="1:62" outlineLevel="1">
      <c r="A148" s="11">
        <f t="shared" si="8"/>
        <v>54</v>
      </c>
      <c r="B148" s="88"/>
      <c r="C148" s="88"/>
      <c r="D148" s="88"/>
      <c r="E148" s="88"/>
      <c r="F148" s="88"/>
      <c r="G148" s="88"/>
      <c r="H148" s="88"/>
      <c r="I148" s="88"/>
      <c r="J148" s="88"/>
      <c r="K148" s="88"/>
      <c r="L148" s="88"/>
      <c r="M148" s="88"/>
      <c r="N148" s="88"/>
      <c r="O148" s="88"/>
      <c r="P148" s="88"/>
      <c r="Q148" s="88"/>
      <c r="R148" s="88"/>
      <c r="S148" s="88"/>
      <c r="T148" s="88"/>
      <c r="U148" s="88"/>
      <c r="V148" s="88"/>
      <c r="W148" s="88"/>
      <c r="X148" s="88"/>
      <c r="Y148" s="88"/>
      <c r="Z148" s="88"/>
      <c r="AA148" s="88"/>
      <c r="AB148" s="88"/>
      <c r="AC148" s="88"/>
      <c r="AD148" s="88"/>
      <c r="AE148" s="88"/>
      <c r="AF148" s="88"/>
      <c r="AG148" s="88"/>
      <c r="AH148" s="88"/>
      <c r="AI148" s="88"/>
      <c r="AJ148" s="88"/>
      <c r="AK148" s="88"/>
      <c r="AL148" s="88"/>
      <c r="AM148" s="88"/>
      <c r="AN148" s="88"/>
      <c r="AO148" s="88"/>
      <c r="AP148" s="88"/>
      <c r="AQ148" s="88"/>
      <c r="AR148" s="88"/>
      <c r="AS148" s="88"/>
      <c r="AT148" s="88"/>
      <c r="AU148" s="88"/>
      <c r="AV148" s="88"/>
      <c r="AW148" s="88"/>
      <c r="AX148" s="88"/>
      <c r="AY148" s="88"/>
      <c r="AZ148" s="88"/>
      <c r="BA148" s="88"/>
      <c r="BB148" s="88"/>
      <c r="BC148" s="88"/>
      <c r="BD148" s="88"/>
      <c r="BE148" s="88"/>
      <c r="BF148" s="88"/>
      <c r="BG148" s="88"/>
      <c r="BH148" s="88"/>
      <c r="BI148" s="88"/>
      <c r="BJ148" s="88"/>
    </row>
    <row r="149" spans="1:62" outlineLevel="1">
      <c r="A149" s="11">
        <f t="shared" si="8"/>
        <v>55</v>
      </c>
      <c r="B149" s="88"/>
      <c r="C149" s="88"/>
      <c r="D149" s="88"/>
      <c r="E149" s="88"/>
      <c r="F149" s="88"/>
      <c r="G149" s="88"/>
      <c r="H149" s="88"/>
      <c r="I149" s="88"/>
      <c r="J149" s="88"/>
      <c r="K149" s="88"/>
      <c r="L149" s="88"/>
      <c r="M149" s="88"/>
      <c r="N149" s="88"/>
      <c r="O149" s="88"/>
      <c r="P149" s="88"/>
      <c r="Q149" s="88"/>
      <c r="R149" s="88"/>
      <c r="S149" s="88"/>
      <c r="T149" s="88"/>
      <c r="U149" s="88"/>
      <c r="V149" s="88"/>
      <c r="W149" s="88"/>
      <c r="X149" s="88"/>
      <c r="Y149" s="88"/>
      <c r="Z149" s="88"/>
      <c r="AA149" s="88"/>
      <c r="AB149" s="88"/>
      <c r="AC149" s="88"/>
      <c r="AD149" s="88"/>
      <c r="AE149" s="88"/>
      <c r="AF149" s="88"/>
      <c r="AG149" s="88"/>
      <c r="AH149" s="88"/>
      <c r="AI149" s="88"/>
      <c r="AJ149" s="88"/>
      <c r="AK149" s="88"/>
      <c r="AL149" s="88"/>
      <c r="AM149" s="88"/>
      <c r="AN149" s="88"/>
      <c r="AO149" s="88"/>
      <c r="AP149" s="88"/>
      <c r="AQ149" s="88"/>
      <c r="AR149" s="88"/>
      <c r="AS149" s="88"/>
      <c r="AT149" s="88"/>
      <c r="AU149" s="88"/>
      <c r="AV149" s="88"/>
      <c r="AW149" s="88"/>
      <c r="AX149" s="88"/>
      <c r="AY149" s="88"/>
      <c r="AZ149" s="88"/>
      <c r="BA149" s="88"/>
      <c r="BB149" s="88"/>
      <c r="BC149" s="88"/>
      <c r="BD149" s="88"/>
      <c r="BE149" s="88"/>
      <c r="BF149" s="88"/>
      <c r="BG149" s="88"/>
      <c r="BH149" s="88"/>
      <c r="BI149" s="88"/>
      <c r="BJ149" s="88"/>
    </row>
    <row r="150" spans="1:62" outlineLevel="1">
      <c r="A150" s="11">
        <f t="shared" si="8"/>
        <v>56</v>
      </c>
      <c r="B150" s="88"/>
      <c r="C150" s="88"/>
      <c r="D150" s="88"/>
      <c r="E150" s="88"/>
      <c r="F150" s="88"/>
      <c r="G150" s="88"/>
      <c r="H150" s="88"/>
      <c r="I150" s="88"/>
      <c r="J150" s="88"/>
      <c r="K150" s="88"/>
      <c r="L150" s="88"/>
      <c r="M150" s="88"/>
      <c r="N150" s="88"/>
      <c r="O150" s="88"/>
      <c r="P150" s="88"/>
      <c r="Q150" s="88"/>
      <c r="R150" s="88"/>
      <c r="S150" s="88"/>
      <c r="T150" s="88"/>
      <c r="U150" s="88"/>
      <c r="V150" s="88"/>
      <c r="W150" s="88"/>
      <c r="X150" s="88"/>
      <c r="Y150" s="88"/>
      <c r="Z150" s="88"/>
      <c r="AA150" s="88"/>
      <c r="AB150" s="88"/>
      <c r="AC150" s="88"/>
      <c r="AD150" s="88"/>
      <c r="AE150" s="88"/>
      <c r="AF150" s="88"/>
      <c r="AG150" s="88"/>
      <c r="AH150" s="88"/>
      <c r="AI150" s="88"/>
      <c r="AJ150" s="88"/>
      <c r="AK150" s="88"/>
      <c r="AL150" s="88"/>
      <c r="AM150" s="88"/>
      <c r="AN150" s="88"/>
      <c r="AO150" s="88"/>
      <c r="AP150" s="88"/>
      <c r="AQ150" s="88"/>
      <c r="AR150" s="88"/>
      <c r="AS150" s="88"/>
      <c r="AT150" s="88"/>
      <c r="AU150" s="88"/>
      <c r="AV150" s="88"/>
      <c r="AW150" s="88"/>
      <c r="AX150" s="88"/>
      <c r="AY150" s="88"/>
      <c r="AZ150" s="88"/>
      <c r="BA150" s="88"/>
      <c r="BB150" s="88"/>
      <c r="BC150" s="88"/>
      <c r="BD150" s="88"/>
      <c r="BE150" s="88"/>
      <c r="BF150" s="88"/>
      <c r="BG150" s="88"/>
      <c r="BH150" s="88"/>
      <c r="BI150" s="88"/>
      <c r="BJ150" s="88"/>
    </row>
    <row r="151" spans="1:62" outlineLevel="1">
      <c r="A151" s="11">
        <f t="shared" si="8"/>
        <v>57</v>
      </c>
      <c r="B151" s="88"/>
      <c r="C151" s="88"/>
      <c r="D151" s="88"/>
      <c r="E151" s="88"/>
      <c r="F151" s="88"/>
      <c r="G151" s="88"/>
      <c r="H151" s="88"/>
      <c r="I151" s="88"/>
      <c r="J151" s="88"/>
      <c r="K151" s="88"/>
      <c r="L151" s="88"/>
      <c r="M151" s="88"/>
      <c r="N151" s="88"/>
      <c r="O151" s="88"/>
      <c r="P151" s="88"/>
      <c r="Q151" s="88"/>
      <c r="R151" s="88"/>
      <c r="S151" s="88"/>
      <c r="T151" s="88"/>
      <c r="U151" s="88"/>
      <c r="V151" s="88"/>
      <c r="W151" s="88"/>
      <c r="X151" s="88"/>
      <c r="Y151" s="88"/>
      <c r="Z151" s="88"/>
      <c r="AA151" s="88"/>
      <c r="AB151" s="88"/>
      <c r="AC151" s="88"/>
      <c r="AD151" s="88"/>
      <c r="AE151" s="88"/>
      <c r="AF151" s="88"/>
      <c r="AG151" s="88"/>
      <c r="AH151" s="88"/>
      <c r="AI151" s="88"/>
      <c r="AJ151" s="88"/>
      <c r="AK151" s="88"/>
      <c r="AL151" s="88"/>
      <c r="AM151" s="88"/>
      <c r="AN151" s="88"/>
      <c r="AO151" s="88"/>
      <c r="AP151" s="88"/>
      <c r="AQ151" s="88"/>
      <c r="AR151" s="88"/>
      <c r="AS151" s="88"/>
      <c r="AT151" s="88"/>
      <c r="AU151" s="88"/>
      <c r="AV151" s="88"/>
      <c r="AW151" s="88"/>
      <c r="AX151" s="88"/>
      <c r="AY151" s="88"/>
      <c r="AZ151" s="88"/>
      <c r="BA151" s="88"/>
      <c r="BB151" s="88"/>
      <c r="BC151" s="88"/>
      <c r="BD151" s="88"/>
      <c r="BE151" s="88"/>
      <c r="BF151" s="88"/>
      <c r="BG151" s="88"/>
      <c r="BH151" s="88"/>
      <c r="BI151" s="88"/>
      <c r="BJ151" s="88"/>
    </row>
    <row r="152" spans="1:62">
      <c r="A152" s="11">
        <f t="shared" si="8"/>
        <v>58</v>
      </c>
      <c r="B152" s="88"/>
      <c r="C152" s="88"/>
      <c r="D152" s="88"/>
      <c r="E152" s="88"/>
      <c r="F152" s="88"/>
      <c r="G152" s="88"/>
      <c r="H152" s="88"/>
      <c r="I152" s="88"/>
      <c r="J152" s="88"/>
      <c r="K152" s="88"/>
      <c r="L152" s="88"/>
      <c r="M152" s="88"/>
      <c r="N152" s="88"/>
      <c r="O152" s="88"/>
      <c r="P152" s="88"/>
      <c r="Q152" s="88"/>
      <c r="R152" s="88"/>
      <c r="S152" s="88"/>
      <c r="T152" s="88"/>
      <c r="U152" s="88"/>
      <c r="V152" s="88"/>
      <c r="W152" s="88"/>
      <c r="X152" s="88"/>
      <c r="Y152" s="88"/>
      <c r="Z152" s="88"/>
      <c r="AA152" s="88"/>
      <c r="AB152" s="88"/>
      <c r="AC152" s="88"/>
      <c r="AD152" s="88"/>
      <c r="AE152" s="88"/>
      <c r="AF152" s="88"/>
      <c r="AG152" s="88"/>
      <c r="AH152" s="88"/>
      <c r="AI152" s="88"/>
      <c r="AJ152" s="88"/>
      <c r="AK152" s="88"/>
      <c r="AL152" s="88"/>
      <c r="AM152" s="88"/>
      <c r="AN152" s="88"/>
      <c r="AO152" s="88"/>
      <c r="AP152" s="88"/>
      <c r="AQ152" s="88"/>
      <c r="AR152" s="88"/>
      <c r="AS152" s="88"/>
      <c r="AT152" s="88"/>
      <c r="AU152" s="88"/>
      <c r="AV152" s="88"/>
      <c r="AW152" s="88"/>
      <c r="AX152" s="88"/>
      <c r="AY152" s="88"/>
      <c r="AZ152" s="88"/>
      <c r="BA152" s="88"/>
      <c r="BB152" s="88"/>
      <c r="BC152" s="88"/>
      <c r="BD152" s="88"/>
      <c r="BE152" s="88"/>
      <c r="BF152" s="88"/>
      <c r="BG152" s="88"/>
      <c r="BH152" s="88"/>
      <c r="BI152" s="88"/>
      <c r="BJ152" s="88"/>
    </row>
    <row r="153" spans="1:62">
      <c r="A153" s="11">
        <f t="shared" si="8"/>
        <v>59</v>
      </c>
      <c r="B153" s="88"/>
      <c r="C153" s="88"/>
      <c r="D153" s="88"/>
      <c r="E153" s="88"/>
      <c r="F153" s="88"/>
      <c r="G153" s="88"/>
      <c r="H153" s="88"/>
      <c r="I153" s="88"/>
      <c r="J153" s="88"/>
      <c r="K153" s="88"/>
      <c r="L153" s="88"/>
      <c r="M153" s="88"/>
      <c r="N153" s="88"/>
      <c r="O153" s="88"/>
      <c r="P153" s="88"/>
      <c r="Q153" s="88"/>
      <c r="R153" s="88"/>
      <c r="S153" s="88"/>
      <c r="T153" s="88"/>
      <c r="U153" s="88"/>
      <c r="V153" s="88"/>
      <c r="W153" s="88"/>
      <c r="X153" s="88"/>
      <c r="Y153" s="88"/>
      <c r="Z153" s="88"/>
      <c r="AA153" s="88"/>
      <c r="AB153" s="88"/>
      <c r="AC153" s="88"/>
      <c r="AD153" s="88"/>
      <c r="AE153" s="88"/>
      <c r="AF153" s="88"/>
      <c r="AG153" s="88"/>
      <c r="AH153" s="88"/>
      <c r="AI153" s="88"/>
      <c r="AJ153" s="88"/>
      <c r="AK153" s="88"/>
      <c r="AL153" s="88"/>
      <c r="AM153" s="88"/>
      <c r="AN153" s="88"/>
      <c r="AO153" s="88"/>
      <c r="AP153" s="88"/>
      <c r="AQ153" s="88"/>
      <c r="AR153" s="88"/>
      <c r="AS153" s="88"/>
      <c r="AT153" s="88"/>
      <c r="AU153" s="88"/>
      <c r="AV153" s="88"/>
      <c r="AW153" s="88"/>
      <c r="AX153" s="88"/>
      <c r="AY153" s="88"/>
      <c r="AZ153" s="88"/>
      <c r="BA153" s="88"/>
      <c r="BB153" s="88"/>
      <c r="BC153" s="88"/>
      <c r="BD153" s="88"/>
      <c r="BE153" s="88"/>
      <c r="BF153" s="88"/>
      <c r="BG153" s="88"/>
      <c r="BH153" s="88"/>
      <c r="BI153" s="88"/>
      <c r="BJ153" s="88"/>
    </row>
    <row r="154" spans="1:62">
      <c r="A154" s="11">
        <f t="shared" si="8"/>
        <v>60</v>
      </c>
      <c r="B154" s="88"/>
      <c r="C154" s="88"/>
      <c r="D154" s="88"/>
      <c r="E154" s="88"/>
      <c r="F154" s="88"/>
      <c r="G154" s="88"/>
      <c r="H154" s="88"/>
      <c r="I154" s="88"/>
      <c r="J154" s="88"/>
      <c r="K154" s="88"/>
      <c r="L154" s="88"/>
      <c r="M154" s="88"/>
      <c r="N154" s="88"/>
      <c r="O154" s="88"/>
      <c r="P154" s="88"/>
      <c r="Q154" s="88"/>
      <c r="R154" s="88"/>
      <c r="S154" s="88"/>
      <c r="T154" s="88"/>
      <c r="U154" s="88"/>
      <c r="V154" s="88"/>
      <c r="W154" s="88"/>
      <c r="X154" s="88"/>
      <c r="Y154" s="88"/>
      <c r="Z154" s="88"/>
      <c r="AA154" s="88"/>
      <c r="AB154" s="88"/>
      <c r="AC154" s="88"/>
      <c r="AD154" s="88"/>
      <c r="AE154" s="88"/>
      <c r="AF154" s="88"/>
      <c r="AG154" s="88"/>
      <c r="AH154" s="88"/>
      <c r="AI154" s="88"/>
      <c r="AJ154" s="88"/>
      <c r="AK154" s="88"/>
      <c r="AL154" s="88"/>
      <c r="AM154" s="88"/>
      <c r="AN154" s="88"/>
      <c r="AO154" s="88"/>
      <c r="AP154" s="88"/>
      <c r="AQ154" s="88"/>
      <c r="AR154" s="88"/>
      <c r="AS154" s="88"/>
      <c r="AT154" s="88"/>
      <c r="AU154" s="88"/>
      <c r="AV154" s="88"/>
      <c r="AW154" s="88"/>
      <c r="AX154" s="88"/>
      <c r="AY154" s="88"/>
      <c r="AZ154" s="88"/>
      <c r="BA154" s="88"/>
      <c r="BB154" s="88"/>
      <c r="BC154" s="88"/>
      <c r="BD154" s="88"/>
      <c r="BE154" s="88"/>
      <c r="BF154" s="88"/>
      <c r="BG154" s="88"/>
      <c r="BH154" s="88"/>
      <c r="BI154" s="88"/>
      <c r="BJ154" s="88"/>
    </row>
    <row r="159" spans="1:62">
      <c r="B159" s="7" t="s">
        <v>664</v>
      </c>
      <c r="C159" s="61"/>
      <c r="D159" s="61"/>
      <c r="E159" s="61"/>
      <c r="F159" s="61"/>
      <c r="G159" s="61"/>
      <c r="H159" s="61"/>
      <c r="I159" s="61"/>
      <c r="J159" s="61"/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1"/>
      <c r="V159" s="61"/>
      <c r="W159" s="61"/>
      <c r="X159" s="61"/>
      <c r="Y159" s="61"/>
      <c r="Z159" s="61"/>
      <c r="AA159" s="61"/>
      <c r="AB159" s="61"/>
      <c r="AC159" s="61"/>
      <c r="AD159" s="61"/>
      <c r="AE159" s="61"/>
      <c r="AF159" s="61"/>
      <c r="AG159" s="61"/>
      <c r="AH159" s="61"/>
      <c r="AI159" s="61"/>
      <c r="AJ159" s="61"/>
      <c r="AK159" s="61"/>
      <c r="AL159" s="61"/>
      <c r="AM159" s="61"/>
      <c r="AN159" s="61"/>
      <c r="AO159" s="61"/>
      <c r="AP159" s="61"/>
      <c r="AQ159" s="61"/>
      <c r="AR159" s="61"/>
      <c r="AS159" s="61"/>
      <c r="AT159" s="61"/>
      <c r="AU159" s="61"/>
      <c r="AV159" s="61"/>
      <c r="AW159" s="61"/>
      <c r="AX159" s="61"/>
      <c r="AY159" s="61"/>
      <c r="AZ159" s="61"/>
      <c r="BA159" s="61"/>
      <c r="BB159" s="61"/>
      <c r="BC159" s="61"/>
      <c r="BD159" s="61"/>
      <c r="BE159" s="61"/>
      <c r="BF159" s="61"/>
    </row>
    <row r="160" spans="1:62">
      <c r="C160" s="61"/>
      <c r="D160" s="61"/>
      <c r="E160" s="61"/>
      <c r="F160" s="61"/>
      <c r="G160" s="61"/>
      <c r="H160" s="61"/>
      <c r="I160" s="61"/>
      <c r="J160" s="61"/>
      <c r="K160" s="61"/>
      <c r="L160" s="61"/>
      <c r="M160" s="61"/>
      <c r="N160" s="61"/>
      <c r="O160" s="61"/>
      <c r="P160" s="61"/>
      <c r="Q160" s="61"/>
      <c r="R160" s="61"/>
      <c r="S160" s="61"/>
      <c r="T160" s="61"/>
      <c r="U160" s="61"/>
      <c r="V160" s="61"/>
      <c r="W160" s="61"/>
      <c r="X160" s="61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1"/>
      <c r="AJ160" s="61"/>
      <c r="AK160" s="61"/>
      <c r="AL160" s="61"/>
      <c r="AM160" s="61"/>
      <c r="AN160" s="61"/>
      <c r="AO160" s="61"/>
      <c r="AP160" s="61"/>
      <c r="AQ160" s="61"/>
      <c r="AR160" s="61"/>
      <c r="AS160" s="61"/>
      <c r="AT160" s="61"/>
      <c r="AU160" s="61"/>
      <c r="AV160" s="61"/>
      <c r="AW160" s="61"/>
      <c r="AX160" s="61"/>
      <c r="AY160" s="61"/>
      <c r="AZ160" s="61"/>
      <c r="BA160" s="61"/>
      <c r="BB160" s="61"/>
      <c r="BC160" s="61"/>
      <c r="BD160" s="61"/>
      <c r="BE160" s="61"/>
      <c r="BF160" s="61"/>
    </row>
    <row r="161" spans="1:62" s="13" customFormat="1">
      <c r="A161" s="21" t="s">
        <v>25</v>
      </c>
      <c r="B161" s="13">
        <f t="shared" ref="B161:AG161" si="9">B162*h</f>
        <v>0</v>
      </c>
      <c r="C161" s="13">
        <f t="shared" si="9"/>
        <v>0.5</v>
      </c>
      <c r="D161" s="13">
        <f t="shared" si="9"/>
        <v>1</v>
      </c>
      <c r="E161" s="13">
        <f t="shared" si="9"/>
        <v>1.5</v>
      </c>
      <c r="F161" s="13">
        <f t="shared" si="9"/>
        <v>2</v>
      </c>
      <c r="G161" s="13">
        <f t="shared" si="9"/>
        <v>2.5</v>
      </c>
      <c r="H161" s="13">
        <f t="shared" si="9"/>
        <v>3</v>
      </c>
      <c r="I161" s="13">
        <f t="shared" si="9"/>
        <v>3.5</v>
      </c>
      <c r="J161" s="13">
        <f t="shared" si="9"/>
        <v>4</v>
      </c>
      <c r="K161" s="13">
        <f t="shared" si="9"/>
        <v>4.5</v>
      </c>
      <c r="L161" s="13">
        <f t="shared" si="9"/>
        <v>5</v>
      </c>
      <c r="M161" s="13">
        <f t="shared" si="9"/>
        <v>5.5</v>
      </c>
      <c r="N161" s="13">
        <f t="shared" si="9"/>
        <v>6</v>
      </c>
      <c r="O161" s="13">
        <f t="shared" si="9"/>
        <v>6.5</v>
      </c>
      <c r="P161" s="13">
        <f t="shared" si="9"/>
        <v>7</v>
      </c>
      <c r="Q161" s="13">
        <f t="shared" si="9"/>
        <v>7.5</v>
      </c>
      <c r="R161" s="13">
        <f t="shared" si="9"/>
        <v>8</v>
      </c>
      <c r="S161" s="13">
        <f t="shared" si="9"/>
        <v>8.5</v>
      </c>
      <c r="T161" s="13">
        <f t="shared" si="9"/>
        <v>9</v>
      </c>
      <c r="U161" s="13">
        <f t="shared" si="9"/>
        <v>9.5</v>
      </c>
      <c r="V161" s="13">
        <f t="shared" si="9"/>
        <v>10</v>
      </c>
      <c r="W161" s="13">
        <f t="shared" si="9"/>
        <v>10.5</v>
      </c>
      <c r="X161" s="13">
        <f t="shared" si="9"/>
        <v>11</v>
      </c>
      <c r="Y161" s="13">
        <f t="shared" si="9"/>
        <v>11.5</v>
      </c>
      <c r="Z161" s="13">
        <f t="shared" si="9"/>
        <v>12</v>
      </c>
      <c r="AA161" s="13">
        <f t="shared" si="9"/>
        <v>12.5</v>
      </c>
      <c r="AB161" s="13">
        <f t="shared" si="9"/>
        <v>13</v>
      </c>
      <c r="AC161" s="13">
        <f t="shared" si="9"/>
        <v>13.5</v>
      </c>
      <c r="AD161" s="13">
        <f t="shared" si="9"/>
        <v>14</v>
      </c>
      <c r="AE161" s="13">
        <f t="shared" si="9"/>
        <v>14.5</v>
      </c>
      <c r="AF161" s="13">
        <f t="shared" si="9"/>
        <v>15</v>
      </c>
      <c r="AG161" s="13">
        <f t="shared" si="9"/>
        <v>15.5</v>
      </c>
      <c r="AH161" s="13">
        <f t="shared" ref="AH161:BJ161" si="10">AH162*h</f>
        <v>16</v>
      </c>
      <c r="AI161" s="13">
        <f t="shared" si="10"/>
        <v>16.5</v>
      </c>
      <c r="AJ161" s="13">
        <f t="shared" si="10"/>
        <v>17</v>
      </c>
      <c r="AK161" s="13">
        <f t="shared" si="10"/>
        <v>17.5</v>
      </c>
      <c r="AL161" s="13">
        <f t="shared" si="10"/>
        <v>18</v>
      </c>
      <c r="AM161" s="13">
        <f t="shared" si="10"/>
        <v>18.5</v>
      </c>
      <c r="AN161" s="13">
        <f t="shared" si="10"/>
        <v>19</v>
      </c>
      <c r="AO161" s="13">
        <f t="shared" si="10"/>
        <v>19.5</v>
      </c>
      <c r="AP161" s="13">
        <f t="shared" si="10"/>
        <v>20</v>
      </c>
      <c r="AQ161" s="13">
        <f t="shared" si="10"/>
        <v>20.5</v>
      </c>
      <c r="AR161" s="13">
        <f t="shared" si="10"/>
        <v>21</v>
      </c>
      <c r="AS161" s="13">
        <f t="shared" si="10"/>
        <v>21.5</v>
      </c>
      <c r="AT161" s="13">
        <f t="shared" si="10"/>
        <v>22</v>
      </c>
      <c r="AU161" s="13">
        <f t="shared" si="10"/>
        <v>22.5</v>
      </c>
      <c r="AV161" s="13">
        <f t="shared" si="10"/>
        <v>23</v>
      </c>
      <c r="AW161" s="13">
        <f t="shared" si="10"/>
        <v>23.5</v>
      </c>
      <c r="AX161" s="13">
        <f t="shared" si="10"/>
        <v>24</v>
      </c>
      <c r="AY161" s="13">
        <f t="shared" si="10"/>
        <v>24.5</v>
      </c>
      <c r="AZ161" s="13">
        <f t="shared" si="10"/>
        <v>25</v>
      </c>
      <c r="BA161" s="13">
        <f t="shared" si="10"/>
        <v>25.5</v>
      </c>
      <c r="BB161" s="13">
        <f t="shared" si="10"/>
        <v>26</v>
      </c>
      <c r="BC161" s="13">
        <f t="shared" si="10"/>
        <v>26.5</v>
      </c>
      <c r="BD161" s="13">
        <f t="shared" si="10"/>
        <v>27</v>
      </c>
      <c r="BE161" s="13">
        <f t="shared" si="10"/>
        <v>27.5</v>
      </c>
      <c r="BF161" s="13">
        <f t="shared" si="10"/>
        <v>28</v>
      </c>
      <c r="BG161" s="13">
        <f t="shared" si="10"/>
        <v>28.5</v>
      </c>
      <c r="BH161" s="13">
        <f t="shared" si="10"/>
        <v>29</v>
      </c>
      <c r="BI161" s="13">
        <f t="shared" si="10"/>
        <v>29.5</v>
      </c>
      <c r="BJ161" s="13">
        <f t="shared" si="10"/>
        <v>30</v>
      </c>
    </row>
    <row r="162" spans="1:62">
      <c r="A162" s="22" t="s">
        <v>18</v>
      </c>
      <c r="B162" s="3">
        <v>0</v>
      </c>
      <c r="C162" s="3">
        <f t="shared" ref="C162:AH162" si="11">B162+1</f>
        <v>1</v>
      </c>
      <c r="D162" s="3">
        <f>C162+1</f>
        <v>2</v>
      </c>
      <c r="E162" s="3">
        <f>D162+1</f>
        <v>3</v>
      </c>
      <c r="F162" s="3">
        <f t="shared" si="11"/>
        <v>4</v>
      </c>
      <c r="G162" s="3">
        <f t="shared" si="11"/>
        <v>5</v>
      </c>
      <c r="H162" s="3">
        <f t="shared" si="11"/>
        <v>6</v>
      </c>
      <c r="I162" s="3">
        <f t="shared" si="11"/>
        <v>7</v>
      </c>
      <c r="J162" s="3">
        <f t="shared" si="11"/>
        <v>8</v>
      </c>
      <c r="K162" s="3">
        <f t="shared" si="11"/>
        <v>9</v>
      </c>
      <c r="L162" s="3">
        <f t="shared" si="11"/>
        <v>10</v>
      </c>
      <c r="M162" s="3">
        <f t="shared" si="11"/>
        <v>11</v>
      </c>
      <c r="N162" s="3">
        <f t="shared" si="11"/>
        <v>12</v>
      </c>
      <c r="O162" s="3">
        <f t="shared" si="11"/>
        <v>13</v>
      </c>
      <c r="P162" s="3">
        <f t="shared" si="11"/>
        <v>14</v>
      </c>
      <c r="Q162" s="3">
        <f t="shared" si="11"/>
        <v>15</v>
      </c>
      <c r="R162" s="3">
        <f t="shared" si="11"/>
        <v>16</v>
      </c>
      <c r="S162" s="3">
        <f t="shared" si="11"/>
        <v>17</v>
      </c>
      <c r="T162" s="3">
        <f t="shared" si="11"/>
        <v>18</v>
      </c>
      <c r="U162" s="3">
        <f t="shared" si="11"/>
        <v>19</v>
      </c>
      <c r="V162" s="3">
        <f t="shared" si="11"/>
        <v>20</v>
      </c>
      <c r="W162" s="3">
        <f t="shared" si="11"/>
        <v>21</v>
      </c>
      <c r="X162" s="3">
        <f t="shared" si="11"/>
        <v>22</v>
      </c>
      <c r="Y162" s="3">
        <f t="shared" si="11"/>
        <v>23</v>
      </c>
      <c r="Z162" s="3">
        <f t="shared" si="11"/>
        <v>24</v>
      </c>
      <c r="AA162" s="3">
        <f t="shared" si="11"/>
        <v>25</v>
      </c>
      <c r="AB162" s="3">
        <f t="shared" si="11"/>
        <v>26</v>
      </c>
      <c r="AC162" s="3">
        <f t="shared" si="11"/>
        <v>27</v>
      </c>
      <c r="AD162" s="3">
        <f t="shared" si="11"/>
        <v>28</v>
      </c>
      <c r="AE162" s="3">
        <f t="shared" si="11"/>
        <v>29</v>
      </c>
      <c r="AF162" s="3">
        <f t="shared" si="11"/>
        <v>30</v>
      </c>
      <c r="AG162" s="3">
        <f t="shared" si="11"/>
        <v>31</v>
      </c>
      <c r="AH162" s="3">
        <f t="shared" si="11"/>
        <v>32</v>
      </c>
      <c r="AI162" s="3">
        <f t="shared" ref="AI162:BJ162" si="12">AH162+1</f>
        <v>33</v>
      </c>
      <c r="AJ162" s="3">
        <f t="shared" si="12"/>
        <v>34</v>
      </c>
      <c r="AK162" s="3">
        <f t="shared" si="12"/>
        <v>35</v>
      </c>
      <c r="AL162" s="3">
        <f t="shared" si="12"/>
        <v>36</v>
      </c>
      <c r="AM162" s="3">
        <f t="shared" si="12"/>
        <v>37</v>
      </c>
      <c r="AN162" s="3">
        <f t="shared" si="12"/>
        <v>38</v>
      </c>
      <c r="AO162" s="3">
        <f t="shared" si="12"/>
        <v>39</v>
      </c>
      <c r="AP162" s="3">
        <f t="shared" si="12"/>
        <v>40</v>
      </c>
      <c r="AQ162" s="3">
        <f t="shared" si="12"/>
        <v>41</v>
      </c>
      <c r="AR162" s="3">
        <f t="shared" si="12"/>
        <v>42</v>
      </c>
      <c r="AS162" s="3">
        <f t="shared" si="12"/>
        <v>43</v>
      </c>
      <c r="AT162" s="3">
        <f t="shared" si="12"/>
        <v>44</v>
      </c>
      <c r="AU162" s="3">
        <f t="shared" si="12"/>
        <v>45</v>
      </c>
      <c r="AV162" s="3">
        <f t="shared" si="12"/>
        <v>46</v>
      </c>
      <c r="AW162" s="3">
        <f t="shared" si="12"/>
        <v>47</v>
      </c>
      <c r="AX162" s="3">
        <f t="shared" si="12"/>
        <v>48</v>
      </c>
      <c r="AY162" s="3">
        <f t="shared" si="12"/>
        <v>49</v>
      </c>
      <c r="AZ162" s="3">
        <f t="shared" si="12"/>
        <v>50</v>
      </c>
      <c r="BA162" s="3">
        <f t="shared" si="12"/>
        <v>51</v>
      </c>
      <c r="BB162" s="3">
        <f t="shared" si="12"/>
        <v>52</v>
      </c>
      <c r="BC162" s="3">
        <f t="shared" si="12"/>
        <v>53</v>
      </c>
      <c r="BD162" s="3">
        <f t="shared" si="12"/>
        <v>54</v>
      </c>
      <c r="BE162" s="3">
        <f t="shared" si="12"/>
        <v>55</v>
      </c>
      <c r="BF162" s="3">
        <f t="shared" si="12"/>
        <v>56</v>
      </c>
      <c r="BG162" s="3">
        <f t="shared" si="12"/>
        <v>57</v>
      </c>
      <c r="BH162" s="3">
        <f t="shared" si="12"/>
        <v>58</v>
      </c>
      <c r="BI162" s="3">
        <f t="shared" si="12"/>
        <v>59</v>
      </c>
      <c r="BJ162" s="3">
        <f t="shared" si="12"/>
        <v>60</v>
      </c>
    </row>
    <row r="163" spans="1:62">
      <c r="A163" s="11">
        <v>0</v>
      </c>
      <c r="B163" s="88"/>
      <c r="C163" s="88"/>
      <c r="D163" s="88"/>
      <c r="E163" s="88"/>
      <c r="F163" s="88"/>
      <c r="G163" s="88"/>
      <c r="H163" s="88"/>
      <c r="I163" s="88"/>
      <c r="J163" s="88"/>
      <c r="K163" s="88"/>
      <c r="L163" s="88"/>
      <c r="M163" s="88"/>
      <c r="N163" s="88"/>
      <c r="O163" s="88"/>
      <c r="P163" s="88"/>
      <c r="Q163" s="88"/>
      <c r="R163" s="88"/>
      <c r="S163" s="88"/>
      <c r="T163" s="88"/>
      <c r="U163" s="88"/>
      <c r="V163" s="88"/>
      <c r="W163" s="88"/>
      <c r="X163" s="88"/>
      <c r="Y163" s="88"/>
      <c r="Z163" s="88"/>
      <c r="AA163" s="88"/>
      <c r="AB163" s="88"/>
      <c r="AC163" s="88"/>
      <c r="AD163" s="88"/>
      <c r="AE163" s="88"/>
      <c r="AF163" s="88"/>
      <c r="AG163" s="88"/>
      <c r="AH163" s="88"/>
      <c r="AI163" s="88"/>
      <c r="AJ163" s="88"/>
      <c r="AK163" s="88"/>
      <c r="AL163" s="88"/>
      <c r="AM163" s="88"/>
      <c r="AN163" s="88"/>
      <c r="AO163" s="88"/>
      <c r="AP163" s="88"/>
      <c r="AQ163" s="88"/>
      <c r="AR163" s="88"/>
      <c r="AS163" s="88"/>
      <c r="AT163" s="88"/>
      <c r="AU163" s="88"/>
      <c r="AV163" s="88"/>
      <c r="AW163" s="88"/>
      <c r="AX163" s="88"/>
      <c r="AY163" s="88"/>
      <c r="AZ163" s="88"/>
      <c r="BA163" s="88"/>
      <c r="BB163" s="88"/>
      <c r="BC163" s="88"/>
      <c r="BD163" s="88"/>
      <c r="BE163" s="88"/>
      <c r="BF163" s="88"/>
      <c r="BG163" s="88"/>
      <c r="BH163" s="88"/>
      <c r="BI163" s="88"/>
      <c r="BJ163" s="88"/>
    </row>
    <row r="164" spans="1:62">
      <c r="A164" s="11">
        <f t="shared" ref="A164:A195" si="13">A163+1</f>
        <v>1</v>
      </c>
      <c r="B164" s="88"/>
      <c r="C164" s="88"/>
      <c r="D164" s="88"/>
      <c r="E164" s="88"/>
      <c r="F164" s="88"/>
      <c r="G164" s="88"/>
      <c r="H164" s="88"/>
      <c r="I164" s="88"/>
      <c r="J164" s="88"/>
      <c r="K164" s="88"/>
      <c r="L164" s="88"/>
      <c r="M164" s="88"/>
      <c r="N164" s="88"/>
      <c r="O164" s="88"/>
      <c r="P164" s="88"/>
      <c r="Q164" s="88"/>
      <c r="R164" s="88"/>
      <c r="S164" s="88"/>
      <c r="T164" s="88"/>
      <c r="U164" s="88"/>
      <c r="V164" s="88"/>
      <c r="W164" s="88"/>
      <c r="X164" s="88"/>
      <c r="Y164" s="88"/>
      <c r="Z164" s="88"/>
      <c r="AA164" s="88"/>
      <c r="AB164" s="88"/>
      <c r="AC164" s="88"/>
      <c r="AD164" s="88"/>
      <c r="AE164" s="88"/>
      <c r="AF164" s="88"/>
      <c r="AG164" s="88"/>
      <c r="AH164" s="88"/>
      <c r="AI164" s="88"/>
      <c r="AJ164" s="88"/>
      <c r="AK164" s="88"/>
      <c r="AL164" s="88"/>
      <c r="AM164" s="88"/>
      <c r="AN164" s="88"/>
      <c r="AO164" s="88"/>
      <c r="AP164" s="88"/>
      <c r="AQ164" s="88"/>
      <c r="AR164" s="88"/>
      <c r="AS164" s="88"/>
      <c r="AT164" s="88"/>
      <c r="AU164" s="88"/>
      <c r="AV164" s="88"/>
      <c r="AW164" s="88"/>
      <c r="AX164" s="88"/>
      <c r="AY164" s="88"/>
      <c r="AZ164" s="88"/>
      <c r="BA164" s="88"/>
      <c r="BB164" s="88"/>
      <c r="BC164" s="88"/>
      <c r="BD164" s="88"/>
      <c r="BE164" s="88"/>
      <c r="BF164" s="88"/>
      <c r="BG164" s="88"/>
      <c r="BH164" s="88"/>
      <c r="BI164" s="88"/>
      <c r="BJ164" s="88"/>
    </row>
    <row r="165" spans="1:62">
      <c r="A165" s="11">
        <f t="shared" si="13"/>
        <v>2</v>
      </c>
      <c r="B165" s="88"/>
      <c r="C165" s="88"/>
      <c r="D165" s="88"/>
      <c r="E165" s="88"/>
      <c r="F165" s="88"/>
      <c r="G165" s="88"/>
      <c r="H165" s="88"/>
      <c r="I165" s="88"/>
      <c r="J165" s="88"/>
      <c r="K165" s="88"/>
      <c r="L165" s="88"/>
      <c r="M165" s="88"/>
      <c r="N165" s="88"/>
      <c r="O165" s="88"/>
      <c r="P165" s="88"/>
      <c r="Q165" s="88"/>
      <c r="R165" s="88"/>
      <c r="S165" s="88"/>
      <c r="T165" s="88"/>
      <c r="U165" s="88"/>
      <c r="V165" s="88"/>
      <c r="W165" s="88"/>
      <c r="X165" s="88"/>
      <c r="Y165" s="88"/>
      <c r="Z165" s="88"/>
      <c r="AA165" s="88"/>
      <c r="AB165" s="88"/>
      <c r="AC165" s="88"/>
      <c r="AD165" s="88"/>
      <c r="AE165" s="88"/>
      <c r="AF165" s="88"/>
      <c r="AG165" s="88"/>
      <c r="AH165" s="88"/>
      <c r="AI165" s="88"/>
      <c r="AJ165" s="88"/>
      <c r="AK165" s="88"/>
      <c r="AL165" s="88"/>
      <c r="AM165" s="88"/>
      <c r="AN165" s="88"/>
      <c r="AO165" s="88"/>
      <c r="AP165" s="88"/>
      <c r="AQ165" s="88"/>
      <c r="AR165" s="88"/>
      <c r="AS165" s="88"/>
      <c r="AT165" s="88"/>
      <c r="AU165" s="88"/>
      <c r="AV165" s="88"/>
      <c r="AW165" s="88"/>
      <c r="AX165" s="88"/>
      <c r="AY165" s="88"/>
      <c r="AZ165" s="88"/>
      <c r="BA165" s="88"/>
      <c r="BB165" s="88"/>
      <c r="BC165" s="88"/>
      <c r="BD165" s="88"/>
      <c r="BE165" s="88"/>
      <c r="BF165" s="88"/>
      <c r="BG165" s="88"/>
      <c r="BH165" s="88"/>
      <c r="BI165" s="88"/>
      <c r="BJ165" s="88"/>
    </row>
    <row r="166" spans="1:62" outlineLevel="1">
      <c r="A166" s="11">
        <f t="shared" si="13"/>
        <v>3</v>
      </c>
      <c r="B166" s="88"/>
      <c r="C166" s="88"/>
      <c r="D166" s="88"/>
      <c r="E166" s="88"/>
      <c r="F166" s="88"/>
      <c r="G166" s="88"/>
      <c r="H166" s="88"/>
      <c r="I166" s="88"/>
      <c r="J166" s="88"/>
      <c r="K166" s="88"/>
      <c r="L166" s="88"/>
      <c r="M166" s="88"/>
      <c r="N166" s="88"/>
      <c r="O166" s="88"/>
      <c r="P166" s="88"/>
      <c r="Q166" s="88"/>
      <c r="R166" s="88"/>
      <c r="S166" s="88"/>
      <c r="T166" s="88"/>
      <c r="U166" s="88"/>
      <c r="V166" s="88"/>
      <c r="W166" s="88"/>
      <c r="X166" s="88"/>
      <c r="Y166" s="88"/>
      <c r="Z166" s="88"/>
      <c r="AA166" s="88"/>
      <c r="AB166" s="88"/>
      <c r="AC166" s="88"/>
      <c r="AD166" s="88"/>
      <c r="AE166" s="88"/>
      <c r="AF166" s="88"/>
      <c r="AG166" s="88"/>
      <c r="AH166" s="88"/>
      <c r="AI166" s="88"/>
      <c r="AJ166" s="88"/>
      <c r="AK166" s="88"/>
      <c r="AL166" s="88"/>
      <c r="AM166" s="88"/>
      <c r="AN166" s="88"/>
      <c r="AO166" s="88"/>
      <c r="AP166" s="88"/>
      <c r="AQ166" s="88"/>
      <c r="AR166" s="88"/>
      <c r="AS166" s="88"/>
      <c r="AT166" s="88"/>
      <c r="AU166" s="88"/>
      <c r="AV166" s="88"/>
      <c r="AW166" s="88"/>
      <c r="AX166" s="88"/>
      <c r="AY166" s="88"/>
      <c r="AZ166" s="88"/>
      <c r="BA166" s="88"/>
      <c r="BB166" s="88"/>
      <c r="BC166" s="88"/>
      <c r="BD166" s="88"/>
      <c r="BE166" s="88"/>
      <c r="BF166" s="88"/>
      <c r="BG166" s="88"/>
      <c r="BH166" s="88"/>
      <c r="BI166" s="88"/>
      <c r="BJ166" s="88"/>
    </row>
    <row r="167" spans="1:62" outlineLevel="1">
      <c r="A167" s="11">
        <f t="shared" si="13"/>
        <v>4</v>
      </c>
      <c r="B167" s="88"/>
      <c r="C167" s="88"/>
      <c r="D167" s="88"/>
      <c r="E167" s="88"/>
      <c r="F167" s="88"/>
      <c r="G167" s="88"/>
      <c r="H167" s="88"/>
      <c r="I167" s="88"/>
      <c r="J167" s="88"/>
      <c r="K167" s="88"/>
      <c r="L167" s="88"/>
      <c r="M167" s="88"/>
      <c r="N167" s="88"/>
      <c r="O167" s="88"/>
      <c r="P167" s="88"/>
      <c r="Q167" s="88"/>
      <c r="R167" s="88"/>
      <c r="S167" s="88"/>
      <c r="T167" s="88"/>
      <c r="U167" s="88"/>
      <c r="V167" s="88"/>
      <c r="W167" s="88"/>
      <c r="X167" s="88"/>
      <c r="Y167" s="88"/>
      <c r="Z167" s="88"/>
      <c r="AA167" s="88"/>
      <c r="AB167" s="88"/>
      <c r="AC167" s="88"/>
      <c r="AD167" s="88"/>
      <c r="AE167" s="88"/>
      <c r="AF167" s="88"/>
      <c r="AG167" s="88"/>
      <c r="AH167" s="88"/>
      <c r="AI167" s="88"/>
      <c r="AJ167" s="88"/>
      <c r="AK167" s="88"/>
      <c r="AL167" s="88"/>
      <c r="AM167" s="88"/>
      <c r="AN167" s="88"/>
      <c r="AO167" s="88"/>
      <c r="AP167" s="88"/>
      <c r="AQ167" s="88"/>
      <c r="AR167" s="88"/>
      <c r="AS167" s="88"/>
      <c r="AT167" s="88"/>
      <c r="AU167" s="88"/>
      <c r="AV167" s="88"/>
      <c r="AW167" s="88"/>
      <c r="AX167" s="88"/>
      <c r="AY167" s="88"/>
      <c r="AZ167" s="88"/>
      <c r="BA167" s="88"/>
      <c r="BB167" s="88"/>
      <c r="BC167" s="88"/>
      <c r="BD167" s="88"/>
      <c r="BE167" s="88"/>
      <c r="BF167" s="88"/>
      <c r="BG167" s="88"/>
      <c r="BH167" s="88"/>
      <c r="BI167" s="88"/>
      <c r="BJ167" s="88"/>
    </row>
    <row r="168" spans="1:62" outlineLevel="1">
      <c r="A168" s="11">
        <f t="shared" si="13"/>
        <v>5</v>
      </c>
      <c r="B168" s="88"/>
      <c r="C168" s="88"/>
      <c r="D168" s="88"/>
      <c r="E168" s="88"/>
      <c r="F168" s="88"/>
      <c r="G168" s="88"/>
      <c r="H168" s="88"/>
      <c r="I168" s="88"/>
      <c r="J168" s="88"/>
      <c r="K168" s="88"/>
      <c r="L168" s="88"/>
      <c r="M168" s="88"/>
      <c r="N168" s="88"/>
      <c r="O168" s="88"/>
      <c r="P168" s="88"/>
      <c r="Q168" s="88"/>
      <c r="R168" s="88"/>
      <c r="S168" s="88"/>
      <c r="T168" s="88"/>
      <c r="U168" s="88"/>
      <c r="V168" s="88"/>
      <c r="W168" s="88"/>
      <c r="X168" s="88"/>
      <c r="Y168" s="88"/>
      <c r="Z168" s="88"/>
      <c r="AA168" s="88"/>
      <c r="AB168" s="88"/>
      <c r="AC168" s="88"/>
      <c r="AD168" s="88"/>
      <c r="AE168" s="88"/>
      <c r="AF168" s="88"/>
      <c r="AG168" s="88"/>
      <c r="AH168" s="88"/>
      <c r="AI168" s="88"/>
      <c r="AJ168" s="88"/>
      <c r="AK168" s="88"/>
      <c r="AL168" s="88"/>
      <c r="AM168" s="88"/>
      <c r="AN168" s="88"/>
      <c r="AO168" s="88"/>
      <c r="AP168" s="88"/>
      <c r="AQ168" s="88"/>
      <c r="AR168" s="88"/>
      <c r="AS168" s="88"/>
      <c r="AT168" s="88"/>
      <c r="AU168" s="88"/>
      <c r="AV168" s="88"/>
      <c r="AW168" s="88"/>
      <c r="AX168" s="88"/>
      <c r="AY168" s="88"/>
      <c r="AZ168" s="88"/>
      <c r="BA168" s="88"/>
      <c r="BB168" s="88"/>
      <c r="BC168" s="88"/>
      <c r="BD168" s="88"/>
      <c r="BE168" s="88"/>
      <c r="BF168" s="88"/>
      <c r="BG168" s="88"/>
      <c r="BH168" s="88"/>
      <c r="BI168" s="88"/>
      <c r="BJ168" s="88"/>
    </row>
    <row r="169" spans="1:62" outlineLevel="1">
      <c r="A169" s="11">
        <f t="shared" si="13"/>
        <v>6</v>
      </c>
      <c r="B169" s="88"/>
      <c r="C169" s="88"/>
      <c r="D169" s="88"/>
      <c r="E169" s="88"/>
      <c r="F169" s="88"/>
      <c r="G169" s="88"/>
      <c r="H169" s="88"/>
      <c r="I169" s="88"/>
      <c r="J169" s="88"/>
      <c r="K169" s="88"/>
      <c r="L169" s="88"/>
      <c r="M169" s="88"/>
      <c r="N169" s="88"/>
      <c r="O169" s="88"/>
      <c r="P169" s="88"/>
      <c r="Q169" s="88"/>
      <c r="R169" s="88"/>
      <c r="S169" s="88"/>
      <c r="T169" s="88"/>
      <c r="U169" s="88"/>
      <c r="V169" s="88"/>
      <c r="W169" s="88"/>
      <c r="X169" s="88"/>
      <c r="Y169" s="88"/>
      <c r="Z169" s="88"/>
      <c r="AA169" s="88"/>
      <c r="AB169" s="88"/>
      <c r="AC169" s="88"/>
      <c r="AD169" s="88"/>
      <c r="AE169" s="88"/>
      <c r="AF169" s="88"/>
      <c r="AG169" s="88"/>
      <c r="AH169" s="88"/>
      <c r="AI169" s="88"/>
      <c r="AJ169" s="88"/>
      <c r="AK169" s="88"/>
      <c r="AL169" s="88"/>
      <c r="AM169" s="88"/>
      <c r="AN169" s="88"/>
      <c r="AO169" s="88"/>
      <c r="AP169" s="88"/>
      <c r="AQ169" s="88"/>
      <c r="AR169" s="88"/>
      <c r="AS169" s="88"/>
      <c r="AT169" s="88"/>
      <c r="AU169" s="88"/>
      <c r="AV169" s="88"/>
      <c r="AW169" s="88"/>
      <c r="AX169" s="88"/>
      <c r="AY169" s="88"/>
      <c r="AZ169" s="88"/>
      <c r="BA169" s="88"/>
      <c r="BB169" s="88"/>
      <c r="BC169" s="88"/>
      <c r="BD169" s="88"/>
      <c r="BE169" s="88"/>
      <c r="BF169" s="88"/>
      <c r="BG169" s="88"/>
      <c r="BH169" s="88"/>
      <c r="BI169" s="88"/>
      <c r="BJ169" s="88"/>
    </row>
    <row r="170" spans="1:62" outlineLevel="1">
      <c r="A170" s="11">
        <f t="shared" si="13"/>
        <v>7</v>
      </c>
      <c r="B170" s="88"/>
      <c r="C170" s="88"/>
      <c r="D170" s="88"/>
      <c r="E170" s="88"/>
      <c r="F170" s="88"/>
      <c r="G170" s="88"/>
      <c r="H170" s="88"/>
      <c r="I170" s="88"/>
      <c r="J170" s="88"/>
      <c r="K170" s="88"/>
      <c r="L170" s="88"/>
      <c r="M170" s="88"/>
      <c r="N170" s="88"/>
      <c r="O170" s="88"/>
      <c r="P170" s="88"/>
      <c r="Q170" s="88"/>
      <c r="R170" s="88"/>
      <c r="S170" s="88"/>
      <c r="T170" s="88"/>
      <c r="U170" s="88"/>
      <c r="V170" s="88"/>
      <c r="W170" s="88"/>
      <c r="X170" s="88"/>
      <c r="Y170" s="88"/>
      <c r="Z170" s="88"/>
      <c r="AA170" s="88"/>
      <c r="AB170" s="88"/>
      <c r="AC170" s="88"/>
      <c r="AD170" s="88"/>
      <c r="AE170" s="88"/>
      <c r="AF170" s="88"/>
      <c r="AG170" s="88"/>
      <c r="AH170" s="88"/>
      <c r="AI170" s="88"/>
      <c r="AJ170" s="88"/>
      <c r="AK170" s="88"/>
      <c r="AL170" s="88"/>
      <c r="AM170" s="88"/>
      <c r="AN170" s="88"/>
      <c r="AO170" s="88"/>
      <c r="AP170" s="88"/>
      <c r="AQ170" s="88"/>
      <c r="AR170" s="88"/>
      <c r="AS170" s="88"/>
      <c r="AT170" s="88"/>
      <c r="AU170" s="88"/>
      <c r="AV170" s="88"/>
      <c r="AW170" s="88"/>
      <c r="AX170" s="88"/>
      <c r="AY170" s="88"/>
      <c r="AZ170" s="88"/>
      <c r="BA170" s="88"/>
      <c r="BB170" s="88"/>
      <c r="BC170" s="88"/>
      <c r="BD170" s="88"/>
      <c r="BE170" s="88"/>
      <c r="BF170" s="88"/>
      <c r="BG170" s="88"/>
      <c r="BH170" s="88"/>
      <c r="BI170" s="88"/>
      <c r="BJ170" s="88"/>
    </row>
    <row r="171" spans="1:62" outlineLevel="1">
      <c r="A171" s="11">
        <f t="shared" si="13"/>
        <v>8</v>
      </c>
      <c r="B171" s="88"/>
      <c r="C171" s="88"/>
      <c r="D171" s="88"/>
      <c r="E171" s="88"/>
      <c r="F171" s="88"/>
      <c r="G171" s="88"/>
      <c r="H171" s="88"/>
      <c r="I171" s="88"/>
      <c r="J171" s="88"/>
      <c r="K171" s="88"/>
      <c r="L171" s="88"/>
      <c r="M171" s="88"/>
      <c r="N171" s="88"/>
      <c r="O171" s="88"/>
      <c r="P171" s="88"/>
      <c r="Q171" s="88"/>
      <c r="R171" s="88"/>
      <c r="S171" s="88"/>
      <c r="T171" s="88"/>
      <c r="U171" s="88"/>
      <c r="V171" s="88"/>
      <c r="W171" s="88"/>
      <c r="X171" s="88"/>
      <c r="Y171" s="88"/>
      <c r="Z171" s="88"/>
      <c r="AA171" s="88"/>
      <c r="AB171" s="88"/>
      <c r="AC171" s="88"/>
      <c r="AD171" s="88"/>
      <c r="AE171" s="88"/>
      <c r="AF171" s="88"/>
      <c r="AG171" s="88"/>
      <c r="AH171" s="88"/>
      <c r="AI171" s="88"/>
      <c r="AJ171" s="88"/>
      <c r="AK171" s="88"/>
      <c r="AL171" s="88"/>
      <c r="AM171" s="88"/>
      <c r="AN171" s="88"/>
      <c r="AO171" s="88"/>
      <c r="AP171" s="88"/>
      <c r="AQ171" s="88"/>
      <c r="AR171" s="88"/>
      <c r="AS171" s="88"/>
      <c r="AT171" s="88"/>
      <c r="AU171" s="88"/>
      <c r="AV171" s="88"/>
      <c r="AW171" s="88"/>
      <c r="AX171" s="88"/>
      <c r="AY171" s="88"/>
      <c r="AZ171" s="88"/>
      <c r="BA171" s="88"/>
      <c r="BB171" s="88"/>
      <c r="BC171" s="88"/>
      <c r="BD171" s="88"/>
      <c r="BE171" s="88"/>
      <c r="BF171" s="88"/>
      <c r="BG171" s="88"/>
      <c r="BH171" s="88"/>
      <c r="BI171" s="88"/>
      <c r="BJ171" s="88"/>
    </row>
    <row r="172" spans="1:62" outlineLevel="1">
      <c r="A172" s="11">
        <f t="shared" si="13"/>
        <v>9</v>
      </c>
      <c r="B172" s="88"/>
      <c r="C172" s="88"/>
      <c r="D172" s="88"/>
      <c r="E172" s="88"/>
      <c r="F172" s="88"/>
      <c r="G172" s="88"/>
      <c r="H172" s="88"/>
      <c r="I172" s="88"/>
      <c r="J172" s="88"/>
      <c r="K172" s="88"/>
      <c r="L172" s="88"/>
      <c r="M172" s="88"/>
      <c r="N172" s="88"/>
      <c r="O172" s="88"/>
      <c r="P172" s="88"/>
      <c r="Q172" s="88"/>
      <c r="R172" s="88"/>
      <c r="S172" s="88"/>
      <c r="T172" s="88"/>
      <c r="U172" s="88"/>
      <c r="V172" s="88"/>
      <c r="W172" s="88"/>
      <c r="X172" s="88"/>
      <c r="Y172" s="88"/>
      <c r="Z172" s="88"/>
      <c r="AA172" s="88"/>
      <c r="AB172" s="88"/>
      <c r="AC172" s="88"/>
      <c r="AD172" s="88"/>
      <c r="AE172" s="88"/>
      <c r="AF172" s="88"/>
      <c r="AG172" s="88"/>
      <c r="AH172" s="88"/>
      <c r="AI172" s="88"/>
      <c r="AJ172" s="88"/>
      <c r="AK172" s="88"/>
      <c r="AL172" s="88"/>
      <c r="AM172" s="88"/>
      <c r="AN172" s="88"/>
      <c r="AO172" s="88"/>
      <c r="AP172" s="88"/>
      <c r="AQ172" s="88"/>
      <c r="AR172" s="88"/>
      <c r="AS172" s="88"/>
      <c r="AT172" s="88"/>
      <c r="AU172" s="88"/>
      <c r="AV172" s="88"/>
      <c r="AW172" s="88"/>
      <c r="AX172" s="88"/>
      <c r="AY172" s="88"/>
      <c r="AZ172" s="88"/>
      <c r="BA172" s="88"/>
      <c r="BB172" s="88"/>
      <c r="BC172" s="88"/>
      <c r="BD172" s="88"/>
      <c r="BE172" s="88"/>
      <c r="BF172" s="88"/>
      <c r="BG172" s="88"/>
      <c r="BH172" s="88"/>
      <c r="BI172" s="88"/>
      <c r="BJ172" s="88"/>
    </row>
    <row r="173" spans="1:62" outlineLevel="1">
      <c r="A173" s="11">
        <f t="shared" si="13"/>
        <v>10</v>
      </c>
      <c r="B173" s="88"/>
      <c r="C173" s="88"/>
      <c r="D173" s="88"/>
      <c r="E173" s="88"/>
      <c r="F173" s="88"/>
      <c r="G173" s="88"/>
      <c r="H173" s="88"/>
      <c r="I173" s="88"/>
      <c r="J173" s="88"/>
      <c r="K173" s="88"/>
      <c r="L173" s="88"/>
      <c r="M173" s="88"/>
      <c r="N173" s="88"/>
      <c r="O173" s="88"/>
      <c r="P173" s="88"/>
      <c r="Q173" s="88"/>
      <c r="R173" s="88"/>
      <c r="S173" s="88"/>
      <c r="T173" s="88"/>
      <c r="U173" s="88"/>
      <c r="V173" s="88"/>
      <c r="W173" s="88"/>
      <c r="X173" s="88"/>
      <c r="Y173" s="88"/>
      <c r="Z173" s="88"/>
      <c r="AA173" s="88"/>
      <c r="AB173" s="88"/>
      <c r="AC173" s="88"/>
      <c r="AD173" s="88"/>
      <c r="AE173" s="88"/>
      <c r="AF173" s="88"/>
      <c r="AG173" s="88"/>
      <c r="AH173" s="88"/>
      <c r="AI173" s="88"/>
      <c r="AJ173" s="88"/>
      <c r="AK173" s="88"/>
      <c r="AL173" s="88"/>
      <c r="AM173" s="88"/>
      <c r="AN173" s="88"/>
      <c r="AO173" s="88"/>
      <c r="AP173" s="88"/>
      <c r="AQ173" s="88"/>
      <c r="AR173" s="88"/>
      <c r="AS173" s="88"/>
      <c r="AT173" s="88"/>
      <c r="AU173" s="88"/>
      <c r="AV173" s="88"/>
      <c r="AW173" s="88"/>
      <c r="AX173" s="88"/>
      <c r="AY173" s="88"/>
      <c r="AZ173" s="88"/>
      <c r="BA173" s="88"/>
      <c r="BB173" s="88"/>
      <c r="BC173" s="88"/>
      <c r="BD173" s="88"/>
      <c r="BE173" s="88"/>
      <c r="BF173" s="88"/>
      <c r="BG173" s="88"/>
      <c r="BH173" s="88"/>
      <c r="BI173" s="88"/>
      <c r="BJ173" s="88"/>
    </row>
    <row r="174" spans="1:62" outlineLevel="1">
      <c r="A174" s="11">
        <f t="shared" si="13"/>
        <v>11</v>
      </c>
      <c r="B174" s="88"/>
      <c r="C174" s="88"/>
      <c r="D174" s="88"/>
      <c r="E174" s="88"/>
      <c r="F174" s="88"/>
      <c r="G174" s="88"/>
      <c r="H174" s="88"/>
      <c r="I174" s="88"/>
      <c r="J174" s="88"/>
      <c r="K174" s="88"/>
      <c r="L174" s="88"/>
      <c r="M174" s="88"/>
      <c r="N174" s="88"/>
      <c r="O174" s="88"/>
      <c r="P174" s="88"/>
      <c r="Q174" s="88"/>
      <c r="R174" s="88"/>
      <c r="S174" s="88"/>
      <c r="T174" s="88"/>
      <c r="U174" s="88"/>
      <c r="V174" s="88"/>
      <c r="W174" s="88"/>
      <c r="X174" s="88"/>
      <c r="Y174" s="88"/>
      <c r="Z174" s="88"/>
      <c r="AA174" s="88"/>
      <c r="AB174" s="88"/>
      <c r="AC174" s="88"/>
      <c r="AD174" s="88"/>
      <c r="AE174" s="88"/>
      <c r="AF174" s="88"/>
      <c r="AG174" s="88"/>
      <c r="AH174" s="88"/>
      <c r="AI174" s="88"/>
      <c r="AJ174" s="88"/>
      <c r="AK174" s="88"/>
      <c r="AL174" s="88"/>
      <c r="AM174" s="88"/>
      <c r="AN174" s="88"/>
      <c r="AO174" s="88"/>
      <c r="AP174" s="88"/>
      <c r="AQ174" s="88"/>
      <c r="AR174" s="88"/>
      <c r="AS174" s="88"/>
      <c r="AT174" s="88"/>
      <c r="AU174" s="88"/>
      <c r="AV174" s="88"/>
      <c r="AW174" s="88"/>
      <c r="AX174" s="88"/>
      <c r="AY174" s="88"/>
      <c r="AZ174" s="88"/>
      <c r="BA174" s="88"/>
      <c r="BB174" s="88"/>
      <c r="BC174" s="88"/>
      <c r="BD174" s="88"/>
      <c r="BE174" s="88"/>
      <c r="BF174" s="88"/>
      <c r="BG174" s="88"/>
      <c r="BH174" s="88"/>
      <c r="BI174" s="88"/>
      <c r="BJ174" s="88"/>
    </row>
    <row r="175" spans="1:62" outlineLevel="1">
      <c r="A175" s="11">
        <f t="shared" si="13"/>
        <v>12</v>
      </c>
      <c r="B175" s="88"/>
      <c r="C175" s="88"/>
      <c r="D175" s="88"/>
      <c r="E175" s="88"/>
      <c r="F175" s="88"/>
      <c r="G175" s="88"/>
      <c r="H175" s="88"/>
      <c r="I175" s="88"/>
      <c r="J175" s="88"/>
      <c r="K175" s="88"/>
      <c r="L175" s="88"/>
      <c r="M175" s="88"/>
      <c r="N175" s="88"/>
      <c r="O175" s="88"/>
      <c r="P175" s="88"/>
      <c r="Q175" s="88"/>
      <c r="R175" s="88"/>
      <c r="S175" s="88"/>
      <c r="T175" s="88"/>
      <c r="U175" s="88"/>
      <c r="V175" s="88"/>
      <c r="W175" s="88"/>
      <c r="X175" s="88"/>
      <c r="Y175" s="88"/>
      <c r="Z175" s="88"/>
      <c r="AA175" s="88"/>
      <c r="AB175" s="88"/>
      <c r="AC175" s="88"/>
      <c r="AD175" s="88"/>
      <c r="AE175" s="88"/>
      <c r="AF175" s="88"/>
      <c r="AG175" s="88"/>
      <c r="AH175" s="88"/>
      <c r="AI175" s="88"/>
      <c r="AJ175" s="88"/>
      <c r="AK175" s="88"/>
      <c r="AL175" s="88"/>
      <c r="AM175" s="88"/>
      <c r="AN175" s="88"/>
      <c r="AO175" s="88"/>
      <c r="AP175" s="88"/>
      <c r="AQ175" s="88"/>
      <c r="AR175" s="88"/>
      <c r="AS175" s="88"/>
      <c r="AT175" s="88"/>
      <c r="AU175" s="88"/>
      <c r="AV175" s="88"/>
      <c r="AW175" s="88"/>
      <c r="AX175" s="88"/>
      <c r="AY175" s="88"/>
      <c r="AZ175" s="88"/>
      <c r="BA175" s="88"/>
      <c r="BB175" s="88"/>
      <c r="BC175" s="88"/>
      <c r="BD175" s="88"/>
      <c r="BE175" s="88"/>
      <c r="BF175" s="88"/>
      <c r="BG175" s="88"/>
      <c r="BH175" s="88"/>
      <c r="BI175" s="88"/>
      <c r="BJ175" s="88"/>
    </row>
    <row r="176" spans="1:62" outlineLevel="1">
      <c r="A176" s="11">
        <f t="shared" si="13"/>
        <v>13</v>
      </c>
      <c r="B176" s="88"/>
      <c r="C176" s="88"/>
      <c r="D176" s="88"/>
      <c r="E176" s="88"/>
      <c r="F176" s="88"/>
      <c r="G176" s="88"/>
      <c r="H176" s="88"/>
      <c r="I176" s="88"/>
      <c r="J176" s="88"/>
      <c r="K176" s="88"/>
      <c r="L176" s="88"/>
      <c r="M176" s="88"/>
      <c r="N176" s="88"/>
      <c r="O176" s="88"/>
      <c r="P176" s="88"/>
      <c r="Q176" s="88"/>
      <c r="R176" s="88"/>
      <c r="S176" s="88"/>
      <c r="T176" s="88"/>
      <c r="U176" s="88"/>
      <c r="V176" s="88"/>
      <c r="W176" s="88"/>
      <c r="X176" s="88"/>
      <c r="Y176" s="88"/>
      <c r="Z176" s="88"/>
      <c r="AA176" s="88"/>
      <c r="AB176" s="88"/>
      <c r="AC176" s="88"/>
      <c r="AD176" s="88"/>
      <c r="AE176" s="88"/>
      <c r="AF176" s="88"/>
      <c r="AG176" s="88"/>
      <c r="AH176" s="88"/>
      <c r="AI176" s="88"/>
      <c r="AJ176" s="88"/>
      <c r="AK176" s="88"/>
      <c r="AL176" s="88"/>
      <c r="AM176" s="88"/>
      <c r="AN176" s="88"/>
      <c r="AO176" s="88"/>
      <c r="AP176" s="88"/>
      <c r="AQ176" s="88"/>
      <c r="AR176" s="88"/>
      <c r="AS176" s="88"/>
      <c r="AT176" s="88"/>
      <c r="AU176" s="88"/>
      <c r="AV176" s="88"/>
      <c r="AW176" s="88"/>
      <c r="AX176" s="88"/>
      <c r="AY176" s="88"/>
      <c r="AZ176" s="88"/>
      <c r="BA176" s="88"/>
      <c r="BB176" s="88"/>
      <c r="BC176" s="88"/>
      <c r="BD176" s="88"/>
      <c r="BE176" s="88"/>
      <c r="BF176" s="88"/>
      <c r="BG176" s="88"/>
      <c r="BH176" s="88"/>
      <c r="BI176" s="88"/>
      <c r="BJ176" s="88"/>
    </row>
    <row r="177" spans="1:62" outlineLevel="1">
      <c r="A177" s="11">
        <f t="shared" si="13"/>
        <v>14</v>
      </c>
      <c r="B177" s="88"/>
      <c r="C177" s="88"/>
      <c r="D177" s="88"/>
      <c r="E177" s="88"/>
      <c r="F177" s="88"/>
      <c r="G177" s="88"/>
      <c r="H177" s="88"/>
      <c r="I177" s="88"/>
      <c r="J177" s="88"/>
      <c r="K177" s="88"/>
      <c r="L177" s="88"/>
      <c r="M177" s="88"/>
      <c r="N177" s="88"/>
      <c r="O177" s="88"/>
      <c r="P177" s="88"/>
      <c r="Q177" s="88"/>
      <c r="R177" s="88"/>
      <c r="S177" s="88"/>
      <c r="T177" s="88"/>
      <c r="U177" s="88"/>
      <c r="V177" s="88"/>
      <c r="W177" s="88"/>
      <c r="X177" s="88"/>
      <c r="Y177" s="88"/>
      <c r="Z177" s="88"/>
      <c r="AA177" s="88"/>
      <c r="AB177" s="88"/>
      <c r="AC177" s="88"/>
      <c r="AD177" s="88"/>
      <c r="AE177" s="88"/>
      <c r="AF177" s="88"/>
      <c r="AG177" s="88"/>
      <c r="AH177" s="88"/>
      <c r="AI177" s="88"/>
      <c r="AJ177" s="88"/>
      <c r="AK177" s="88"/>
      <c r="AL177" s="88"/>
      <c r="AM177" s="88"/>
      <c r="AN177" s="88"/>
      <c r="AO177" s="88"/>
      <c r="AP177" s="88"/>
      <c r="AQ177" s="88"/>
      <c r="AR177" s="88"/>
      <c r="AS177" s="88"/>
      <c r="AT177" s="88"/>
      <c r="AU177" s="88"/>
      <c r="AV177" s="88"/>
      <c r="AW177" s="88"/>
      <c r="AX177" s="88"/>
      <c r="AY177" s="88"/>
      <c r="AZ177" s="88"/>
      <c r="BA177" s="88"/>
      <c r="BB177" s="88"/>
      <c r="BC177" s="88"/>
      <c r="BD177" s="88"/>
      <c r="BE177" s="88"/>
      <c r="BF177" s="88"/>
      <c r="BG177" s="88"/>
      <c r="BH177" s="88"/>
      <c r="BI177" s="88"/>
      <c r="BJ177" s="88"/>
    </row>
    <row r="178" spans="1:62" outlineLevel="1">
      <c r="A178" s="11">
        <f t="shared" si="13"/>
        <v>15</v>
      </c>
      <c r="B178" s="88"/>
      <c r="C178" s="88"/>
      <c r="D178" s="88"/>
      <c r="E178" s="88"/>
      <c r="F178" s="88"/>
      <c r="G178" s="88"/>
      <c r="H178" s="88"/>
      <c r="I178" s="88"/>
      <c r="J178" s="88"/>
      <c r="K178" s="88"/>
      <c r="L178" s="88"/>
      <c r="M178" s="88"/>
      <c r="N178" s="88"/>
      <c r="O178" s="88"/>
      <c r="P178" s="88"/>
      <c r="Q178" s="88"/>
      <c r="R178" s="88"/>
      <c r="S178" s="88"/>
      <c r="T178" s="88"/>
      <c r="U178" s="88"/>
      <c r="V178" s="88"/>
      <c r="W178" s="88"/>
      <c r="X178" s="88"/>
      <c r="Y178" s="88"/>
      <c r="Z178" s="88"/>
      <c r="AA178" s="88"/>
      <c r="AB178" s="88"/>
      <c r="AC178" s="88"/>
      <c r="AD178" s="88"/>
      <c r="AE178" s="88"/>
      <c r="AF178" s="88"/>
      <c r="AG178" s="88"/>
      <c r="AH178" s="88"/>
      <c r="AI178" s="88"/>
      <c r="AJ178" s="88"/>
      <c r="AK178" s="88"/>
      <c r="AL178" s="88"/>
      <c r="AM178" s="88"/>
      <c r="AN178" s="88"/>
      <c r="AO178" s="88"/>
      <c r="AP178" s="88"/>
      <c r="AQ178" s="88"/>
      <c r="AR178" s="88"/>
      <c r="AS178" s="88"/>
      <c r="AT178" s="88"/>
      <c r="AU178" s="88"/>
      <c r="AV178" s="88"/>
      <c r="AW178" s="88"/>
      <c r="AX178" s="88"/>
      <c r="AY178" s="88"/>
      <c r="AZ178" s="88"/>
      <c r="BA178" s="88"/>
      <c r="BB178" s="88"/>
      <c r="BC178" s="88"/>
      <c r="BD178" s="88"/>
      <c r="BE178" s="88"/>
      <c r="BF178" s="88"/>
      <c r="BG178" s="88"/>
      <c r="BH178" s="88"/>
      <c r="BI178" s="88"/>
      <c r="BJ178" s="88"/>
    </row>
    <row r="179" spans="1:62" outlineLevel="1">
      <c r="A179" s="11">
        <f t="shared" si="13"/>
        <v>16</v>
      </c>
      <c r="B179" s="88"/>
      <c r="C179" s="88"/>
      <c r="D179" s="88"/>
      <c r="E179" s="88"/>
      <c r="F179" s="88"/>
      <c r="G179" s="88"/>
      <c r="H179" s="88"/>
      <c r="I179" s="88"/>
      <c r="J179" s="88"/>
      <c r="K179" s="88"/>
      <c r="L179" s="88"/>
      <c r="M179" s="88"/>
      <c r="N179" s="88"/>
      <c r="O179" s="88"/>
      <c r="P179" s="88"/>
      <c r="Q179" s="88"/>
      <c r="R179" s="88"/>
      <c r="S179" s="88"/>
      <c r="T179" s="88"/>
      <c r="U179" s="88"/>
      <c r="V179" s="88"/>
      <c r="W179" s="88"/>
      <c r="X179" s="88"/>
      <c r="Y179" s="88"/>
      <c r="Z179" s="88"/>
      <c r="AA179" s="88"/>
      <c r="AB179" s="88"/>
      <c r="AC179" s="88"/>
      <c r="AD179" s="88"/>
      <c r="AE179" s="88"/>
      <c r="AF179" s="88"/>
      <c r="AG179" s="88"/>
      <c r="AH179" s="88"/>
      <c r="AI179" s="88"/>
      <c r="AJ179" s="88"/>
      <c r="AK179" s="88"/>
      <c r="AL179" s="88"/>
      <c r="AM179" s="88"/>
      <c r="AN179" s="88"/>
      <c r="AO179" s="88"/>
      <c r="AP179" s="88"/>
      <c r="AQ179" s="88"/>
      <c r="AR179" s="88"/>
      <c r="AS179" s="88"/>
      <c r="AT179" s="88"/>
      <c r="AU179" s="88"/>
      <c r="AV179" s="88"/>
      <c r="AW179" s="88"/>
      <c r="AX179" s="88"/>
      <c r="AY179" s="88"/>
      <c r="AZ179" s="88"/>
      <c r="BA179" s="88"/>
      <c r="BB179" s="88"/>
      <c r="BC179" s="88"/>
      <c r="BD179" s="88"/>
      <c r="BE179" s="88"/>
      <c r="BF179" s="88"/>
      <c r="BG179" s="88"/>
      <c r="BH179" s="88"/>
      <c r="BI179" s="88"/>
      <c r="BJ179" s="88"/>
    </row>
    <row r="180" spans="1:62" outlineLevel="1">
      <c r="A180" s="11">
        <f t="shared" si="13"/>
        <v>17</v>
      </c>
      <c r="B180" s="88"/>
      <c r="C180" s="88"/>
      <c r="D180" s="88"/>
      <c r="E180" s="88"/>
      <c r="F180" s="88"/>
      <c r="G180" s="88"/>
      <c r="H180" s="88"/>
      <c r="I180" s="88"/>
      <c r="J180" s="88"/>
      <c r="K180" s="88"/>
      <c r="L180" s="88"/>
      <c r="M180" s="88"/>
      <c r="N180" s="88"/>
      <c r="O180" s="88"/>
      <c r="P180" s="88"/>
      <c r="Q180" s="88"/>
      <c r="R180" s="88"/>
      <c r="S180" s="88"/>
      <c r="T180" s="88"/>
      <c r="U180" s="88"/>
      <c r="V180" s="88"/>
      <c r="W180" s="88"/>
      <c r="X180" s="88"/>
      <c r="Y180" s="88"/>
      <c r="Z180" s="88"/>
      <c r="AA180" s="88"/>
      <c r="AB180" s="88"/>
      <c r="AC180" s="88"/>
      <c r="AD180" s="88"/>
      <c r="AE180" s="88"/>
      <c r="AF180" s="88"/>
      <c r="AG180" s="88"/>
      <c r="AH180" s="88"/>
      <c r="AI180" s="88"/>
      <c r="AJ180" s="88"/>
      <c r="AK180" s="88"/>
      <c r="AL180" s="88"/>
      <c r="AM180" s="88"/>
      <c r="AN180" s="88"/>
      <c r="AO180" s="88"/>
      <c r="AP180" s="88"/>
      <c r="AQ180" s="88"/>
      <c r="AR180" s="88"/>
      <c r="AS180" s="88"/>
      <c r="AT180" s="88"/>
      <c r="AU180" s="88"/>
      <c r="AV180" s="88"/>
      <c r="AW180" s="88"/>
      <c r="AX180" s="88"/>
      <c r="AY180" s="88"/>
      <c r="AZ180" s="88"/>
      <c r="BA180" s="88"/>
      <c r="BB180" s="88"/>
      <c r="BC180" s="88"/>
      <c r="BD180" s="88"/>
      <c r="BE180" s="88"/>
      <c r="BF180" s="88"/>
      <c r="BG180" s="88"/>
      <c r="BH180" s="88"/>
      <c r="BI180" s="88"/>
      <c r="BJ180" s="88"/>
    </row>
    <row r="181" spans="1:62" outlineLevel="1">
      <c r="A181" s="11">
        <f t="shared" si="13"/>
        <v>18</v>
      </c>
      <c r="B181" s="88"/>
      <c r="C181" s="88"/>
      <c r="D181" s="88"/>
      <c r="E181" s="88"/>
      <c r="F181" s="88"/>
      <c r="G181" s="88"/>
      <c r="H181" s="88"/>
      <c r="I181" s="88"/>
      <c r="J181" s="88"/>
      <c r="K181" s="88"/>
      <c r="L181" s="88"/>
      <c r="M181" s="88"/>
      <c r="N181" s="88"/>
      <c r="O181" s="88"/>
      <c r="P181" s="88"/>
      <c r="Q181" s="88"/>
      <c r="R181" s="88"/>
      <c r="S181" s="88"/>
      <c r="T181" s="88"/>
      <c r="U181" s="88"/>
      <c r="V181" s="88"/>
      <c r="W181" s="88"/>
      <c r="X181" s="88"/>
      <c r="Y181" s="88"/>
      <c r="Z181" s="88"/>
      <c r="AA181" s="88"/>
      <c r="AB181" s="88"/>
      <c r="AC181" s="88"/>
      <c r="AD181" s="88"/>
      <c r="AE181" s="88"/>
      <c r="AF181" s="88"/>
      <c r="AG181" s="88"/>
      <c r="AH181" s="88"/>
      <c r="AI181" s="88"/>
      <c r="AJ181" s="88"/>
      <c r="AK181" s="88"/>
      <c r="AL181" s="88"/>
      <c r="AM181" s="88"/>
      <c r="AN181" s="88"/>
      <c r="AO181" s="88"/>
      <c r="AP181" s="88"/>
      <c r="AQ181" s="88"/>
      <c r="AR181" s="88"/>
      <c r="AS181" s="88"/>
      <c r="AT181" s="88"/>
      <c r="AU181" s="88"/>
      <c r="AV181" s="88"/>
      <c r="AW181" s="88"/>
      <c r="AX181" s="88"/>
      <c r="AY181" s="88"/>
      <c r="AZ181" s="88"/>
      <c r="BA181" s="88"/>
      <c r="BB181" s="88"/>
      <c r="BC181" s="88"/>
      <c r="BD181" s="88"/>
      <c r="BE181" s="88"/>
      <c r="BF181" s="88"/>
      <c r="BG181" s="88"/>
      <c r="BH181" s="88"/>
      <c r="BI181" s="88"/>
      <c r="BJ181" s="88"/>
    </row>
    <row r="182" spans="1:62" outlineLevel="1">
      <c r="A182" s="11">
        <f t="shared" si="13"/>
        <v>19</v>
      </c>
      <c r="B182" s="88"/>
      <c r="C182" s="88"/>
      <c r="D182" s="88"/>
      <c r="E182" s="88"/>
      <c r="F182" s="88"/>
      <c r="G182" s="88"/>
      <c r="H182" s="88"/>
      <c r="I182" s="88"/>
      <c r="J182" s="88"/>
      <c r="K182" s="88"/>
      <c r="L182" s="88"/>
      <c r="M182" s="88"/>
      <c r="N182" s="88"/>
      <c r="O182" s="88"/>
      <c r="P182" s="88"/>
      <c r="Q182" s="88"/>
      <c r="R182" s="88"/>
      <c r="S182" s="88"/>
      <c r="T182" s="88"/>
      <c r="U182" s="88"/>
      <c r="V182" s="88"/>
      <c r="W182" s="88"/>
      <c r="X182" s="88"/>
      <c r="Y182" s="88"/>
      <c r="Z182" s="88"/>
      <c r="AA182" s="88"/>
      <c r="AB182" s="88"/>
      <c r="AC182" s="88"/>
      <c r="AD182" s="88"/>
      <c r="AE182" s="88"/>
      <c r="AF182" s="88"/>
      <c r="AG182" s="88"/>
      <c r="AH182" s="88"/>
      <c r="AI182" s="88"/>
      <c r="AJ182" s="88"/>
      <c r="AK182" s="88"/>
      <c r="AL182" s="88"/>
      <c r="AM182" s="88"/>
      <c r="AN182" s="88"/>
      <c r="AO182" s="88"/>
      <c r="AP182" s="88"/>
      <c r="AQ182" s="88"/>
      <c r="AR182" s="88"/>
      <c r="AS182" s="88"/>
      <c r="AT182" s="88"/>
      <c r="AU182" s="88"/>
      <c r="AV182" s="88"/>
      <c r="AW182" s="88"/>
      <c r="AX182" s="88"/>
      <c r="AY182" s="88"/>
      <c r="AZ182" s="88"/>
      <c r="BA182" s="88"/>
      <c r="BB182" s="88"/>
      <c r="BC182" s="88"/>
      <c r="BD182" s="88"/>
      <c r="BE182" s="88"/>
      <c r="BF182" s="88"/>
      <c r="BG182" s="88"/>
      <c r="BH182" s="88"/>
      <c r="BI182" s="88"/>
      <c r="BJ182" s="88"/>
    </row>
    <row r="183" spans="1:62" outlineLevel="1">
      <c r="A183" s="11">
        <f t="shared" si="13"/>
        <v>20</v>
      </c>
      <c r="B183" s="88"/>
      <c r="C183" s="88"/>
      <c r="D183" s="88"/>
      <c r="E183" s="88"/>
      <c r="F183" s="88"/>
      <c r="G183" s="88"/>
      <c r="H183" s="88"/>
      <c r="I183" s="88"/>
      <c r="J183" s="88"/>
      <c r="K183" s="88"/>
      <c r="L183" s="88"/>
      <c r="M183" s="88"/>
      <c r="N183" s="88"/>
      <c r="O183" s="88"/>
      <c r="P183" s="88"/>
      <c r="Q183" s="88"/>
      <c r="R183" s="88"/>
      <c r="S183" s="88"/>
      <c r="T183" s="88"/>
      <c r="U183" s="88"/>
      <c r="V183" s="88"/>
      <c r="W183" s="88"/>
      <c r="X183" s="88"/>
      <c r="Y183" s="88"/>
      <c r="Z183" s="88"/>
      <c r="AA183" s="88"/>
      <c r="AB183" s="88"/>
      <c r="AC183" s="88"/>
      <c r="AD183" s="88"/>
      <c r="AE183" s="88"/>
      <c r="AF183" s="88"/>
      <c r="AG183" s="88"/>
      <c r="AH183" s="88"/>
      <c r="AI183" s="88"/>
      <c r="AJ183" s="88"/>
      <c r="AK183" s="88"/>
      <c r="AL183" s="88"/>
      <c r="AM183" s="88"/>
      <c r="AN183" s="88"/>
      <c r="AO183" s="88"/>
      <c r="AP183" s="88"/>
      <c r="AQ183" s="88"/>
      <c r="AR183" s="88"/>
      <c r="AS183" s="88"/>
      <c r="AT183" s="88"/>
      <c r="AU183" s="88"/>
      <c r="AV183" s="88"/>
      <c r="AW183" s="88"/>
      <c r="AX183" s="88"/>
      <c r="AY183" s="88"/>
      <c r="AZ183" s="88"/>
      <c r="BA183" s="88"/>
      <c r="BB183" s="88"/>
      <c r="BC183" s="88"/>
      <c r="BD183" s="88"/>
      <c r="BE183" s="88"/>
      <c r="BF183" s="88"/>
      <c r="BG183" s="88"/>
      <c r="BH183" s="88"/>
      <c r="BI183" s="88"/>
      <c r="BJ183" s="88"/>
    </row>
    <row r="184" spans="1:62" outlineLevel="1">
      <c r="A184" s="11">
        <f t="shared" si="13"/>
        <v>21</v>
      </c>
      <c r="B184" s="88"/>
      <c r="C184" s="88"/>
      <c r="D184" s="88"/>
      <c r="E184" s="88"/>
      <c r="F184" s="88"/>
      <c r="G184" s="88"/>
      <c r="H184" s="88"/>
      <c r="I184" s="88"/>
      <c r="J184" s="88"/>
      <c r="K184" s="88"/>
      <c r="L184" s="88"/>
      <c r="M184" s="88"/>
      <c r="N184" s="88"/>
      <c r="O184" s="88"/>
      <c r="P184" s="88"/>
      <c r="Q184" s="88"/>
      <c r="R184" s="88"/>
      <c r="S184" s="88"/>
      <c r="T184" s="88"/>
      <c r="U184" s="88"/>
      <c r="V184" s="88"/>
      <c r="W184" s="88"/>
      <c r="X184" s="88"/>
      <c r="Y184" s="88"/>
      <c r="Z184" s="88"/>
      <c r="AA184" s="88"/>
      <c r="AB184" s="88"/>
      <c r="AC184" s="88"/>
      <c r="AD184" s="88"/>
      <c r="AE184" s="88"/>
      <c r="AF184" s="88"/>
      <c r="AG184" s="88"/>
      <c r="AH184" s="88"/>
      <c r="AI184" s="88"/>
      <c r="AJ184" s="88"/>
      <c r="AK184" s="88"/>
      <c r="AL184" s="88"/>
      <c r="AM184" s="88"/>
      <c r="AN184" s="88"/>
      <c r="AO184" s="88"/>
      <c r="AP184" s="88"/>
      <c r="AQ184" s="88"/>
      <c r="AR184" s="88"/>
      <c r="AS184" s="88"/>
      <c r="AT184" s="88"/>
      <c r="AU184" s="88"/>
      <c r="AV184" s="88"/>
      <c r="AW184" s="88"/>
      <c r="AX184" s="88"/>
      <c r="AY184" s="88"/>
      <c r="AZ184" s="88"/>
      <c r="BA184" s="88"/>
      <c r="BB184" s="88"/>
      <c r="BC184" s="88"/>
      <c r="BD184" s="88"/>
      <c r="BE184" s="88"/>
      <c r="BF184" s="88"/>
      <c r="BG184" s="88"/>
      <c r="BH184" s="88"/>
      <c r="BI184" s="88"/>
      <c r="BJ184" s="88"/>
    </row>
    <row r="185" spans="1:62" outlineLevel="1">
      <c r="A185" s="11">
        <f t="shared" si="13"/>
        <v>22</v>
      </c>
      <c r="B185" s="88"/>
      <c r="C185" s="88"/>
      <c r="D185" s="88"/>
      <c r="E185" s="88"/>
      <c r="F185" s="88"/>
      <c r="G185" s="88"/>
      <c r="H185" s="88"/>
      <c r="I185" s="88"/>
      <c r="J185" s="88"/>
      <c r="K185" s="88"/>
      <c r="L185" s="88"/>
      <c r="M185" s="88"/>
      <c r="N185" s="88"/>
      <c r="O185" s="88"/>
      <c r="P185" s="88"/>
      <c r="Q185" s="88"/>
      <c r="R185" s="88"/>
      <c r="S185" s="88"/>
      <c r="T185" s="88"/>
      <c r="U185" s="88"/>
      <c r="V185" s="88"/>
      <c r="W185" s="88"/>
      <c r="X185" s="88"/>
      <c r="Y185" s="88"/>
      <c r="Z185" s="88"/>
      <c r="AA185" s="88"/>
      <c r="AB185" s="88"/>
      <c r="AC185" s="88"/>
      <c r="AD185" s="88"/>
      <c r="AE185" s="88"/>
      <c r="AF185" s="88"/>
      <c r="AG185" s="88"/>
      <c r="AH185" s="88"/>
      <c r="AI185" s="88"/>
      <c r="AJ185" s="88"/>
      <c r="AK185" s="88"/>
      <c r="AL185" s="88"/>
      <c r="AM185" s="88"/>
      <c r="AN185" s="88"/>
      <c r="AO185" s="88"/>
      <c r="AP185" s="88"/>
      <c r="AQ185" s="88"/>
      <c r="AR185" s="88"/>
      <c r="AS185" s="88"/>
      <c r="AT185" s="88"/>
      <c r="AU185" s="88"/>
      <c r="AV185" s="88"/>
      <c r="AW185" s="88"/>
      <c r="AX185" s="88"/>
      <c r="AY185" s="88"/>
      <c r="AZ185" s="88"/>
      <c r="BA185" s="88"/>
      <c r="BB185" s="88"/>
      <c r="BC185" s="88"/>
      <c r="BD185" s="88"/>
      <c r="BE185" s="88"/>
      <c r="BF185" s="88"/>
      <c r="BG185" s="88"/>
      <c r="BH185" s="88"/>
      <c r="BI185" s="88"/>
      <c r="BJ185" s="88"/>
    </row>
    <row r="186" spans="1:62" outlineLevel="1">
      <c r="A186" s="11">
        <f t="shared" si="13"/>
        <v>23</v>
      </c>
      <c r="B186" s="88"/>
      <c r="C186" s="88"/>
      <c r="D186" s="88"/>
      <c r="E186" s="88"/>
      <c r="F186" s="88"/>
      <c r="G186" s="88"/>
      <c r="H186" s="88"/>
      <c r="I186" s="88"/>
      <c r="J186" s="88"/>
      <c r="K186" s="88"/>
      <c r="L186" s="88"/>
      <c r="M186" s="88"/>
      <c r="N186" s="88"/>
      <c r="O186" s="88"/>
      <c r="P186" s="88"/>
      <c r="Q186" s="88"/>
      <c r="R186" s="88"/>
      <c r="S186" s="88"/>
      <c r="T186" s="88"/>
      <c r="U186" s="88"/>
      <c r="V186" s="88"/>
      <c r="W186" s="88"/>
      <c r="X186" s="88"/>
      <c r="Y186" s="88"/>
      <c r="Z186" s="88"/>
      <c r="AA186" s="88"/>
      <c r="AB186" s="88"/>
      <c r="AC186" s="88"/>
      <c r="AD186" s="88"/>
      <c r="AE186" s="88"/>
      <c r="AF186" s="88"/>
      <c r="AG186" s="88"/>
      <c r="AH186" s="88"/>
      <c r="AI186" s="88"/>
      <c r="AJ186" s="88"/>
      <c r="AK186" s="88"/>
      <c r="AL186" s="88"/>
      <c r="AM186" s="88"/>
      <c r="AN186" s="88"/>
      <c r="AO186" s="88"/>
      <c r="AP186" s="88"/>
      <c r="AQ186" s="88"/>
      <c r="AR186" s="88"/>
      <c r="AS186" s="88"/>
      <c r="AT186" s="88"/>
      <c r="AU186" s="88"/>
      <c r="AV186" s="88"/>
      <c r="AW186" s="88"/>
      <c r="AX186" s="88"/>
      <c r="AY186" s="88"/>
      <c r="AZ186" s="88"/>
      <c r="BA186" s="88"/>
      <c r="BB186" s="88"/>
      <c r="BC186" s="88"/>
      <c r="BD186" s="88"/>
      <c r="BE186" s="88"/>
      <c r="BF186" s="88"/>
      <c r="BG186" s="88"/>
      <c r="BH186" s="88"/>
      <c r="BI186" s="88"/>
      <c r="BJ186" s="88"/>
    </row>
    <row r="187" spans="1:62" outlineLevel="1">
      <c r="A187" s="11">
        <f t="shared" si="13"/>
        <v>24</v>
      </c>
      <c r="B187" s="88"/>
      <c r="C187" s="88"/>
      <c r="D187" s="88"/>
      <c r="E187" s="88"/>
      <c r="F187" s="88"/>
      <c r="G187" s="88"/>
      <c r="H187" s="88"/>
      <c r="I187" s="88"/>
      <c r="J187" s="88"/>
      <c r="K187" s="88"/>
      <c r="L187" s="88"/>
      <c r="M187" s="88"/>
      <c r="N187" s="88"/>
      <c r="O187" s="88"/>
      <c r="P187" s="88"/>
      <c r="Q187" s="88"/>
      <c r="R187" s="88"/>
      <c r="S187" s="88"/>
      <c r="T187" s="88"/>
      <c r="U187" s="88"/>
      <c r="V187" s="88"/>
      <c r="W187" s="88"/>
      <c r="X187" s="88"/>
      <c r="Y187" s="88"/>
      <c r="Z187" s="88"/>
      <c r="AA187" s="88"/>
      <c r="AB187" s="88"/>
      <c r="AC187" s="88"/>
      <c r="AD187" s="88"/>
      <c r="AE187" s="88"/>
      <c r="AF187" s="88"/>
      <c r="AG187" s="88"/>
      <c r="AH187" s="88"/>
      <c r="AI187" s="88"/>
      <c r="AJ187" s="88"/>
      <c r="AK187" s="88"/>
      <c r="AL187" s="88"/>
      <c r="AM187" s="88"/>
      <c r="AN187" s="88"/>
      <c r="AO187" s="88"/>
      <c r="AP187" s="88"/>
      <c r="AQ187" s="88"/>
      <c r="AR187" s="88"/>
      <c r="AS187" s="88"/>
      <c r="AT187" s="88"/>
      <c r="AU187" s="88"/>
      <c r="AV187" s="88"/>
      <c r="AW187" s="88"/>
      <c r="AX187" s="88"/>
      <c r="AY187" s="88"/>
      <c r="AZ187" s="88"/>
      <c r="BA187" s="88"/>
      <c r="BB187" s="88"/>
      <c r="BC187" s="88"/>
      <c r="BD187" s="88"/>
      <c r="BE187" s="88"/>
      <c r="BF187" s="88"/>
      <c r="BG187" s="88"/>
      <c r="BH187" s="88"/>
      <c r="BI187" s="88"/>
      <c r="BJ187" s="88"/>
    </row>
    <row r="188" spans="1:62" outlineLevel="1">
      <c r="A188" s="11">
        <f t="shared" si="13"/>
        <v>25</v>
      </c>
      <c r="B188" s="88"/>
      <c r="C188" s="88"/>
      <c r="D188" s="88"/>
      <c r="E188" s="88"/>
      <c r="F188" s="88"/>
      <c r="G188" s="88"/>
      <c r="H188" s="88"/>
      <c r="I188" s="88"/>
      <c r="J188" s="88"/>
      <c r="K188" s="88"/>
      <c r="L188" s="88"/>
      <c r="M188" s="88"/>
      <c r="N188" s="88"/>
      <c r="O188" s="88"/>
      <c r="P188" s="88"/>
      <c r="Q188" s="88"/>
      <c r="R188" s="88"/>
      <c r="S188" s="88"/>
      <c r="T188" s="88"/>
      <c r="U188" s="88"/>
      <c r="V188" s="88"/>
      <c r="W188" s="88"/>
      <c r="X188" s="88"/>
      <c r="Y188" s="88"/>
      <c r="Z188" s="88"/>
      <c r="AA188" s="88"/>
      <c r="AB188" s="88"/>
      <c r="AC188" s="88"/>
      <c r="AD188" s="88"/>
      <c r="AE188" s="88"/>
      <c r="AF188" s="88"/>
      <c r="AG188" s="88"/>
      <c r="AH188" s="88"/>
      <c r="AI188" s="88"/>
      <c r="AJ188" s="88"/>
      <c r="AK188" s="88"/>
      <c r="AL188" s="88"/>
      <c r="AM188" s="88"/>
      <c r="AN188" s="88"/>
      <c r="AO188" s="88"/>
      <c r="AP188" s="88"/>
      <c r="AQ188" s="88"/>
      <c r="AR188" s="88"/>
      <c r="AS188" s="88"/>
      <c r="AT188" s="88"/>
      <c r="AU188" s="88"/>
      <c r="AV188" s="88"/>
      <c r="AW188" s="88"/>
      <c r="AX188" s="88"/>
      <c r="AY188" s="88"/>
      <c r="AZ188" s="88"/>
      <c r="BA188" s="88"/>
      <c r="BB188" s="88"/>
      <c r="BC188" s="88"/>
      <c r="BD188" s="88"/>
      <c r="BE188" s="88"/>
      <c r="BF188" s="88"/>
      <c r="BG188" s="88"/>
      <c r="BH188" s="88"/>
      <c r="BI188" s="88"/>
      <c r="BJ188" s="88"/>
    </row>
    <row r="189" spans="1:62" outlineLevel="1">
      <c r="A189" s="11">
        <f t="shared" si="13"/>
        <v>26</v>
      </c>
      <c r="B189" s="88"/>
      <c r="C189" s="88"/>
      <c r="D189" s="88"/>
      <c r="E189" s="88"/>
      <c r="F189" s="88"/>
      <c r="G189" s="88"/>
      <c r="H189" s="88"/>
      <c r="I189" s="88"/>
      <c r="J189" s="88"/>
      <c r="K189" s="88"/>
      <c r="L189" s="88"/>
      <c r="M189" s="88"/>
      <c r="N189" s="88"/>
      <c r="O189" s="88"/>
      <c r="P189" s="88"/>
      <c r="Q189" s="88"/>
      <c r="R189" s="88"/>
      <c r="S189" s="88"/>
      <c r="T189" s="88"/>
      <c r="U189" s="88"/>
      <c r="V189" s="88"/>
      <c r="W189" s="88"/>
      <c r="X189" s="88"/>
      <c r="Y189" s="88"/>
      <c r="Z189" s="88"/>
      <c r="AA189" s="88"/>
      <c r="AB189" s="88"/>
      <c r="AC189" s="88"/>
      <c r="AD189" s="88"/>
      <c r="AE189" s="88"/>
      <c r="AF189" s="88"/>
      <c r="AG189" s="88"/>
      <c r="AH189" s="88"/>
      <c r="AI189" s="88"/>
      <c r="AJ189" s="88"/>
      <c r="AK189" s="88"/>
      <c r="AL189" s="88"/>
      <c r="AM189" s="88"/>
      <c r="AN189" s="88"/>
      <c r="AO189" s="88"/>
      <c r="AP189" s="88"/>
      <c r="AQ189" s="88"/>
      <c r="AR189" s="88"/>
      <c r="AS189" s="88"/>
      <c r="AT189" s="88"/>
      <c r="AU189" s="88"/>
      <c r="AV189" s="88"/>
      <c r="AW189" s="88"/>
      <c r="AX189" s="88"/>
      <c r="AY189" s="88"/>
      <c r="AZ189" s="88"/>
      <c r="BA189" s="88"/>
      <c r="BB189" s="88"/>
      <c r="BC189" s="88"/>
      <c r="BD189" s="88"/>
      <c r="BE189" s="88"/>
      <c r="BF189" s="88"/>
      <c r="BG189" s="88"/>
      <c r="BH189" s="88"/>
      <c r="BI189" s="88"/>
      <c r="BJ189" s="88"/>
    </row>
    <row r="190" spans="1:62" outlineLevel="1">
      <c r="A190" s="11">
        <f t="shared" si="13"/>
        <v>27</v>
      </c>
      <c r="B190" s="88"/>
      <c r="C190" s="88"/>
      <c r="D190" s="88"/>
      <c r="E190" s="88"/>
      <c r="F190" s="88"/>
      <c r="G190" s="88"/>
      <c r="H190" s="88"/>
      <c r="I190" s="88"/>
      <c r="J190" s="88"/>
      <c r="K190" s="88"/>
      <c r="L190" s="88"/>
      <c r="M190" s="88"/>
      <c r="N190" s="88"/>
      <c r="O190" s="88"/>
      <c r="P190" s="88"/>
      <c r="Q190" s="88"/>
      <c r="R190" s="88"/>
      <c r="S190" s="88"/>
      <c r="T190" s="88"/>
      <c r="U190" s="88"/>
      <c r="V190" s="88"/>
      <c r="W190" s="88"/>
      <c r="X190" s="88"/>
      <c r="Y190" s="88"/>
      <c r="Z190" s="88"/>
      <c r="AA190" s="88"/>
      <c r="AB190" s="88"/>
      <c r="AC190" s="88"/>
      <c r="AD190" s="88"/>
      <c r="AE190" s="88"/>
      <c r="AF190" s="88"/>
      <c r="AG190" s="88"/>
      <c r="AH190" s="88"/>
      <c r="AI190" s="88"/>
      <c r="AJ190" s="88"/>
      <c r="AK190" s="88"/>
      <c r="AL190" s="88"/>
      <c r="AM190" s="88"/>
      <c r="AN190" s="88"/>
      <c r="AO190" s="88"/>
      <c r="AP190" s="88"/>
      <c r="AQ190" s="88"/>
      <c r="AR190" s="88"/>
      <c r="AS190" s="88"/>
      <c r="AT190" s="88"/>
      <c r="AU190" s="88"/>
      <c r="AV190" s="88"/>
      <c r="AW190" s="88"/>
      <c r="AX190" s="88"/>
      <c r="AY190" s="88"/>
      <c r="AZ190" s="88"/>
      <c r="BA190" s="88"/>
      <c r="BB190" s="88"/>
      <c r="BC190" s="88"/>
      <c r="BD190" s="88"/>
      <c r="BE190" s="88"/>
      <c r="BF190" s="88"/>
      <c r="BG190" s="88"/>
      <c r="BH190" s="88"/>
      <c r="BI190" s="88"/>
      <c r="BJ190" s="88"/>
    </row>
    <row r="191" spans="1:62" outlineLevel="1">
      <c r="A191" s="11">
        <f t="shared" si="13"/>
        <v>28</v>
      </c>
      <c r="B191" s="88"/>
      <c r="C191" s="88"/>
      <c r="D191" s="88"/>
      <c r="E191" s="88"/>
      <c r="F191" s="88"/>
      <c r="G191" s="88"/>
      <c r="H191" s="88"/>
      <c r="I191" s="88"/>
      <c r="J191" s="88"/>
      <c r="K191" s="88"/>
      <c r="L191" s="88"/>
      <c r="M191" s="88"/>
      <c r="N191" s="88"/>
      <c r="O191" s="88"/>
      <c r="P191" s="88"/>
      <c r="Q191" s="88"/>
      <c r="R191" s="88"/>
      <c r="S191" s="88"/>
      <c r="T191" s="88"/>
      <c r="U191" s="88"/>
      <c r="V191" s="88"/>
      <c r="W191" s="88"/>
      <c r="X191" s="88"/>
      <c r="Y191" s="88"/>
      <c r="Z191" s="88"/>
      <c r="AA191" s="88"/>
      <c r="AB191" s="88"/>
      <c r="AC191" s="88"/>
      <c r="AD191" s="88"/>
      <c r="AE191" s="88"/>
      <c r="AF191" s="88"/>
      <c r="AG191" s="88"/>
      <c r="AH191" s="88"/>
      <c r="AI191" s="88"/>
      <c r="AJ191" s="88"/>
      <c r="AK191" s="88"/>
      <c r="AL191" s="88"/>
      <c r="AM191" s="88"/>
      <c r="AN191" s="88"/>
      <c r="AO191" s="88"/>
      <c r="AP191" s="88"/>
      <c r="AQ191" s="88"/>
      <c r="AR191" s="88"/>
      <c r="AS191" s="88"/>
      <c r="AT191" s="88"/>
      <c r="AU191" s="88"/>
      <c r="AV191" s="88"/>
      <c r="AW191" s="88"/>
      <c r="AX191" s="88"/>
      <c r="AY191" s="88"/>
      <c r="AZ191" s="88"/>
      <c r="BA191" s="88"/>
      <c r="BB191" s="88"/>
      <c r="BC191" s="88"/>
      <c r="BD191" s="88"/>
      <c r="BE191" s="88"/>
      <c r="BF191" s="88"/>
      <c r="BG191" s="88"/>
      <c r="BH191" s="88"/>
      <c r="BI191" s="88"/>
      <c r="BJ191" s="88"/>
    </row>
    <row r="192" spans="1:62" outlineLevel="1">
      <c r="A192" s="11">
        <f t="shared" si="13"/>
        <v>29</v>
      </c>
      <c r="B192" s="88"/>
      <c r="C192" s="88"/>
      <c r="D192" s="88"/>
      <c r="E192" s="88"/>
      <c r="F192" s="88"/>
      <c r="G192" s="88"/>
      <c r="H192" s="88"/>
      <c r="I192" s="88"/>
      <c r="J192" s="88"/>
      <c r="K192" s="88"/>
      <c r="L192" s="88"/>
      <c r="M192" s="88"/>
      <c r="N192" s="88"/>
      <c r="O192" s="88"/>
      <c r="P192" s="88"/>
      <c r="Q192" s="88"/>
      <c r="R192" s="88"/>
      <c r="S192" s="88"/>
      <c r="T192" s="88"/>
      <c r="U192" s="88"/>
      <c r="V192" s="88"/>
      <c r="W192" s="88"/>
      <c r="X192" s="88"/>
      <c r="Y192" s="88"/>
      <c r="Z192" s="88"/>
      <c r="AA192" s="88"/>
      <c r="AB192" s="88"/>
      <c r="AC192" s="88"/>
      <c r="AD192" s="88"/>
      <c r="AE192" s="88"/>
      <c r="AF192" s="88"/>
      <c r="AG192" s="88"/>
      <c r="AH192" s="88"/>
      <c r="AI192" s="88"/>
      <c r="AJ192" s="88"/>
      <c r="AK192" s="88"/>
      <c r="AL192" s="88"/>
      <c r="AM192" s="88"/>
      <c r="AN192" s="88"/>
      <c r="AO192" s="88"/>
      <c r="AP192" s="88"/>
      <c r="AQ192" s="88"/>
      <c r="AR192" s="88"/>
      <c r="AS192" s="88"/>
      <c r="AT192" s="88"/>
      <c r="AU192" s="88"/>
      <c r="AV192" s="88"/>
      <c r="AW192" s="88"/>
      <c r="AX192" s="88"/>
      <c r="AY192" s="88"/>
      <c r="AZ192" s="88"/>
      <c r="BA192" s="88"/>
      <c r="BB192" s="88"/>
      <c r="BC192" s="88"/>
      <c r="BD192" s="88"/>
      <c r="BE192" s="88"/>
      <c r="BF192" s="88"/>
      <c r="BG192" s="88"/>
      <c r="BH192" s="88"/>
      <c r="BI192" s="88"/>
      <c r="BJ192" s="88"/>
    </row>
    <row r="193" spans="1:62" outlineLevel="1">
      <c r="A193" s="11">
        <f t="shared" si="13"/>
        <v>30</v>
      </c>
      <c r="B193" s="88"/>
      <c r="C193" s="88"/>
      <c r="D193" s="88"/>
      <c r="E193" s="88"/>
      <c r="F193" s="88"/>
      <c r="G193" s="88"/>
      <c r="H193" s="88"/>
      <c r="I193" s="88"/>
      <c r="J193" s="88"/>
      <c r="K193" s="88"/>
      <c r="L193" s="88"/>
      <c r="M193" s="88"/>
      <c r="N193" s="88"/>
      <c r="O193" s="88"/>
      <c r="P193" s="88"/>
      <c r="Q193" s="88"/>
      <c r="R193" s="88"/>
      <c r="S193" s="88"/>
      <c r="T193" s="88"/>
      <c r="U193" s="88"/>
      <c r="V193" s="88"/>
      <c r="W193" s="88"/>
      <c r="X193" s="88"/>
      <c r="Y193" s="88"/>
      <c r="Z193" s="88"/>
      <c r="AA193" s="88"/>
      <c r="AB193" s="88"/>
      <c r="AC193" s="88"/>
      <c r="AD193" s="88"/>
      <c r="AE193" s="88"/>
      <c r="AF193" s="88"/>
      <c r="AG193" s="88"/>
      <c r="AH193" s="88"/>
      <c r="AI193" s="88"/>
      <c r="AJ193" s="88"/>
      <c r="AK193" s="88"/>
      <c r="AL193" s="88"/>
      <c r="AM193" s="88"/>
      <c r="AN193" s="88"/>
      <c r="AO193" s="88"/>
      <c r="AP193" s="88"/>
      <c r="AQ193" s="88"/>
      <c r="AR193" s="88"/>
      <c r="AS193" s="88"/>
      <c r="AT193" s="88"/>
      <c r="AU193" s="88"/>
      <c r="AV193" s="88"/>
      <c r="AW193" s="88"/>
      <c r="AX193" s="88"/>
      <c r="AY193" s="88"/>
      <c r="AZ193" s="88"/>
      <c r="BA193" s="88"/>
      <c r="BB193" s="88"/>
      <c r="BC193" s="88"/>
      <c r="BD193" s="88"/>
      <c r="BE193" s="88"/>
      <c r="BF193" s="88"/>
      <c r="BG193" s="88"/>
      <c r="BH193" s="88"/>
      <c r="BI193" s="88"/>
      <c r="BJ193" s="88"/>
    </row>
    <row r="194" spans="1:62" outlineLevel="1">
      <c r="A194" s="11">
        <f t="shared" si="13"/>
        <v>31</v>
      </c>
      <c r="B194" s="88"/>
      <c r="C194" s="88"/>
      <c r="D194" s="88"/>
      <c r="E194" s="88"/>
      <c r="F194" s="88"/>
      <c r="G194" s="88"/>
      <c r="H194" s="88"/>
      <c r="I194" s="88"/>
      <c r="J194" s="88"/>
      <c r="K194" s="88"/>
      <c r="L194" s="88"/>
      <c r="M194" s="88"/>
      <c r="N194" s="88"/>
      <c r="O194" s="88"/>
      <c r="P194" s="88"/>
      <c r="Q194" s="88"/>
      <c r="R194" s="88"/>
      <c r="S194" s="88"/>
      <c r="T194" s="88"/>
      <c r="U194" s="88"/>
      <c r="V194" s="88"/>
      <c r="W194" s="88"/>
      <c r="X194" s="88"/>
      <c r="Y194" s="88"/>
      <c r="Z194" s="88"/>
      <c r="AA194" s="88"/>
      <c r="AB194" s="88"/>
      <c r="AC194" s="88"/>
      <c r="AD194" s="88"/>
      <c r="AE194" s="88"/>
      <c r="AF194" s="88"/>
      <c r="AG194" s="88"/>
      <c r="AH194" s="88"/>
      <c r="AI194" s="88"/>
      <c r="AJ194" s="88"/>
      <c r="AK194" s="88"/>
      <c r="AL194" s="88"/>
      <c r="AM194" s="88"/>
      <c r="AN194" s="88"/>
      <c r="AO194" s="88"/>
      <c r="AP194" s="88"/>
      <c r="AQ194" s="88"/>
      <c r="AR194" s="88"/>
      <c r="AS194" s="88"/>
      <c r="AT194" s="88"/>
      <c r="AU194" s="88"/>
      <c r="AV194" s="88"/>
      <c r="AW194" s="88"/>
      <c r="AX194" s="88"/>
      <c r="AY194" s="88"/>
      <c r="AZ194" s="88"/>
      <c r="BA194" s="88"/>
      <c r="BB194" s="88"/>
      <c r="BC194" s="88"/>
      <c r="BD194" s="88"/>
      <c r="BE194" s="88"/>
      <c r="BF194" s="88"/>
      <c r="BG194" s="88"/>
      <c r="BH194" s="88"/>
      <c r="BI194" s="88"/>
      <c r="BJ194" s="88"/>
    </row>
    <row r="195" spans="1:62" outlineLevel="1">
      <c r="A195" s="11">
        <f t="shared" si="13"/>
        <v>32</v>
      </c>
      <c r="B195" s="88"/>
      <c r="C195" s="88"/>
      <c r="D195" s="88"/>
      <c r="E195" s="88"/>
      <c r="F195" s="88"/>
      <c r="G195" s="88"/>
      <c r="H195" s="88"/>
      <c r="I195" s="88"/>
      <c r="J195" s="88"/>
      <c r="K195" s="88"/>
      <c r="L195" s="88"/>
      <c r="M195" s="88"/>
      <c r="N195" s="88"/>
      <c r="O195" s="88"/>
      <c r="P195" s="88"/>
      <c r="Q195" s="88"/>
      <c r="R195" s="88"/>
      <c r="S195" s="88"/>
      <c r="T195" s="88"/>
      <c r="U195" s="88"/>
      <c r="V195" s="88"/>
      <c r="W195" s="88"/>
      <c r="X195" s="88"/>
      <c r="Y195" s="88"/>
      <c r="Z195" s="88"/>
      <c r="AA195" s="88"/>
      <c r="AB195" s="88"/>
      <c r="AC195" s="88"/>
      <c r="AD195" s="88"/>
      <c r="AE195" s="88"/>
      <c r="AF195" s="88"/>
      <c r="AG195" s="88"/>
      <c r="AH195" s="88"/>
      <c r="AI195" s="88"/>
      <c r="AJ195" s="88"/>
      <c r="AK195" s="88"/>
      <c r="AL195" s="88"/>
      <c r="AM195" s="88"/>
      <c r="AN195" s="88"/>
      <c r="AO195" s="88"/>
      <c r="AP195" s="88"/>
      <c r="AQ195" s="88"/>
      <c r="AR195" s="88"/>
      <c r="AS195" s="88"/>
      <c r="AT195" s="88"/>
      <c r="AU195" s="88"/>
      <c r="AV195" s="88"/>
      <c r="AW195" s="88"/>
      <c r="AX195" s="88"/>
      <c r="AY195" s="88"/>
      <c r="AZ195" s="88"/>
      <c r="BA195" s="88"/>
      <c r="BB195" s="88"/>
      <c r="BC195" s="88"/>
      <c r="BD195" s="88"/>
      <c r="BE195" s="88"/>
      <c r="BF195" s="88"/>
      <c r="BG195" s="88"/>
      <c r="BH195" s="88"/>
      <c r="BI195" s="88"/>
      <c r="BJ195" s="88"/>
    </row>
    <row r="196" spans="1:62" outlineLevel="1">
      <c r="A196" s="11">
        <f t="shared" ref="A196:A223" si="14">A195+1</f>
        <v>33</v>
      </c>
      <c r="B196" s="88"/>
      <c r="C196" s="88"/>
      <c r="D196" s="88"/>
      <c r="E196" s="88"/>
      <c r="F196" s="88"/>
      <c r="G196" s="88"/>
      <c r="H196" s="88"/>
      <c r="I196" s="88"/>
      <c r="J196" s="88"/>
      <c r="K196" s="88"/>
      <c r="L196" s="88"/>
      <c r="M196" s="88"/>
      <c r="N196" s="88"/>
      <c r="O196" s="88"/>
      <c r="P196" s="88"/>
      <c r="Q196" s="88"/>
      <c r="R196" s="88"/>
      <c r="S196" s="88"/>
      <c r="T196" s="88"/>
      <c r="U196" s="88"/>
      <c r="V196" s="88"/>
      <c r="W196" s="88"/>
      <c r="X196" s="88"/>
      <c r="Y196" s="88"/>
      <c r="Z196" s="88"/>
      <c r="AA196" s="88"/>
      <c r="AB196" s="88"/>
      <c r="AC196" s="88"/>
      <c r="AD196" s="88"/>
      <c r="AE196" s="88"/>
      <c r="AF196" s="88"/>
      <c r="AG196" s="88"/>
      <c r="AH196" s="88"/>
      <c r="AI196" s="88"/>
      <c r="AJ196" s="88"/>
      <c r="AK196" s="88"/>
      <c r="AL196" s="88"/>
      <c r="AM196" s="88"/>
      <c r="AN196" s="88"/>
      <c r="AO196" s="88"/>
      <c r="AP196" s="88"/>
      <c r="AQ196" s="88"/>
      <c r="AR196" s="88"/>
      <c r="AS196" s="88"/>
      <c r="AT196" s="88"/>
      <c r="AU196" s="88"/>
      <c r="AV196" s="88"/>
      <c r="AW196" s="88"/>
      <c r="AX196" s="88"/>
      <c r="AY196" s="88"/>
      <c r="AZ196" s="88"/>
      <c r="BA196" s="88"/>
      <c r="BB196" s="88"/>
      <c r="BC196" s="88"/>
      <c r="BD196" s="88"/>
      <c r="BE196" s="88"/>
      <c r="BF196" s="88"/>
      <c r="BG196" s="88"/>
      <c r="BH196" s="88"/>
      <c r="BI196" s="88"/>
      <c r="BJ196" s="88"/>
    </row>
    <row r="197" spans="1:62" outlineLevel="1">
      <c r="A197" s="11">
        <f t="shared" si="14"/>
        <v>34</v>
      </c>
      <c r="B197" s="88"/>
      <c r="C197" s="88"/>
      <c r="D197" s="88"/>
      <c r="E197" s="88"/>
      <c r="F197" s="88"/>
      <c r="G197" s="88"/>
      <c r="H197" s="88"/>
      <c r="I197" s="88"/>
      <c r="J197" s="88"/>
      <c r="K197" s="88"/>
      <c r="L197" s="88"/>
      <c r="M197" s="88"/>
      <c r="N197" s="88"/>
      <c r="O197" s="88"/>
      <c r="P197" s="88"/>
      <c r="Q197" s="88"/>
      <c r="R197" s="88"/>
      <c r="S197" s="88"/>
      <c r="T197" s="88"/>
      <c r="U197" s="88"/>
      <c r="V197" s="88"/>
      <c r="W197" s="88"/>
      <c r="X197" s="88"/>
      <c r="Y197" s="88"/>
      <c r="Z197" s="88"/>
      <c r="AA197" s="88"/>
      <c r="AB197" s="88"/>
      <c r="AC197" s="88"/>
      <c r="AD197" s="88"/>
      <c r="AE197" s="88"/>
      <c r="AF197" s="88"/>
      <c r="AG197" s="88"/>
      <c r="AH197" s="88"/>
      <c r="AI197" s="88"/>
      <c r="AJ197" s="88"/>
      <c r="AK197" s="88"/>
      <c r="AL197" s="88"/>
      <c r="AM197" s="88"/>
      <c r="AN197" s="88"/>
      <c r="AO197" s="88"/>
      <c r="AP197" s="88"/>
      <c r="AQ197" s="88"/>
      <c r="AR197" s="88"/>
      <c r="AS197" s="88"/>
      <c r="AT197" s="88"/>
      <c r="AU197" s="88"/>
      <c r="AV197" s="88"/>
      <c r="AW197" s="88"/>
      <c r="AX197" s="88"/>
      <c r="AY197" s="88"/>
      <c r="AZ197" s="88"/>
      <c r="BA197" s="88"/>
      <c r="BB197" s="88"/>
      <c r="BC197" s="88"/>
      <c r="BD197" s="88"/>
      <c r="BE197" s="88"/>
      <c r="BF197" s="88"/>
      <c r="BG197" s="88"/>
      <c r="BH197" s="88"/>
      <c r="BI197" s="88"/>
      <c r="BJ197" s="88"/>
    </row>
    <row r="198" spans="1:62" outlineLevel="1">
      <c r="A198" s="11">
        <f t="shared" si="14"/>
        <v>35</v>
      </c>
      <c r="B198" s="88"/>
      <c r="C198" s="88"/>
      <c r="D198" s="88"/>
      <c r="E198" s="88"/>
      <c r="F198" s="88"/>
      <c r="G198" s="88"/>
      <c r="H198" s="88"/>
      <c r="I198" s="88"/>
      <c r="J198" s="88"/>
      <c r="K198" s="88"/>
      <c r="L198" s="88"/>
      <c r="M198" s="88"/>
      <c r="N198" s="88"/>
      <c r="O198" s="88"/>
      <c r="P198" s="88"/>
      <c r="Q198" s="88"/>
      <c r="R198" s="88"/>
      <c r="S198" s="88"/>
      <c r="T198" s="88"/>
      <c r="U198" s="88"/>
      <c r="V198" s="88"/>
      <c r="W198" s="88"/>
      <c r="X198" s="88"/>
      <c r="Y198" s="88"/>
      <c r="Z198" s="88"/>
      <c r="AA198" s="88"/>
      <c r="AB198" s="88"/>
      <c r="AC198" s="88"/>
      <c r="AD198" s="88"/>
      <c r="AE198" s="88"/>
      <c r="AF198" s="88"/>
      <c r="AG198" s="88"/>
      <c r="AH198" s="88"/>
      <c r="AI198" s="88"/>
      <c r="AJ198" s="88"/>
      <c r="AK198" s="88"/>
      <c r="AL198" s="88"/>
      <c r="AM198" s="88"/>
      <c r="AN198" s="88"/>
      <c r="AO198" s="88"/>
      <c r="AP198" s="88"/>
      <c r="AQ198" s="88"/>
      <c r="AR198" s="88"/>
      <c r="AS198" s="88"/>
      <c r="AT198" s="88"/>
      <c r="AU198" s="88"/>
      <c r="AV198" s="88"/>
      <c r="AW198" s="88"/>
      <c r="AX198" s="88"/>
      <c r="AY198" s="88"/>
      <c r="AZ198" s="88"/>
      <c r="BA198" s="88"/>
      <c r="BB198" s="88"/>
      <c r="BC198" s="88"/>
      <c r="BD198" s="88"/>
      <c r="BE198" s="88"/>
      <c r="BF198" s="88"/>
      <c r="BG198" s="88"/>
      <c r="BH198" s="88"/>
      <c r="BI198" s="88"/>
      <c r="BJ198" s="88"/>
    </row>
    <row r="199" spans="1:62" outlineLevel="1">
      <c r="A199" s="11">
        <f t="shared" si="14"/>
        <v>36</v>
      </c>
      <c r="B199" s="88"/>
      <c r="C199" s="88"/>
      <c r="D199" s="88"/>
      <c r="E199" s="88"/>
      <c r="F199" s="88"/>
      <c r="G199" s="88"/>
      <c r="H199" s="88"/>
      <c r="I199" s="88"/>
      <c r="J199" s="88"/>
      <c r="K199" s="88"/>
      <c r="L199" s="88"/>
      <c r="M199" s="88"/>
      <c r="N199" s="88"/>
      <c r="O199" s="88"/>
      <c r="P199" s="88"/>
      <c r="Q199" s="88"/>
      <c r="R199" s="88"/>
      <c r="S199" s="88"/>
      <c r="T199" s="88"/>
      <c r="U199" s="88"/>
      <c r="V199" s="88"/>
      <c r="W199" s="88"/>
      <c r="X199" s="88"/>
      <c r="Y199" s="88"/>
      <c r="Z199" s="88"/>
      <c r="AA199" s="88"/>
      <c r="AB199" s="88"/>
      <c r="AC199" s="88"/>
      <c r="AD199" s="88"/>
      <c r="AE199" s="88"/>
      <c r="AF199" s="88"/>
      <c r="AG199" s="88"/>
      <c r="AH199" s="88"/>
      <c r="AI199" s="88"/>
      <c r="AJ199" s="88"/>
      <c r="AK199" s="88"/>
      <c r="AL199" s="88"/>
      <c r="AM199" s="88"/>
      <c r="AN199" s="88"/>
      <c r="AO199" s="88"/>
      <c r="AP199" s="88"/>
      <c r="AQ199" s="88"/>
      <c r="AR199" s="88"/>
      <c r="AS199" s="88"/>
      <c r="AT199" s="88"/>
      <c r="AU199" s="88"/>
      <c r="AV199" s="88"/>
      <c r="AW199" s="88"/>
      <c r="AX199" s="88"/>
      <c r="AY199" s="88"/>
      <c r="AZ199" s="88"/>
      <c r="BA199" s="88"/>
      <c r="BB199" s="88"/>
      <c r="BC199" s="88"/>
      <c r="BD199" s="88"/>
      <c r="BE199" s="88"/>
      <c r="BF199" s="88"/>
      <c r="BG199" s="88"/>
      <c r="BH199" s="88"/>
      <c r="BI199" s="88"/>
      <c r="BJ199" s="88"/>
    </row>
    <row r="200" spans="1:62" outlineLevel="1">
      <c r="A200" s="11">
        <f t="shared" si="14"/>
        <v>37</v>
      </c>
      <c r="B200" s="88"/>
      <c r="C200" s="88"/>
      <c r="D200" s="88"/>
      <c r="E200" s="88"/>
      <c r="F200" s="88"/>
      <c r="G200" s="88"/>
      <c r="H200" s="88"/>
      <c r="I200" s="88"/>
      <c r="J200" s="88"/>
      <c r="K200" s="88"/>
      <c r="L200" s="88"/>
      <c r="M200" s="88"/>
      <c r="N200" s="88"/>
      <c r="O200" s="88"/>
      <c r="P200" s="88"/>
      <c r="Q200" s="88"/>
      <c r="R200" s="88"/>
      <c r="S200" s="88"/>
      <c r="T200" s="88"/>
      <c r="U200" s="88"/>
      <c r="V200" s="88"/>
      <c r="W200" s="88"/>
      <c r="X200" s="88"/>
      <c r="Y200" s="88"/>
      <c r="Z200" s="88"/>
      <c r="AA200" s="88"/>
      <c r="AB200" s="88"/>
      <c r="AC200" s="88"/>
      <c r="AD200" s="88"/>
      <c r="AE200" s="88"/>
      <c r="AF200" s="88"/>
      <c r="AG200" s="88"/>
      <c r="AH200" s="88"/>
      <c r="AI200" s="88"/>
      <c r="AJ200" s="88"/>
      <c r="AK200" s="88"/>
      <c r="AL200" s="88"/>
      <c r="AM200" s="88"/>
      <c r="AN200" s="88"/>
      <c r="AO200" s="88"/>
      <c r="AP200" s="88"/>
      <c r="AQ200" s="88"/>
      <c r="AR200" s="88"/>
      <c r="AS200" s="88"/>
      <c r="AT200" s="88"/>
      <c r="AU200" s="88"/>
      <c r="AV200" s="88"/>
      <c r="AW200" s="88"/>
      <c r="AX200" s="88"/>
      <c r="AY200" s="88"/>
      <c r="AZ200" s="88"/>
      <c r="BA200" s="88"/>
      <c r="BB200" s="88"/>
      <c r="BC200" s="88"/>
      <c r="BD200" s="88"/>
      <c r="BE200" s="88"/>
      <c r="BF200" s="88"/>
      <c r="BG200" s="88"/>
      <c r="BH200" s="88"/>
      <c r="BI200" s="88"/>
      <c r="BJ200" s="88"/>
    </row>
    <row r="201" spans="1:62" outlineLevel="1">
      <c r="A201" s="11">
        <f t="shared" si="14"/>
        <v>38</v>
      </c>
      <c r="B201" s="88"/>
      <c r="C201" s="88"/>
      <c r="D201" s="88"/>
      <c r="E201" s="88"/>
      <c r="F201" s="88"/>
      <c r="G201" s="88"/>
      <c r="H201" s="88"/>
      <c r="I201" s="88"/>
      <c r="J201" s="88"/>
      <c r="K201" s="88"/>
      <c r="L201" s="88"/>
      <c r="M201" s="88"/>
      <c r="N201" s="88"/>
      <c r="O201" s="88"/>
      <c r="P201" s="88"/>
      <c r="Q201" s="88"/>
      <c r="R201" s="88"/>
      <c r="S201" s="88"/>
      <c r="T201" s="88"/>
      <c r="U201" s="88"/>
      <c r="V201" s="88"/>
      <c r="W201" s="88"/>
      <c r="X201" s="88"/>
      <c r="Y201" s="88"/>
      <c r="Z201" s="88"/>
      <c r="AA201" s="88"/>
      <c r="AB201" s="88"/>
      <c r="AC201" s="88"/>
      <c r="AD201" s="88"/>
      <c r="AE201" s="88"/>
      <c r="AF201" s="88"/>
      <c r="AG201" s="88"/>
      <c r="AH201" s="88"/>
      <c r="AI201" s="88"/>
      <c r="AJ201" s="88"/>
      <c r="AK201" s="88"/>
      <c r="AL201" s="88"/>
      <c r="AM201" s="88"/>
      <c r="AN201" s="88"/>
      <c r="AO201" s="88"/>
      <c r="AP201" s="88"/>
      <c r="AQ201" s="88"/>
      <c r="AR201" s="88"/>
      <c r="AS201" s="88"/>
      <c r="AT201" s="88"/>
      <c r="AU201" s="88"/>
      <c r="AV201" s="88"/>
      <c r="AW201" s="88"/>
      <c r="AX201" s="88"/>
      <c r="AY201" s="88"/>
      <c r="AZ201" s="88"/>
      <c r="BA201" s="88"/>
      <c r="BB201" s="88"/>
      <c r="BC201" s="88"/>
      <c r="BD201" s="88"/>
      <c r="BE201" s="88"/>
      <c r="BF201" s="88"/>
      <c r="BG201" s="88"/>
      <c r="BH201" s="88"/>
      <c r="BI201" s="88"/>
      <c r="BJ201" s="88"/>
    </row>
    <row r="202" spans="1:62" outlineLevel="1">
      <c r="A202" s="11">
        <f t="shared" si="14"/>
        <v>39</v>
      </c>
      <c r="B202" s="88"/>
      <c r="C202" s="88"/>
      <c r="D202" s="88"/>
      <c r="E202" s="88"/>
      <c r="F202" s="88"/>
      <c r="G202" s="88"/>
      <c r="H202" s="88"/>
      <c r="I202" s="88"/>
      <c r="J202" s="88"/>
      <c r="K202" s="88"/>
      <c r="L202" s="88"/>
      <c r="M202" s="88"/>
      <c r="N202" s="88"/>
      <c r="O202" s="88"/>
      <c r="P202" s="88"/>
      <c r="Q202" s="88"/>
      <c r="R202" s="88"/>
      <c r="S202" s="88"/>
      <c r="T202" s="88"/>
      <c r="U202" s="88"/>
      <c r="V202" s="88"/>
      <c r="W202" s="88"/>
      <c r="X202" s="88"/>
      <c r="Y202" s="88"/>
      <c r="Z202" s="88"/>
      <c r="AA202" s="88"/>
      <c r="AB202" s="88"/>
      <c r="AC202" s="88"/>
      <c r="AD202" s="88"/>
      <c r="AE202" s="88"/>
      <c r="AF202" s="88"/>
      <c r="AG202" s="88"/>
      <c r="AH202" s="88"/>
      <c r="AI202" s="88"/>
      <c r="AJ202" s="88"/>
      <c r="AK202" s="88"/>
      <c r="AL202" s="88"/>
      <c r="AM202" s="88"/>
      <c r="AN202" s="88"/>
      <c r="AO202" s="88"/>
      <c r="AP202" s="88"/>
      <c r="AQ202" s="88"/>
      <c r="AR202" s="88"/>
      <c r="AS202" s="88"/>
      <c r="AT202" s="88"/>
      <c r="AU202" s="88"/>
      <c r="AV202" s="88"/>
      <c r="AW202" s="88"/>
      <c r="AX202" s="88"/>
      <c r="AY202" s="88"/>
      <c r="AZ202" s="88"/>
      <c r="BA202" s="88"/>
      <c r="BB202" s="88"/>
      <c r="BC202" s="88"/>
      <c r="BD202" s="88"/>
      <c r="BE202" s="88"/>
      <c r="BF202" s="88"/>
      <c r="BG202" s="88"/>
      <c r="BH202" s="88"/>
      <c r="BI202" s="88"/>
      <c r="BJ202" s="88"/>
    </row>
    <row r="203" spans="1:62" outlineLevel="1">
      <c r="A203" s="11">
        <f t="shared" si="14"/>
        <v>40</v>
      </c>
      <c r="B203" s="88"/>
      <c r="C203" s="88"/>
      <c r="D203" s="88"/>
      <c r="E203" s="88"/>
      <c r="F203" s="88"/>
      <c r="G203" s="88"/>
      <c r="H203" s="88"/>
      <c r="I203" s="88"/>
      <c r="J203" s="88"/>
      <c r="K203" s="88"/>
      <c r="L203" s="88"/>
      <c r="M203" s="88"/>
      <c r="N203" s="88"/>
      <c r="O203" s="88"/>
      <c r="P203" s="88"/>
      <c r="Q203" s="88"/>
      <c r="R203" s="88"/>
      <c r="S203" s="88"/>
      <c r="T203" s="88"/>
      <c r="U203" s="88"/>
      <c r="V203" s="88"/>
      <c r="W203" s="88"/>
      <c r="X203" s="88"/>
      <c r="Y203" s="88"/>
      <c r="Z203" s="88"/>
      <c r="AA203" s="88"/>
      <c r="AB203" s="88"/>
      <c r="AC203" s="88"/>
      <c r="AD203" s="88"/>
      <c r="AE203" s="88"/>
      <c r="AF203" s="88"/>
      <c r="AG203" s="88"/>
      <c r="AH203" s="88"/>
      <c r="AI203" s="88"/>
      <c r="AJ203" s="88"/>
      <c r="AK203" s="88"/>
      <c r="AL203" s="88"/>
      <c r="AM203" s="88"/>
      <c r="AN203" s="88"/>
      <c r="AO203" s="88"/>
      <c r="AP203" s="88"/>
      <c r="AQ203" s="88"/>
      <c r="AR203" s="88"/>
      <c r="AS203" s="88"/>
      <c r="AT203" s="88"/>
      <c r="AU203" s="88"/>
      <c r="AV203" s="88"/>
      <c r="AW203" s="88"/>
      <c r="AX203" s="88"/>
      <c r="AY203" s="88"/>
      <c r="AZ203" s="88"/>
      <c r="BA203" s="88"/>
      <c r="BB203" s="88"/>
      <c r="BC203" s="88"/>
      <c r="BD203" s="88"/>
      <c r="BE203" s="88"/>
      <c r="BF203" s="88"/>
      <c r="BG203" s="88"/>
      <c r="BH203" s="88"/>
      <c r="BI203" s="88"/>
      <c r="BJ203" s="88"/>
    </row>
    <row r="204" spans="1:62" outlineLevel="1">
      <c r="A204" s="11">
        <f t="shared" si="14"/>
        <v>41</v>
      </c>
      <c r="B204" s="88"/>
      <c r="C204" s="88"/>
      <c r="D204" s="88"/>
      <c r="E204" s="88"/>
      <c r="F204" s="88"/>
      <c r="G204" s="88"/>
      <c r="H204" s="88"/>
      <c r="I204" s="88"/>
      <c r="J204" s="88"/>
      <c r="K204" s="88"/>
      <c r="L204" s="88"/>
      <c r="M204" s="88"/>
      <c r="N204" s="88"/>
      <c r="O204" s="88"/>
      <c r="P204" s="88"/>
      <c r="Q204" s="88"/>
      <c r="R204" s="88"/>
      <c r="S204" s="88"/>
      <c r="T204" s="88"/>
      <c r="U204" s="88"/>
      <c r="V204" s="88"/>
      <c r="W204" s="88"/>
      <c r="X204" s="88"/>
      <c r="Y204" s="88"/>
      <c r="Z204" s="88"/>
      <c r="AA204" s="88"/>
      <c r="AB204" s="88"/>
      <c r="AC204" s="88"/>
      <c r="AD204" s="88"/>
      <c r="AE204" s="88"/>
      <c r="AF204" s="88"/>
      <c r="AG204" s="88"/>
      <c r="AH204" s="88"/>
      <c r="AI204" s="88"/>
      <c r="AJ204" s="88"/>
      <c r="AK204" s="88"/>
      <c r="AL204" s="88"/>
      <c r="AM204" s="88"/>
      <c r="AN204" s="88"/>
      <c r="AO204" s="88"/>
      <c r="AP204" s="88"/>
      <c r="AQ204" s="88"/>
      <c r="AR204" s="88"/>
      <c r="AS204" s="88"/>
      <c r="AT204" s="88"/>
      <c r="AU204" s="88"/>
      <c r="AV204" s="88"/>
      <c r="AW204" s="88"/>
      <c r="AX204" s="88"/>
      <c r="AY204" s="88"/>
      <c r="AZ204" s="88"/>
      <c r="BA204" s="88"/>
      <c r="BB204" s="88"/>
      <c r="BC204" s="88"/>
      <c r="BD204" s="88"/>
      <c r="BE204" s="88"/>
      <c r="BF204" s="88"/>
      <c r="BG204" s="88"/>
      <c r="BH204" s="88"/>
      <c r="BI204" s="88"/>
      <c r="BJ204" s="88"/>
    </row>
    <row r="205" spans="1:62" outlineLevel="1">
      <c r="A205" s="11">
        <f t="shared" si="14"/>
        <v>42</v>
      </c>
      <c r="B205" s="88"/>
      <c r="C205" s="88"/>
      <c r="D205" s="88"/>
      <c r="E205" s="88"/>
      <c r="F205" s="88"/>
      <c r="G205" s="88"/>
      <c r="H205" s="88"/>
      <c r="I205" s="88"/>
      <c r="J205" s="88"/>
      <c r="K205" s="88"/>
      <c r="L205" s="88"/>
      <c r="M205" s="88"/>
      <c r="N205" s="88"/>
      <c r="O205" s="88"/>
      <c r="P205" s="88"/>
      <c r="Q205" s="88"/>
      <c r="R205" s="88"/>
      <c r="S205" s="88"/>
      <c r="T205" s="88"/>
      <c r="U205" s="88"/>
      <c r="V205" s="88"/>
      <c r="W205" s="88"/>
      <c r="X205" s="88"/>
      <c r="Y205" s="88"/>
      <c r="Z205" s="88"/>
      <c r="AA205" s="88"/>
      <c r="AB205" s="88"/>
      <c r="AC205" s="88"/>
      <c r="AD205" s="88"/>
      <c r="AE205" s="88"/>
      <c r="AF205" s="88"/>
      <c r="AG205" s="88"/>
      <c r="AH205" s="88"/>
      <c r="AI205" s="88"/>
      <c r="AJ205" s="88"/>
      <c r="AK205" s="88"/>
      <c r="AL205" s="88"/>
      <c r="AM205" s="88"/>
      <c r="AN205" s="88"/>
      <c r="AO205" s="88"/>
      <c r="AP205" s="88"/>
      <c r="AQ205" s="88"/>
      <c r="AR205" s="88"/>
      <c r="AS205" s="88"/>
      <c r="AT205" s="88"/>
      <c r="AU205" s="88"/>
      <c r="AV205" s="88"/>
      <c r="AW205" s="88"/>
      <c r="AX205" s="88"/>
      <c r="AY205" s="88"/>
      <c r="AZ205" s="88"/>
      <c r="BA205" s="88"/>
      <c r="BB205" s="88"/>
      <c r="BC205" s="88"/>
      <c r="BD205" s="88"/>
      <c r="BE205" s="88"/>
      <c r="BF205" s="88"/>
      <c r="BG205" s="88"/>
      <c r="BH205" s="88"/>
      <c r="BI205" s="88"/>
      <c r="BJ205" s="88"/>
    </row>
    <row r="206" spans="1:62" outlineLevel="1">
      <c r="A206" s="11">
        <f t="shared" si="14"/>
        <v>43</v>
      </c>
      <c r="B206" s="88"/>
      <c r="C206" s="88"/>
      <c r="D206" s="88"/>
      <c r="E206" s="88"/>
      <c r="F206" s="88"/>
      <c r="G206" s="88"/>
      <c r="H206" s="88"/>
      <c r="I206" s="88"/>
      <c r="J206" s="88"/>
      <c r="K206" s="88"/>
      <c r="L206" s="88"/>
      <c r="M206" s="88"/>
      <c r="N206" s="88"/>
      <c r="O206" s="88"/>
      <c r="P206" s="88"/>
      <c r="Q206" s="88"/>
      <c r="R206" s="88"/>
      <c r="S206" s="88"/>
      <c r="T206" s="88"/>
      <c r="U206" s="88"/>
      <c r="V206" s="88"/>
      <c r="W206" s="88"/>
      <c r="X206" s="88"/>
      <c r="Y206" s="88"/>
      <c r="Z206" s="88"/>
      <c r="AA206" s="88"/>
      <c r="AB206" s="88"/>
      <c r="AC206" s="88"/>
      <c r="AD206" s="88"/>
      <c r="AE206" s="88"/>
      <c r="AF206" s="88"/>
      <c r="AG206" s="88"/>
      <c r="AH206" s="88"/>
      <c r="AI206" s="88"/>
      <c r="AJ206" s="88"/>
      <c r="AK206" s="88"/>
      <c r="AL206" s="88"/>
      <c r="AM206" s="88"/>
      <c r="AN206" s="88"/>
      <c r="AO206" s="88"/>
      <c r="AP206" s="88"/>
      <c r="AQ206" s="88"/>
      <c r="AR206" s="88"/>
      <c r="AS206" s="88"/>
      <c r="AT206" s="88"/>
      <c r="AU206" s="88"/>
      <c r="AV206" s="88"/>
      <c r="AW206" s="88"/>
      <c r="AX206" s="88"/>
      <c r="AY206" s="88"/>
      <c r="AZ206" s="88"/>
      <c r="BA206" s="88"/>
      <c r="BB206" s="88"/>
      <c r="BC206" s="88"/>
      <c r="BD206" s="88"/>
      <c r="BE206" s="88"/>
      <c r="BF206" s="88"/>
      <c r="BG206" s="88"/>
      <c r="BH206" s="88"/>
      <c r="BI206" s="88"/>
      <c r="BJ206" s="88"/>
    </row>
    <row r="207" spans="1:62" outlineLevel="1">
      <c r="A207" s="11">
        <f t="shared" si="14"/>
        <v>44</v>
      </c>
      <c r="B207" s="88"/>
      <c r="C207" s="88"/>
      <c r="D207" s="88"/>
      <c r="E207" s="88"/>
      <c r="F207" s="88"/>
      <c r="G207" s="88"/>
      <c r="H207" s="88"/>
      <c r="I207" s="88"/>
      <c r="J207" s="88"/>
      <c r="K207" s="88"/>
      <c r="L207" s="88"/>
      <c r="M207" s="88"/>
      <c r="N207" s="88"/>
      <c r="O207" s="88"/>
      <c r="P207" s="88"/>
      <c r="Q207" s="88"/>
      <c r="R207" s="88"/>
      <c r="S207" s="88"/>
      <c r="T207" s="88"/>
      <c r="U207" s="88"/>
      <c r="V207" s="88"/>
      <c r="W207" s="88"/>
      <c r="X207" s="88"/>
      <c r="Y207" s="88"/>
      <c r="Z207" s="88"/>
      <c r="AA207" s="88"/>
      <c r="AB207" s="88"/>
      <c r="AC207" s="88"/>
      <c r="AD207" s="88"/>
      <c r="AE207" s="88"/>
      <c r="AF207" s="88"/>
      <c r="AG207" s="88"/>
      <c r="AH207" s="88"/>
      <c r="AI207" s="88"/>
      <c r="AJ207" s="88"/>
      <c r="AK207" s="88"/>
      <c r="AL207" s="88"/>
      <c r="AM207" s="88"/>
      <c r="AN207" s="88"/>
      <c r="AO207" s="88"/>
      <c r="AP207" s="88"/>
      <c r="AQ207" s="88"/>
      <c r="AR207" s="88"/>
      <c r="AS207" s="88"/>
      <c r="AT207" s="88"/>
      <c r="AU207" s="88"/>
      <c r="AV207" s="88"/>
      <c r="AW207" s="88"/>
      <c r="AX207" s="88"/>
      <c r="AY207" s="88"/>
      <c r="AZ207" s="88"/>
      <c r="BA207" s="88"/>
      <c r="BB207" s="88"/>
      <c r="BC207" s="88"/>
      <c r="BD207" s="88"/>
      <c r="BE207" s="88"/>
      <c r="BF207" s="88"/>
      <c r="BG207" s="88"/>
      <c r="BH207" s="88"/>
      <c r="BI207" s="88"/>
      <c r="BJ207" s="88"/>
    </row>
    <row r="208" spans="1:62" outlineLevel="1">
      <c r="A208" s="11">
        <f t="shared" si="14"/>
        <v>45</v>
      </c>
      <c r="B208" s="88"/>
      <c r="C208" s="88"/>
      <c r="D208" s="88"/>
      <c r="E208" s="88"/>
      <c r="F208" s="88"/>
      <c r="G208" s="88"/>
      <c r="H208" s="88"/>
      <c r="I208" s="88"/>
      <c r="J208" s="88"/>
      <c r="K208" s="88"/>
      <c r="L208" s="88"/>
      <c r="M208" s="88"/>
      <c r="N208" s="88"/>
      <c r="O208" s="88"/>
      <c r="P208" s="88"/>
      <c r="Q208" s="88"/>
      <c r="R208" s="88"/>
      <c r="S208" s="88"/>
      <c r="T208" s="88"/>
      <c r="U208" s="88"/>
      <c r="V208" s="88"/>
      <c r="W208" s="88"/>
      <c r="X208" s="88"/>
      <c r="Y208" s="88"/>
      <c r="Z208" s="88"/>
      <c r="AA208" s="88"/>
      <c r="AB208" s="88"/>
      <c r="AC208" s="88"/>
      <c r="AD208" s="88"/>
      <c r="AE208" s="88"/>
      <c r="AF208" s="88"/>
      <c r="AG208" s="88"/>
      <c r="AH208" s="88"/>
      <c r="AI208" s="88"/>
      <c r="AJ208" s="88"/>
      <c r="AK208" s="88"/>
      <c r="AL208" s="88"/>
      <c r="AM208" s="88"/>
      <c r="AN208" s="88"/>
      <c r="AO208" s="88"/>
      <c r="AP208" s="88"/>
      <c r="AQ208" s="88"/>
      <c r="AR208" s="88"/>
      <c r="AS208" s="88"/>
      <c r="AT208" s="88"/>
      <c r="AU208" s="88"/>
      <c r="AV208" s="88"/>
      <c r="AW208" s="88"/>
      <c r="AX208" s="88"/>
      <c r="AY208" s="88"/>
      <c r="AZ208" s="88"/>
      <c r="BA208" s="88"/>
      <c r="BB208" s="88"/>
      <c r="BC208" s="88"/>
      <c r="BD208" s="88"/>
      <c r="BE208" s="88"/>
      <c r="BF208" s="88"/>
      <c r="BG208" s="88"/>
      <c r="BH208" s="88"/>
      <c r="BI208" s="88"/>
      <c r="BJ208" s="88"/>
    </row>
    <row r="209" spans="1:62" outlineLevel="1">
      <c r="A209" s="11">
        <f t="shared" si="14"/>
        <v>46</v>
      </c>
      <c r="B209" s="88"/>
      <c r="C209" s="88"/>
      <c r="D209" s="88"/>
      <c r="E209" s="88"/>
      <c r="F209" s="88"/>
      <c r="G209" s="88"/>
      <c r="H209" s="88"/>
      <c r="I209" s="88"/>
      <c r="J209" s="88"/>
      <c r="K209" s="88"/>
      <c r="L209" s="88"/>
      <c r="M209" s="88"/>
      <c r="N209" s="88"/>
      <c r="O209" s="88"/>
      <c r="P209" s="88"/>
      <c r="Q209" s="88"/>
      <c r="R209" s="88"/>
      <c r="S209" s="88"/>
      <c r="T209" s="88"/>
      <c r="U209" s="88"/>
      <c r="V209" s="88"/>
      <c r="W209" s="88"/>
      <c r="X209" s="88"/>
      <c r="Y209" s="88"/>
      <c r="Z209" s="88"/>
      <c r="AA209" s="88"/>
      <c r="AB209" s="88"/>
      <c r="AC209" s="88"/>
      <c r="AD209" s="88"/>
      <c r="AE209" s="88"/>
      <c r="AF209" s="88"/>
      <c r="AG209" s="88"/>
      <c r="AH209" s="88"/>
      <c r="AI209" s="88"/>
      <c r="AJ209" s="88"/>
      <c r="AK209" s="88"/>
      <c r="AL209" s="88"/>
      <c r="AM209" s="88"/>
      <c r="AN209" s="88"/>
      <c r="AO209" s="88"/>
      <c r="AP209" s="88"/>
      <c r="AQ209" s="88"/>
      <c r="AR209" s="88"/>
      <c r="AS209" s="88"/>
      <c r="AT209" s="88"/>
      <c r="AU209" s="88"/>
      <c r="AV209" s="88"/>
      <c r="AW209" s="88"/>
      <c r="AX209" s="88"/>
      <c r="AY209" s="88"/>
      <c r="AZ209" s="88"/>
      <c r="BA209" s="88"/>
      <c r="BB209" s="88"/>
      <c r="BC209" s="88"/>
      <c r="BD209" s="88"/>
      <c r="BE209" s="88"/>
      <c r="BF209" s="88"/>
      <c r="BG209" s="88"/>
      <c r="BH209" s="88"/>
      <c r="BI209" s="88"/>
      <c r="BJ209" s="88"/>
    </row>
    <row r="210" spans="1:62" outlineLevel="1">
      <c r="A210" s="11">
        <f t="shared" si="14"/>
        <v>47</v>
      </c>
      <c r="B210" s="88"/>
      <c r="C210" s="88"/>
      <c r="D210" s="88"/>
      <c r="E210" s="88"/>
      <c r="F210" s="88"/>
      <c r="G210" s="88"/>
      <c r="H210" s="88"/>
      <c r="I210" s="88"/>
      <c r="J210" s="88"/>
      <c r="K210" s="88"/>
      <c r="L210" s="88"/>
      <c r="M210" s="88"/>
      <c r="N210" s="88"/>
      <c r="O210" s="88"/>
      <c r="P210" s="88"/>
      <c r="Q210" s="88"/>
      <c r="R210" s="88"/>
      <c r="S210" s="88"/>
      <c r="T210" s="88"/>
      <c r="U210" s="88"/>
      <c r="V210" s="88"/>
      <c r="W210" s="88"/>
      <c r="X210" s="88"/>
      <c r="Y210" s="88"/>
      <c r="Z210" s="88"/>
      <c r="AA210" s="88"/>
      <c r="AB210" s="88"/>
      <c r="AC210" s="88"/>
      <c r="AD210" s="88"/>
      <c r="AE210" s="88"/>
      <c r="AF210" s="88"/>
      <c r="AG210" s="88"/>
      <c r="AH210" s="88"/>
      <c r="AI210" s="88"/>
      <c r="AJ210" s="88"/>
      <c r="AK210" s="88"/>
      <c r="AL210" s="88"/>
      <c r="AM210" s="88"/>
      <c r="AN210" s="88"/>
      <c r="AO210" s="88"/>
      <c r="AP210" s="88"/>
      <c r="AQ210" s="88"/>
      <c r="AR210" s="88"/>
      <c r="AS210" s="88"/>
      <c r="AT210" s="88"/>
      <c r="AU210" s="88"/>
      <c r="AV210" s="88"/>
      <c r="AW210" s="88"/>
      <c r="AX210" s="88"/>
      <c r="AY210" s="88"/>
      <c r="AZ210" s="88"/>
      <c r="BA210" s="88"/>
      <c r="BB210" s="88"/>
      <c r="BC210" s="88"/>
      <c r="BD210" s="88"/>
      <c r="BE210" s="88"/>
      <c r="BF210" s="88"/>
      <c r="BG210" s="88"/>
      <c r="BH210" s="88"/>
      <c r="BI210" s="88"/>
      <c r="BJ210" s="88"/>
    </row>
    <row r="211" spans="1:62" outlineLevel="1">
      <c r="A211" s="11">
        <f t="shared" si="14"/>
        <v>48</v>
      </c>
      <c r="B211" s="88"/>
      <c r="C211" s="88"/>
      <c r="D211" s="88"/>
      <c r="E211" s="88"/>
      <c r="F211" s="88"/>
      <c r="G211" s="88"/>
      <c r="H211" s="88"/>
      <c r="I211" s="88"/>
      <c r="J211" s="88"/>
      <c r="K211" s="88"/>
      <c r="L211" s="88"/>
      <c r="M211" s="88"/>
      <c r="N211" s="88"/>
      <c r="O211" s="88"/>
      <c r="P211" s="88"/>
      <c r="Q211" s="88"/>
      <c r="R211" s="88"/>
      <c r="S211" s="88"/>
      <c r="T211" s="88"/>
      <c r="U211" s="88"/>
      <c r="V211" s="88"/>
      <c r="W211" s="88"/>
      <c r="X211" s="88"/>
      <c r="Y211" s="88"/>
      <c r="Z211" s="88"/>
      <c r="AA211" s="88"/>
      <c r="AB211" s="88"/>
      <c r="AC211" s="88"/>
      <c r="AD211" s="88"/>
      <c r="AE211" s="88"/>
      <c r="AF211" s="88"/>
      <c r="AG211" s="88"/>
      <c r="AH211" s="88"/>
      <c r="AI211" s="88"/>
      <c r="AJ211" s="88"/>
      <c r="AK211" s="88"/>
      <c r="AL211" s="88"/>
      <c r="AM211" s="88"/>
      <c r="AN211" s="88"/>
      <c r="AO211" s="88"/>
      <c r="AP211" s="88"/>
      <c r="AQ211" s="88"/>
      <c r="AR211" s="88"/>
      <c r="AS211" s="88"/>
      <c r="AT211" s="88"/>
      <c r="AU211" s="88"/>
      <c r="AV211" s="88"/>
      <c r="AW211" s="88"/>
      <c r="AX211" s="88"/>
      <c r="AY211" s="88"/>
      <c r="AZ211" s="88"/>
      <c r="BA211" s="88"/>
      <c r="BB211" s="88"/>
      <c r="BC211" s="88"/>
      <c r="BD211" s="88"/>
      <c r="BE211" s="88"/>
      <c r="BF211" s="88"/>
      <c r="BG211" s="88"/>
      <c r="BH211" s="88"/>
      <c r="BI211" s="88"/>
      <c r="BJ211" s="88"/>
    </row>
    <row r="212" spans="1:62" outlineLevel="1">
      <c r="A212" s="11">
        <f t="shared" si="14"/>
        <v>49</v>
      </c>
      <c r="B212" s="88"/>
      <c r="C212" s="88"/>
      <c r="D212" s="88"/>
      <c r="E212" s="88"/>
      <c r="F212" s="88"/>
      <c r="G212" s="88"/>
      <c r="H212" s="88"/>
      <c r="I212" s="88"/>
      <c r="J212" s="88"/>
      <c r="K212" s="88"/>
      <c r="L212" s="88"/>
      <c r="M212" s="88"/>
      <c r="N212" s="88"/>
      <c r="O212" s="88"/>
      <c r="P212" s="88"/>
      <c r="Q212" s="88"/>
      <c r="R212" s="88"/>
      <c r="S212" s="88"/>
      <c r="T212" s="88"/>
      <c r="U212" s="88"/>
      <c r="V212" s="88"/>
      <c r="W212" s="88"/>
      <c r="X212" s="88"/>
      <c r="Y212" s="88"/>
      <c r="Z212" s="88"/>
      <c r="AA212" s="88"/>
      <c r="AB212" s="88"/>
      <c r="AC212" s="88"/>
      <c r="AD212" s="88"/>
      <c r="AE212" s="88"/>
      <c r="AF212" s="88"/>
      <c r="AG212" s="88"/>
      <c r="AH212" s="88"/>
      <c r="AI212" s="88"/>
      <c r="AJ212" s="88"/>
      <c r="AK212" s="88"/>
      <c r="AL212" s="88"/>
      <c r="AM212" s="88"/>
      <c r="AN212" s="88"/>
      <c r="AO212" s="88"/>
      <c r="AP212" s="88"/>
      <c r="AQ212" s="88"/>
      <c r="AR212" s="88"/>
      <c r="AS212" s="88"/>
      <c r="AT212" s="88"/>
      <c r="AU212" s="88"/>
      <c r="AV212" s="88"/>
      <c r="AW212" s="88"/>
      <c r="AX212" s="88"/>
      <c r="AY212" s="88"/>
      <c r="AZ212" s="88"/>
      <c r="BA212" s="88"/>
      <c r="BB212" s="88"/>
      <c r="BC212" s="88"/>
      <c r="BD212" s="88"/>
      <c r="BE212" s="88"/>
      <c r="BF212" s="88"/>
      <c r="BG212" s="88"/>
      <c r="BH212" s="88"/>
      <c r="BI212" s="88"/>
      <c r="BJ212" s="88"/>
    </row>
    <row r="213" spans="1:62" outlineLevel="1">
      <c r="A213" s="11">
        <f t="shared" si="14"/>
        <v>50</v>
      </c>
      <c r="B213" s="88"/>
      <c r="C213" s="88"/>
      <c r="D213" s="88"/>
      <c r="E213" s="88"/>
      <c r="F213" s="88"/>
      <c r="G213" s="88"/>
      <c r="H213" s="88"/>
      <c r="I213" s="88"/>
      <c r="J213" s="88"/>
      <c r="K213" s="88"/>
      <c r="L213" s="88"/>
      <c r="M213" s="88"/>
      <c r="N213" s="88"/>
      <c r="O213" s="88"/>
      <c r="P213" s="88"/>
      <c r="Q213" s="88"/>
      <c r="R213" s="88"/>
      <c r="S213" s="88"/>
      <c r="T213" s="88"/>
      <c r="U213" s="88"/>
      <c r="V213" s="88"/>
      <c r="W213" s="88"/>
      <c r="X213" s="88"/>
      <c r="Y213" s="88"/>
      <c r="Z213" s="88"/>
      <c r="AA213" s="88"/>
      <c r="AB213" s="88"/>
      <c r="AC213" s="88"/>
      <c r="AD213" s="88"/>
      <c r="AE213" s="88"/>
      <c r="AF213" s="88"/>
      <c r="AG213" s="88"/>
      <c r="AH213" s="88"/>
      <c r="AI213" s="88"/>
      <c r="AJ213" s="88"/>
      <c r="AK213" s="88"/>
      <c r="AL213" s="88"/>
      <c r="AM213" s="88"/>
      <c r="AN213" s="88"/>
      <c r="AO213" s="88"/>
      <c r="AP213" s="88"/>
      <c r="AQ213" s="88"/>
      <c r="AR213" s="88"/>
      <c r="AS213" s="88"/>
      <c r="AT213" s="88"/>
      <c r="AU213" s="88"/>
      <c r="AV213" s="88"/>
      <c r="AW213" s="88"/>
      <c r="AX213" s="88"/>
      <c r="AY213" s="88"/>
      <c r="AZ213" s="88"/>
      <c r="BA213" s="88"/>
      <c r="BB213" s="88"/>
      <c r="BC213" s="88"/>
      <c r="BD213" s="88"/>
      <c r="BE213" s="88"/>
      <c r="BF213" s="88"/>
      <c r="BG213" s="88"/>
      <c r="BH213" s="88"/>
      <c r="BI213" s="88"/>
      <c r="BJ213" s="88"/>
    </row>
    <row r="214" spans="1:62" outlineLevel="1">
      <c r="A214" s="11">
        <f t="shared" si="14"/>
        <v>51</v>
      </c>
      <c r="B214" s="88"/>
      <c r="C214" s="88"/>
      <c r="D214" s="88"/>
      <c r="E214" s="88"/>
      <c r="F214" s="88"/>
      <c r="G214" s="88"/>
      <c r="H214" s="88"/>
      <c r="I214" s="88"/>
      <c r="J214" s="88"/>
      <c r="K214" s="88"/>
      <c r="L214" s="88"/>
      <c r="M214" s="88"/>
      <c r="N214" s="88"/>
      <c r="O214" s="88"/>
      <c r="P214" s="88"/>
      <c r="Q214" s="88"/>
      <c r="R214" s="88"/>
      <c r="S214" s="88"/>
      <c r="T214" s="88"/>
      <c r="U214" s="88"/>
      <c r="V214" s="88"/>
      <c r="W214" s="88"/>
      <c r="X214" s="88"/>
      <c r="Y214" s="88"/>
      <c r="Z214" s="88"/>
      <c r="AA214" s="88"/>
      <c r="AB214" s="88"/>
      <c r="AC214" s="88"/>
      <c r="AD214" s="88"/>
      <c r="AE214" s="88"/>
      <c r="AF214" s="88"/>
      <c r="AG214" s="88"/>
      <c r="AH214" s="88"/>
      <c r="AI214" s="88"/>
      <c r="AJ214" s="88"/>
      <c r="AK214" s="88"/>
      <c r="AL214" s="88"/>
      <c r="AM214" s="88"/>
      <c r="AN214" s="88"/>
      <c r="AO214" s="88"/>
      <c r="AP214" s="88"/>
      <c r="AQ214" s="88"/>
      <c r="AR214" s="88"/>
      <c r="AS214" s="88"/>
      <c r="AT214" s="88"/>
      <c r="AU214" s="88"/>
      <c r="AV214" s="88"/>
      <c r="AW214" s="88"/>
      <c r="AX214" s="88"/>
      <c r="AY214" s="88"/>
      <c r="AZ214" s="88"/>
      <c r="BA214" s="88"/>
      <c r="BB214" s="88"/>
      <c r="BC214" s="88"/>
      <c r="BD214" s="88"/>
      <c r="BE214" s="88"/>
      <c r="BF214" s="88"/>
      <c r="BG214" s="88"/>
      <c r="BH214" s="88"/>
      <c r="BI214" s="88"/>
      <c r="BJ214" s="88"/>
    </row>
    <row r="215" spans="1:62" outlineLevel="1">
      <c r="A215" s="11">
        <f t="shared" si="14"/>
        <v>52</v>
      </c>
      <c r="B215" s="88"/>
      <c r="C215" s="88"/>
      <c r="D215" s="88"/>
      <c r="E215" s="88"/>
      <c r="F215" s="88"/>
      <c r="G215" s="88"/>
      <c r="H215" s="88"/>
      <c r="I215" s="88"/>
      <c r="J215" s="88"/>
      <c r="K215" s="88"/>
      <c r="L215" s="88"/>
      <c r="M215" s="88"/>
      <c r="N215" s="88"/>
      <c r="O215" s="88"/>
      <c r="P215" s="88"/>
      <c r="Q215" s="88"/>
      <c r="R215" s="88"/>
      <c r="S215" s="88"/>
      <c r="T215" s="88"/>
      <c r="U215" s="88"/>
      <c r="V215" s="88"/>
      <c r="W215" s="88"/>
      <c r="X215" s="88"/>
      <c r="Y215" s="88"/>
      <c r="Z215" s="88"/>
      <c r="AA215" s="88"/>
      <c r="AB215" s="88"/>
      <c r="AC215" s="88"/>
      <c r="AD215" s="88"/>
      <c r="AE215" s="88"/>
      <c r="AF215" s="88"/>
      <c r="AG215" s="88"/>
      <c r="AH215" s="88"/>
      <c r="AI215" s="88"/>
      <c r="AJ215" s="88"/>
      <c r="AK215" s="88"/>
      <c r="AL215" s="88"/>
      <c r="AM215" s="88"/>
      <c r="AN215" s="88"/>
      <c r="AO215" s="88"/>
      <c r="AP215" s="88"/>
      <c r="AQ215" s="88"/>
      <c r="AR215" s="88"/>
      <c r="AS215" s="88"/>
      <c r="AT215" s="88"/>
      <c r="AU215" s="88"/>
      <c r="AV215" s="88"/>
      <c r="AW215" s="88"/>
      <c r="AX215" s="88"/>
      <c r="AY215" s="88"/>
      <c r="AZ215" s="88"/>
      <c r="BA215" s="88"/>
      <c r="BB215" s="88"/>
      <c r="BC215" s="88"/>
      <c r="BD215" s="88"/>
      <c r="BE215" s="88"/>
      <c r="BF215" s="88"/>
      <c r="BG215" s="88"/>
      <c r="BH215" s="88"/>
      <c r="BI215" s="88"/>
      <c r="BJ215" s="88"/>
    </row>
    <row r="216" spans="1:62" outlineLevel="1">
      <c r="A216" s="11">
        <f t="shared" si="14"/>
        <v>53</v>
      </c>
      <c r="B216" s="88"/>
      <c r="C216" s="88"/>
      <c r="D216" s="88"/>
      <c r="E216" s="88"/>
      <c r="F216" s="88"/>
      <c r="G216" s="88"/>
      <c r="H216" s="88"/>
      <c r="I216" s="88"/>
      <c r="J216" s="88"/>
      <c r="K216" s="88"/>
      <c r="L216" s="88"/>
      <c r="M216" s="88"/>
      <c r="N216" s="88"/>
      <c r="O216" s="88"/>
      <c r="P216" s="88"/>
      <c r="Q216" s="88"/>
      <c r="R216" s="88"/>
      <c r="S216" s="88"/>
      <c r="T216" s="88"/>
      <c r="U216" s="88"/>
      <c r="V216" s="88"/>
      <c r="W216" s="88"/>
      <c r="X216" s="88"/>
      <c r="Y216" s="88"/>
      <c r="Z216" s="88"/>
      <c r="AA216" s="88"/>
      <c r="AB216" s="88"/>
      <c r="AC216" s="88"/>
      <c r="AD216" s="88"/>
      <c r="AE216" s="88"/>
      <c r="AF216" s="88"/>
      <c r="AG216" s="88"/>
      <c r="AH216" s="88"/>
      <c r="AI216" s="88"/>
      <c r="AJ216" s="88"/>
      <c r="AK216" s="88"/>
      <c r="AL216" s="88"/>
      <c r="AM216" s="88"/>
      <c r="AN216" s="88"/>
      <c r="AO216" s="88"/>
      <c r="AP216" s="88"/>
      <c r="AQ216" s="88"/>
      <c r="AR216" s="88"/>
      <c r="AS216" s="88"/>
      <c r="AT216" s="88"/>
      <c r="AU216" s="88"/>
      <c r="AV216" s="88"/>
      <c r="AW216" s="88"/>
      <c r="AX216" s="88"/>
      <c r="AY216" s="88"/>
      <c r="AZ216" s="88"/>
      <c r="BA216" s="88"/>
      <c r="BB216" s="88"/>
      <c r="BC216" s="88"/>
      <c r="BD216" s="88"/>
      <c r="BE216" s="88"/>
      <c r="BF216" s="88"/>
      <c r="BG216" s="88"/>
      <c r="BH216" s="88"/>
      <c r="BI216" s="88"/>
      <c r="BJ216" s="88"/>
    </row>
    <row r="217" spans="1:62" outlineLevel="1">
      <c r="A217" s="11">
        <f t="shared" si="14"/>
        <v>54</v>
      </c>
      <c r="B217" s="88"/>
      <c r="C217" s="88"/>
      <c r="D217" s="88"/>
      <c r="E217" s="88"/>
      <c r="F217" s="88"/>
      <c r="G217" s="88"/>
      <c r="H217" s="88"/>
      <c r="I217" s="88"/>
      <c r="J217" s="88"/>
      <c r="K217" s="88"/>
      <c r="L217" s="88"/>
      <c r="M217" s="88"/>
      <c r="N217" s="88"/>
      <c r="O217" s="88"/>
      <c r="P217" s="88"/>
      <c r="Q217" s="88"/>
      <c r="R217" s="88"/>
      <c r="S217" s="88"/>
      <c r="T217" s="88"/>
      <c r="U217" s="88"/>
      <c r="V217" s="88"/>
      <c r="W217" s="88"/>
      <c r="X217" s="88"/>
      <c r="Y217" s="88"/>
      <c r="Z217" s="88"/>
      <c r="AA217" s="88"/>
      <c r="AB217" s="88"/>
      <c r="AC217" s="88"/>
      <c r="AD217" s="88"/>
      <c r="AE217" s="88"/>
      <c r="AF217" s="88"/>
      <c r="AG217" s="88"/>
      <c r="AH217" s="88"/>
      <c r="AI217" s="88"/>
      <c r="AJ217" s="88"/>
      <c r="AK217" s="88"/>
      <c r="AL217" s="88"/>
      <c r="AM217" s="88"/>
      <c r="AN217" s="88"/>
      <c r="AO217" s="88"/>
      <c r="AP217" s="88"/>
      <c r="AQ217" s="88"/>
      <c r="AR217" s="88"/>
      <c r="AS217" s="88"/>
      <c r="AT217" s="88"/>
      <c r="AU217" s="88"/>
      <c r="AV217" s="88"/>
      <c r="AW217" s="88"/>
      <c r="AX217" s="88"/>
      <c r="AY217" s="88"/>
      <c r="AZ217" s="88"/>
      <c r="BA217" s="88"/>
      <c r="BB217" s="88"/>
      <c r="BC217" s="88"/>
      <c r="BD217" s="88"/>
      <c r="BE217" s="88"/>
      <c r="BF217" s="88"/>
      <c r="BG217" s="88"/>
      <c r="BH217" s="88"/>
      <c r="BI217" s="88"/>
      <c r="BJ217" s="88"/>
    </row>
    <row r="218" spans="1:62" outlineLevel="1">
      <c r="A218" s="11">
        <f t="shared" si="14"/>
        <v>55</v>
      </c>
      <c r="B218" s="88"/>
      <c r="C218" s="88"/>
      <c r="D218" s="88"/>
      <c r="E218" s="88"/>
      <c r="F218" s="88"/>
      <c r="G218" s="88"/>
      <c r="H218" s="88"/>
      <c r="I218" s="88"/>
      <c r="J218" s="88"/>
      <c r="K218" s="88"/>
      <c r="L218" s="88"/>
      <c r="M218" s="88"/>
      <c r="N218" s="88"/>
      <c r="O218" s="88"/>
      <c r="P218" s="88"/>
      <c r="Q218" s="88"/>
      <c r="R218" s="88"/>
      <c r="S218" s="88"/>
      <c r="T218" s="88"/>
      <c r="U218" s="88"/>
      <c r="V218" s="88"/>
      <c r="W218" s="88"/>
      <c r="X218" s="88"/>
      <c r="Y218" s="88"/>
      <c r="Z218" s="88"/>
      <c r="AA218" s="88"/>
      <c r="AB218" s="88"/>
      <c r="AC218" s="88"/>
      <c r="AD218" s="88"/>
      <c r="AE218" s="88"/>
      <c r="AF218" s="88"/>
      <c r="AG218" s="88"/>
      <c r="AH218" s="88"/>
      <c r="AI218" s="88"/>
      <c r="AJ218" s="88"/>
      <c r="AK218" s="88"/>
      <c r="AL218" s="88"/>
      <c r="AM218" s="88"/>
      <c r="AN218" s="88"/>
      <c r="AO218" s="88"/>
      <c r="AP218" s="88"/>
      <c r="AQ218" s="88"/>
      <c r="AR218" s="88"/>
      <c r="AS218" s="88"/>
      <c r="AT218" s="88"/>
      <c r="AU218" s="88"/>
      <c r="AV218" s="88"/>
      <c r="AW218" s="88"/>
      <c r="AX218" s="88"/>
      <c r="AY218" s="88"/>
      <c r="AZ218" s="88"/>
      <c r="BA218" s="88"/>
      <c r="BB218" s="88"/>
      <c r="BC218" s="88"/>
      <c r="BD218" s="88"/>
      <c r="BE218" s="88"/>
      <c r="BF218" s="88"/>
      <c r="BG218" s="88"/>
      <c r="BH218" s="88"/>
      <c r="BI218" s="88"/>
      <c r="BJ218" s="88"/>
    </row>
    <row r="219" spans="1:62" outlineLevel="1">
      <c r="A219" s="11">
        <f t="shared" si="14"/>
        <v>56</v>
      </c>
      <c r="B219" s="88"/>
      <c r="C219" s="88"/>
      <c r="D219" s="88"/>
      <c r="E219" s="88"/>
      <c r="F219" s="88"/>
      <c r="G219" s="88"/>
      <c r="H219" s="88"/>
      <c r="I219" s="88"/>
      <c r="J219" s="88"/>
      <c r="K219" s="88"/>
      <c r="L219" s="88"/>
      <c r="M219" s="88"/>
      <c r="N219" s="88"/>
      <c r="O219" s="88"/>
      <c r="P219" s="88"/>
      <c r="Q219" s="88"/>
      <c r="R219" s="88"/>
      <c r="S219" s="88"/>
      <c r="T219" s="88"/>
      <c r="U219" s="88"/>
      <c r="V219" s="88"/>
      <c r="W219" s="88"/>
      <c r="X219" s="88"/>
      <c r="Y219" s="88"/>
      <c r="Z219" s="88"/>
      <c r="AA219" s="88"/>
      <c r="AB219" s="88"/>
      <c r="AC219" s="88"/>
      <c r="AD219" s="88"/>
      <c r="AE219" s="88"/>
      <c r="AF219" s="88"/>
      <c r="AG219" s="88"/>
      <c r="AH219" s="88"/>
      <c r="AI219" s="88"/>
      <c r="AJ219" s="88"/>
      <c r="AK219" s="88"/>
      <c r="AL219" s="88"/>
      <c r="AM219" s="88"/>
      <c r="AN219" s="88"/>
      <c r="AO219" s="88"/>
      <c r="AP219" s="88"/>
      <c r="AQ219" s="88"/>
      <c r="AR219" s="88"/>
      <c r="AS219" s="88"/>
      <c r="AT219" s="88"/>
      <c r="AU219" s="88"/>
      <c r="AV219" s="88"/>
      <c r="AW219" s="88"/>
      <c r="AX219" s="88"/>
      <c r="AY219" s="88"/>
      <c r="AZ219" s="88"/>
      <c r="BA219" s="88"/>
      <c r="BB219" s="88"/>
      <c r="BC219" s="88"/>
      <c r="BD219" s="88"/>
      <c r="BE219" s="88"/>
      <c r="BF219" s="88"/>
      <c r="BG219" s="88"/>
      <c r="BH219" s="88"/>
      <c r="BI219" s="88"/>
      <c r="BJ219" s="88"/>
    </row>
    <row r="220" spans="1:62" outlineLevel="1">
      <c r="A220" s="11">
        <f t="shared" si="14"/>
        <v>57</v>
      </c>
      <c r="B220" s="88"/>
      <c r="C220" s="88"/>
      <c r="D220" s="88"/>
      <c r="E220" s="88"/>
      <c r="F220" s="88"/>
      <c r="G220" s="88"/>
      <c r="H220" s="88"/>
      <c r="I220" s="88"/>
      <c r="J220" s="88"/>
      <c r="K220" s="88"/>
      <c r="L220" s="88"/>
      <c r="M220" s="88"/>
      <c r="N220" s="88"/>
      <c r="O220" s="88"/>
      <c r="P220" s="88"/>
      <c r="Q220" s="88"/>
      <c r="R220" s="88"/>
      <c r="S220" s="88"/>
      <c r="T220" s="88"/>
      <c r="U220" s="88"/>
      <c r="V220" s="88"/>
      <c r="W220" s="88"/>
      <c r="X220" s="88"/>
      <c r="Y220" s="88"/>
      <c r="Z220" s="88"/>
      <c r="AA220" s="88"/>
      <c r="AB220" s="88"/>
      <c r="AC220" s="88"/>
      <c r="AD220" s="88"/>
      <c r="AE220" s="88"/>
      <c r="AF220" s="88"/>
      <c r="AG220" s="88"/>
      <c r="AH220" s="88"/>
      <c r="AI220" s="88"/>
      <c r="AJ220" s="88"/>
      <c r="AK220" s="88"/>
      <c r="AL220" s="88"/>
      <c r="AM220" s="88"/>
      <c r="AN220" s="88"/>
      <c r="AO220" s="88"/>
      <c r="AP220" s="88"/>
      <c r="AQ220" s="88"/>
      <c r="AR220" s="88"/>
      <c r="AS220" s="88"/>
      <c r="AT220" s="88"/>
      <c r="AU220" s="88"/>
      <c r="AV220" s="88"/>
      <c r="AW220" s="88"/>
      <c r="AX220" s="88"/>
      <c r="AY220" s="88"/>
      <c r="AZ220" s="88"/>
      <c r="BA220" s="88"/>
      <c r="BB220" s="88"/>
      <c r="BC220" s="88"/>
      <c r="BD220" s="88"/>
      <c r="BE220" s="88"/>
      <c r="BF220" s="88"/>
      <c r="BG220" s="88"/>
      <c r="BH220" s="88"/>
      <c r="BI220" s="88"/>
      <c r="BJ220" s="88"/>
    </row>
    <row r="221" spans="1:62">
      <c r="A221" s="11">
        <f t="shared" si="14"/>
        <v>58</v>
      </c>
      <c r="B221" s="88"/>
      <c r="C221" s="88"/>
      <c r="D221" s="88"/>
      <c r="E221" s="88"/>
      <c r="F221" s="88"/>
      <c r="G221" s="88"/>
      <c r="H221" s="88"/>
      <c r="I221" s="88"/>
      <c r="J221" s="88"/>
      <c r="K221" s="88"/>
      <c r="L221" s="88"/>
      <c r="M221" s="88"/>
      <c r="N221" s="88"/>
      <c r="O221" s="88"/>
      <c r="P221" s="88"/>
      <c r="Q221" s="88"/>
      <c r="R221" s="88"/>
      <c r="S221" s="88"/>
      <c r="T221" s="88"/>
      <c r="U221" s="88"/>
      <c r="V221" s="88"/>
      <c r="W221" s="88"/>
      <c r="X221" s="88"/>
      <c r="Y221" s="88"/>
      <c r="Z221" s="88"/>
      <c r="AA221" s="88"/>
      <c r="AB221" s="88"/>
      <c r="AC221" s="88"/>
      <c r="AD221" s="88"/>
      <c r="AE221" s="88"/>
      <c r="AF221" s="88"/>
      <c r="AG221" s="88"/>
      <c r="AH221" s="88"/>
      <c r="AI221" s="88"/>
      <c r="AJ221" s="88"/>
      <c r="AK221" s="88"/>
      <c r="AL221" s="88"/>
      <c r="AM221" s="88"/>
      <c r="AN221" s="88"/>
      <c r="AO221" s="88"/>
      <c r="AP221" s="88"/>
      <c r="AQ221" s="88"/>
      <c r="AR221" s="88"/>
      <c r="AS221" s="88"/>
      <c r="AT221" s="88"/>
      <c r="AU221" s="88"/>
      <c r="AV221" s="88"/>
      <c r="AW221" s="88"/>
      <c r="AX221" s="88"/>
      <c r="AY221" s="88"/>
      <c r="AZ221" s="88"/>
      <c r="BA221" s="88"/>
      <c r="BB221" s="88"/>
      <c r="BC221" s="88"/>
      <c r="BD221" s="88"/>
      <c r="BE221" s="88"/>
      <c r="BF221" s="88"/>
      <c r="BG221" s="88"/>
      <c r="BH221" s="88"/>
      <c r="BI221" s="88"/>
      <c r="BJ221" s="88"/>
    </row>
    <row r="222" spans="1:62">
      <c r="A222" s="11">
        <f t="shared" si="14"/>
        <v>59</v>
      </c>
      <c r="B222" s="88"/>
      <c r="C222" s="88"/>
      <c r="D222" s="88"/>
      <c r="E222" s="88"/>
      <c r="F222" s="88"/>
      <c r="G222" s="88"/>
      <c r="H222" s="88"/>
      <c r="I222" s="88"/>
      <c r="J222" s="88"/>
      <c r="K222" s="88"/>
      <c r="L222" s="88"/>
      <c r="M222" s="88"/>
      <c r="N222" s="88"/>
      <c r="O222" s="88"/>
      <c r="P222" s="88"/>
      <c r="Q222" s="88"/>
      <c r="R222" s="88"/>
      <c r="S222" s="88"/>
      <c r="T222" s="88"/>
      <c r="U222" s="88"/>
      <c r="V222" s="88"/>
      <c r="W222" s="88"/>
      <c r="X222" s="88"/>
      <c r="Y222" s="88"/>
      <c r="Z222" s="88"/>
      <c r="AA222" s="88"/>
      <c r="AB222" s="88"/>
      <c r="AC222" s="88"/>
      <c r="AD222" s="88"/>
      <c r="AE222" s="88"/>
      <c r="AF222" s="88"/>
      <c r="AG222" s="88"/>
      <c r="AH222" s="88"/>
      <c r="AI222" s="88"/>
      <c r="AJ222" s="88"/>
      <c r="AK222" s="88"/>
      <c r="AL222" s="88"/>
      <c r="AM222" s="88"/>
      <c r="AN222" s="88"/>
      <c r="AO222" s="88"/>
      <c r="AP222" s="88"/>
      <c r="AQ222" s="88"/>
      <c r="AR222" s="88"/>
      <c r="AS222" s="88"/>
      <c r="AT222" s="88"/>
      <c r="AU222" s="88"/>
      <c r="AV222" s="88"/>
      <c r="AW222" s="88"/>
      <c r="AX222" s="88"/>
      <c r="AY222" s="88"/>
      <c r="AZ222" s="88"/>
      <c r="BA222" s="88"/>
      <c r="BB222" s="88"/>
      <c r="BC222" s="88"/>
      <c r="BD222" s="88"/>
      <c r="BE222" s="88"/>
      <c r="BF222" s="88"/>
      <c r="BG222" s="88"/>
      <c r="BH222" s="88"/>
      <c r="BI222" s="88"/>
      <c r="BJ222" s="88"/>
    </row>
    <row r="223" spans="1:62">
      <c r="A223" s="11">
        <f t="shared" si="14"/>
        <v>60</v>
      </c>
      <c r="B223" s="88"/>
      <c r="C223" s="88"/>
      <c r="D223" s="88"/>
      <c r="E223" s="88"/>
      <c r="F223" s="88"/>
      <c r="G223" s="88"/>
      <c r="H223" s="88"/>
      <c r="I223" s="88"/>
      <c r="J223" s="88"/>
      <c r="K223" s="88"/>
      <c r="L223" s="88"/>
      <c r="M223" s="88"/>
      <c r="N223" s="88"/>
      <c r="O223" s="88"/>
      <c r="P223" s="88"/>
      <c r="Q223" s="88"/>
      <c r="R223" s="88"/>
      <c r="S223" s="88"/>
      <c r="T223" s="88"/>
      <c r="U223" s="88"/>
      <c r="V223" s="88"/>
      <c r="W223" s="88"/>
      <c r="X223" s="88"/>
      <c r="Y223" s="88"/>
      <c r="Z223" s="88"/>
      <c r="AA223" s="88"/>
      <c r="AB223" s="88"/>
      <c r="AC223" s="88"/>
      <c r="AD223" s="88"/>
      <c r="AE223" s="88"/>
      <c r="AF223" s="88"/>
      <c r="AG223" s="88"/>
      <c r="AH223" s="88"/>
      <c r="AI223" s="88"/>
      <c r="AJ223" s="88"/>
      <c r="AK223" s="88"/>
      <c r="AL223" s="88"/>
      <c r="AM223" s="88"/>
      <c r="AN223" s="88"/>
      <c r="AO223" s="88"/>
      <c r="AP223" s="88"/>
      <c r="AQ223" s="88"/>
      <c r="AR223" s="88"/>
      <c r="AS223" s="88"/>
      <c r="AT223" s="88"/>
      <c r="AU223" s="88"/>
      <c r="AV223" s="88"/>
      <c r="AW223" s="88"/>
      <c r="AX223" s="88"/>
      <c r="AY223" s="88"/>
      <c r="AZ223" s="88"/>
      <c r="BA223" s="88"/>
      <c r="BB223" s="88"/>
      <c r="BC223" s="88"/>
      <c r="BD223" s="88"/>
      <c r="BE223" s="88"/>
      <c r="BF223" s="88"/>
      <c r="BG223" s="88"/>
      <c r="BH223" s="88"/>
      <c r="BI223" s="88"/>
      <c r="BJ223" s="88"/>
    </row>
    <row r="228" spans="1:62">
      <c r="B228" s="7" t="s">
        <v>666</v>
      </c>
      <c r="C228" s="61"/>
      <c r="D228" s="61"/>
      <c r="E228" s="61"/>
      <c r="F228" s="61"/>
      <c r="G228" s="61"/>
      <c r="H228" s="61"/>
      <c r="I228" s="61"/>
      <c r="J228" s="61"/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1"/>
      <c r="V228" s="61"/>
      <c r="W228" s="61"/>
      <c r="X228" s="61"/>
      <c r="Y228" s="61"/>
      <c r="Z228" s="61"/>
      <c r="AA228" s="61"/>
      <c r="AB228" s="61"/>
      <c r="AC228" s="61"/>
      <c r="AD228" s="61"/>
      <c r="AE228" s="61"/>
      <c r="AF228" s="61"/>
      <c r="AG228" s="61"/>
      <c r="AH228" s="61"/>
      <c r="AI228" s="61"/>
      <c r="AJ228" s="61"/>
      <c r="AK228" s="61"/>
      <c r="AL228" s="61"/>
      <c r="AM228" s="61"/>
      <c r="AN228" s="61"/>
      <c r="AO228" s="61"/>
      <c r="AP228" s="61"/>
      <c r="AQ228" s="61"/>
      <c r="AR228" s="61"/>
      <c r="AS228" s="61"/>
      <c r="AT228" s="61"/>
      <c r="AU228" s="61"/>
      <c r="AV228" s="61"/>
      <c r="AW228" s="61"/>
      <c r="AX228" s="61"/>
      <c r="AY228" s="61"/>
      <c r="AZ228" s="61"/>
      <c r="BA228" s="61"/>
      <c r="BB228" s="61"/>
      <c r="BC228" s="61"/>
      <c r="BD228" s="61"/>
      <c r="BE228" s="61"/>
      <c r="BF228" s="61"/>
    </row>
    <row r="229" spans="1:62">
      <c r="C229" s="61"/>
      <c r="D229" s="61"/>
      <c r="E229" s="61"/>
      <c r="F229" s="61"/>
      <c r="G229" s="61"/>
      <c r="H229" s="61"/>
      <c r="I229" s="61"/>
      <c r="J229" s="61"/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  <c r="V229" s="61"/>
      <c r="W229" s="61"/>
      <c r="X229" s="61"/>
      <c r="Y229" s="61"/>
      <c r="Z229" s="61"/>
      <c r="AA229" s="61"/>
      <c r="AB229" s="61"/>
      <c r="AC229" s="61"/>
      <c r="AD229" s="61"/>
      <c r="AE229" s="61"/>
      <c r="AF229" s="61"/>
      <c r="AG229" s="61"/>
      <c r="AH229" s="61"/>
      <c r="AI229" s="61"/>
      <c r="AJ229" s="61"/>
      <c r="AK229" s="61"/>
      <c r="AL229" s="61"/>
      <c r="AM229" s="61"/>
      <c r="AN229" s="61"/>
      <c r="AO229" s="61"/>
      <c r="AP229" s="61"/>
      <c r="AQ229" s="61"/>
      <c r="AR229" s="61"/>
      <c r="AS229" s="61"/>
      <c r="AT229" s="61"/>
      <c r="AU229" s="61"/>
      <c r="AV229" s="61"/>
      <c r="AW229" s="61"/>
      <c r="AX229" s="61"/>
      <c r="AY229" s="61"/>
      <c r="AZ229" s="61"/>
      <c r="BA229" s="61"/>
      <c r="BB229" s="61"/>
      <c r="BC229" s="61"/>
      <c r="BD229" s="61"/>
      <c r="BE229" s="61"/>
      <c r="BF229" s="61"/>
    </row>
    <row r="230" spans="1:62" s="13" customFormat="1">
      <c r="A230" s="21" t="s">
        <v>25</v>
      </c>
      <c r="B230" s="13">
        <f t="shared" ref="B230:AG230" si="15">B231*h</f>
        <v>0</v>
      </c>
      <c r="C230" s="13">
        <f t="shared" si="15"/>
        <v>0.5</v>
      </c>
      <c r="D230" s="13">
        <f t="shared" si="15"/>
        <v>1</v>
      </c>
      <c r="E230" s="13">
        <f t="shared" si="15"/>
        <v>1.5</v>
      </c>
      <c r="F230" s="13">
        <f t="shared" si="15"/>
        <v>2</v>
      </c>
      <c r="G230" s="13">
        <f t="shared" si="15"/>
        <v>2.5</v>
      </c>
      <c r="H230" s="13">
        <f t="shared" si="15"/>
        <v>3</v>
      </c>
      <c r="I230" s="13">
        <f t="shared" si="15"/>
        <v>3.5</v>
      </c>
      <c r="J230" s="13">
        <f t="shared" si="15"/>
        <v>4</v>
      </c>
      <c r="K230" s="13">
        <f t="shared" si="15"/>
        <v>4.5</v>
      </c>
      <c r="L230" s="13">
        <f t="shared" si="15"/>
        <v>5</v>
      </c>
      <c r="M230" s="13">
        <f t="shared" si="15"/>
        <v>5.5</v>
      </c>
      <c r="N230" s="13">
        <f t="shared" si="15"/>
        <v>6</v>
      </c>
      <c r="O230" s="13">
        <f t="shared" si="15"/>
        <v>6.5</v>
      </c>
      <c r="P230" s="13">
        <f t="shared" si="15"/>
        <v>7</v>
      </c>
      <c r="Q230" s="13">
        <f t="shared" si="15"/>
        <v>7.5</v>
      </c>
      <c r="R230" s="13">
        <f t="shared" si="15"/>
        <v>8</v>
      </c>
      <c r="S230" s="13">
        <f t="shared" si="15"/>
        <v>8.5</v>
      </c>
      <c r="T230" s="13">
        <f t="shared" si="15"/>
        <v>9</v>
      </c>
      <c r="U230" s="13">
        <f t="shared" si="15"/>
        <v>9.5</v>
      </c>
      <c r="V230" s="13">
        <f t="shared" si="15"/>
        <v>10</v>
      </c>
      <c r="W230" s="13">
        <f t="shared" si="15"/>
        <v>10.5</v>
      </c>
      <c r="X230" s="13">
        <f t="shared" si="15"/>
        <v>11</v>
      </c>
      <c r="Y230" s="13">
        <f t="shared" si="15"/>
        <v>11.5</v>
      </c>
      <c r="Z230" s="13">
        <f t="shared" si="15"/>
        <v>12</v>
      </c>
      <c r="AA230" s="13">
        <f t="shared" si="15"/>
        <v>12.5</v>
      </c>
      <c r="AB230" s="13">
        <f t="shared" si="15"/>
        <v>13</v>
      </c>
      <c r="AC230" s="13">
        <f t="shared" si="15"/>
        <v>13.5</v>
      </c>
      <c r="AD230" s="13">
        <f t="shared" si="15"/>
        <v>14</v>
      </c>
      <c r="AE230" s="13">
        <f t="shared" si="15"/>
        <v>14.5</v>
      </c>
      <c r="AF230" s="13">
        <f t="shared" si="15"/>
        <v>15</v>
      </c>
      <c r="AG230" s="13">
        <f t="shared" si="15"/>
        <v>15.5</v>
      </c>
      <c r="AH230" s="13">
        <f t="shared" ref="AH230:BJ230" si="16">AH231*h</f>
        <v>16</v>
      </c>
      <c r="AI230" s="13">
        <f t="shared" si="16"/>
        <v>16.5</v>
      </c>
      <c r="AJ230" s="13">
        <f t="shared" si="16"/>
        <v>17</v>
      </c>
      <c r="AK230" s="13">
        <f t="shared" si="16"/>
        <v>17.5</v>
      </c>
      <c r="AL230" s="13">
        <f t="shared" si="16"/>
        <v>18</v>
      </c>
      <c r="AM230" s="13">
        <f t="shared" si="16"/>
        <v>18.5</v>
      </c>
      <c r="AN230" s="13">
        <f t="shared" si="16"/>
        <v>19</v>
      </c>
      <c r="AO230" s="13">
        <f t="shared" si="16"/>
        <v>19.5</v>
      </c>
      <c r="AP230" s="13">
        <f t="shared" si="16"/>
        <v>20</v>
      </c>
      <c r="AQ230" s="13">
        <f t="shared" si="16"/>
        <v>20.5</v>
      </c>
      <c r="AR230" s="13">
        <f t="shared" si="16"/>
        <v>21</v>
      </c>
      <c r="AS230" s="13">
        <f t="shared" si="16"/>
        <v>21.5</v>
      </c>
      <c r="AT230" s="13">
        <f t="shared" si="16"/>
        <v>22</v>
      </c>
      <c r="AU230" s="13">
        <f t="shared" si="16"/>
        <v>22.5</v>
      </c>
      <c r="AV230" s="13">
        <f t="shared" si="16"/>
        <v>23</v>
      </c>
      <c r="AW230" s="13">
        <f t="shared" si="16"/>
        <v>23.5</v>
      </c>
      <c r="AX230" s="13">
        <f t="shared" si="16"/>
        <v>24</v>
      </c>
      <c r="AY230" s="13">
        <f t="shared" si="16"/>
        <v>24.5</v>
      </c>
      <c r="AZ230" s="13">
        <f t="shared" si="16"/>
        <v>25</v>
      </c>
      <c r="BA230" s="13">
        <f t="shared" si="16"/>
        <v>25.5</v>
      </c>
      <c r="BB230" s="13">
        <f t="shared" si="16"/>
        <v>26</v>
      </c>
      <c r="BC230" s="13">
        <f t="shared" si="16"/>
        <v>26.5</v>
      </c>
      <c r="BD230" s="13">
        <f t="shared" si="16"/>
        <v>27</v>
      </c>
      <c r="BE230" s="13">
        <f t="shared" si="16"/>
        <v>27.5</v>
      </c>
      <c r="BF230" s="13">
        <f t="shared" si="16"/>
        <v>28</v>
      </c>
      <c r="BG230" s="13">
        <f t="shared" si="16"/>
        <v>28.5</v>
      </c>
      <c r="BH230" s="13">
        <f t="shared" si="16"/>
        <v>29</v>
      </c>
      <c r="BI230" s="13">
        <f t="shared" si="16"/>
        <v>29.5</v>
      </c>
      <c r="BJ230" s="13">
        <f t="shared" si="16"/>
        <v>30</v>
      </c>
    </row>
    <row r="231" spans="1:62">
      <c r="A231" s="22" t="s">
        <v>18</v>
      </c>
      <c r="B231" s="3">
        <v>0</v>
      </c>
      <c r="C231" s="3">
        <f t="shared" ref="C231:AH231" si="17">B231+1</f>
        <v>1</v>
      </c>
      <c r="D231" s="3">
        <f>C231+1</f>
        <v>2</v>
      </c>
      <c r="E231" s="3">
        <f>D231+1</f>
        <v>3</v>
      </c>
      <c r="F231" s="3">
        <f t="shared" si="17"/>
        <v>4</v>
      </c>
      <c r="G231" s="3">
        <f t="shared" si="17"/>
        <v>5</v>
      </c>
      <c r="H231" s="3">
        <f t="shared" si="17"/>
        <v>6</v>
      </c>
      <c r="I231" s="3">
        <f t="shared" si="17"/>
        <v>7</v>
      </c>
      <c r="J231" s="3">
        <f t="shared" si="17"/>
        <v>8</v>
      </c>
      <c r="K231" s="3">
        <f t="shared" si="17"/>
        <v>9</v>
      </c>
      <c r="L231" s="3">
        <f t="shared" si="17"/>
        <v>10</v>
      </c>
      <c r="M231" s="3">
        <f t="shared" si="17"/>
        <v>11</v>
      </c>
      <c r="N231" s="3">
        <f t="shared" si="17"/>
        <v>12</v>
      </c>
      <c r="O231" s="3">
        <f t="shared" si="17"/>
        <v>13</v>
      </c>
      <c r="P231" s="3">
        <f t="shared" si="17"/>
        <v>14</v>
      </c>
      <c r="Q231" s="3">
        <f t="shared" si="17"/>
        <v>15</v>
      </c>
      <c r="R231" s="3">
        <f t="shared" si="17"/>
        <v>16</v>
      </c>
      <c r="S231" s="3">
        <f t="shared" si="17"/>
        <v>17</v>
      </c>
      <c r="T231" s="3">
        <f t="shared" si="17"/>
        <v>18</v>
      </c>
      <c r="U231" s="3">
        <f t="shared" si="17"/>
        <v>19</v>
      </c>
      <c r="V231" s="3">
        <f t="shared" si="17"/>
        <v>20</v>
      </c>
      <c r="W231" s="3">
        <f t="shared" si="17"/>
        <v>21</v>
      </c>
      <c r="X231" s="3">
        <f t="shared" si="17"/>
        <v>22</v>
      </c>
      <c r="Y231" s="3">
        <f t="shared" si="17"/>
        <v>23</v>
      </c>
      <c r="Z231" s="3">
        <f t="shared" si="17"/>
        <v>24</v>
      </c>
      <c r="AA231" s="3">
        <f t="shared" si="17"/>
        <v>25</v>
      </c>
      <c r="AB231" s="3">
        <f t="shared" si="17"/>
        <v>26</v>
      </c>
      <c r="AC231" s="3">
        <f t="shared" si="17"/>
        <v>27</v>
      </c>
      <c r="AD231" s="3">
        <f t="shared" si="17"/>
        <v>28</v>
      </c>
      <c r="AE231" s="3">
        <f t="shared" si="17"/>
        <v>29</v>
      </c>
      <c r="AF231" s="3">
        <f t="shared" si="17"/>
        <v>30</v>
      </c>
      <c r="AG231" s="3">
        <f t="shared" si="17"/>
        <v>31</v>
      </c>
      <c r="AH231" s="3">
        <f t="shared" si="17"/>
        <v>32</v>
      </c>
      <c r="AI231" s="3">
        <f t="shared" ref="AI231:BJ231" si="18">AH231+1</f>
        <v>33</v>
      </c>
      <c r="AJ231" s="3">
        <f t="shared" si="18"/>
        <v>34</v>
      </c>
      <c r="AK231" s="3">
        <f t="shared" si="18"/>
        <v>35</v>
      </c>
      <c r="AL231" s="3">
        <f t="shared" si="18"/>
        <v>36</v>
      </c>
      <c r="AM231" s="3">
        <f t="shared" si="18"/>
        <v>37</v>
      </c>
      <c r="AN231" s="3">
        <f t="shared" si="18"/>
        <v>38</v>
      </c>
      <c r="AO231" s="3">
        <f t="shared" si="18"/>
        <v>39</v>
      </c>
      <c r="AP231" s="3">
        <f t="shared" si="18"/>
        <v>40</v>
      </c>
      <c r="AQ231" s="3">
        <f t="shared" si="18"/>
        <v>41</v>
      </c>
      <c r="AR231" s="3">
        <f t="shared" si="18"/>
        <v>42</v>
      </c>
      <c r="AS231" s="3">
        <f t="shared" si="18"/>
        <v>43</v>
      </c>
      <c r="AT231" s="3">
        <f t="shared" si="18"/>
        <v>44</v>
      </c>
      <c r="AU231" s="3">
        <f t="shared" si="18"/>
        <v>45</v>
      </c>
      <c r="AV231" s="3">
        <f t="shared" si="18"/>
        <v>46</v>
      </c>
      <c r="AW231" s="3">
        <f t="shared" si="18"/>
        <v>47</v>
      </c>
      <c r="AX231" s="3">
        <f t="shared" si="18"/>
        <v>48</v>
      </c>
      <c r="AY231" s="3">
        <f t="shared" si="18"/>
        <v>49</v>
      </c>
      <c r="AZ231" s="3">
        <f t="shared" si="18"/>
        <v>50</v>
      </c>
      <c r="BA231" s="3">
        <f t="shared" si="18"/>
        <v>51</v>
      </c>
      <c r="BB231" s="3">
        <f t="shared" si="18"/>
        <v>52</v>
      </c>
      <c r="BC231" s="3">
        <f t="shared" si="18"/>
        <v>53</v>
      </c>
      <c r="BD231" s="3">
        <f t="shared" si="18"/>
        <v>54</v>
      </c>
      <c r="BE231" s="3">
        <f t="shared" si="18"/>
        <v>55</v>
      </c>
      <c r="BF231" s="3">
        <f t="shared" si="18"/>
        <v>56</v>
      </c>
      <c r="BG231" s="3">
        <f t="shared" si="18"/>
        <v>57</v>
      </c>
      <c r="BH231" s="3">
        <f t="shared" si="18"/>
        <v>58</v>
      </c>
      <c r="BI231" s="3">
        <f t="shared" si="18"/>
        <v>59</v>
      </c>
      <c r="BJ231" s="3">
        <f t="shared" si="18"/>
        <v>60</v>
      </c>
    </row>
    <row r="232" spans="1:62">
      <c r="A232" s="11">
        <v>0</v>
      </c>
      <c r="B232" s="88"/>
      <c r="C232" s="88"/>
      <c r="D232" s="88"/>
      <c r="E232" s="88"/>
      <c r="F232" s="88"/>
      <c r="G232" s="88"/>
      <c r="H232" s="88"/>
      <c r="I232" s="88"/>
      <c r="J232" s="88"/>
      <c r="K232" s="88"/>
      <c r="L232" s="88"/>
      <c r="M232" s="88"/>
      <c r="N232" s="88"/>
      <c r="O232" s="88"/>
      <c r="P232" s="88"/>
      <c r="Q232" s="88"/>
      <c r="R232" s="88"/>
      <c r="S232" s="88"/>
      <c r="T232" s="88"/>
      <c r="U232" s="88"/>
      <c r="V232" s="88"/>
      <c r="W232" s="88"/>
      <c r="X232" s="88"/>
      <c r="Y232" s="88"/>
      <c r="Z232" s="88"/>
      <c r="AA232" s="88"/>
      <c r="AB232" s="88"/>
      <c r="AC232" s="88"/>
      <c r="AD232" s="88"/>
      <c r="AE232" s="88"/>
      <c r="AF232" s="88"/>
      <c r="AG232" s="88"/>
      <c r="AH232" s="88"/>
      <c r="AI232" s="88"/>
      <c r="AJ232" s="88"/>
      <c r="AK232" s="88"/>
      <c r="AL232" s="88"/>
      <c r="AM232" s="88"/>
      <c r="AN232" s="88"/>
      <c r="AO232" s="88"/>
      <c r="AP232" s="88"/>
      <c r="AQ232" s="88"/>
      <c r="AR232" s="88"/>
      <c r="AS232" s="88"/>
      <c r="AT232" s="88"/>
      <c r="AU232" s="88"/>
      <c r="AV232" s="88"/>
      <c r="AW232" s="88"/>
      <c r="AX232" s="88"/>
      <c r="AY232" s="88"/>
      <c r="AZ232" s="88"/>
      <c r="BA232" s="88"/>
      <c r="BB232" s="88"/>
      <c r="BC232" s="88"/>
      <c r="BD232" s="88"/>
      <c r="BE232" s="88"/>
      <c r="BF232" s="88"/>
      <c r="BG232" s="88"/>
      <c r="BH232" s="88"/>
      <c r="BI232" s="88"/>
      <c r="BJ232" s="88"/>
    </row>
    <row r="233" spans="1:62">
      <c r="A233" s="11">
        <f t="shared" ref="A233:A264" si="19">A232+1</f>
        <v>1</v>
      </c>
      <c r="B233" s="88"/>
      <c r="C233" s="88"/>
      <c r="D233" s="88"/>
      <c r="E233" s="88"/>
      <c r="F233" s="88"/>
      <c r="G233" s="88"/>
      <c r="H233" s="88"/>
      <c r="I233" s="88"/>
      <c r="J233" s="88"/>
      <c r="K233" s="88"/>
      <c r="L233" s="88"/>
      <c r="M233" s="88"/>
      <c r="N233" s="88"/>
      <c r="O233" s="88"/>
      <c r="P233" s="88"/>
      <c r="Q233" s="88"/>
      <c r="R233" s="88"/>
      <c r="S233" s="88"/>
      <c r="T233" s="88"/>
      <c r="U233" s="88"/>
      <c r="V233" s="88"/>
      <c r="W233" s="88"/>
      <c r="X233" s="88"/>
      <c r="Y233" s="88"/>
      <c r="Z233" s="88"/>
      <c r="AA233" s="88"/>
      <c r="AB233" s="88"/>
      <c r="AC233" s="88"/>
      <c r="AD233" s="88"/>
      <c r="AE233" s="88"/>
      <c r="AF233" s="88"/>
      <c r="AG233" s="88"/>
      <c r="AH233" s="88"/>
      <c r="AI233" s="88"/>
      <c r="AJ233" s="88"/>
      <c r="AK233" s="88"/>
      <c r="AL233" s="88"/>
      <c r="AM233" s="88"/>
      <c r="AN233" s="88"/>
      <c r="AO233" s="88"/>
      <c r="AP233" s="88"/>
      <c r="AQ233" s="88"/>
      <c r="AR233" s="88"/>
      <c r="AS233" s="88"/>
      <c r="AT233" s="88"/>
      <c r="AU233" s="88"/>
      <c r="AV233" s="88"/>
      <c r="AW233" s="88"/>
      <c r="AX233" s="88"/>
      <c r="AY233" s="88"/>
      <c r="AZ233" s="88"/>
      <c r="BA233" s="88"/>
      <c r="BB233" s="88"/>
      <c r="BC233" s="88"/>
      <c r="BD233" s="88"/>
      <c r="BE233" s="88"/>
      <c r="BF233" s="88"/>
      <c r="BG233" s="88"/>
      <c r="BH233" s="88"/>
      <c r="BI233" s="88"/>
      <c r="BJ233" s="88"/>
    </row>
    <row r="234" spans="1:62">
      <c r="A234" s="11">
        <f t="shared" si="19"/>
        <v>2</v>
      </c>
      <c r="B234" s="88"/>
      <c r="C234" s="88"/>
      <c r="D234" s="88"/>
      <c r="E234" s="88"/>
      <c r="F234" s="88"/>
      <c r="G234" s="88"/>
      <c r="H234" s="88"/>
      <c r="I234" s="88"/>
      <c r="J234" s="88"/>
      <c r="K234" s="88"/>
      <c r="L234" s="88"/>
      <c r="M234" s="88"/>
      <c r="N234" s="88"/>
      <c r="O234" s="88"/>
      <c r="P234" s="88"/>
      <c r="Q234" s="88"/>
      <c r="R234" s="88"/>
      <c r="S234" s="88"/>
      <c r="T234" s="88"/>
      <c r="U234" s="88"/>
      <c r="V234" s="88"/>
      <c r="W234" s="88"/>
      <c r="X234" s="88"/>
      <c r="Y234" s="88"/>
      <c r="Z234" s="88"/>
      <c r="AA234" s="88"/>
      <c r="AB234" s="88"/>
      <c r="AC234" s="88"/>
      <c r="AD234" s="88"/>
      <c r="AE234" s="88"/>
      <c r="AF234" s="88"/>
      <c r="AG234" s="88"/>
      <c r="AH234" s="88"/>
      <c r="AI234" s="88"/>
      <c r="AJ234" s="88"/>
      <c r="AK234" s="88"/>
      <c r="AL234" s="88"/>
      <c r="AM234" s="88"/>
      <c r="AN234" s="88"/>
      <c r="AO234" s="88"/>
      <c r="AP234" s="88"/>
      <c r="AQ234" s="88"/>
      <c r="AR234" s="88"/>
      <c r="AS234" s="88"/>
      <c r="AT234" s="88"/>
      <c r="AU234" s="88"/>
      <c r="AV234" s="88"/>
      <c r="AW234" s="88"/>
      <c r="AX234" s="88"/>
      <c r="AY234" s="88"/>
      <c r="AZ234" s="88"/>
      <c r="BA234" s="88"/>
      <c r="BB234" s="88"/>
      <c r="BC234" s="88"/>
      <c r="BD234" s="88"/>
      <c r="BE234" s="88"/>
      <c r="BF234" s="88"/>
      <c r="BG234" s="88"/>
      <c r="BH234" s="88"/>
      <c r="BI234" s="88"/>
      <c r="BJ234" s="88"/>
    </row>
    <row r="235" spans="1:62" outlineLevel="1">
      <c r="A235" s="11">
        <f t="shared" si="19"/>
        <v>3</v>
      </c>
      <c r="B235" s="88"/>
      <c r="C235" s="88"/>
      <c r="D235" s="88"/>
      <c r="E235" s="88"/>
      <c r="F235" s="88"/>
      <c r="G235" s="88"/>
      <c r="H235" s="88"/>
      <c r="I235" s="88"/>
      <c r="J235" s="88"/>
      <c r="K235" s="88"/>
      <c r="L235" s="88"/>
      <c r="M235" s="88"/>
      <c r="N235" s="88"/>
      <c r="O235" s="88"/>
      <c r="P235" s="88"/>
      <c r="Q235" s="88"/>
      <c r="R235" s="88"/>
      <c r="S235" s="88"/>
      <c r="T235" s="88"/>
      <c r="U235" s="88"/>
      <c r="V235" s="88"/>
      <c r="W235" s="88"/>
      <c r="X235" s="88"/>
      <c r="Y235" s="88"/>
      <c r="Z235" s="88"/>
      <c r="AA235" s="88"/>
      <c r="AB235" s="88"/>
      <c r="AC235" s="88"/>
      <c r="AD235" s="88"/>
      <c r="AE235" s="88"/>
      <c r="AF235" s="88"/>
      <c r="AG235" s="88"/>
      <c r="AH235" s="88"/>
      <c r="AI235" s="88"/>
      <c r="AJ235" s="88"/>
      <c r="AK235" s="88"/>
      <c r="AL235" s="88"/>
      <c r="AM235" s="88"/>
      <c r="AN235" s="88"/>
      <c r="AO235" s="88"/>
      <c r="AP235" s="88"/>
      <c r="AQ235" s="88"/>
      <c r="AR235" s="88"/>
      <c r="AS235" s="88"/>
      <c r="AT235" s="88"/>
      <c r="AU235" s="88"/>
      <c r="AV235" s="88"/>
      <c r="AW235" s="88"/>
      <c r="AX235" s="88"/>
      <c r="AY235" s="88"/>
      <c r="AZ235" s="88"/>
      <c r="BA235" s="88"/>
      <c r="BB235" s="88"/>
      <c r="BC235" s="88"/>
      <c r="BD235" s="88"/>
      <c r="BE235" s="88"/>
      <c r="BF235" s="88"/>
      <c r="BG235" s="88"/>
      <c r="BH235" s="88"/>
      <c r="BI235" s="88"/>
      <c r="BJ235" s="88"/>
    </row>
    <row r="236" spans="1:62" outlineLevel="1">
      <c r="A236" s="11">
        <f t="shared" si="19"/>
        <v>4</v>
      </c>
      <c r="B236" s="88"/>
      <c r="C236" s="88"/>
      <c r="D236" s="88"/>
      <c r="E236" s="88"/>
      <c r="F236" s="88"/>
      <c r="G236" s="88"/>
      <c r="H236" s="88"/>
      <c r="I236" s="88"/>
      <c r="J236" s="88"/>
      <c r="K236" s="88"/>
      <c r="L236" s="88"/>
      <c r="M236" s="88"/>
      <c r="N236" s="88"/>
      <c r="O236" s="88"/>
      <c r="P236" s="88"/>
      <c r="Q236" s="88"/>
      <c r="R236" s="88"/>
      <c r="S236" s="88"/>
      <c r="T236" s="88"/>
      <c r="U236" s="88"/>
      <c r="V236" s="88"/>
      <c r="W236" s="88"/>
      <c r="X236" s="88"/>
      <c r="Y236" s="88"/>
      <c r="Z236" s="88"/>
      <c r="AA236" s="88"/>
      <c r="AB236" s="88"/>
      <c r="AC236" s="88"/>
      <c r="AD236" s="88"/>
      <c r="AE236" s="88"/>
      <c r="AF236" s="88"/>
      <c r="AG236" s="88"/>
      <c r="AH236" s="88"/>
      <c r="AI236" s="88"/>
      <c r="AJ236" s="88"/>
      <c r="AK236" s="88"/>
      <c r="AL236" s="88"/>
      <c r="AM236" s="88"/>
      <c r="AN236" s="88"/>
      <c r="AO236" s="88"/>
      <c r="AP236" s="88"/>
      <c r="AQ236" s="88"/>
      <c r="AR236" s="88"/>
      <c r="AS236" s="88"/>
      <c r="AT236" s="88"/>
      <c r="AU236" s="88"/>
      <c r="AV236" s="88"/>
      <c r="AW236" s="88"/>
      <c r="AX236" s="88"/>
      <c r="AY236" s="88"/>
      <c r="AZ236" s="88"/>
      <c r="BA236" s="88"/>
      <c r="BB236" s="88"/>
      <c r="BC236" s="88"/>
      <c r="BD236" s="88"/>
      <c r="BE236" s="88"/>
      <c r="BF236" s="88"/>
      <c r="BG236" s="88"/>
      <c r="BH236" s="88"/>
      <c r="BI236" s="88"/>
      <c r="BJ236" s="88"/>
    </row>
    <row r="237" spans="1:62" outlineLevel="1">
      <c r="A237" s="11">
        <f t="shared" si="19"/>
        <v>5</v>
      </c>
      <c r="B237" s="88"/>
      <c r="C237" s="88"/>
      <c r="D237" s="88"/>
      <c r="E237" s="88"/>
      <c r="F237" s="88"/>
      <c r="G237" s="88"/>
      <c r="H237" s="88"/>
      <c r="I237" s="88"/>
      <c r="J237" s="88"/>
      <c r="K237" s="88"/>
      <c r="L237" s="88"/>
      <c r="M237" s="88"/>
      <c r="N237" s="88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88"/>
      <c r="AL237" s="88"/>
      <c r="AM237" s="88"/>
      <c r="AN237" s="88"/>
      <c r="AO237" s="88"/>
      <c r="AP237" s="88"/>
      <c r="AQ237" s="88"/>
      <c r="AR237" s="88"/>
      <c r="AS237" s="88"/>
      <c r="AT237" s="88"/>
      <c r="AU237" s="88"/>
      <c r="AV237" s="88"/>
      <c r="AW237" s="88"/>
      <c r="AX237" s="88"/>
      <c r="AY237" s="88"/>
      <c r="AZ237" s="88"/>
      <c r="BA237" s="88"/>
      <c r="BB237" s="88"/>
      <c r="BC237" s="88"/>
      <c r="BD237" s="88"/>
      <c r="BE237" s="88"/>
      <c r="BF237" s="88"/>
      <c r="BG237" s="88"/>
      <c r="BH237" s="88"/>
      <c r="BI237" s="88"/>
      <c r="BJ237" s="88"/>
    </row>
    <row r="238" spans="1:62" outlineLevel="1">
      <c r="A238" s="11">
        <f t="shared" si="19"/>
        <v>6</v>
      </c>
      <c r="B238" s="88"/>
      <c r="C238" s="88"/>
      <c r="D238" s="88"/>
      <c r="E238" s="88"/>
      <c r="F238" s="88"/>
      <c r="G238" s="88"/>
      <c r="H238" s="88"/>
      <c r="I238" s="88"/>
      <c r="J238" s="88"/>
      <c r="K238" s="88"/>
      <c r="L238" s="88"/>
      <c r="M238" s="88"/>
      <c r="N238" s="88"/>
      <c r="O238" s="88"/>
      <c r="P238" s="88"/>
      <c r="Q238" s="88"/>
      <c r="R238" s="88"/>
      <c r="S238" s="88"/>
      <c r="T238" s="88"/>
      <c r="U238" s="88"/>
      <c r="V238" s="88"/>
      <c r="W238" s="88"/>
      <c r="X238" s="88"/>
      <c r="Y238" s="88"/>
      <c r="Z238" s="88"/>
      <c r="AA238" s="88"/>
      <c r="AB238" s="88"/>
      <c r="AC238" s="88"/>
      <c r="AD238" s="88"/>
      <c r="AE238" s="88"/>
      <c r="AF238" s="88"/>
      <c r="AG238" s="88"/>
      <c r="AH238" s="88"/>
      <c r="AI238" s="88"/>
      <c r="AJ238" s="88"/>
      <c r="AK238" s="88"/>
      <c r="AL238" s="88"/>
      <c r="AM238" s="88"/>
      <c r="AN238" s="88"/>
      <c r="AO238" s="88"/>
      <c r="AP238" s="88"/>
      <c r="AQ238" s="88"/>
      <c r="AR238" s="88"/>
      <c r="AS238" s="88"/>
      <c r="AT238" s="88"/>
      <c r="AU238" s="88"/>
      <c r="AV238" s="88"/>
      <c r="AW238" s="88"/>
      <c r="AX238" s="88"/>
      <c r="AY238" s="88"/>
      <c r="AZ238" s="88"/>
      <c r="BA238" s="88"/>
      <c r="BB238" s="88"/>
      <c r="BC238" s="88"/>
      <c r="BD238" s="88"/>
      <c r="BE238" s="88"/>
      <c r="BF238" s="88"/>
      <c r="BG238" s="88"/>
      <c r="BH238" s="88"/>
      <c r="BI238" s="88"/>
      <c r="BJ238" s="88"/>
    </row>
    <row r="239" spans="1:62" outlineLevel="1">
      <c r="A239" s="11">
        <f t="shared" si="19"/>
        <v>7</v>
      </c>
      <c r="B239" s="88"/>
      <c r="C239" s="88"/>
      <c r="D239" s="88"/>
      <c r="E239" s="88"/>
      <c r="F239" s="88"/>
      <c r="G239" s="88"/>
      <c r="H239" s="88"/>
      <c r="I239" s="88"/>
      <c r="J239" s="88"/>
      <c r="K239" s="88"/>
      <c r="L239" s="88"/>
      <c r="M239" s="88"/>
      <c r="N239" s="88"/>
      <c r="O239" s="88"/>
      <c r="P239" s="88"/>
      <c r="Q239" s="88"/>
      <c r="R239" s="88"/>
      <c r="S239" s="88"/>
      <c r="T239" s="88"/>
      <c r="U239" s="88"/>
      <c r="V239" s="88"/>
      <c r="W239" s="88"/>
      <c r="X239" s="88"/>
      <c r="Y239" s="88"/>
      <c r="Z239" s="88"/>
      <c r="AA239" s="88"/>
      <c r="AB239" s="88"/>
      <c r="AC239" s="88"/>
      <c r="AD239" s="88"/>
      <c r="AE239" s="88"/>
      <c r="AF239" s="88"/>
      <c r="AG239" s="88"/>
      <c r="AH239" s="88"/>
      <c r="AI239" s="88"/>
      <c r="AJ239" s="88"/>
      <c r="AK239" s="88"/>
      <c r="AL239" s="88"/>
      <c r="AM239" s="88"/>
      <c r="AN239" s="88"/>
      <c r="AO239" s="88"/>
      <c r="AP239" s="88"/>
      <c r="AQ239" s="88"/>
      <c r="AR239" s="88"/>
      <c r="AS239" s="88"/>
      <c r="AT239" s="88"/>
      <c r="AU239" s="88"/>
      <c r="AV239" s="88"/>
      <c r="AW239" s="88"/>
      <c r="AX239" s="88"/>
      <c r="AY239" s="88"/>
      <c r="AZ239" s="88"/>
      <c r="BA239" s="88"/>
      <c r="BB239" s="88"/>
      <c r="BC239" s="88"/>
      <c r="BD239" s="88"/>
      <c r="BE239" s="88"/>
      <c r="BF239" s="88"/>
      <c r="BG239" s="88"/>
      <c r="BH239" s="88"/>
      <c r="BI239" s="88"/>
      <c r="BJ239" s="88"/>
    </row>
    <row r="240" spans="1:62" outlineLevel="1">
      <c r="A240" s="11">
        <f t="shared" si="19"/>
        <v>8</v>
      </c>
      <c r="B240" s="88"/>
      <c r="C240" s="88"/>
      <c r="D240" s="88"/>
      <c r="E240" s="88"/>
      <c r="F240" s="88"/>
      <c r="G240" s="88"/>
      <c r="H240" s="88"/>
      <c r="I240" s="88"/>
      <c r="J240" s="88"/>
      <c r="K240" s="88"/>
      <c r="L240" s="88"/>
      <c r="M240" s="88"/>
      <c r="N240" s="88"/>
      <c r="O240" s="88"/>
      <c r="P240" s="88"/>
      <c r="Q240" s="88"/>
      <c r="R240" s="88"/>
      <c r="S240" s="88"/>
      <c r="T240" s="88"/>
      <c r="U240" s="88"/>
      <c r="V240" s="88"/>
      <c r="W240" s="88"/>
      <c r="X240" s="88"/>
      <c r="Y240" s="88"/>
      <c r="Z240" s="88"/>
      <c r="AA240" s="88"/>
      <c r="AB240" s="88"/>
      <c r="AC240" s="88"/>
      <c r="AD240" s="88"/>
      <c r="AE240" s="88"/>
      <c r="AF240" s="88"/>
      <c r="AG240" s="88"/>
      <c r="AH240" s="88"/>
      <c r="AI240" s="88"/>
      <c r="AJ240" s="88"/>
      <c r="AK240" s="88"/>
      <c r="AL240" s="88"/>
      <c r="AM240" s="88"/>
      <c r="AN240" s="88"/>
      <c r="AO240" s="88"/>
      <c r="AP240" s="88"/>
      <c r="AQ240" s="88"/>
      <c r="AR240" s="88"/>
      <c r="AS240" s="88"/>
      <c r="AT240" s="88"/>
      <c r="AU240" s="88"/>
      <c r="AV240" s="88"/>
      <c r="AW240" s="88"/>
      <c r="AX240" s="88"/>
      <c r="AY240" s="88"/>
      <c r="AZ240" s="88"/>
      <c r="BA240" s="88"/>
      <c r="BB240" s="88"/>
      <c r="BC240" s="88"/>
      <c r="BD240" s="88"/>
      <c r="BE240" s="88"/>
      <c r="BF240" s="88"/>
      <c r="BG240" s="88"/>
      <c r="BH240" s="88"/>
      <c r="BI240" s="88"/>
      <c r="BJ240" s="88"/>
    </row>
    <row r="241" spans="1:62" outlineLevel="1">
      <c r="A241" s="11">
        <f t="shared" si="19"/>
        <v>9</v>
      </c>
      <c r="B241" s="88"/>
      <c r="C241" s="88"/>
      <c r="D241" s="88"/>
      <c r="E241" s="88"/>
      <c r="F241" s="88"/>
      <c r="G241" s="88"/>
      <c r="H241" s="88"/>
      <c r="I241" s="88"/>
      <c r="J241" s="88"/>
      <c r="K241" s="88"/>
      <c r="L241" s="88"/>
      <c r="M241" s="88"/>
      <c r="N241" s="88"/>
      <c r="O241" s="88"/>
      <c r="P241" s="88"/>
      <c r="Q241" s="88"/>
      <c r="R241" s="88"/>
      <c r="S241" s="88"/>
      <c r="T241" s="88"/>
      <c r="U241" s="88"/>
      <c r="V241" s="88"/>
      <c r="W241" s="88"/>
      <c r="X241" s="88"/>
      <c r="Y241" s="88"/>
      <c r="Z241" s="88"/>
      <c r="AA241" s="88"/>
      <c r="AB241" s="88"/>
      <c r="AC241" s="88"/>
      <c r="AD241" s="88"/>
      <c r="AE241" s="88"/>
      <c r="AF241" s="88"/>
      <c r="AG241" s="88"/>
      <c r="AH241" s="88"/>
      <c r="AI241" s="88"/>
      <c r="AJ241" s="88"/>
      <c r="AK241" s="88"/>
      <c r="AL241" s="88"/>
      <c r="AM241" s="88"/>
      <c r="AN241" s="88"/>
      <c r="AO241" s="88"/>
      <c r="AP241" s="88"/>
      <c r="AQ241" s="88"/>
      <c r="AR241" s="88"/>
      <c r="AS241" s="88"/>
      <c r="AT241" s="88"/>
      <c r="AU241" s="88"/>
      <c r="AV241" s="88"/>
      <c r="AW241" s="88"/>
      <c r="AX241" s="88"/>
      <c r="AY241" s="88"/>
      <c r="AZ241" s="88"/>
      <c r="BA241" s="88"/>
      <c r="BB241" s="88"/>
      <c r="BC241" s="88"/>
      <c r="BD241" s="88"/>
      <c r="BE241" s="88"/>
      <c r="BF241" s="88"/>
      <c r="BG241" s="88"/>
      <c r="BH241" s="88"/>
      <c r="BI241" s="88"/>
      <c r="BJ241" s="88"/>
    </row>
    <row r="242" spans="1:62" outlineLevel="1">
      <c r="A242" s="11">
        <f t="shared" si="19"/>
        <v>10</v>
      </c>
      <c r="B242" s="88"/>
      <c r="C242" s="88"/>
      <c r="D242" s="88"/>
      <c r="E242" s="88"/>
      <c r="F242" s="88"/>
      <c r="G242" s="88"/>
      <c r="H242" s="88"/>
      <c r="I242" s="88"/>
      <c r="J242" s="88"/>
      <c r="K242" s="88"/>
      <c r="L242" s="88"/>
      <c r="M242" s="88"/>
      <c r="N242" s="88"/>
      <c r="O242" s="88"/>
      <c r="P242" s="88"/>
      <c r="Q242" s="88"/>
      <c r="R242" s="88"/>
      <c r="S242" s="88"/>
      <c r="T242" s="88"/>
      <c r="U242" s="88"/>
      <c r="V242" s="88"/>
      <c r="W242" s="88"/>
      <c r="X242" s="88"/>
      <c r="Y242" s="88"/>
      <c r="Z242" s="88"/>
      <c r="AA242" s="88"/>
      <c r="AB242" s="88"/>
      <c r="AC242" s="88"/>
      <c r="AD242" s="88"/>
      <c r="AE242" s="88"/>
      <c r="AF242" s="88"/>
      <c r="AG242" s="88"/>
      <c r="AH242" s="88"/>
      <c r="AI242" s="88"/>
      <c r="AJ242" s="88"/>
      <c r="AK242" s="88"/>
      <c r="AL242" s="88"/>
      <c r="AM242" s="88"/>
      <c r="AN242" s="88"/>
      <c r="AO242" s="88"/>
      <c r="AP242" s="88"/>
      <c r="AQ242" s="88"/>
      <c r="AR242" s="88"/>
      <c r="AS242" s="88"/>
      <c r="AT242" s="88"/>
      <c r="AU242" s="88"/>
      <c r="AV242" s="88"/>
      <c r="AW242" s="88"/>
      <c r="AX242" s="88"/>
      <c r="AY242" s="88"/>
      <c r="AZ242" s="88"/>
      <c r="BA242" s="88"/>
      <c r="BB242" s="88"/>
      <c r="BC242" s="88"/>
      <c r="BD242" s="88"/>
      <c r="BE242" s="88"/>
      <c r="BF242" s="88"/>
      <c r="BG242" s="88"/>
      <c r="BH242" s="88"/>
      <c r="BI242" s="88"/>
      <c r="BJ242" s="88"/>
    </row>
    <row r="243" spans="1:62" outlineLevel="1">
      <c r="A243" s="11">
        <f t="shared" si="19"/>
        <v>11</v>
      </c>
      <c r="B243" s="88"/>
      <c r="C243" s="88"/>
      <c r="D243" s="88"/>
      <c r="E243" s="88"/>
      <c r="F243" s="88"/>
      <c r="G243" s="88"/>
      <c r="H243" s="88"/>
      <c r="I243" s="88"/>
      <c r="J243" s="88"/>
      <c r="K243" s="88"/>
      <c r="L243" s="88"/>
      <c r="M243" s="88"/>
      <c r="N243" s="88"/>
      <c r="O243" s="88"/>
      <c r="P243" s="88"/>
      <c r="Q243" s="88"/>
      <c r="R243" s="88"/>
      <c r="S243" s="88"/>
      <c r="T243" s="88"/>
      <c r="U243" s="88"/>
      <c r="V243" s="88"/>
      <c r="W243" s="88"/>
      <c r="X243" s="88"/>
      <c r="Y243" s="88"/>
      <c r="Z243" s="88"/>
      <c r="AA243" s="88"/>
      <c r="AB243" s="88"/>
      <c r="AC243" s="88"/>
      <c r="AD243" s="88"/>
      <c r="AE243" s="88"/>
      <c r="AF243" s="88"/>
      <c r="AG243" s="88"/>
      <c r="AH243" s="88"/>
      <c r="AI243" s="88"/>
      <c r="AJ243" s="88"/>
      <c r="AK243" s="88"/>
      <c r="AL243" s="88"/>
      <c r="AM243" s="88"/>
      <c r="AN243" s="88"/>
      <c r="AO243" s="88"/>
      <c r="AP243" s="88"/>
      <c r="AQ243" s="88"/>
      <c r="AR243" s="88"/>
      <c r="AS243" s="88"/>
      <c r="AT243" s="88"/>
      <c r="AU243" s="88"/>
      <c r="AV243" s="88"/>
      <c r="AW243" s="88"/>
      <c r="AX243" s="88"/>
      <c r="AY243" s="88"/>
      <c r="AZ243" s="88"/>
      <c r="BA243" s="88"/>
      <c r="BB243" s="88"/>
      <c r="BC243" s="88"/>
      <c r="BD243" s="88"/>
      <c r="BE243" s="88"/>
      <c r="BF243" s="88"/>
      <c r="BG243" s="88"/>
      <c r="BH243" s="88"/>
      <c r="BI243" s="88"/>
      <c r="BJ243" s="88"/>
    </row>
    <row r="244" spans="1:62" outlineLevel="1">
      <c r="A244" s="11">
        <f t="shared" si="19"/>
        <v>12</v>
      </c>
      <c r="B244" s="88"/>
      <c r="C244" s="88"/>
      <c r="D244" s="88"/>
      <c r="E244" s="88"/>
      <c r="F244" s="88"/>
      <c r="G244" s="88"/>
      <c r="H244" s="88"/>
      <c r="I244" s="88"/>
      <c r="J244" s="88"/>
      <c r="K244" s="88"/>
      <c r="L244" s="88"/>
      <c r="M244" s="88"/>
      <c r="N244" s="88"/>
      <c r="O244" s="88"/>
      <c r="P244" s="88"/>
      <c r="Q244" s="88"/>
      <c r="R244" s="88"/>
      <c r="S244" s="88"/>
      <c r="T244" s="88"/>
      <c r="U244" s="88"/>
      <c r="V244" s="88"/>
      <c r="W244" s="88"/>
      <c r="X244" s="88"/>
      <c r="Y244" s="88"/>
      <c r="Z244" s="88"/>
      <c r="AA244" s="88"/>
      <c r="AB244" s="88"/>
      <c r="AC244" s="88"/>
      <c r="AD244" s="88"/>
      <c r="AE244" s="88"/>
      <c r="AF244" s="88"/>
      <c r="AG244" s="88"/>
      <c r="AH244" s="88"/>
      <c r="AI244" s="88"/>
      <c r="AJ244" s="88"/>
      <c r="AK244" s="88"/>
      <c r="AL244" s="88"/>
      <c r="AM244" s="88"/>
      <c r="AN244" s="88"/>
      <c r="AO244" s="88"/>
      <c r="AP244" s="88"/>
      <c r="AQ244" s="88"/>
      <c r="AR244" s="88"/>
      <c r="AS244" s="88"/>
      <c r="AT244" s="88"/>
      <c r="AU244" s="88"/>
      <c r="AV244" s="88"/>
      <c r="AW244" s="88"/>
      <c r="AX244" s="88"/>
      <c r="AY244" s="88"/>
      <c r="AZ244" s="88"/>
      <c r="BA244" s="88"/>
      <c r="BB244" s="88"/>
      <c r="BC244" s="88"/>
      <c r="BD244" s="88"/>
      <c r="BE244" s="88"/>
      <c r="BF244" s="88"/>
      <c r="BG244" s="88"/>
      <c r="BH244" s="88"/>
      <c r="BI244" s="88"/>
      <c r="BJ244" s="88"/>
    </row>
    <row r="245" spans="1:62" outlineLevel="1">
      <c r="A245" s="11">
        <f t="shared" si="19"/>
        <v>13</v>
      </c>
      <c r="B245" s="88"/>
      <c r="C245" s="88"/>
      <c r="D245" s="88"/>
      <c r="E245" s="88"/>
      <c r="F245" s="88"/>
      <c r="G245" s="88"/>
      <c r="H245" s="88"/>
      <c r="I245" s="88"/>
      <c r="J245" s="88"/>
      <c r="K245" s="88"/>
      <c r="L245" s="88"/>
      <c r="M245" s="88"/>
      <c r="N245" s="88"/>
      <c r="O245" s="88"/>
      <c r="P245" s="88"/>
      <c r="Q245" s="88"/>
      <c r="R245" s="88"/>
      <c r="S245" s="88"/>
      <c r="T245" s="88"/>
      <c r="U245" s="88"/>
      <c r="V245" s="88"/>
      <c r="W245" s="88"/>
      <c r="X245" s="88"/>
      <c r="Y245" s="88"/>
      <c r="Z245" s="88"/>
      <c r="AA245" s="88"/>
      <c r="AB245" s="88"/>
      <c r="AC245" s="88"/>
      <c r="AD245" s="88"/>
      <c r="AE245" s="88"/>
      <c r="AF245" s="88"/>
      <c r="AG245" s="88"/>
      <c r="AH245" s="88"/>
      <c r="AI245" s="88"/>
      <c r="AJ245" s="88"/>
      <c r="AK245" s="88"/>
      <c r="AL245" s="88"/>
      <c r="AM245" s="88"/>
      <c r="AN245" s="88"/>
      <c r="AO245" s="88"/>
      <c r="AP245" s="88"/>
      <c r="AQ245" s="88"/>
      <c r="AR245" s="88"/>
      <c r="AS245" s="88"/>
      <c r="AT245" s="88"/>
      <c r="AU245" s="88"/>
      <c r="AV245" s="88"/>
      <c r="AW245" s="88"/>
      <c r="AX245" s="88"/>
      <c r="AY245" s="88"/>
      <c r="AZ245" s="88"/>
      <c r="BA245" s="88"/>
      <c r="BB245" s="88"/>
      <c r="BC245" s="88"/>
      <c r="BD245" s="88"/>
      <c r="BE245" s="88"/>
      <c r="BF245" s="88"/>
      <c r="BG245" s="88"/>
      <c r="BH245" s="88"/>
      <c r="BI245" s="88"/>
      <c r="BJ245" s="88"/>
    </row>
    <row r="246" spans="1:62" outlineLevel="1">
      <c r="A246" s="11">
        <f t="shared" si="19"/>
        <v>14</v>
      </c>
      <c r="B246" s="88"/>
      <c r="C246" s="88"/>
      <c r="D246" s="88"/>
      <c r="E246" s="88"/>
      <c r="F246" s="88"/>
      <c r="G246" s="88"/>
      <c r="H246" s="88"/>
      <c r="I246" s="88"/>
      <c r="J246" s="88"/>
      <c r="K246" s="88"/>
      <c r="L246" s="88"/>
      <c r="M246" s="88"/>
      <c r="N246" s="88"/>
      <c r="O246" s="88"/>
      <c r="P246" s="88"/>
      <c r="Q246" s="88"/>
      <c r="R246" s="88"/>
      <c r="S246" s="88"/>
      <c r="T246" s="88"/>
      <c r="U246" s="88"/>
      <c r="V246" s="88"/>
      <c r="W246" s="88"/>
      <c r="X246" s="88"/>
      <c r="Y246" s="88"/>
      <c r="Z246" s="88"/>
      <c r="AA246" s="88"/>
      <c r="AB246" s="88"/>
      <c r="AC246" s="88"/>
      <c r="AD246" s="88"/>
      <c r="AE246" s="88"/>
      <c r="AF246" s="88"/>
      <c r="AG246" s="88"/>
      <c r="AH246" s="88"/>
      <c r="AI246" s="88"/>
      <c r="AJ246" s="88"/>
      <c r="AK246" s="88"/>
      <c r="AL246" s="88"/>
      <c r="AM246" s="88"/>
      <c r="AN246" s="88"/>
      <c r="AO246" s="88"/>
      <c r="AP246" s="88"/>
      <c r="AQ246" s="88"/>
      <c r="AR246" s="88"/>
      <c r="AS246" s="88"/>
      <c r="AT246" s="88"/>
      <c r="AU246" s="88"/>
      <c r="AV246" s="88"/>
      <c r="AW246" s="88"/>
      <c r="AX246" s="88"/>
      <c r="AY246" s="88"/>
      <c r="AZ246" s="88"/>
      <c r="BA246" s="88"/>
      <c r="BB246" s="88"/>
      <c r="BC246" s="88"/>
      <c r="BD246" s="88"/>
      <c r="BE246" s="88"/>
      <c r="BF246" s="88"/>
      <c r="BG246" s="88"/>
      <c r="BH246" s="88"/>
      <c r="BI246" s="88"/>
      <c r="BJ246" s="88"/>
    </row>
    <row r="247" spans="1:62" outlineLevel="1">
      <c r="A247" s="11">
        <f t="shared" si="19"/>
        <v>15</v>
      </c>
      <c r="B247" s="88"/>
      <c r="C247" s="88"/>
      <c r="D247" s="88"/>
      <c r="E247" s="88"/>
      <c r="F247" s="88"/>
      <c r="G247" s="88"/>
      <c r="H247" s="88"/>
      <c r="I247" s="88"/>
      <c r="J247" s="88"/>
      <c r="K247" s="88"/>
      <c r="L247" s="88"/>
      <c r="M247" s="88"/>
      <c r="N247" s="88"/>
      <c r="O247" s="88"/>
      <c r="P247" s="88"/>
      <c r="Q247" s="88"/>
      <c r="R247" s="88"/>
      <c r="S247" s="88"/>
      <c r="T247" s="88"/>
      <c r="U247" s="88"/>
      <c r="V247" s="88"/>
      <c r="W247" s="88"/>
      <c r="X247" s="88"/>
      <c r="Y247" s="88"/>
      <c r="Z247" s="88"/>
      <c r="AA247" s="88"/>
      <c r="AB247" s="88"/>
      <c r="AC247" s="88"/>
      <c r="AD247" s="88"/>
      <c r="AE247" s="88"/>
      <c r="AF247" s="88"/>
      <c r="AG247" s="88"/>
      <c r="AH247" s="88"/>
      <c r="AI247" s="88"/>
      <c r="AJ247" s="88"/>
      <c r="AK247" s="88"/>
      <c r="AL247" s="88"/>
      <c r="AM247" s="88"/>
      <c r="AN247" s="88"/>
      <c r="AO247" s="88"/>
      <c r="AP247" s="88"/>
      <c r="AQ247" s="88"/>
      <c r="AR247" s="88"/>
      <c r="AS247" s="88"/>
      <c r="AT247" s="88"/>
      <c r="AU247" s="88"/>
      <c r="AV247" s="88"/>
      <c r="AW247" s="88"/>
      <c r="AX247" s="88"/>
      <c r="AY247" s="88"/>
      <c r="AZ247" s="88"/>
      <c r="BA247" s="88"/>
      <c r="BB247" s="88"/>
      <c r="BC247" s="88"/>
      <c r="BD247" s="88"/>
      <c r="BE247" s="88"/>
      <c r="BF247" s="88"/>
      <c r="BG247" s="88"/>
      <c r="BH247" s="88"/>
      <c r="BI247" s="88"/>
      <c r="BJ247" s="88"/>
    </row>
    <row r="248" spans="1:62" outlineLevel="1">
      <c r="A248" s="11">
        <f t="shared" si="19"/>
        <v>16</v>
      </c>
      <c r="B248" s="88"/>
      <c r="C248" s="88"/>
      <c r="D248" s="88"/>
      <c r="E248" s="88"/>
      <c r="F248" s="88"/>
      <c r="G248" s="88"/>
      <c r="H248" s="88"/>
      <c r="I248" s="88"/>
      <c r="J248" s="88"/>
      <c r="K248" s="88"/>
      <c r="L248" s="88"/>
      <c r="M248" s="88"/>
      <c r="N248" s="88"/>
      <c r="O248" s="88"/>
      <c r="P248" s="88"/>
      <c r="Q248" s="88"/>
      <c r="R248" s="88"/>
      <c r="S248" s="88"/>
      <c r="T248" s="88"/>
      <c r="U248" s="88"/>
      <c r="V248" s="88"/>
      <c r="W248" s="88"/>
      <c r="X248" s="88"/>
      <c r="Y248" s="88"/>
      <c r="Z248" s="88"/>
      <c r="AA248" s="88"/>
      <c r="AB248" s="88"/>
      <c r="AC248" s="88"/>
      <c r="AD248" s="88"/>
      <c r="AE248" s="88"/>
      <c r="AF248" s="88"/>
      <c r="AG248" s="88"/>
      <c r="AH248" s="88"/>
      <c r="AI248" s="88"/>
      <c r="AJ248" s="88"/>
      <c r="AK248" s="88"/>
      <c r="AL248" s="88"/>
      <c r="AM248" s="88"/>
      <c r="AN248" s="88"/>
      <c r="AO248" s="88"/>
      <c r="AP248" s="88"/>
      <c r="AQ248" s="88"/>
      <c r="AR248" s="88"/>
      <c r="AS248" s="88"/>
      <c r="AT248" s="88"/>
      <c r="AU248" s="88"/>
      <c r="AV248" s="88"/>
      <c r="AW248" s="88"/>
      <c r="AX248" s="88"/>
      <c r="AY248" s="88"/>
      <c r="AZ248" s="88"/>
      <c r="BA248" s="88"/>
      <c r="BB248" s="88"/>
      <c r="BC248" s="88"/>
      <c r="BD248" s="88"/>
      <c r="BE248" s="88"/>
      <c r="BF248" s="88"/>
      <c r="BG248" s="88"/>
      <c r="BH248" s="88"/>
      <c r="BI248" s="88"/>
      <c r="BJ248" s="88"/>
    </row>
    <row r="249" spans="1:62" outlineLevel="1">
      <c r="A249" s="11">
        <f t="shared" si="19"/>
        <v>17</v>
      </c>
      <c r="B249" s="88"/>
      <c r="C249" s="88"/>
      <c r="D249" s="88"/>
      <c r="E249" s="88"/>
      <c r="F249" s="88"/>
      <c r="G249" s="88"/>
      <c r="H249" s="88"/>
      <c r="I249" s="88"/>
      <c r="J249" s="88"/>
      <c r="K249" s="88"/>
      <c r="L249" s="88"/>
      <c r="M249" s="88"/>
      <c r="N249" s="88"/>
      <c r="O249" s="88"/>
      <c r="P249" s="88"/>
      <c r="Q249" s="88"/>
      <c r="R249" s="88"/>
      <c r="S249" s="88"/>
      <c r="T249" s="88"/>
      <c r="U249" s="88"/>
      <c r="V249" s="88"/>
      <c r="W249" s="88"/>
      <c r="X249" s="88"/>
      <c r="Y249" s="88"/>
      <c r="Z249" s="88"/>
      <c r="AA249" s="88"/>
      <c r="AB249" s="88"/>
      <c r="AC249" s="88"/>
      <c r="AD249" s="88"/>
      <c r="AE249" s="88"/>
      <c r="AF249" s="88"/>
      <c r="AG249" s="88"/>
      <c r="AH249" s="88"/>
      <c r="AI249" s="88"/>
      <c r="AJ249" s="88"/>
      <c r="AK249" s="88"/>
      <c r="AL249" s="88"/>
      <c r="AM249" s="88"/>
      <c r="AN249" s="88"/>
      <c r="AO249" s="88"/>
      <c r="AP249" s="88"/>
      <c r="AQ249" s="88"/>
      <c r="AR249" s="88"/>
      <c r="AS249" s="88"/>
      <c r="AT249" s="88"/>
      <c r="AU249" s="88"/>
      <c r="AV249" s="88"/>
      <c r="AW249" s="88"/>
      <c r="AX249" s="88"/>
      <c r="AY249" s="88"/>
      <c r="AZ249" s="88"/>
      <c r="BA249" s="88"/>
      <c r="BB249" s="88"/>
      <c r="BC249" s="88"/>
      <c r="BD249" s="88"/>
      <c r="BE249" s="88"/>
      <c r="BF249" s="88"/>
      <c r="BG249" s="88"/>
      <c r="BH249" s="88"/>
      <c r="BI249" s="88"/>
      <c r="BJ249" s="88"/>
    </row>
    <row r="250" spans="1:62" outlineLevel="1">
      <c r="A250" s="11">
        <f t="shared" si="19"/>
        <v>18</v>
      </c>
      <c r="B250" s="88"/>
      <c r="C250" s="88"/>
      <c r="D250" s="88"/>
      <c r="E250" s="88"/>
      <c r="F250" s="88"/>
      <c r="G250" s="88"/>
      <c r="H250" s="88"/>
      <c r="I250" s="88"/>
      <c r="J250" s="88"/>
      <c r="K250" s="88"/>
      <c r="L250" s="88"/>
      <c r="M250" s="88"/>
      <c r="N250" s="88"/>
      <c r="O250" s="88"/>
      <c r="P250" s="88"/>
      <c r="Q250" s="88"/>
      <c r="R250" s="88"/>
      <c r="S250" s="88"/>
      <c r="T250" s="88"/>
      <c r="U250" s="88"/>
      <c r="V250" s="88"/>
      <c r="W250" s="88"/>
      <c r="X250" s="88"/>
      <c r="Y250" s="88"/>
      <c r="Z250" s="88"/>
      <c r="AA250" s="88"/>
      <c r="AB250" s="88"/>
      <c r="AC250" s="88"/>
      <c r="AD250" s="88"/>
      <c r="AE250" s="88"/>
      <c r="AF250" s="88"/>
      <c r="AG250" s="88"/>
      <c r="AH250" s="88"/>
      <c r="AI250" s="88"/>
      <c r="AJ250" s="88"/>
      <c r="AK250" s="88"/>
      <c r="AL250" s="88"/>
      <c r="AM250" s="88"/>
      <c r="AN250" s="88"/>
      <c r="AO250" s="88"/>
      <c r="AP250" s="88"/>
      <c r="AQ250" s="88"/>
      <c r="AR250" s="88"/>
      <c r="AS250" s="88"/>
      <c r="AT250" s="88"/>
      <c r="AU250" s="88"/>
      <c r="AV250" s="88"/>
      <c r="AW250" s="88"/>
      <c r="AX250" s="88"/>
      <c r="AY250" s="88"/>
      <c r="AZ250" s="88"/>
      <c r="BA250" s="88"/>
      <c r="BB250" s="88"/>
      <c r="BC250" s="88"/>
      <c r="BD250" s="88"/>
      <c r="BE250" s="88"/>
      <c r="BF250" s="88"/>
      <c r="BG250" s="88"/>
      <c r="BH250" s="88"/>
      <c r="BI250" s="88"/>
      <c r="BJ250" s="88"/>
    </row>
    <row r="251" spans="1:62" outlineLevel="1">
      <c r="A251" s="11">
        <f t="shared" si="19"/>
        <v>19</v>
      </c>
      <c r="B251" s="88"/>
      <c r="C251" s="88"/>
      <c r="D251" s="88"/>
      <c r="E251" s="88"/>
      <c r="F251" s="88"/>
      <c r="G251" s="88"/>
      <c r="H251" s="88"/>
      <c r="I251" s="88"/>
      <c r="J251" s="88"/>
      <c r="K251" s="88"/>
      <c r="L251" s="88"/>
      <c r="M251" s="88"/>
      <c r="N251" s="88"/>
      <c r="O251" s="88"/>
      <c r="P251" s="88"/>
      <c r="Q251" s="88"/>
      <c r="R251" s="88"/>
      <c r="S251" s="88"/>
      <c r="T251" s="88"/>
      <c r="U251" s="88"/>
      <c r="V251" s="88"/>
      <c r="W251" s="88"/>
      <c r="X251" s="88"/>
      <c r="Y251" s="88"/>
      <c r="Z251" s="88"/>
      <c r="AA251" s="88"/>
      <c r="AB251" s="88"/>
      <c r="AC251" s="88"/>
      <c r="AD251" s="88"/>
      <c r="AE251" s="88"/>
      <c r="AF251" s="88"/>
      <c r="AG251" s="88"/>
      <c r="AH251" s="88"/>
      <c r="AI251" s="88"/>
      <c r="AJ251" s="88"/>
      <c r="AK251" s="88"/>
      <c r="AL251" s="88"/>
      <c r="AM251" s="88"/>
      <c r="AN251" s="88"/>
      <c r="AO251" s="88"/>
      <c r="AP251" s="88"/>
      <c r="AQ251" s="88"/>
      <c r="AR251" s="88"/>
      <c r="AS251" s="88"/>
      <c r="AT251" s="88"/>
      <c r="AU251" s="88"/>
      <c r="AV251" s="88"/>
      <c r="AW251" s="88"/>
      <c r="AX251" s="88"/>
      <c r="AY251" s="88"/>
      <c r="AZ251" s="88"/>
      <c r="BA251" s="88"/>
      <c r="BB251" s="88"/>
      <c r="BC251" s="88"/>
      <c r="BD251" s="88"/>
      <c r="BE251" s="88"/>
      <c r="BF251" s="88"/>
      <c r="BG251" s="88"/>
      <c r="BH251" s="88"/>
      <c r="BI251" s="88"/>
      <c r="BJ251" s="88"/>
    </row>
    <row r="252" spans="1:62" outlineLevel="1">
      <c r="A252" s="11">
        <f t="shared" si="19"/>
        <v>20</v>
      </c>
      <c r="B252" s="88"/>
      <c r="C252" s="88"/>
      <c r="D252" s="88"/>
      <c r="E252" s="88"/>
      <c r="F252" s="88"/>
      <c r="G252" s="88"/>
      <c r="H252" s="88"/>
      <c r="I252" s="88"/>
      <c r="J252" s="88"/>
      <c r="K252" s="88"/>
      <c r="L252" s="88"/>
      <c r="M252" s="88"/>
      <c r="N252" s="88"/>
      <c r="O252" s="88"/>
      <c r="P252" s="88"/>
      <c r="Q252" s="88"/>
      <c r="R252" s="88"/>
      <c r="S252" s="88"/>
      <c r="T252" s="88"/>
      <c r="U252" s="88"/>
      <c r="V252" s="88"/>
      <c r="W252" s="88"/>
      <c r="X252" s="88"/>
      <c r="Y252" s="88"/>
      <c r="Z252" s="88"/>
      <c r="AA252" s="88"/>
      <c r="AB252" s="88"/>
      <c r="AC252" s="88"/>
      <c r="AD252" s="88"/>
      <c r="AE252" s="88"/>
      <c r="AF252" s="88"/>
      <c r="AG252" s="88"/>
      <c r="AH252" s="88"/>
      <c r="AI252" s="88"/>
      <c r="AJ252" s="88"/>
      <c r="AK252" s="88"/>
      <c r="AL252" s="88"/>
      <c r="AM252" s="88"/>
      <c r="AN252" s="88"/>
      <c r="AO252" s="88"/>
      <c r="AP252" s="88"/>
      <c r="AQ252" s="88"/>
      <c r="AR252" s="88"/>
      <c r="AS252" s="88"/>
      <c r="AT252" s="88"/>
      <c r="AU252" s="88"/>
      <c r="AV252" s="88"/>
      <c r="AW252" s="88"/>
      <c r="AX252" s="88"/>
      <c r="AY252" s="88"/>
      <c r="AZ252" s="88"/>
      <c r="BA252" s="88"/>
      <c r="BB252" s="88"/>
      <c r="BC252" s="88"/>
      <c r="BD252" s="88"/>
      <c r="BE252" s="88"/>
      <c r="BF252" s="88"/>
      <c r="BG252" s="88"/>
      <c r="BH252" s="88"/>
      <c r="BI252" s="88"/>
      <c r="BJ252" s="88"/>
    </row>
    <row r="253" spans="1:62" outlineLevel="1">
      <c r="A253" s="11">
        <f t="shared" si="19"/>
        <v>21</v>
      </c>
      <c r="B253" s="88"/>
      <c r="C253" s="88"/>
      <c r="D253" s="88"/>
      <c r="E253" s="88"/>
      <c r="F253" s="88"/>
      <c r="G253" s="88"/>
      <c r="H253" s="88"/>
      <c r="I253" s="88"/>
      <c r="J253" s="88"/>
      <c r="K253" s="88"/>
      <c r="L253" s="88"/>
      <c r="M253" s="88"/>
      <c r="N253" s="88"/>
      <c r="O253" s="88"/>
      <c r="P253" s="88"/>
      <c r="Q253" s="88"/>
      <c r="R253" s="88"/>
      <c r="S253" s="88"/>
      <c r="T253" s="88"/>
      <c r="U253" s="88"/>
      <c r="V253" s="88"/>
      <c r="W253" s="88"/>
      <c r="X253" s="88"/>
      <c r="Y253" s="88"/>
      <c r="Z253" s="88"/>
      <c r="AA253" s="88"/>
      <c r="AB253" s="88"/>
      <c r="AC253" s="88"/>
      <c r="AD253" s="88"/>
      <c r="AE253" s="88"/>
      <c r="AF253" s="88"/>
      <c r="AG253" s="88"/>
      <c r="AH253" s="88"/>
      <c r="AI253" s="88"/>
      <c r="AJ253" s="88"/>
      <c r="AK253" s="88"/>
      <c r="AL253" s="88"/>
      <c r="AM253" s="88"/>
      <c r="AN253" s="88"/>
      <c r="AO253" s="88"/>
      <c r="AP253" s="88"/>
      <c r="AQ253" s="88"/>
      <c r="AR253" s="88"/>
      <c r="AS253" s="88"/>
      <c r="AT253" s="88"/>
      <c r="AU253" s="88"/>
      <c r="AV253" s="88"/>
      <c r="AW253" s="88"/>
      <c r="AX253" s="88"/>
      <c r="AY253" s="88"/>
      <c r="AZ253" s="88"/>
      <c r="BA253" s="88"/>
      <c r="BB253" s="88"/>
      <c r="BC253" s="88"/>
      <c r="BD253" s="88"/>
      <c r="BE253" s="88"/>
      <c r="BF253" s="88"/>
      <c r="BG253" s="88"/>
      <c r="BH253" s="88"/>
      <c r="BI253" s="88"/>
      <c r="BJ253" s="88"/>
    </row>
    <row r="254" spans="1:62" outlineLevel="1">
      <c r="A254" s="11">
        <f t="shared" si="19"/>
        <v>22</v>
      </c>
      <c r="B254" s="88"/>
      <c r="C254" s="88"/>
      <c r="D254" s="88"/>
      <c r="E254" s="88"/>
      <c r="F254" s="88"/>
      <c r="G254" s="88"/>
      <c r="H254" s="88"/>
      <c r="I254" s="88"/>
      <c r="J254" s="88"/>
      <c r="K254" s="88"/>
      <c r="L254" s="88"/>
      <c r="M254" s="88"/>
      <c r="N254" s="88"/>
      <c r="O254" s="88"/>
      <c r="P254" s="88"/>
      <c r="Q254" s="88"/>
      <c r="R254" s="88"/>
      <c r="S254" s="88"/>
      <c r="T254" s="88"/>
      <c r="U254" s="88"/>
      <c r="V254" s="88"/>
      <c r="W254" s="88"/>
      <c r="X254" s="88"/>
      <c r="Y254" s="88"/>
      <c r="Z254" s="88"/>
      <c r="AA254" s="88"/>
      <c r="AB254" s="88"/>
      <c r="AC254" s="88"/>
      <c r="AD254" s="88"/>
      <c r="AE254" s="88"/>
      <c r="AF254" s="88"/>
      <c r="AG254" s="88"/>
      <c r="AH254" s="88"/>
      <c r="AI254" s="88"/>
      <c r="AJ254" s="88"/>
      <c r="AK254" s="88"/>
      <c r="AL254" s="88"/>
      <c r="AM254" s="88"/>
      <c r="AN254" s="88"/>
      <c r="AO254" s="88"/>
      <c r="AP254" s="88"/>
      <c r="AQ254" s="88"/>
      <c r="AR254" s="88"/>
      <c r="AS254" s="88"/>
      <c r="AT254" s="88"/>
      <c r="AU254" s="88"/>
      <c r="AV254" s="88"/>
      <c r="AW254" s="88"/>
      <c r="AX254" s="88"/>
      <c r="AY254" s="88"/>
      <c r="AZ254" s="88"/>
      <c r="BA254" s="88"/>
      <c r="BB254" s="88"/>
      <c r="BC254" s="88"/>
      <c r="BD254" s="88"/>
      <c r="BE254" s="88"/>
      <c r="BF254" s="88"/>
      <c r="BG254" s="88"/>
      <c r="BH254" s="88"/>
      <c r="BI254" s="88"/>
      <c r="BJ254" s="88"/>
    </row>
    <row r="255" spans="1:62" outlineLevel="1">
      <c r="A255" s="11">
        <f t="shared" si="19"/>
        <v>23</v>
      </c>
      <c r="B255" s="88"/>
      <c r="C255" s="88"/>
      <c r="D255" s="88"/>
      <c r="E255" s="88"/>
      <c r="F255" s="88"/>
      <c r="G255" s="88"/>
      <c r="H255" s="88"/>
      <c r="I255" s="88"/>
      <c r="J255" s="88"/>
      <c r="K255" s="88"/>
      <c r="L255" s="88"/>
      <c r="M255" s="88"/>
      <c r="N255" s="88"/>
      <c r="O255" s="88"/>
      <c r="P255" s="88"/>
      <c r="Q255" s="88"/>
      <c r="R255" s="88"/>
      <c r="S255" s="88"/>
      <c r="T255" s="88"/>
      <c r="U255" s="88"/>
      <c r="V255" s="88"/>
      <c r="W255" s="88"/>
      <c r="X255" s="88"/>
      <c r="Y255" s="88"/>
      <c r="Z255" s="88"/>
      <c r="AA255" s="88"/>
      <c r="AB255" s="88"/>
      <c r="AC255" s="88"/>
      <c r="AD255" s="88"/>
      <c r="AE255" s="88"/>
      <c r="AF255" s="88"/>
      <c r="AG255" s="88"/>
      <c r="AH255" s="88"/>
      <c r="AI255" s="88"/>
      <c r="AJ255" s="88"/>
      <c r="AK255" s="88"/>
      <c r="AL255" s="88"/>
      <c r="AM255" s="88"/>
      <c r="AN255" s="88"/>
      <c r="AO255" s="88"/>
      <c r="AP255" s="88"/>
      <c r="AQ255" s="88"/>
      <c r="AR255" s="88"/>
      <c r="AS255" s="88"/>
      <c r="AT255" s="88"/>
      <c r="AU255" s="88"/>
      <c r="AV255" s="88"/>
      <c r="AW255" s="88"/>
      <c r="AX255" s="88"/>
      <c r="AY255" s="88"/>
      <c r="AZ255" s="88"/>
      <c r="BA255" s="88"/>
      <c r="BB255" s="88"/>
      <c r="BC255" s="88"/>
      <c r="BD255" s="88"/>
      <c r="BE255" s="88"/>
      <c r="BF255" s="88"/>
      <c r="BG255" s="88"/>
      <c r="BH255" s="88"/>
      <c r="BI255" s="88"/>
      <c r="BJ255" s="88"/>
    </row>
    <row r="256" spans="1:62" outlineLevel="1">
      <c r="A256" s="11">
        <f t="shared" si="19"/>
        <v>24</v>
      </c>
      <c r="B256" s="88"/>
      <c r="C256" s="88"/>
      <c r="D256" s="88"/>
      <c r="E256" s="88"/>
      <c r="F256" s="88"/>
      <c r="G256" s="88"/>
      <c r="H256" s="88"/>
      <c r="I256" s="88"/>
      <c r="J256" s="88"/>
      <c r="K256" s="88"/>
      <c r="L256" s="88"/>
      <c r="M256" s="88"/>
      <c r="N256" s="88"/>
      <c r="O256" s="88"/>
      <c r="P256" s="88"/>
      <c r="Q256" s="88"/>
      <c r="R256" s="88"/>
      <c r="S256" s="88"/>
      <c r="T256" s="88"/>
      <c r="U256" s="88"/>
      <c r="V256" s="88"/>
      <c r="W256" s="88"/>
      <c r="X256" s="88"/>
      <c r="Y256" s="88"/>
      <c r="Z256" s="88"/>
      <c r="AA256" s="88"/>
      <c r="AB256" s="88"/>
      <c r="AC256" s="88"/>
      <c r="AD256" s="88"/>
      <c r="AE256" s="88"/>
      <c r="AF256" s="88"/>
      <c r="AG256" s="88"/>
      <c r="AH256" s="88"/>
      <c r="AI256" s="88"/>
      <c r="AJ256" s="88"/>
      <c r="AK256" s="88"/>
      <c r="AL256" s="88"/>
      <c r="AM256" s="88"/>
      <c r="AN256" s="88"/>
      <c r="AO256" s="88"/>
      <c r="AP256" s="88"/>
      <c r="AQ256" s="88"/>
      <c r="AR256" s="88"/>
      <c r="AS256" s="88"/>
      <c r="AT256" s="88"/>
      <c r="AU256" s="88"/>
      <c r="AV256" s="88"/>
      <c r="AW256" s="88"/>
      <c r="AX256" s="88"/>
      <c r="AY256" s="88"/>
      <c r="AZ256" s="88"/>
      <c r="BA256" s="88"/>
      <c r="BB256" s="88"/>
      <c r="BC256" s="88"/>
      <c r="BD256" s="88"/>
      <c r="BE256" s="88"/>
      <c r="BF256" s="88"/>
      <c r="BG256" s="88"/>
      <c r="BH256" s="88"/>
      <c r="BI256" s="88"/>
      <c r="BJ256" s="88"/>
    </row>
    <row r="257" spans="1:62" outlineLevel="1">
      <c r="A257" s="11">
        <f t="shared" si="19"/>
        <v>25</v>
      </c>
      <c r="B257" s="88"/>
      <c r="C257" s="88"/>
      <c r="D257" s="88"/>
      <c r="E257" s="88"/>
      <c r="F257" s="88"/>
      <c r="G257" s="88"/>
      <c r="H257" s="88"/>
      <c r="I257" s="88"/>
      <c r="J257" s="88"/>
      <c r="K257" s="88"/>
      <c r="L257" s="88"/>
      <c r="M257" s="88"/>
      <c r="N257" s="88"/>
      <c r="O257" s="88"/>
      <c r="P257" s="88"/>
      <c r="Q257" s="88"/>
      <c r="R257" s="88"/>
      <c r="S257" s="88"/>
      <c r="T257" s="88"/>
      <c r="U257" s="88"/>
      <c r="V257" s="88"/>
      <c r="W257" s="88"/>
      <c r="X257" s="88"/>
      <c r="Y257" s="88"/>
      <c r="Z257" s="88"/>
      <c r="AA257" s="88"/>
      <c r="AB257" s="88"/>
      <c r="AC257" s="88"/>
      <c r="AD257" s="88"/>
      <c r="AE257" s="88"/>
      <c r="AF257" s="88"/>
      <c r="AG257" s="88"/>
      <c r="AH257" s="88"/>
      <c r="AI257" s="88"/>
      <c r="AJ257" s="88"/>
      <c r="AK257" s="88"/>
      <c r="AL257" s="88"/>
      <c r="AM257" s="88"/>
      <c r="AN257" s="88"/>
      <c r="AO257" s="88"/>
      <c r="AP257" s="88"/>
      <c r="AQ257" s="88"/>
      <c r="AR257" s="88"/>
      <c r="AS257" s="88"/>
      <c r="AT257" s="88"/>
      <c r="AU257" s="88"/>
      <c r="AV257" s="88"/>
      <c r="AW257" s="88"/>
      <c r="AX257" s="88"/>
      <c r="AY257" s="88"/>
      <c r="AZ257" s="88"/>
      <c r="BA257" s="88"/>
      <c r="BB257" s="88"/>
      <c r="BC257" s="88"/>
      <c r="BD257" s="88"/>
      <c r="BE257" s="88"/>
      <c r="BF257" s="88"/>
      <c r="BG257" s="88"/>
      <c r="BH257" s="88"/>
      <c r="BI257" s="88"/>
      <c r="BJ257" s="88"/>
    </row>
    <row r="258" spans="1:62" outlineLevel="1">
      <c r="A258" s="11">
        <f t="shared" si="19"/>
        <v>26</v>
      </c>
      <c r="B258" s="88"/>
      <c r="C258" s="88"/>
      <c r="D258" s="88"/>
      <c r="E258" s="88"/>
      <c r="F258" s="88"/>
      <c r="G258" s="88"/>
      <c r="H258" s="88"/>
      <c r="I258" s="88"/>
      <c r="J258" s="88"/>
      <c r="K258" s="88"/>
      <c r="L258" s="88"/>
      <c r="M258" s="88"/>
      <c r="N258" s="88"/>
      <c r="O258" s="88"/>
      <c r="P258" s="88"/>
      <c r="Q258" s="88"/>
      <c r="R258" s="88"/>
      <c r="S258" s="88"/>
      <c r="T258" s="88"/>
      <c r="U258" s="88"/>
      <c r="V258" s="88"/>
      <c r="W258" s="88"/>
      <c r="X258" s="88"/>
      <c r="Y258" s="88"/>
      <c r="Z258" s="88"/>
      <c r="AA258" s="88"/>
      <c r="AB258" s="88"/>
      <c r="AC258" s="88"/>
      <c r="AD258" s="88"/>
      <c r="AE258" s="88"/>
      <c r="AF258" s="88"/>
      <c r="AG258" s="88"/>
      <c r="AH258" s="88"/>
      <c r="AI258" s="88"/>
      <c r="AJ258" s="88"/>
      <c r="AK258" s="88"/>
      <c r="AL258" s="88"/>
      <c r="AM258" s="88"/>
      <c r="AN258" s="88"/>
      <c r="AO258" s="88"/>
      <c r="AP258" s="88"/>
      <c r="AQ258" s="88"/>
      <c r="AR258" s="88"/>
      <c r="AS258" s="88"/>
      <c r="AT258" s="88"/>
      <c r="AU258" s="88"/>
      <c r="AV258" s="88"/>
      <c r="AW258" s="88"/>
      <c r="AX258" s="88"/>
      <c r="AY258" s="88"/>
      <c r="AZ258" s="88"/>
      <c r="BA258" s="88"/>
      <c r="BB258" s="88"/>
      <c r="BC258" s="88"/>
      <c r="BD258" s="88"/>
      <c r="BE258" s="88"/>
      <c r="BF258" s="88"/>
      <c r="BG258" s="88"/>
      <c r="BH258" s="88"/>
      <c r="BI258" s="88"/>
      <c r="BJ258" s="88"/>
    </row>
    <row r="259" spans="1:62" outlineLevel="1">
      <c r="A259" s="11">
        <f t="shared" si="19"/>
        <v>27</v>
      </c>
      <c r="B259" s="88"/>
      <c r="C259" s="88"/>
      <c r="D259" s="88"/>
      <c r="E259" s="88"/>
      <c r="F259" s="88"/>
      <c r="G259" s="88"/>
      <c r="H259" s="88"/>
      <c r="I259" s="88"/>
      <c r="J259" s="88"/>
      <c r="K259" s="88"/>
      <c r="L259" s="88"/>
      <c r="M259" s="88"/>
      <c r="N259" s="88"/>
      <c r="O259" s="88"/>
      <c r="P259" s="88"/>
      <c r="Q259" s="88"/>
      <c r="R259" s="88"/>
      <c r="S259" s="88"/>
      <c r="T259" s="88"/>
      <c r="U259" s="88"/>
      <c r="V259" s="88"/>
      <c r="W259" s="88"/>
      <c r="X259" s="88"/>
      <c r="Y259" s="88"/>
      <c r="Z259" s="88"/>
      <c r="AA259" s="88"/>
      <c r="AB259" s="88"/>
      <c r="AC259" s="88"/>
      <c r="AD259" s="88"/>
      <c r="AE259" s="88"/>
      <c r="AF259" s="88"/>
      <c r="AG259" s="88"/>
      <c r="AH259" s="88"/>
      <c r="AI259" s="88"/>
      <c r="AJ259" s="88"/>
      <c r="AK259" s="88"/>
      <c r="AL259" s="88"/>
      <c r="AM259" s="88"/>
      <c r="AN259" s="88"/>
      <c r="AO259" s="88"/>
      <c r="AP259" s="88"/>
      <c r="AQ259" s="88"/>
      <c r="AR259" s="88"/>
      <c r="AS259" s="88"/>
      <c r="AT259" s="88"/>
      <c r="AU259" s="88"/>
      <c r="AV259" s="88"/>
      <c r="AW259" s="88"/>
      <c r="AX259" s="88"/>
      <c r="AY259" s="88"/>
      <c r="AZ259" s="88"/>
      <c r="BA259" s="88"/>
      <c r="BB259" s="88"/>
      <c r="BC259" s="88"/>
      <c r="BD259" s="88"/>
      <c r="BE259" s="88"/>
      <c r="BF259" s="88"/>
      <c r="BG259" s="88"/>
      <c r="BH259" s="88"/>
      <c r="BI259" s="88"/>
      <c r="BJ259" s="88"/>
    </row>
    <row r="260" spans="1:62" outlineLevel="1">
      <c r="A260" s="11">
        <f t="shared" si="19"/>
        <v>28</v>
      </c>
      <c r="B260" s="88"/>
      <c r="C260" s="88"/>
      <c r="D260" s="88"/>
      <c r="E260" s="88"/>
      <c r="F260" s="88"/>
      <c r="G260" s="88"/>
      <c r="H260" s="88"/>
      <c r="I260" s="88"/>
      <c r="J260" s="88"/>
      <c r="K260" s="88"/>
      <c r="L260" s="88"/>
      <c r="M260" s="88"/>
      <c r="N260" s="88"/>
      <c r="O260" s="88"/>
      <c r="P260" s="88"/>
      <c r="Q260" s="88"/>
      <c r="R260" s="88"/>
      <c r="S260" s="88"/>
      <c r="T260" s="88"/>
      <c r="U260" s="88"/>
      <c r="V260" s="88"/>
      <c r="W260" s="88"/>
      <c r="X260" s="88"/>
      <c r="Y260" s="88"/>
      <c r="Z260" s="88"/>
      <c r="AA260" s="88"/>
      <c r="AB260" s="88"/>
      <c r="AC260" s="88"/>
      <c r="AD260" s="88"/>
      <c r="AE260" s="88"/>
      <c r="AF260" s="88"/>
      <c r="AG260" s="88"/>
      <c r="AH260" s="88"/>
      <c r="AI260" s="88"/>
      <c r="AJ260" s="88"/>
      <c r="AK260" s="88"/>
      <c r="AL260" s="88"/>
      <c r="AM260" s="88"/>
      <c r="AN260" s="88"/>
      <c r="AO260" s="88"/>
      <c r="AP260" s="88"/>
      <c r="AQ260" s="88"/>
      <c r="AR260" s="88"/>
      <c r="AS260" s="88"/>
      <c r="AT260" s="88"/>
      <c r="AU260" s="88"/>
      <c r="AV260" s="88"/>
      <c r="AW260" s="88"/>
      <c r="AX260" s="88"/>
      <c r="AY260" s="88"/>
      <c r="AZ260" s="88"/>
      <c r="BA260" s="88"/>
      <c r="BB260" s="88"/>
      <c r="BC260" s="88"/>
      <c r="BD260" s="88"/>
      <c r="BE260" s="88"/>
      <c r="BF260" s="88"/>
      <c r="BG260" s="88"/>
      <c r="BH260" s="88"/>
      <c r="BI260" s="88"/>
      <c r="BJ260" s="88"/>
    </row>
    <row r="261" spans="1:62" outlineLevel="1">
      <c r="A261" s="11">
        <f t="shared" si="19"/>
        <v>29</v>
      </c>
      <c r="B261" s="88"/>
      <c r="C261" s="88"/>
      <c r="D261" s="88"/>
      <c r="E261" s="88"/>
      <c r="F261" s="88"/>
      <c r="G261" s="88"/>
      <c r="H261" s="88"/>
      <c r="I261" s="88"/>
      <c r="J261" s="88"/>
      <c r="K261" s="88"/>
      <c r="L261" s="88"/>
      <c r="M261" s="88"/>
      <c r="N261" s="88"/>
      <c r="O261" s="88"/>
      <c r="P261" s="88"/>
      <c r="Q261" s="88"/>
      <c r="R261" s="88"/>
      <c r="S261" s="88"/>
      <c r="T261" s="88"/>
      <c r="U261" s="88"/>
      <c r="V261" s="88"/>
      <c r="W261" s="88"/>
      <c r="X261" s="88"/>
      <c r="Y261" s="88"/>
      <c r="Z261" s="88"/>
      <c r="AA261" s="88"/>
      <c r="AB261" s="88"/>
      <c r="AC261" s="88"/>
      <c r="AD261" s="88"/>
      <c r="AE261" s="88"/>
      <c r="AF261" s="88"/>
      <c r="AG261" s="88"/>
      <c r="AH261" s="88"/>
      <c r="AI261" s="88"/>
      <c r="AJ261" s="88"/>
      <c r="AK261" s="88"/>
      <c r="AL261" s="88"/>
      <c r="AM261" s="88"/>
      <c r="AN261" s="88"/>
      <c r="AO261" s="88"/>
      <c r="AP261" s="88"/>
      <c r="AQ261" s="88"/>
      <c r="AR261" s="88"/>
      <c r="AS261" s="88"/>
      <c r="AT261" s="88"/>
      <c r="AU261" s="88"/>
      <c r="AV261" s="88"/>
      <c r="AW261" s="88"/>
      <c r="AX261" s="88"/>
      <c r="AY261" s="88"/>
      <c r="AZ261" s="88"/>
      <c r="BA261" s="88"/>
      <c r="BB261" s="88"/>
      <c r="BC261" s="88"/>
      <c r="BD261" s="88"/>
      <c r="BE261" s="88"/>
      <c r="BF261" s="88"/>
      <c r="BG261" s="88"/>
      <c r="BH261" s="88"/>
      <c r="BI261" s="88"/>
      <c r="BJ261" s="88"/>
    </row>
    <row r="262" spans="1:62" outlineLevel="1">
      <c r="A262" s="11">
        <f t="shared" si="19"/>
        <v>30</v>
      </c>
      <c r="B262" s="88"/>
      <c r="C262" s="88"/>
      <c r="D262" s="88"/>
      <c r="E262" s="88"/>
      <c r="F262" s="88"/>
      <c r="G262" s="88"/>
      <c r="H262" s="88"/>
      <c r="I262" s="88"/>
      <c r="J262" s="88"/>
      <c r="K262" s="88"/>
      <c r="L262" s="88"/>
      <c r="M262" s="88"/>
      <c r="N262" s="88"/>
      <c r="O262" s="88"/>
      <c r="P262" s="88"/>
      <c r="Q262" s="88"/>
      <c r="R262" s="88"/>
      <c r="S262" s="88"/>
      <c r="T262" s="88"/>
      <c r="U262" s="88"/>
      <c r="V262" s="88"/>
      <c r="W262" s="88"/>
      <c r="X262" s="88"/>
      <c r="Y262" s="88"/>
      <c r="Z262" s="88"/>
      <c r="AA262" s="88"/>
      <c r="AB262" s="88"/>
      <c r="AC262" s="88"/>
      <c r="AD262" s="88"/>
      <c r="AE262" s="88"/>
      <c r="AF262" s="88"/>
      <c r="AG262" s="88"/>
      <c r="AH262" s="88"/>
      <c r="AI262" s="88"/>
      <c r="AJ262" s="88"/>
      <c r="AK262" s="88"/>
      <c r="AL262" s="88"/>
      <c r="AM262" s="88"/>
      <c r="AN262" s="88"/>
      <c r="AO262" s="88"/>
      <c r="AP262" s="88"/>
      <c r="AQ262" s="88"/>
      <c r="AR262" s="88"/>
      <c r="AS262" s="88"/>
      <c r="AT262" s="88"/>
      <c r="AU262" s="88"/>
      <c r="AV262" s="88"/>
      <c r="AW262" s="88"/>
      <c r="AX262" s="88"/>
      <c r="AY262" s="88"/>
      <c r="AZ262" s="88"/>
      <c r="BA262" s="88"/>
      <c r="BB262" s="88"/>
      <c r="BC262" s="88"/>
      <c r="BD262" s="88"/>
      <c r="BE262" s="88"/>
      <c r="BF262" s="88"/>
      <c r="BG262" s="88"/>
      <c r="BH262" s="88"/>
      <c r="BI262" s="88"/>
      <c r="BJ262" s="88"/>
    </row>
    <row r="263" spans="1:62" outlineLevel="1">
      <c r="A263" s="11">
        <f t="shared" si="19"/>
        <v>31</v>
      </c>
      <c r="B263" s="88"/>
      <c r="C263" s="88"/>
      <c r="D263" s="88"/>
      <c r="E263" s="88"/>
      <c r="F263" s="88"/>
      <c r="G263" s="88"/>
      <c r="H263" s="88"/>
      <c r="I263" s="88"/>
      <c r="J263" s="88"/>
      <c r="K263" s="88"/>
      <c r="L263" s="88"/>
      <c r="M263" s="88"/>
      <c r="N263" s="88"/>
      <c r="O263" s="88"/>
      <c r="P263" s="88"/>
      <c r="Q263" s="88"/>
      <c r="R263" s="88"/>
      <c r="S263" s="88"/>
      <c r="T263" s="88"/>
      <c r="U263" s="88"/>
      <c r="V263" s="88"/>
      <c r="W263" s="88"/>
      <c r="X263" s="88"/>
      <c r="Y263" s="88"/>
      <c r="Z263" s="88"/>
      <c r="AA263" s="88"/>
      <c r="AB263" s="88"/>
      <c r="AC263" s="88"/>
      <c r="AD263" s="88"/>
      <c r="AE263" s="88"/>
      <c r="AF263" s="88"/>
      <c r="AG263" s="88"/>
      <c r="AH263" s="88"/>
      <c r="AI263" s="88"/>
      <c r="AJ263" s="88"/>
      <c r="AK263" s="88"/>
      <c r="AL263" s="88"/>
      <c r="AM263" s="88"/>
      <c r="AN263" s="88"/>
      <c r="AO263" s="88"/>
      <c r="AP263" s="88"/>
      <c r="AQ263" s="88"/>
      <c r="AR263" s="88"/>
      <c r="AS263" s="88"/>
      <c r="AT263" s="88"/>
      <c r="AU263" s="88"/>
      <c r="AV263" s="88"/>
      <c r="AW263" s="88"/>
      <c r="AX263" s="88"/>
      <c r="AY263" s="88"/>
      <c r="AZ263" s="88"/>
      <c r="BA263" s="88"/>
      <c r="BB263" s="88"/>
      <c r="BC263" s="88"/>
      <c r="BD263" s="88"/>
      <c r="BE263" s="88"/>
      <c r="BF263" s="88"/>
      <c r="BG263" s="88"/>
      <c r="BH263" s="88"/>
      <c r="BI263" s="88"/>
      <c r="BJ263" s="88"/>
    </row>
    <row r="264" spans="1:62" outlineLevel="1">
      <c r="A264" s="11">
        <f t="shared" si="19"/>
        <v>32</v>
      </c>
      <c r="B264" s="88"/>
      <c r="C264" s="88"/>
      <c r="D264" s="88"/>
      <c r="E264" s="88"/>
      <c r="F264" s="88"/>
      <c r="G264" s="88"/>
      <c r="H264" s="88"/>
      <c r="I264" s="88"/>
      <c r="J264" s="88"/>
      <c r="K264" s="88"/>
      <c r="L264" s="88"/>
      <c r="M264" s="88"/>
      <c r="N264" s="88"/>
      <c r="O264" s="88"/>
      <c r="P264" s="88"/>
      <c r="Q264" s="88"/>
      <c r="R264" s="88"/>
      <c r="S264" s="88"/>
      <c r="T264" s="88"/>
      <c r="U264" s="88"/>
      <c r="V264" s="88"/>
      <c r="W264" s="88"/>
      <c r="X264" s="88"/>
      <c r="Y264" s="88"/>
      <c r="Z264" s="88"/>
      <c r="AA264" s="88"/>
      <c r="AB264" s="88"/>
      <c r="AC264" s="88"/>
      <c r="AD264" s="88"/>
      <c r="AE264" s="88"/>
      <c r="AF264" s="88"/>
      <c r="AG264" s="88"/>
      <c r="AH264" s="88"/>
      <c r="AI264" s="88"/>
      <c r="AJ264" s="88"/>
      <c r="AK264" s="88"/>
      <c r="AL264" s="88"/>
      <c r="AM264" s="88"/>
      <c r="AN264" s="88"/>
      <c r="AO264" s="88"/>
      <c r="AP264" s="88"/>
      <c r="AQ264" s="88"/>
      <c r="AR264" s="88"/>
      <c r="AS264" s="88"/>
      <c r="AT264" s="88"/>
      <c r="AU264" s="88"/>
      <c r="AV264" s="88"/>
      <c r="AW264" s="88"/>
      <c r="AX264" s="88"/>
      <c r="AY264" s="88"/>
      <c r="AZ264" s="88"/>
      <c r="BA264" s="88"/>
      <c r="BB264" s="88"/>
      <c r="BC264" s="88"/>
      <c r="BD264" s="88"/>
      <c r="BE264" s="88"/>
      <c r="BF264" s="88"/>
      <c r="BG264" s="88"/>
      <c r="BH264" s="88"/>
      <c r="BI264" s="88"/>
      <c r="BJ264" s="88"/>
    </row>
    <row r="265" spans="1:62" outlineLevel="1">
      <c r="A265" s="11">
        <f t="shared" ref="A265:A292" si="20">A264+1</f>
        <v>33</v>
      </c>
      <c r="B265" s="88"/>
      <c r="C265" s="88"/>
      <c r="D265" s="88"/>
      <c r="E265" s="88"/>
      <c r="F265" s="88"/>
      <c r="G265" s="88"/>
      <c r="H265" s="88"/>
      <c r="I265" s="88"/>
      <c r="J265" s="88"/>
      <c r="K265" s="88"/>
      <c r="L265" s="88"/>
      <c r="M265" s="88"/>
      <c r="N265" s="88"/>
      <c r="O265" s="88"/>
      <c r="P265" s="88"/>
      <c r="Q265" s="88"/>
      <c r="R265" s="88"/>
      <c r="S265" s="88"/>
      <c r="T265" s="88"/>
      <c r="U265" s="88"/>
      <c r="V265" s="88"/>
      <c r="W265" s="88"/>
      <c r="X265" s="88"/>
      <c r="Y265" s="88"/>
      <c r="Z265" s="88"/>
      <c r="AA265" s="88"/>
      <c r="AB265" s="88"/>
      <c r="AC265" s="88"/>
      <c r="AD265" s="88"/>
      <c r="AE265" s="88"/>
      <c r="AF265" s="88"/>
      <c r="AG265" s="88"/>
      <c r="AH265" s="88"/>
      <c r="AI265" s="88"/>
      <c r="AJ265" s="88"/>
      <c r="AK265" s="88"/>
      <c r="AL265" s="88"/>
      <c r="AM265" s="88"/>
      <c r="AN265" s="88"/>
      <c r="AO265" s="88"/>
      <c r="AP265" s="88"/>
      <c r="AQ265" s="88"/>
      <c r="AR265" s="88"/>
      <c r="AS265" s="88"/>
      <c r="AT265" s="88"/>
      <c r="AU265" s="88"/>
      <c r="AV265" s="88"/>
      <c r="AW265" s="88"/>
      <c r="AX265" s="88"/>
      <c r="AY265" s="88"/>
      <c r="AZ265" s="88"/>
      <c r="BA265" s="88"/>
      <c r="BB265" s="88"/>
      <c r="BC265" s="88"/>
      <c r="BD265" s="88"/>
      <c r="BE265" s="88"/>
      <c r="BF265" s="88"/>
      <c r="BG265" s="88"/>
      <c r="BH265" s="88"/>
      <c r="BI265" s="88"/>
      <c r="BJ265" s="88"/>
    </row>
    <row r="266" spans="1:62" outlineLevel="1">
      <c r="A266" s="11">
        <f t="shared" si="20"/>
        <v>34</v>
      </c>
      <c r="B266" s="88"/>
      <c r="C266" s="88"/>
      <c r="D266" s="88"/>
      <c r="E266" s="88"/>
      <c r="F266" s="88"/>
      <c r="G266" s="88"/>
      <c r="H266" s="88"/>
      <c r="I266" s="88"/>
      <c r="J266" s="88"/>
      <c r="K266" s="88"/>
      <c r="L266" s="88"/>
      <c r="M266" s="88"/>
      <c r="N266" s="88"/>
      <c r="O266" s="88"/>
      <c r="P266" s="88"/>
      <c r="Q266" s="88"/>
      <c r="R266" s="88"/>
      <c r="S266" s="88"/>
      <c r="T266" s="88"/>
      <c r="U266" s="88"/>
      <c r="V266" s="88"/>
      <c r="W266" s="88"/>
      <c r="X266" s="88"/>
      <c r="Y266" s="88"/>
      <c r="Z266" s="88"/>
      <c r="AA266" s="88"/>
      <c r="AB266" s="88"/>
      <c r="AC266" s="88"/>
      <c r="AD266" s="88"/>
      <c r="AE266" s="88"/>
      <c r="AF266" s="88"/>
      <c r="AG266" s="88"/>
      <c r="AH266" s="88"/>
      <c r="AI266" s="88"/>
      <c r="AJ266" s="88"/>
      <c r="AK266" s="88"/>
      <c r="AL266" s="88"/>
      <c r="AM266" s="88"/>
      <c r="AN266" s="88"/>
      <c r="AO266" s="88"/>
      <c r="AP266" s="88"/>
      <c r="AQ266" s="88"/>
      <c r="AR266" s="88"/>
      <c r="AS266" s="88"/>
      <c r="AT266" s="88"/>
      <c r="AU266" s="88"/>
      <c r="AV266" s="88"/>
      <c r="AW266" s="88"/>
      <c r="AX266" s="88"/>
      <c r="AY266" s="88"/>
      <c r="AZ266" s="88"/>
      <c r="BA266" s="88"/>
      <c r="BB266" s="88"/>
      <c r="BC266" s="88"/>
      <c r="BD266" s="88"/>
      <c r="BE266" s="88"/>
      <c r="BF266" s="88"/>
      <c r="BG266" s="88"/>
      <c r="BH266" s="88"/>
      <c r="BI266" s="88"/>
      <c r="BJ266" s="88"/>
    </row>
    <row r="267" spans="1:62" outlineLevel="1">
      <c r="A267" s="11">
        <f t="shared" si="20"/>
        <v>35</v>
      </c>
      <c r="B267" s="88"/>
      <c r="C267" s="88"/>
      <c r="D267" s="88"/>
      <c r="E267" s="88"/>
      <c r="F267" s="88"/>
      <c r="G267" s="88"/>
      <c r="H267" s="88"/>
      <c r="I267" s="88"/>
      <c r="J267" s="88"/>
      <c r="K267" s="88"/>
      <c r="L267" s="88"/>
      <c r="M267" s="88"/>
      <c r="N267" s="88"/>
      <c r="O267" s="88"/>
      <c r="P267" s="88"/>
      <c r="Q267" s="88"/>
      <c r="R267" s="88"/>
      <c r="S267" s="88"/>
      <c r="T267" s="88"/>
      <c r="U267" s="88"/>
      <c r="V267" s="88"/>
      <c r="W267" s="88"/>
      <c r="X267" s="88"/>
      <c r="Y267" s="88"/>
      <c r="Z267" s="88"/>
      <c r="AA267" s="88"/>
      <c r="AB267" s="88"/>
      <c r="AC267" s="88"/>
      <c r="AD267" s="88"/>
      <c r="AE267" s="88"/>
      <c r="AF267" s="88"/>
      <c r="AG267" s="88"/>
      <c r="AH267" s="88"/>
      <c r="AI267" s="88"/>
      <c r="AJ267" s="88"/>
      <c r="AK267" s="88"/>
      <c r="AL267" s="88"/>
      <c r="AM267" s="88"/>
      <c r="AN267" s="88"/>
      <c r="AO267" s="88"/>
      <c r="AP267" s="88"/>
      <c r="AQ267" s="88"/>
      <c r="AR267" s="88"/>
      <c r="AS267" s="88"/>
      <c r="AT267" s="88"/>
      <c r="AU267" s="88"/>
      <c r="AV267" s="88"/>
      <c r="AW267" s="88"/>
      <c r="AX267" s="88"/>
      <c r="AY267" s="88"/>
      <c r="AZ267" s="88"/>
      <c r="BA267" s="88"/>
      <c r="BB267" s="88"/>
      <c r="BC267" s="88"/>
      <c r="BD267" s="88"/>
      <c r="BE267" s="88"/>
      <c r="BF267" s="88"/>
      <c r="BG267" s="88"/>
      <c r="BH267" s="88"/>
      <c r="BI267" s="88"/>
      <c r="BJ267" s="88"/>
    </row>
    <row r="268" spans="1:62" outlineLevel="1">
      <c r="A268" s="11">
        <f t="shared" si="20"/>
        <v>36</v>
      </c>
      <c r="B268" s="88"/>
      <c r="C268" s="88"/>
      <c r="D268" s="88"/>
      <c r="E268" s="88"/>
      <c r="F268" s="88"/>
      <c r="G268" s="88"/>
      <c r="H268" s="88"/>
      <c r="I268" s="88"/>
      <c r="J268" s="88"/>
      <c r="K268" s="88"/>
      <c r="L268" s="88"/>
      <c r="M268" s="88"/>
      <c r="N268" s="88"/>
      <c r="O268" s="88"/>
      <c r="P268" s="88"/>
      <c r="Q268" s="88"/>
      <c r="R268" s="88"/>
      <c r="S268" s="88"/>
      <c r="T268" s="88"/>
      <c r="U268" s="88"/>
      <c r="V268" s="88"/>
      <c r="W268" s="88"/>
      <c r="X268" s="88"/>
      <c r="Y268" s="88"/>
      <c r="Z268" s="88"/>
      <c r="AA268" s="88"/>
      <c r="AB268" s="88"/>
      <c r="AC268" s="88"/>
      <c r="AD268" s="88"/>
      <c r="AE268" s="88"/>
      <c r="AF268" s="88"/>
      <c r="AG268" s="88"/>
      <c r="AH268" s="88"/>
      <c r="AI268" s="88"/>
      <c r="AJ268" s="88"/>
      <c r="AK268" s="88"/>
      <c r="AL268" s="88"/>
      <c r="AM268" s="88"/>
      <c r="AN268" s="88"/>
      <c r="AO268" s="88"/>
      <c r="AP268" s="88"/>
      <c r="AQ268" s="88"/>
      <c r="AR268" s="88"/>
      <c r="AS268" s="88"/>
      <c r="AT268" s="88"/>
      <c r="AU268" s="88"/>
      <c r="AV268" s="88"/>
      <c r="AW268" s="88"/>
      <c r="AX268" s="88"/>
      <c r="AY268" s="88"/>
      <c r="AZ268" s="88"/>
      <c r="BA268" s="88"/>
      <c r="BB268" s="88"/>
      <c r="BC268" s="88"/>
      <c r="BD268" s="88"/>
      <c r="BE268" s="88"/>
      <c r="BF268" s="88"/>
      <c r="BG268" s="88"/>
      <c r="BH268" s="88"/>
      <c r="BI268" s="88"/>
      <c r="BJ268" s="88"/>
    </row>
    <row r="269" spans="1:62" outlineLevel="1">
      <c r="A269" s="11">
        <f t="shared" si="20"/>
        <v>37</v>
      </c>
      <c r="B269" s="88"/>
      <c r="C269" s="88"/>
      <c r="D269" s="88"/>
      <c r="E269" s="88"/>
      <c r="F269" s="88"/>
      <c r="G269" s="88"/>
      <c r="H269" s="88"/>
      <c r="I269" s="88"/>
      <c r="J269" s="88"/>
      <c r="K269" s="88"/>
      <c r="L269" s="88"/>
      <c r="M269" s="88"/>
      <c r="N269" s="88"/>
      <c r="O269" s="88"/>
      <c r="P269" s="88"/>
      <c r="Q269" s="88"/>
      <c r="R269" s="88"/>
      <c r="S269" s="88"/>
      <c r="T269" s="88"/>
      <c r="U269" s="88"/>
      <c r="V269" s="88"/>
      <c r="W269" s="88"/>
      <c r="X269" s="88"/>
      <c r="Y269" s="88"/>
      <c r="Z269" s="88"/>
      <c r="AA269" s="88"/>
      <c r="AB269" s="88"/>
      <c r="AC269" s="88"/>
      <c r="AD269" s="88"/>
      <c r="AE269" s="88"/>
      <c r="AF269" s="88"/>
      <c r="AG269" s="88"/>
      <c r="AH269" s="88"/>
      <c r="AI269" s="88"/>
      <c r="AJ269" s="88"/>
      <c r="AK269" s="88"/>
      <c r="AL269" s="88"/>
      <c r="AM269" s="88"/>
      <c r="AN269" s="88"/>
      <c r="AO269" s="88"/>
      <c r="AP269" s="88"/>
      <c r="AQ269" s="88"/>
      <c r="AR269" s="88"/>
      <c r="AS269" s="88"/>
      <c r="AT269" s="88"/>
      <c r="AU269" s="88"/>
      <c r="AV269" s="88"/>
      <c r="AW269" s="88"/>
      <c r="AX269" s="88"/>
      <c r="AY269" s="88"/>
      <c r="AZ269" s="88"/>
      <c r="BA269" s="88"/>
      <c r="BB269" s="88"/>
      <c r="BC269" s="88"/>
      <c r="BD269" s="88"/>
      <c r="BE269" s="88"/>
      <c r="BF269" s="88"/>
      <c r="BG269" s="88"/>
      <c r="BH269" s="88"/>
      <c r="BI269" s="88"/>
      <c r="BJ269" s="88"/>
    </row>
    <row r="270" spans="1:62" outlineLevel="1">
      <c r="A270" s="11">
        <f t="shared" si="20"/>
        <v>38</v>
      </c>
      <c r="B270" s="88"/>
      <c r="C270" s="88"/>
      <c r="D270" s="88"/>
      <c r="E270" s="88"/>
      <c r="F270" s="88"/>
      <c r="G270" s="88"/>
      <c r="H270" s="88"/>
      <c r="I270" s="88"/>
      <c r="J270" s="88"/>
      <c r="K270" s="88"/>
      <c r="L270" s="88"/>
      <c r="M270" s="88"/>
      <c r="N270" s="88"/>
      <c r="O270" s="88"/>
      <c r="P270" s="88"/>
      <c r="Q270" s="88"/>
      <c r="R270" s="88"/>
      <c r="S270" s="88"/>
      <c r="T270" s="88"/>
      <c r="U270" s="88"/>
      <c r="V270" s="88"/>
      <c r="W270" s="88"/>
      <c r="X270" s="88"/>
      <c r="Y270" s="88"/>
      <c r="Z270" s="88"/>
      <c r="AA270" s="88"/>
      <c r="AB270" s="88"/>
      <c r="AC270" s="88"/>
      <c r="AD270" s="88"/>
      <c r="AE270" s="88"/>
      <c r="AF270" s="88"/>
      <c r="AG270" s="88"/>
      <c r="AH270" s="88"/>
      <c r="AI270" s="88"/>
      <c r="AJ270" s="88"/>
      <c r="AK270" s="88"/>
      <c r="AL270" s="88"/>
      <c r="AM270" s="88"/>
      <c r="AN270" s="88"/>
      <c r="AO270" s="88"/>
      <c r="AP270" s="88"/>
      <c r="AQ270" s="88"/>
      <c r="AR270" s="88"/>
      <c r="AS270" s="88"/>
      <c r="AT270" s="88"/>
      <c r="AU270" s="88"/>
      <c r="AV270" s="88"/>
      <c r="AW270" s="88"/>
      <c r="AX270" s="88"/>
      <c r="AY270" s="88"/>
      <c r="AZ270" s="88"/>
      <c r="BA270" s="88"/>
      <c r="BB270" s="88"/>
      <c r="BC270" s="88"/>
      <c r="BD270" s="88"/>
      <c r="BE270" s="88"/>
      <c r="BF270" s="88"/>
      <c r="BG270" s="88"/>
      <c r="BH270" s="88"/>
      <c r="BI270" s="88"/>
      <c r="BJ270" s="88"/>
    </row>
    <row r="271" spans="1:62" outlineLevel="1">
      <c r="A271" s="11">
        <f t="shared" si="20"/>
        <v>39</v>
      </c>
      <c r="B271" s="88"/>
      <c r="C271" s="88"/>
      <c r="D271" s="88"/>
      <c r="E271" s="88"/>
      <c r="F271" s="88"/>
      <c r="G271" s="88"/>
      <c r="H271" s="88"/>
      <c r="I271" s="88"/>
      <c r="J271" s="88"/>
      <c r="K271" s="88"/>
      <c r="L271" s="88"/>
      <c r="M271" s="88"/>
      <c r="N271" s="88"/>
      <c r="O271" s="88"/>
      <c r="P271" s="88"/>
      <c r="Q271" s="88"/>
      <c r="R271" s="88"/>
      <c r="S271" s="88"/>
      <c r="T271" s="88"/>
      <c r="U271" s="88"/>
      <c r="V271" s="88"/>
      <c r="W271" s="88"/>
      <c r="X271" s="88"/>
      <c r="Y271" s="88"/>
      <c r="Z271" s="88"/>
      <c r="AA271" s="88"/>
      <c r="AB271" s="88"/>
      <c r="AC271" s="88"/>
      <c r="AD271" s="88"/>
      <c r="AE271" s="88"/>
      <c r="AF271" s="88"/>
      <c r="AG271" s="88"/>
      <c r="AH271" s="88"/>
      <c r="AI271" s="88"/>
      <c r="AJ271" s="88"/>
      <c r="AK271" s="88"/>
      <c r="AL271" s="88"/>
      <c r="AM271" s="88"/>
      <c r="AN271" s="88"/>
      <c r="AO271" s="88"/>
      <c r="AP271" s="88"/>
      <c r="AQ271" s="88"/>
      <c r="AR271" s="88"/>
      <c r="AS271" s="88"/>
      <c r="AT271" s="88"/>
      <c r="AU271" s="88"/>
      <c r="AV271" s="88"/>
      <c r="AW271" s="88"/>
      <c r="AX271" s="88"/>
      <c r="AY271" s="88"/>
      <c r="AZ271" s="88"/>
      <c r="BA271" s="88"/>
      <c r="BB271" s="88"/>
      <c r="BC271" s="88"/>
      <c r="BD271" s="88"/>
      <c r="BE271" s="88"/>
      <c r="BF271" s="88"/>
      <c r="BG271" s="88"/>
      <c r="BH271" s="88"/>
      <c r="BI271" s="88"/>
      <c r="BJ271" s="88"/>
    </row>
    <row r="272" spans="1:62" outlineLevel="1">
      <c r="A272" s="11">
        <f t="shared" si="20"/>
        <v>40</v>
      </c>
      <c r="B272" s="88"/>
      <c r="C272" s="88"/>
      <c r="D272" s="88"/>
      <c r="E272" s="88"/>
      <c r="F272" s="88"/>
      <c r="G272" s="88"/>
      <c r="H272" s="88"/>
      <c r="I272" s="88"/>
      <c r="J272" s="88"/>
      <c r="K272" s="88"/>
      <c r="L272" s="88"/>
      <c r="M272" s="88"/>
      <c r="N272" s="88"/>
      <c r="O272" s="88"/>
      <c r="P272" s="88"/>
      <c r="Q272" s="88"/>
      <c r="R272" s="88"/>
      <c r="S272" s="88"/>
      <c r="T272" s="88"/>
      <c r="U272" s="88"/>
      <c r="V272" s="88"/>
      <c r="W272" s="88"/>
      <c r="X272" s="88"/>
      <c r="Y272" s="88"/>
      <c r="Z272" s="88"/>
      <c r="AA272" s="88"/>
      <c r="AB272" s="88"/>
      <c r="AC272" s="88"/>
      <c r="AD272" s="88"/>
      <c r="AE272" s="88"/>
      <c r="AF272" s="88"/>
      <c r="AG272" s="88"/>
      <c r="AH272" s="88"/>
      <c r="AI272" s="88"/>
      <c r="AJ272" s="88"/>
      <c r="AK272" s="88"/>
      <c r="AL272" s="88"/>
      <c r="AM272" s="88"/>
      <c r="AN272" s="88"/>
      <c r="AO272" s="88"/>
      <c r="AP272" s="88"/>
      <c r="AQ272" s="88"/>
      <c r="AR272" s="88"/>
      <c r="AS272" s="88"/>
      <c r="AT272" s="88"/>
      <c r="AU272" s="88"/>
      <c r="AV272" s="88"/>
      <c r="AW272" s="88"/>
      <c r="AX272" s="88"/>
      <c r="AY272" s="88"/>
      <c r="AZ272" s="88"/>
      <c r="BA272" s="88"/>
      <c r="BB272" s="88"/>
      <c r="BC272" s="88"/>
      <c r="BD272" s="88"/>
      <c r="BE272" s="88"/>
      <c r="BF272" s="88"/>
      <c r="BG272" s="88"/>
      <c r="BH272" s="88"/>
      <c r="BI272" s="88"/>
      <c r="BJ272" s="88"/>
    </row>
    <row r="273" spans="1:62" outlineLevel="1">
      <c r="A273" s="11">
        <f t="shared" si="20"/>
        <v>41</v>
      </c>
      <c r="B273" s="88"/>
      <c r="C273" s="88"/>
      <c r="D273" s="88"/>
      <c r="E273" s="88"/>
      <c r="F273" s="88"/>
      <c r="G273" s="88"/>
      <c r="H273" s="88"/>
      <c r="I273" s="88"/>
      <c r="J273" s="88"/>
      <c r="K273" s="88"/>
      <c r="L273" s="88"/>
      <c r="M273" s="88"/>
      <c r="N273" s="88"/>
      <c r="O273" s="88"/>
      <c r="P273" s="88"/>
      <c r="Q273" s="88"/>
      <c r="R273" s="88"/>
      <c r="S273" s="88"/>
      <c r="T273" s="88"/>
      <c r="U273" s="88"/>
      <c r="V273" s="88"/>
      <c r="W273" s="88"/>
      <c r="X273" s="88"/>
      <c r="Y273" s="88"/>
      <c r="Z273" s="88"/>
      <c r="AA273" s="88"/>
      <c r="AB273" s="88"/>
      <c r="AC273" s="88"/>
      <c r="AD273" s="88"/>
      <c r="AE273" s="88"/>
      <c r="AF273" s="88"/>
      <c r="AG273" s="88"/>
      <c r="AH273" s="88"/>
      <c r="AI273" s="88"/>
      <c r="AJ273" s="88"/>
      <c r="AK273" s="88"/>
      <c r="AL273" s="88"/>
      <c r="AM273" s="88"/>
      <c r="AN273" s="88"/>
      <c r="AO273" s="88"/>
      <c r="AP273" s="88"/>
      <c r="AQ273" s="88"/>
      <c r="AR273" s="88"/>
      <c r="AS273" s="88"/>
      <c r="AT273" s="88"/>
      <c r="AU273" s="88"/>
      <c r="AV273" s="88"/>
      <c r="AW273" s="88"/>
      <c r="AX273" s="88"/>
      <c r="AY273" s="88"/>
      <c r="AZ273" s="88"/>
      <c r="BA273" s="88"/>
      <c r="BB273" s="88"/>
      <c r="BC273" s="88"/>
      <c r="BD273" s="88"/>
      <c r="BE273" s="88"/>
      <c r="BF273" s="88"/>
      <c r="BG273" s="88"/>
      <c r="BH273" s="88"/>
      <c r="BI273" s="88"/>
      <c r="BJ273" s="88"/>
    </row>
    <row r="274" spans="1:62" outlineLevel="1">
      <c r="A274" s="11">
        <f t="shared" si="20"/>
        <v>42</v>
      </c>
      <c r="B274" s="88"/>
      <c r="C274" s="88"/>
      <c r="D274" s="88"/>
      <c r="E274" s="88"/>
      <c r="F274" s="88"/>
      <c r="G274" s="88"/>
      <c r="H274" s="88"/>
      <c r="I274" s="88"/>
      <c r="J274" s="88"/>
      <c r="K274" s="88"/>
      <c r="L274" s="88"/>
      <c r="M274" s="88"/>
      <c r="N274" s="88"/>
      <c r="O274" s="88"/>
      <c r="P274" s="88"/>
      <c r="Q274" s="88"/>
      <c r="R274" s="88"/>
      <c r="S274" s="88"/>
      <c r="T274" s="88"/>
      <c r="U274" s="88"/>
      <c r="V274" s="88"/>
      <c r="W274" s="88"/>
      <c r="X274" s="88"/>
      <c r="Y274" s="88"/>
      <c r="Z274" s="88"/>
      <c r="AA274" s="88"/>
      <c r="AB274" s="88"/>
      <c r="AC274" s="88"/>
      <c r="AD274" s="88"/>
      <c r="AE274" s="88"/>
      <c r="AF274" s="88"/>
      <c r="AG274" s="88"/>
      <c r="AH274" s="88"/>
      <c r="AI274" s="88"/>
      <c r="AJ274" s="88"/>
      <c r="AK274" s="88"/>
      <c r="AL274" s="88"/>
      <c r="AM274" s="88"/>
      <c r="AN274" s="88"/>
      <c r="AO274" s="88"/>
      <c r="AP274" s="88"/>
      <c r="AQ274" s="88"/>
      <c r="AR274" s="88"/>
      <c r="AS274" s="88"/>
      <c r="AT274" s="88"/>
      <c r="AU274" s="88"/>
      <c r="AV274" s="88"/>
      <c r="AW274" s="88"/>
      <c r="AX274" s="88"/>
      <c r="AY274" s="88"/>
      <c r="AZ274" s="88"/>
      <c r="BA274" s="88"/>
      <c r="BB274" s="88"/>
      <c r="BC274" s="88"/>
      <c r="BD274" s="88"/>
      <c r="BE274" s="88"/>
      <c r="BF274" s="88"/>
      <c r="BG274" s="88"/>
      <c r="BH274" s="88"/>
      <c r="BI274" s="88"/>
      <c r="BJ274" s="88"/>
    </row>
    <row r="275" spans="1:62" outlineLevel="1">
      <c r="A275" s="11">
        <f t="shared" si="20"/>
        <v>43</v>
      </c>
      <c r="B275" s="88"/>
      <c r="C275" s="88"/>
      <c r="D275" s="88"/>
      <c r="E275" s="88"/>
      <c r="F275" s="88"/>
      <c r="G275" s="88"/>
      <c r="H275" s="88"/>
      <c r="I275" s="88"/>
      <c r="J275" s="88"/>
      <c r="K275" s="88"/>
      <c r="L275" s="88"/>
      <c r="M275" s="88"/>
      <c r="N275" s="88"/>
      <c r="O275" s="88"/>
      <c r="P275" s="88"/>
      <c r="Q275" s="88"/>
      <c r="R275" s="88"/>
      <c r="S275" s="88"/>
      <c r="T275" s="88"/>
      <c r="U275" s="88"/>
      <c r="V275" s="88"/>
      <c r="W275" s="88"/>
      <c r="X275" s="88"/>
      <c r="Y275" s="88"/>
      <c r="Z275" s="88"/>
      <c r="AA275" s="88"/>
      <c r="AB275" s="88"/>
      <c r="AC275" s="88"/>
      <c r="AD275" s="88"/>
      <c r="AE275" s="88"/>
      <c r="AF275" s="88"/>
      <c r="AG275" s="88"/>
      <c r="AH275" s="88"/>
      <c r="AI275" s="88"/>
      <c r="AJ275" s="88"/>
      <c r="AK275" s="88"/>
      <c r="AL275" s="88"/>
      <c r="AM275" s="88"/>
      <c r="AN275" s="88"/>
      <c r="AO275" s="88"/>
      <c r="AP275" s="88"/>
      <c r="AQ275" s="88"/>
      <c r="AR275" s="88"/>
      <c r="AS275" s="88"/>
      <c r="AT275" s="88"/>
      <c r="AU275" s="88"/>
      <c r="AV275" s="88"/>
      <c r="AW275" s="88"/>
      <c r="AX275" s="88"/>
      <c r="AY275" s="88"/>
      <c r="AZ275" s="88"/>
      <c r="BA275" s="88"/>
      <c r="BB275" s="88"/>
      <c r="BC275" s="88"/>
      <c r="BD275" s="88"/>
      <c r="BE275" s="88"/>
      <c r="BF275" s="88"/>
      <c r="BG275" s="88"/>
      <c r="BH275" s="88"/>
      <c r="BI275" s="88"/>
      <c r="BJ275" s="88"/>
    </row>
    <row r="276" spans="1:62" outlineLevel="1">
      <c r="A276" s="11">
        <f t="shared" si="20"/>
        <v>44</v>
      </c>
      <c r="B276" s="88"/>
      <c r="C276" s="88"/>
      <c r="D276" s="88"/>
      <c r="E276" s="88"/>
      <c r="F276" s="88"/>
      <c r="G276" s="88"/>
      <c r="H276" s="88"/>
      <c r="I276" s="88"/>
      <c r="J276" s="88"/>
      <c r="K276" s="88"/>
      <c r="L276" s="88"/>
      <c r="M276" s="88"/>
      <c r="N276" s="88"/>
      <c r="O276" s="88"/>
      <c r="P276" s="88"/>
      <c r="Q276" s="88"/>
      <c r="R276" s="88"/>
      <c r="S276" s="88"/>
      <c r="T276" s="88"/>
      <c r="U276" s="88"/>
      <c r="V276" s="88"/>
      <c r="W276" s="88"/>
      <c r="X276" s="88"/>
      <c r="Y276" s="88"/>
      <c r="Z276" s="88"/>
      <c r="AA276" s="88"/>
      <c r="AB276" s="88"/>
      <c r="AC276" s="88"/>
      <c r="AD276" s="88"/>
      <c r="AE276" s="88"/>
      <c r="AF276" s="88"/>
      <c r="AG276" s="88"/>
      <c r="AH276" s="88"/>
      <c r="AI276" s="88"/>
      <c r="AJ276" s="88"/>
      <c r="AK276" s="88"/>
      <c r="AL276" s="88"/>
      <c r="AM276" s="88"/>
      <c r="AN276" s="88"/>
      <c r="AO276" s="88"/>
      <c r="AP276" s="88"/>
      <c r="AQ276" s="88"/>
      <c r="AR276" s="88"/>
      <c r="AS276" s="88"/>
      <c r="AT276" s="88"/>
      <c r="AU276" s="88"/>
      <c r="AV276" s="88"/>
      <c r="AW276" s="88"/>
      <c r="AX276" s="88"/>
      <c r="AY276" s="88"/>
      <c r="AZ276" s="88"/>
      <c r="BA276" s="88"/>
      <c r="BB276" s="88"/>
      <c r="BC276" s="88"/>
      <c r="BD276" s="88"/>
      <c r="BE276" s="88"/>
      <c r="BF276" s="88"/>
      <c r="BG276" s="88"/>
      <c r="BH276" s="88"/>
      <c r="BI276" s="88"/>
      <c r="BJ276" s="88"/>
    </row>
    <row r="277" spans="1:62" outlineLevel="1">
      <c r="A277" s="11">
        <f t="shared" si="20"/>
        <v>45</v>
      </c>
      <c r="B277" s="88"/>
      <c r="C277" s="88"/>
      <c r="D277" s="88"/>
      <c r="E277" s="88"/>
      <c r="F277" s="88"/>
      <c r="G277" s="88"/>
      <c r="H277" s="88"/>
      <c r="I277" s="88"/>
      <c r="J277" s="88"/>
      <c r="K277" s="88"/>
      <c r="L277" s="88"/>
      <c r="M277" s="88"/>
      <c r="N277" s="88"/>
      <c r="O277" s="88"/>
      <c r="P277" s="88"/>
      <c r="Q277" s="88"/>
      <c r="R277" s="88"/>
      <c r="S277" s="88"/>
      <c r="T277" s="88"/>
      <c r="U277" s="88"/>
      <c r="V277" s="88"/>
      <c r="W277" s="88"/>
      <c r="X277" s="88"/>
      <c r="Y277" s="88"/>
      <c r="Z277" s="88"/>
      <c r="AA277" s="88"/>
      <c r="AB277" s="88"/>
      <c r="AC277" s="88"/>
      <c r="AD277" s="88"/>
      <c r="AE277" s="88"/>
      <c r="AF277" s="88"/>
      <c r="AG277" s="88"/>
      <c r="AH277" s="88"/>
      <c r="AI277" s="88"/>
      <c r="AJ277" s="88"/>
      <c r="AK277" s="88"/>
      <c r="AL277" s="88"/>
      <c r="AM277" s="88"/>
      <c r="AN277" s="88"/>
      <c r="AO277" s="88"/>
      <c r="AP277" s="88"/>
      <c r="AQ277" s="88"/>
      <c r="AR277" s="88"/>
      <c r="AS277" s="88"/>
      <c r="AT277" s="88"/>
      <c r="AU277" s="88"/>
      <c r="AV277" s="88"/>
      <c r="AW277" s="88"/>
      <c r="AX277" s="88"/>
      <c r="AY277" s="88"/>
      <c r="AZ277" s="88"/>
      <c r="BA277" s="88"/>
      <c r="BB277" s="88"/>
      <c r="BC277" s="88"/>
      <c r="BD277" s="88"/>
      <c r="BE277" s="88"/>
      <c r="BF277" s="88"/>
      <c r="BG277" s="88"/>
      <c r="BH277" s="88"/>
      <c r="BI277" s="88"/>
      <c r="BJ277" s="88"/>
    </row>
    <row r="278" spans="1:62" outlineLevel="1">
      <c r="A278" s="11">
        <f t="shared" si="20"/>
        <v>46</v>
      </c>
      <c r="B278" s="88"/>
      <c r="C278" s="88"/>
      <c r="D278" s="88"/>
      <c r="E278" s="88"/>
      <c r="F278" s="88"/>
      <c r="G278" s="88"/>
      <c r="H278" s="88"/>
      <c r="I278" s="88"/>
      <c r="J278" s="88"/>
      <c r="K278" s="88"/>
      <c r="L278" s="88"/>
      <c r="M278" s="88"/>
      <c r="N278" s="88"/>
      <c r="O278" s="88"/>
      <c r="P278" s="88"/>
      <c r="Q278" s="88"/>
      <c r="R278" s="88"/>
      <c r="S278" s="88"/>
      <c r="T278" s="88"/>
      <c r="U278" s="88"/>
      <c r="V278" s="88"/>
      <c r="W278" s="88"/>
      <c r="X278" s="88"/>
      <c r="Y278" s="88"/>
      <c r="Z278" s="88"/>
      <c r="AA278" s="88"/>
      <c r="AB278" s="88"/>
      <c r="AC278" s="88"/>
      <c r="AD278" s="88"/>
      <c r="AE278" s="88"/>
      <c r="AF278" s="88"/>
      <c r="AG278" s="88"/>
      <c r="AH278" s="88"/>
      <c r="AI278" s="88"/>
      <c r="AJ278" s="88"/>
      <c r="AK278" s="88"/>
      <c r="AL278" s="88"/>
      <c r="AM278" s="88"/>
      <c r="AN278" s="88"/>
      <c r="AO278" s="88"/>
      <c r="AP278" s="88"/>
      <c r="AQ278" s="88"/>
      <c r="AR278" s="88"/>
      <c r="AS278" s="88"/>
      <c r="AT278" s="88"/>
      <c r="AU278" s="88"/>
      <c r="AV278" s="88"/>
      <c r="AW278" s="88"/>
      <c r="AX278" s="88"/>
      <c r="AY278" s="88"/>
      <c r="AZ278" s="88"/>
      <c r="BA278" s="88"/>
      <c r="BB278" s="88"/>
      <c r="BC278" s="88"/>
      <c r="BD278" s="88"/>
      <c r="BE278" s="88"/>
      <c r="BF278" s="88"/>
      <c r="BG278" s="88"/>
      <c r="BH278" s="88"/>
      <c r="BI278" s="88"/>
      <c r="BJ278" s="88"/>
    </row>
    <row r="279" spans="1:62" outlineLevel="1">
      <c r="A279" s="11">
        <f t="shared" si="20"/>
        <v>47</v>
      </c>
      <c r="B279" s="88"/>
      <c r="C279" s="88"/>
      <c r="D279" s="88"/>
      <c r="E279" s="88"/>
      <c r="F279" s="88"/>
      <c r="G279" s="88"/>
      <c r="H279" s="88"/>
      <c r="I279" s="88"/>
      <c r="J279" s="88"/>
      <c r="K279" s="88"/>
      <c r="L279" s="88"/>
      <c r="M279" s="88"/>
      <c r="N279" s="88"/>
      <c r="O279" s="88"/>
      <c r="P279" s="88"/>
      <c r="Q279" s="88"/>
      <c r="R279" s="88"/>
      <c r="S279" s="88"/>
      <c r="T279" s="88"/>
      <c r="U279" s="88"/>
      <c r="V279" s="88"/>
      <c r="W279" s="88"/>
      <c r="X279" s="88"/>
      <c r="Y279" s="88"/>
      <c r="Z279" s="88"/>
      <c r="AA279" s="88"/>
      <c r="AB279" s="88"/>
      <c r="AC279" s="88"/>
      <c r="AD279" s="88"/>
      <c r="AE279" s="88"/>
      <c r="AF279" s="88"/>
      <c r="AG279" s="88"/>
      <c r="AH279" s="88"/>
      <c r="AI279" s="88"/>
      <c r="AJ279" s="88"/>
      <c r="AK279" s="88"/>
      <c r="AL279" s="88"/>
      <c r="AM279" s="88"/>
      <c r="AN279" s="88"/>
      <c r="AO279" s="88"/>
      <c r="AP279" s="88"/>
      <c r="AQ279" s="88"/>
      <c r="AR279" s="88"/>
      <c r="AS279" s="88"/>
      <c r="AT279" s="88"/>
      <c r="AU279" s="88"/>
      <c r="AV279" s="88"/>
      <c r="AW279" s="88"/>
      <c r="AX279" s="88"/>
      <c r="AY279" s="88"/>
      <c r="AZ279" s="88"/>
      <c r="BA279" s="88"/>
      <c r="BB279" s="88"/>
      <c r="BC279" s="88"/>
      <c r="BD279" s="88"/>
      <c r="BE279" s="88"/>
      <c r="BF279" s="88"/>
      <c r="BG279" s="88"/>
      <c r="BH279" s="88"/>
      <c r="BI279" s="88"/>
      <c r="BJ279" s="88"/>
    </row>
    <row r="280" spans="1:62" outlineLevel="1">
      <c r="A280" s="11">
        <f t="shared" si="20"/>
        <v>48</v>
      </c>
      <c r="B280" s="88"/>
      <c r="C280" s="88"/>
      <c r="D280" s="88"/>
      <c r="E280" s="88"/>
      <c r="F280" s="88"/>
      <c r="G280" s="88"/>
      <c r="H280" s="88"/>
      <c r="I280" s="88"/>
      <c r="J280" s="88"/>
      <c r="K280" s="88"/>
      <c r="L280" s="88"/>
      <c r="M280" s="88"/>
      <c r="N280" s="88"/>
      <c r="O280" s="88"/>
      <c r="P280" s="88"/>
      <c r="Q280" s="88"/>
      <c r="R280" s="88"/>
      <c r="S280" s="88"/>
      <c r="T280" s="88"/>
      <c r="U280" s="88"/>
      <c r="V280" s="88"/>
      <c r="W280" s="88"/>
      <c r="X280" s="88"/>
      <c r="Y280" s="88"/>
      <c r="Z280" s="88"/>
      <c r="AA280" s="88"/>
      <c r="AB280" s="88"/>
      <c r="AC280" s="88"/>
      <c r="AD280" s="88"/>
      <c r="AE280" s="88"/>
      <c r="AF280" s="88"/>
      <c r="AG280" s="88"/>
      <c r="AH280" s="88"/>
      <c r="AI280" s="88"/>
      <c r="AJ280" s="88"/>
      <c r="AK280" s="88"/>
      <c r="AL280" s="88"/>
      <c r="AM280" s="88"/>
      <c r="AN280" s="88"/>
      <c r="AO280" s="88"/>
      <c r="AP280" s="88"/>
      <c r="AQ280" s="88"/>
      <c r="AR280" s="88"/>
      <c r="AS280" s="88"/>
      <c r="AT280" s="88"/>
      <c r="AU280" s="88"/>
      <c r="AV280" s="88"/>
      <c r="AW280" s="88"/>
      <c r="AX280" s="88"/>
      <c r="AY280" s="88"/>
      <c r="AZ280" s="88"/>
      <c r="BA280" s="88"/>
      <c r="BB280" s="88"/>
      <c r="BC280" s="88"/>
      <c r="BD280" s="88"/>
      <c r="BE280" s="88"/>
      <c r="BF280" s="88"/>
      <c r="BG280" s="88"/>
      <c r="BH280" s="88"/>
      <c r="BI280" s="88"/>
      <c r="BJ280" s="88"/>
    </row>
    <row r="281" spans="1:62" outlineLevel="1">
      <c r="A281" s="11">
        <f t="shared" si="20"/>
        <v>49</v>
      </c>
      <c r="B281" s="88"/>
      <c r="C281" s="88"/>
      <c r="D281" s="88"/>
      <c r="E281" s="88"/>
      <c r="F281" s="88"/>
      <c r="G281" s="88"/>
      <c r="H281" s="88"/>
      <c r="I281" s="88"/>
      <c r="J281" s="88"/>
      <c r="K281" s="88"/>
      <c r="L281" s="88"/>
      <c r="M281" s="88"/>
      <c r="N281" s="88"/>
      <c r="O281" s="88"/>
      <c r="P281" s="88"/>
      <c r="Q281" s="88"/>
      <c r="R281" s="88"/>
      <c r="S281" s="88"/>
      <c r="T281" s="88"/>
      <c r="U281" s="88"/>
      <c r="V281" s="88"/>
      <c r="W281" s="88"/>
      <c r="X281" s="88"/>
      <c r="Y281" s="88"/>
      <c r="Z281" s="88"/>
      <c r="AA281" s="88"/>
      <c r="AB281" s="88"/>
      <c r="AC281" s="88"/>
      <c r="AD281" s="88"/>
      <c r="AE281" s="88"/>
      <c r="AF281" s="88"/>
      <c r="AG281" s="88"/>
      <c r="AH281" s="88"/>
      <c r="AI281" s="88"/>
      <c r="AJ281" s="88"/>
      <c r="AK281" s="88"/>
      <c r="AL281" s="88"/>
      <c r="AM281" s="88"/>
      <c r="AN281" s="88"/>
      <c r="AO281" s="88"/>
      <c r="AP281" s="88"/>
      <c r="AQ281" s="88"/>
      <c r="AR281" s="88"/>
      <c r="AS281" s="88"/>
      <c r="AT281" s="88"/>
      <c r="AU281" s="88"/>
      <c r="AV281" s="88"/>
      <c r="AW281" s="88"/>
      <c r="AX281" s="88"/>
      <c r="AY281" s="88"/>
      <c r="AZ281" s="88"/>
      <c r="BA281" s="88"/>
      <c r="BB281" s="88"/>
      <c r="BC281" s="88"/>
      <c r="BD281" s="88"/>
      <c r="BE281" s="88"/>
      <c r="BF281" s="88"/>
      <c r="BG281" s="88"/>
      <c r="BH281" s="88"/>
      <c r="BI281" s="88"/>
      <c r="BJ281" s="88"/>
    </row>
    <row r="282" spans="1:62" outlineLevel="1">
      <c r="A282" s="11">
        <f t="shared" si="20"/>
        <v>50</v>
      </c>
      <c r="B282" s="88"/>
      <c r="C282" s="88"/>
      <c r="D282" s="88"/>
      <c r="E282" s="88"/>
      <c r="F282" s="88"/>
      <c r="G282" s="88"/>
      <c r="H282" s="88"/>
      <c r="I282" s="88"/>
      <c r="J282" s="88"/>
      <c r="K282" s="88"/>
      <c r="L282" s="88"/>
      <c r="M282" s="88"/>
      <c r="N282" s="88"/>
      <c r="O282" s="88"/>
      <c r="P282" s="88"/>
      <c r="Q282" s="88"/>
      <c r="R282" s="88"/>
      <c r="S282" s="88"/>
      <c r="T282" s="88"/>
      <c r="U282" s="88"/>
      <c r="V282" s="88"/>
      <c r="W282" s="88"/>
      <c r="X282" s="88"/>
      <c r="Y282" s="88"/>
      <c r="Z282" s="88"/>
      <c r="AA282" s="88"/>
      <c r="AB282" s="88"/>
      <c r="AC282" s="88"/>
      <c r="AD282" s="88"/>
      <c r="AE282" s="88"/>
      <c r="AF282" s="88"/>
      <c r="AG282" s="88"/>
      <c r="AH282" s="88"/>
      <c r="AI282" s="88"/>
      <c r="AJ282" s="88"/>
      <c r="AK282" s="88"/>
      <c r="AL282" s="88"/>
      <c r="AM282" s="88"/>
      <c r="AN282" s="88"/>
      <c r="AO282" s="88"/>
      <c r="AP282" s="88"/>
      <c r="AQ282" s="88"/>
      <c r="AR282" s="88"/>
      <c r="AS282" s="88"/>
      <c r="AT282" s="88"/>
      <c r="AU282" s="88"/>
      <c r="AV282" s="88"/>
      <c r="AW282" s="88"/>
      <c r="AX282" s="88"/>
      <c r="AY282" s="88"/>
      <c r="AZ282" s="88"/>
      <c r="BA282" s="88"/>
      <c r="BB282" s="88"/>
      <c r="BC282" s="88"/>
      <c r="BD282" s="88"/>
      <c r="BE282" s="88"/>
      <c r="BF282" s="88"/>
      <c r="BG282" s="88"/>
      <c r="BH282" s="88"/>
      <c r="BI282" s="88"/>
      <c r="BJ282" s="88"/>
    </row>
    <row r="283" spans="1:62" outlineLevel="1">
      <c r="A283" s="11">
        <f t="shared" si="20"/>
        <v>51</v>
      </c>
      <c r="B283" s="88"/>
      <c r="C283" s="88"/>
      <c r="D283" s="88"/>
      <c r="E283" s="88"/>
      <c r="F283" s="88"/>
      <c r="G283" s="88"/>
      <c r="H283" s="88"/>
      <c r="I283" s="88"/>
      <c r="J283" s="88"/>
      <c r="K283" s="88"/>
      <c r="L283" s="88"/>
      <c r="M283" s="88"/>
      <c r="N283" s="88"/>
      <c r="O283" s="88"/>
      <c r="P283" s="88"/>
      <c r="Q283" s="88"/>
      <c r="R283" s="88"/>
      <c r="S283" s="88"/>
      <c r="T283" s="88"/>
      <c r="U283" s="88"/>
      <c r="V283" s="88"/>
      <c r="W283" s="88"/>
      <c r="X283" s="88"/>
      <c r="Y283" s="88"/>
      <c r="Z283" s="88"/>
      <c r="AA283" s="88"/>
      <c r="AB283" s="88"/>
      <c r="AC283" s="88"/>
      <c r="AD283" s="88"/>
      <c r="AE283" s="88"/>
      <c r="AF283" s="88"/>
      <c r="AG283" s="88"/>
      <c r="AH283" s="88"/>
      <c r="AI283" s="88"/>
      <c r="AJ283" s="88"/>
      <c r="AK283" s="88"/>
      <c r="AL283" s="88"/>
      <c r="AM283" s="88"/>
      <c r="AN283" s="88"/>
      <c r="AO283" s="88"/>
      <c r="AP283" s="88"/>
      <c r="AQ283" s="88"/>
      <c r="AR283" s="88"/>
      <c r="AS283" s="88"/>
      <c r="AT283" s="88"/>
      <c r="AU283" s="88"/>
      <c r="AV283" s="88"/>
      <c r="AW283" s="88"/>
      <c r="AX283" s="88"/>
      <c r="AY283" s="88"/>
      <c r="AZ283" s="88"/>
      <c r="BA283" s="88"/>
      <c r="BB283" s="88"/>
      <c r="BC283" s="88"/>
      <c r="BD283" s="88"/>
      <c r="BE283" s="88"/>
      <c r="BF283" s="88"/>
      <c r="BG283" s="88"/>
      <c r="BH283" s="88"/>
      <c r="BI283" s="88"/>
      <c r="BJ283" s="88"/>
    </row>
    <row r="284" spans="1:62" outlineLevel="1">
      <c r="A284" s="11">
        <f t="shared" si="20"/>
        <v>52</v>
      </c>
      <c r="B284" s="88"/>
      <c r="C284" s="88"/>
      <c r="D284" s="88"/>
      <c r="E284" s="88"/>
      <c r="F284" s="88"/>
      <c r="G284" s="88"/>
      <c r="H284" s="88"/>
      <c r="I284" s="88"/>
      <c r="J284" s="88"/>
      <c r="K284" s="88"/>
      <c r="L284" s="88"/>
      <c r="M284" s="88"/>
      <c r="N284" s="88"/>
      <c r="O284" s="88"/>
      <c r="P284" s="88"/>
      <c r="Q284" s="88"/>
      <c r="R284" s="88"/>
      <c r="S284" s="88"/>
      <c r="T284" s="88"/>
      <c r="U284" s="88"/>
      <c r="V284" s="88"/>
      <c r="W284" s="88"/>
      <c r="X284" s="88"/>
      <c r="Y284" s="88"/>
      <c r="Z284" s="88"/>
      <c r="AA284" s="88"/>
      <c r="AB284" s="88"/>
      <c r="AC284" s="88"/>
      <c r="AD284" s="88"/>
      <c r="AE284" s="88"/>
      <c r="AF284" s="88"/>
      <c r="AG284" s="88"/>
      <c r="AH284" s="88"/>
      <c r="AI284" s="88"/>
      <c r="AJ284" s="88"/>
      <c r="AK284" s="88"/>
      <c r="AL284" s="88"/>
      <c r="AM284" s="88"/>
      <c r="AN284" s="88"/>
      <c r="AO284" s="88"/>
      <c r="AP284" s="88"/>
      <c r="AQ284" s="88"/>
      <c r="AR284" s="88"/>
      <c r="AS284" s="88"/>
      <c r="AT284" s="88"/>
      <c r="AU284" s="88"/>
      <c r="AV284" s="88"/>
      <c r="AW284" s="88"/>
      <c r="AX284" s="88"/>
      <c r="AY284" s="88"/>
      <c r="AZ284" s="88"/>
      <c r="BA284" s="88"/>
      <c r="BB284" s="88"/>
      <c r="BC284" s="88"/>
      <c r="BD284" s="88"/>
      <c r="BE284" s="88"/>
      <c r="BF284" s="88"/>
      <c r="BG284" s="88"/>
      <c r="BH284" s="88"/>
      <c r="BI284" s="88"/>
      <c r="BJ284" s="88"/>
    </row>
    <row r="285" spans="1:62" outlineLevel="1">
      <c r="A285" s="11">
        <f t="shared" si="20"/>
        <v>53</v>
      </c>
      <c r="B285" s="88"/>
      <c r="C285" s="88"/>
      <c r="D285" s="88"/>
      <c r="E285" s="88"/>
      <c r="F285" s="88"/>
      <c r="G285" s="88"/>
      <c r="H285" s="88"/>
      <c r="I285" s="88"/>
      <c r="J285" s="88"/>
      <c r="K285" s="88"/>
      <c r="L285" s="88"/>
      <c r="M285" s="88"/>
      <c r="N285" s="88"/>
      <c r="O285" s="88"/>
      <c r="P285" s="88"/>
      <c r="Q285" s="88"/>
      <c r="R285" s="88"/>
      <c r="S285" s="88"/>
      <c r="T285" s="88"/>
      <c r="U285" s="88"/>
      <c r="V285" s="88"/>
      <c r="W285" s="88"/>
      <c r="X285" s="88"/>
      <c r="Y285" s="88"/>
      <c r="Z285" s="88"/>
      <c r="AA285" s="88"/>
      <c r="AB285" s="88"/>
      <c r="AC285" s="88"/>
      <c r="AD285" s="88"/>
      <c r="AE285" s="88"/>
      <c r="AF285" s="88"/>
      <c r="AG285" s="88"/>
      <c r="AH285" s="88"/>
      <c r="AI285" s="88"/>
      <c r="AJ285" s="88"/>
      <c r="AK285" s="88"/>
      <c r="AL285" s="88"/>
      <c r="AM285" s="88"/>
      <c r="AN285" s="88"/>
      <c r="AO285" s="88"/>
      <c r="AP285" s="88"/>
      <c r="AQ285" s="88"/>
      <c r="AR285" s="88"/>
      <c r="AS285" s="88"/>
      <c r="AT285" s="88"/>
      <c r="AU285" s="88"/>
      <c r="AV285" s="88"/>
      <c r="AW285" s="88"/>
      <c r="AX285" s="88"/>
      <c r="AY285" s="88"/>
      <c r="AZ285" s="88"/>
      <c r="BA285" s="88"/>
      <c r="BB285" s="88"/>
      <c r="BC285" s="88"/>
      <c r="BD285" s="88"/>
      <c r="BE285" s="88"/>
      <c r="BF285" s="88"/>
      <c r="BG285" s="88"/>
      <c r="BH285" s="88"/>
      <c r="BI285" s="88"/>
      <c r="BJ285" s="88"/>
    </row>
    <row r="286" spans="1:62" outlineLevel="1">
      <c r="A286" s="11">
        <f t="shared" si="20"/>
        <v>54</v>
      </c>
      <c r="B286" s="88"/>
      <c r="C286" s="88"/>
      <c r="D286" s="88"/>
      <c r="E286" s="88"/>
      <c r="F286" s="88"/>
      <c r="G286" s="88"/>
      <c r="H286" s="88"/>
      <c r="I286" s="88"/>
      <c r="J286" s="88"/>
      <c r="K286" s="88"/>
      <c r="L286" s="88"/>
      <c r="M286" s="88"/>
      <c r="N286" s="88"/>
      <c r="O286" s="88"/>
      <c r="P286" s="88"/>
      <c r="Q286" s="88"/>
      <c r="R286" s="88"/>
      <c r="S286" s="88"/>
      <c r="T286" s="88"/>
      <c r="U286" s="88"/>
      <c r="V286" s="88"/>
      <c r="W286" s="88"/>
      <c r="X286" s="88"/>
      <c r="Y286" s="88"/>
      <c r="Z286" s="88"/>
      <c r="AA286" s="88"/>
      <c r="AB286" s="88"/>
      <c r="AC286" s="88"/>
      <c r="AD286" s="88"/>
      <c r="AE286" s="88"/>
      <c r="AF286" s="88"/>
      <c r="AG286" s="88"/>
      <c r="AH286" s="88"/>
      <c r="AI286" s="88"/>
      <c r="AJ286" s="88"/>
      <c r="AK286" s="88"/>
      <c r="AL286" s="88"/>
      <c r="AM286" s="88"/>
      <c r="AN286" s="88"/>
      <c r="AO286" s="88"/>
      <c r="AP286" s="88"/>
      <c r="AQ286" s="88"/>
      <c r="AR286" s="88"/>
      <c r="AS286" s="88"/>
      <c r="AT286" s="88"/>
      <c r="AU286" s="88"/>
      <c r="AV286" s="88"/>
      <c r="AW286" s="88"/>
      <c r="AX286" s="88"/>
      <c r="AY286" s="88"/>
      <c r="AZ286" s="88"/>
      <c r="BA286" s="88"/>
      <c r="BB286" s="88"/>
      <c r="BC286" s="88"/>
      <c r="BD286" s="88"/>
      <c r="BE286" s="88"/>
      <c r="BF286" s="88"/>
      <c r="BG286" s="88"/>
      <c r="BH286" s="88"/>
      <c r="BI286" s="88"/>
      <c r="BJ286" s="88"/>
    </row>
    <row r="287" spans="1:62" outlineLevel="1">
      <c r="A287" s="11">
        <f t="shared" si="20"/>
        <v>55</v>
      </c>
      <c r="B287" s="88"/>
      <c r="C287" s="88"/>
      <c r="D287" s="88"/>
      <c r="E287" s="88"/>
      <c r="F287" s="88"/>
      <c r="G287" s="88"/>
      <c r="H287" s="88"/>
      <c r="I287" s="88"/>
      <c r="J287" s="88"/>
      <c r="K287" s="88"/>
      <c r="L287" s="88"/>
      <c r="M287" s="88"/>
      <c r="N287" s="88"/>
      <c r="O287" s="88"/>
      <c r="P287" s="88"/>
      <c r="Q287" s="88"/>
      <c r="R287" s="88"/>
      <c r="S287" s="88"/>
      <c r="T287" s="88"/>
      <c r="U287" s="88"/>
      <c r="V287" s="88"/>
      <c r="W287" s="88"/>
      <c r="X287" s="88"/>
      <c r="Y287" s="88"/>
      <c r="Z287" s="88"/>
      <c r="AA287" s="88"/>
      <c r="AB287" s="88"/>
      <c r="AC287" s="88"/>
      <c r="AD287" s="88"/>
      <c r="AE287" s="88"/>
      <c r="AF287" s="88"/>
      <c r="AG287" s="88"/>
      <c r="AH287" s="88"/>
      <c r="AI287" s="88"/>
      <c r="AJ287" s="88"/>
      <c r="AK287" s="88"/>
      <c r="AL287" s="88"/>
      <c r="AM287" s="88"/>
      <c r="AN287" s="88"/>
      <c r="AO287" s="88"/>
      <c r="AP287" s="88"/>
      <c r="AQ287" s="88"/>
      <c r="AR287" s="88"/>
      <c r="AS287" s="88"/>
      <c r="AT287" s="88"/>
      <c r="AU287" s="88"/>
      <c r="AV287" s="88"/>
      <c r="AW287" s="88"/>
      <c r="AX287" s="88"/>
      <c r="AY287" s="88"/>
      <c r="AZ287" s="88"/>
      <c r="BA287" s="88"/>
      <c r="BB287" s="88"/>
      <c r="BC287" s="88"/>
      <c r="BD287" s="88"/>
      <c r="BE287" s="88"/>
      <c r="BF287" s="88"/>
      <c r="BG287" s="88"/>
      <c r="BH287" s="88"/>
      <c r="BI287" s="88"/>
      <c r="BJ287" s="88"/>
    </row>
    <row r="288" spans="1:62" outlineLevel="1">
      <c r="A288" s="11">
        <f t="shared" si="20"/>
        <v>56</v>
      </c>
      <c r="B288" s="88"/>
      <c r="C288" s="88"/>
      <c r="D288" s="88"/>
      <c r="E288" s="88"/>
      <c r="F288" s="88"/>
      <c r="G288" s="88"/>
      <c r="H288" s="88"/>
      <c r="I288" s="88"/>
      <c r="J288" s="88"/>
      <c r="K288" s="88"/>
      <c r="L288" s="88"/>
      <c r="M288" s="88"/>
      <c r="N288" s="88"/>
      <c r="O288" s="88"/>
      <c r="P288" s="88"/>
      <c r="Q288" s="88"/>
      <c r="R288" s="88"/>
      <c r="S288" s="88"/>
      <c r="T288" s="88"/>
      <c r="U288" s="88"/>
      <c r="V288" s="88"/>
      <c r="W288" s="88"/>
      <c r="X288" s="88"/>
      <c r="Y288" s="88"/>
      <c r="Z288" s="88"/>
      <c r="AA288" s="88"/>
      <c r="AB288" s="88"/>
      <c r="AC288" s="88"/>
      <c r="AD288" s="88"/>
      <c r="AE288" s="88"/>
      <c r="AF288" s="88"/>
      <c r="AG288" s="88"/>
      <c r="AH288" s="88"/>
      <c r="AI288" s="88"/>
      <c r="AJ288" s="88"/>
      <c r="AK288" s="88"/>
      <c r="AL288" s="88"/>
      <c r="AM288" s="88"/>
      <c r="AN288" s="88"/>
      <c r="AO288" s="88"/>
      <c r="AP288" s="88"/>
      <c r="AQ288" s="88"/>
      <c r="AR288" s="88"/>
      <c r="AS288" s="88"/>
      <c r="AT288" s="88"/>
      <c r="AU288" s="88"/>
      <c r="AV288" s="88"/>
      <c r="AW288" s="88"/>
      <c r="AX288" s="88"/>
      <c r="AY288" s="88"/>
      <c r="AZ288" s="88"/>
      <c r="BA288" s="88"/>
      <c r="BB288" s="88"/>
      <c r="BC288" s="88"/>
      <c r="BD288" s="88"/>
      <c r="BE288" s="88"/>
      <c r="BF288" s="88"/>
      <c r="BG288" s="88"/>
      <c r="BH288" s="88"/>
      <c r="BI288" s="88"/>
      <c r="BJ288" s="88"/>
    </row>
    <row r="289" spans="1:62" outlineLevel="1">
      <c r="A289" s="11">
        <f t="shared" si="20"/>
        <v>57</v>
      </c>
      <c r="B289" s="88"/>
      <c r="C289" s="88"/>
      <c r="D289" s="88"/>
      <c r="E289" s="88"/>
      <c r="F289" s="88"/>
      <c r="G289" s="88"/>
      <c r="H289" s="88"/>
      <c r="I289" s="88"/>
      <c r="J289" s="88"/>
      <c r="K289" s="88"/>
      <c r="L289" s="88"/>
      <c r="M289" s="88"/>
      <c r="N289" s="88"/>
      <c r="O289" s="88"/>
      <c r="P289" s="88"/>
      <c r="Q289" s="88"/>
      <c r="R289" s="88"/>
      <c r="S289" s="88"/>
      <c r="T289" s="88"/>
      <c r="U289" s="88"/>
      <c r="V289" s="88"/>
      <c r="W289" s="88"/>
      <c r="X289" s="88"/>
      <c r="Y289" s="88"/>
      <c r="Z289" s="88"/>
      <c r="AA289" s="88"/>
      <c r="AB289" s="88"/>
      <c r="AC289" s="88"/>
      <c r="AD289" s="88"/>
      <c r="AE289" s="88"/>
      <c r="AF289" s="88"/>
      <c r="AG289" s="88"/>
      <c r="AH289" s="88"/>
      <c r="AI289" s="88"/>
      <c r="AJ289" s="88"/>
      <c r="AK289" s="88"/>
      <c r="AL289" s="88"/>
      <c r="AM289" s="88"/>
      <c r="AN289" s="88"/>
      <c r="AO289" s="88"/>
      <c r="AP289" s="88"/>
      <c r="AQ289" s="88"/>
      <c r="AR289" s="88"/>
      <c r="AS289" s="88"/>
      <c r="AT289" s="88"/>
      <c r="AU289" s="88"/>
      <c r="AV289" s="88"/>
      <c r="AW289" s="88"/>
      <c r="AX289" s="88"/>
      <c r="AY289" s="88"/>
      <c r="AZ289" s="88"/>
      <c r="BA289" s="88"/>
      <c r="BB289" s="88"/>
      <c r="BC289" s="88"/>
      <c r="BD289" s="88"/>
      <c r="BE289" s="88"/>
      <c r="BF289" s="88"/>
      <c r="BG289" s="88"/>
      <c r="BH289" s="88"/>
      <c r="BI289" s="88"/>
      <c r="BJ289" s="88"/>
    </row>
    <row r="290" spans="1:62">
      <c r="A290" s="11">
        <f t="shared" si="20"/>
        <v>58</v>
      </c>
      <c r="B290" s="88"/>
      <c r="C290" s="88"/>
      <c r="D290" s="88"/>
      <c r="E290" s="88"/>
      <c r="F290" s="88"/>
      <c r="G290" s="88"/>
      <c r="H290" s="88"/>
      <c r="I290" s="88"/>
      <c r="J290" s="88"/>
      <c r="K290" s="88"/>
      <c r="L290" s="88"/>
      <c r="M290" s="88"/>
      <c r="N290" s="88"/>
      <c r="O290" s="88"/>
      <c r="P290" s="88"/>
      <c r="Q290" s="88"/>
      <c r="R290" s="88"/>
      <c r="S290" s="88"/>
      <c r="T290" s="88"/>
      <c r="U290" s="88"/>
      <c r="V290" s="88"/>
      <c r="W290" s="88"/>
      <c r="X290" s="88"/>
      <c r="Y290" s="88"/>
      <c r="Z290" s="88"/>
      <c r="AA290" s="88"/>
      <c r="AB290" s="88"/>
      <c r="AC290" s="88"/>
      <c r="AD290" s="88"/>
      <c r="AE290" s="88"/>
      <c r="AF290" s="88"/>
      <c r="AG290" s="88"/>
      <c r="AH290" s="88"/>
      <c r="AI290" s="88"/>
      <c r="AJ290" s="88"/>
      <c r="AK290" s="88"/>
      <c r="AL290" s="88"/>
      <c r="AM290" s="88"/>
      <c r="AN290" s="88"/>
      <c r="AO290" s="88"/>
      <c r="AP290" s="88"/>
      <c r="AQ290" s="88"/>
      <c r="AR290" s="88"/>
      <c r="AS290" s="88"/>
      <c r="AT290" s="88"/>
      <c r="AU290" s="88"/>
      <c r="AV290" s="88"/>
      <c r="AW290" s="88"/>
      <c r="AX290" s="88"/>
      <c r="AY290" s="88"/>
      <c r="AZ290" s="88"/>
      <c r="BA290" s="88"/>
      <c r="BB290" s="88"/>
      <c r="BC290" s="88"/>
      <c r="BD290" s="88"/>
      <c r="BE290" s="88"/>
      <c r="BF290" s="88"/>
      <c r="BG290" s="88"/>
      <c r="BH290" s="88"/>
      <c r="BI290" s="88"/>
      <c r="BJ290" s="88"/>
    </row>
    <row r="291" spans="1:62">
      <c r="A291" s="11">
        <f t="shared" si="20"/>
        <v>59</v>
      </c>
      <c r="B291" s="88"/>
      <c r="C291" s="88"/>
      <c r="D291" s="88"/>
      <c r="E291" s="88"/>
      <c r="F291" s="88"/>
      <c r="G291" s="88"/>
      <c r="H291" s="88"/>
      <c r="I291" s="88"/>
      <c r="J291" s="88"/>
      <c r="K291" s="88"/>
      <c r="L291" s="88"/>
      <c r="M291" s="88"/>
      <c r="N291" s="88"/>
      <c r="O291" s="88"/>
      <c r="P291" s="88"/>
      <c r="Q291" s="88"/>
      <c r="R291" s="88"/>
      <c r="S291" s="88"/>
      <c r="T291" s="88"/>
      <c r="U291" s="88"/>
      <c r="V291" s="88"/>
      <c r="W291" s="88"/>
      <c r="X291" s="88"/>
      <c r="Y291" s="88"/>
      <c r="Z291" s="88"/>
      <c r="AA291" s="88"/>
      <c r="AB291" s="88"/>
      <c r="AC291" s="88"/>
      <c r="AD291" s="88"/>
      <c r="AE291" s="88"/>
      <c r="AF291" s="88"/>
      <c r="AG291" s="88"/>
      <c r="AH291" s="88"/>
      <c r="AI291" s="88"/>
      <c r="AJ291" s="88"/>
      <c r="AK291" s="88"/>
      <c r="AL291" s="88"/>
      <c r="AM291" s="88"/>
      <c r="AN291" s="88"/>
      <c r="AO291" s="88"/>
      <c r="AP291" s="88"/>
      <c r="AQ291" s="88"/>
      <c r="AR291" s="88"/>
      <c r="AS291" s="88"/>
      <c r="AT291" s="88"/>
      <c r="AU291" s="88"/>
      <c r="AV291" s="88"/>
      <c r="AW291" s="88"/>
      <c r="AX291" s="88"/>
      <c r="AY291" s="88"/>
      <c r="AZ291" s="88"/>
      <c r="BA291" s="88"/>
      <c r="BB291" s="88"/>
      <c r="BC291" s="88"/>
      <c r="BD291" s="88"/>
      <c r="BE291" s="88"/>
      <c r="BF291" s="88"/>
      <c r="BG291" s="88"/>
      <c r="BH291" s="88"/>
      <c r="BI291" s="88"/>
      <c r="BJ291" s="88"/>
    </row>
    <row r="292" spans="1:62">
      <c r="A292" s="11">
        <f t="shared" si="20"/>
        <v>60</v>
      </c>
      <c r="B292" s="88"/>
      <c r="C292" s="88"/>
      <c r="D292" s="88"/>
      <c r="E292" s="88"/>
      <c r="F292" s="88"/>
      <c r="G292" s="88"/>
      <c r="H292" s="88"/>
      <c r="I292" s="88"/>
      <c r="J292" s="88"/>
      <c r="K292" s="88"/>
      <c r="L292" s="88"/>
      <c r="M292" s="88"/>
      <c r="N292" s="88"/>
      <c r="O292" s="88"/>
      <c r="P292" s="88"/>
      <c r="Q292" s="88"/>
      <c r="R292" s="88"/>
      <c r="S292" s="88"/>
      <c r="T292" s="88"/>
      <c r="U292" s="88"/>
      <c r="V292" s="88"/>
      <c r="W292" s="88"/>
      <c r="X292" s="88"/>
      <c r="Y292" s="88"/>
      <c r="Z292" s="88"/>
      <c r="AA292" s="88"/>
      <c r="AB292" s="88"/>
      <c r="AC292" s="88"/>
      <c r="AD292" s="88"/>
      <c r="AE292" s="88"/>
      <c r="AF292" s="88"/>
      <c r="AG292" s="88"/>
      <c r="AH292" s="88"/>
      <c r="AI292" s="88"/>
      <c r="AJ292" s="88"/>
      <c r="AK292" s="88"/>
      <c r="AL292" s="88"/>
      <c r="AM292" s="88"/>
      <c r="AN292" s="88"/>
      <c r="AO292" s="88"/>
      <c r="AP292" s="88"/>
      <c r="AQ292" s="88"/>
      <c r="AR292" s="88"/>
      <c r="AS292" s="88"/>
      <c r="AT292" s="88"/>
      <c r="AU292" s="88"/>
      <c r="AV292" s="88"/>
      <c r="AW292" s="88"/>
      <c r="AX292" s="88"/>
      <c r="AY292" s="88"/>
      <c r="AZ292" s="88"/>
      <c r="BA292" s="88"/>
      <c r="BB292" s="88"/>
      <c r="BC292" s="88"/>
      <c r="BD292" s="88"/>
      <c r="BE292" s="88"/>
      <c r="BF292" s="88"/>
      <c r="BG292" s="88"/>
      <c r="BH292" s="88"/>
      <c r="BI292" s="88"/>
      <c r="BJ292" s="88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tabColor rgb="FF00B050"/>
  </sheetPr>
  <dimension ref="B1:AR71"/>
  <sheetViews>
    <sheetView topLeftCell="N1" workbookViewId="0"/>
  </sheetViews>
  <sheetFormatPr baseColWidth="10" defaultColWidth="8.83203125" defaultRowHeight="13"/>
  <cols>
    <col min="2" max="2" width="5.6640625" style="73" bestFit="1" customWidth="1"/>
    <col min="3" max="6" width="7.6640625" bestFit="1" customWidth="1"/>
    <col min="8" max="8" width="5.6640625" style="73" bestFit="1" customWidth="1"/>
    <col min="9" max="12" width="7.6640625" bestFit="1" customWidth="1"/>
    <col min="14" max="14" width="5.6640625" style="73" bestFit="1" customWidth="1"/>
    <col min="15" max="18" width="7.6640625" bestFit="1" customWidth="1"/>
  </cols>
  <sheetData>
    <row r="1" spans="2:44" s="89" customFormat="1" ht="15">
      <c r="B1" s="90" t="s">
        <v>675</v>
      </c>
      <c r="O1" s="91"/>
      <c r="P1" s="92"/>
      <c r="Q1" s="93"/>
      <c r="R1" s="94"/>
      <c r="S1" s="92"/>
      <c r="T1" s="92"/>
      <c r="U1" s="92"/>
      <c r="V1" s="92"/>
      <c r="W1" s="92"/>
      <c r="X1" s="92"/>
      <c r="Y1" s="92"/>
      <c r="Z1" s="92"/>
      <c r="AA1" s="92"/>
      <c r="AB1" s="92"/>
      <c r="AD1" s="95"/>
    </row>
    <row r="2" spans="2:44" s="89" customFormat="1" ht="15">
      <c r="B2" s="96" t="s">
        <v>676</v>
      </c>
      <c r="O2" s="91"/>
      <c r="P2" s="92"/>
      <c r="Q2" s="93"/>
      <c r="R2" s="94"/>
      <c r="S2" s="92"/>
      <c r="T2" s="92"/>
      <c r="U2" s="92"/>
      <c r="V2" s="92"/>
      <c r="W2" s="92"/>
      <c r="X2" s="92"/>
      <c r="Y2" s="92"/>
      <c r="Z2" s="92"/>
      <c r="AA2" s="92"/>
      <c r="AB2" s="92"/>
      <c r="AD2" s="95"/>
    </row>
    <row r="3" spans="2:44" s="89" customFormat="1" ht="15">
      <c r="B3" s="97"/>
      <c r="O3" s="91"/>
      <c r="P3" s="92"/>
      <c r="Q3" s="93"/>
      <c r="R3" s="94"/>
      <c r="S3" s="92"/>
      <c r="T3" s="92"/>
      <c r="U3" s="92"/>
      <c r="V3" s="92"/>
      <c r="W3" s="92"/>
      <c r="X3" s="92"/>
      <c r="Y3" s="92"/>
      <c r="Z3" s="92"/>
      <c r="AA3" s="92"/>
      <c r="AB3" s="92"/>
      <c r="AD3" s="95"/>
    </row>
    <row r="4" spans="2:44" s="98" customFormat="1" ht="15">
      <c r="D4" s="59"/>
      <c r="E4" s="59"/>
      <c r="F4" s="59"/>
      <c r="G4" s="59"/>
      <c r="I4" s="59"/>
      <c r="J4" s="59"/>
      <c r="K4" s="99"/>
      <c r="L4" s="100"/>
      <c r="M4" s="100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/>
      <c r="AA4" s="99"/>
      <c r="AB4" s="101"/>
      <c r="AC4" s="101"/>
      <c r="AD4" s="101"/>
      <c r="AE4" s="101"/>
      <c r="AF4" s="101"/>
      <c r="AG4" s="101"/>
      <c r="AH4" s="101"/>
      <c r="AI4" s="101"/>
      <c r="AJ4" s="101"/>
      <c r="AK4" s="101"/>
      <c r="AL4" s="101"/>
      <c r="AM4" s="101"/>
      <c r="AN4" s="101"/>
      <c r="AO4" s="101"/>
      <c r="AP4" s="101"/>
      <c r="AQ4" s="101"/>
      <c r="AR4" s="101"/>
    </row>
    <row r="8" spans="2:44" ht="16">
      <c r="C8" s="109" t="s">
        <v>670</v>
      </c>
      <c r="D8" s="109"/>
      <c r="E8" s="109"/>
      <c r="F8" s="109"/>
      <c r="I8" s="109" t="s">
        <v>662</v>
      </c>
      <c r="J8" s="109"/>
      <c r="K8" s="109"/>
      <c r="L8" s="109"/>
      <c r="O8" s="109" t="s">
        <v>666</v>
      </c>
      <c r="P8" s="109"/>
      <c r="Q8" s="109"/>
      <c r="R8" s="109"/>
    </row>
    <row r="9" spans="2:44" ht="16">
      <c r="B9" s="75" t="s">
        <v>25</v>
      </c>
      <c r="C9" s="74">
        <v>5</v>
      </c>
      <c r="D9" s="74">
        <f>C9-1</f>
        <v>4</v>
      </c>
      <c r="E9" s="74">
        <f t="shared" ref="E9:F9" si="0">D9-1</f>
        <v>3</v>
      </c>
      <c r="F9" s="74">
        <f t="shared" si="0"/>
        <v>2</v>
      </c>
      <c r="H9" s="75" t="s">
        <v>25</v>
      </c>
      <c r="I9" s="74">
        <v>5</v>
      </c>
      <c r="J9" s="74">
        <f>I9-1</f>
        <v>4</v>
      </c>
      <c r="K9" s="74">
        <f t="shared" ref="K9:L9" si="1">J9-1</f>
        <v>3</v>
      </c>
      <c r="L9" s="74">
        <f t="shared" si="1"/>
        <v>2</v>
      </c>
      <c r="N9" s="75" t="s">
        <v>25</v>
      </c>
      <c r="O9" s="74">
        <v>5</v>
      </c>
      <c r="P9" s="74">
        <f>O9-1</f>
        <v>4</v>
      </c>
      <c r="Q9" s="74">
        <f t="shared" ref="Q9:R9" si="2">P9-1</f>
        <v>3</v>
      </c>
      <c r="R9" s="74">
        <f t="shared" si="2"/>
        <v>2</v>
      </c>
    </row>
    <row r="10" spans="2:44">
      <c r="B10" s="76" t="s">
        <v>18</v>
      </c>
      <c r="C10" s="3"/>
      <c r="D10" s="3"/>
      <c r="E10" s="3"/>
      <c r="F10" s="3"/>
      <c r="H10" s="76" t="s">
        <v>18</v>
      </c>
      <c r="I10" s="3"/>
      <c r="J10" s="3"/>
      <c r="K10" s="3"/>
      <c r="L10" s="3"/>
      <c r="N10" s="76" t="s">
        <v>18</v>
      </c>
      <c r="O10" s="3"/>
      <c r="P10" s="3"/>
      <c r="Q10" s="3"/>
      <c r="R10" s="3"/>
    </row>
    <row r="11" spans="2:44">
      <c r="B11" s="77">
        <v>0</v>
      </c>
      <c r="C11" s="40">
        <f t="shared" ref="C11:F30" si="3">IF(HLOOKUP(C$9,tree.rates,$H11+3,FALSE)="",#N/A,HLOOKUP(C$9,tree.rates,$H11+3,FALSE))</f>
        <v>5.0682154636656651E-2</v>
      </c>
      <c r="D11" s="40">
        <f t="shared" si="3"/>
        <v>5.0682154636656651E-2</v>
      </c>
      <c r="E11" s="40">
        <f t="shared" si="3"/>
        <v>5.0682154636656651E-2</v>
      </c>
      <c r="F11" s="40">
        <f t="shared" si="3"/>
        <v>5.0682154636656651E-2</v>
      </c>
      <c r="H11" s="77">
        <v>0</v>
      </c>
      <c r="I11" s="40" t="e">
        <f t="shared" ref="I11:L30" si="4">IF(HLOOKUP(I$9,tree.non.callable,$H11+3,FALSE)="",#N/A,HLOOKUP(I$9,tree.non.callable,$H11+3,FALSE))</f>
        <v>#N/A</v>
      </c>
      <c r="J11" s="40" t="e">
        <f t="shared" si="4"/>
        <v>#N/A</v>
      </c>
      <c r="K11" s="40" t="e">
        <f t="shared" si="4"/>
        <v>#N/A</v>
      </c>
      <c r="L11" s="40" t="e">
        <f t="shared" si="4"/>
        <v>#N/A</v>
      </c>
      <c r="N11" s="77">
        <v>0</v>
      </c>
      <c r="O11" s="40" t="e">
        <f t="shared" ref="O11:R30" si="5">IF(HLOOKUP(O$9,tree.callable,$H11+3,FALSE)=0,#N/A,HLOOKUP(O$9,tree.callable,$H11+3,FALSE))</f>
        <v>#N/A</v>
      </c>
      <c r="P11" s="40" t="e">
        <f t="shared" si="5"/>
        <v>#N/A</v>
      </c>
      <c r="Q11" s="40" t="e">
        <f t="shared" si="5"/>
        <v>#N/A</v>
      </c>
      <c r="R11" s="40" t="e">
        <f t="shared" si="5"/>
        <v>#N/A</v>
      </c>
    </row>
    <row r="12" spans="2:44">
      <c r="B12" s="77">
        <f t="shared" ref="B12:B43" si="6">B11+1</f>
        <v>1</v>
      </c>
      <c r="C12" s="40">
        <f t="shared" si="3"/>
        <v>5.0682154636656651E-2</v>
      </c>
      <c r="D12" s="40">
        <f t="shared" si="3"/>
        <v>5.0682154636656651E-2</v>
      </c>
      <c r="E12" s="40">
        <f t="shared" si="3"/>
        <v>5.0682154636656651E-2</v>
      </c>
      <c r="F12" s="40">
        <f t="shared" si="3"/>
        <v>5.0682154636656651E-2</v>
      </c>
      <c r="H12" s="77">
        <f t="shared" ref="H12:H43" si="7">H11+1</f>
        <v>1</v>
      </c>
      <c r="I12" s="40" t="e">
        <f t="shared" si="4"/>
        <v>#N/A</v>
      </c>
      <c r="J12" s="40" t="e">
        <f t="shared" si="4"/>
        <v>#N/A</v>
      </c>
      <c r="K12" s="40" t="e">
        <f t="shared" si="4"/>
        <v>#N/A</v>
      </c>
      <c r="L12" s="40" t="e">
        <f t="shared" si="4"/>
        <v>#N/A</v>
      </c>
      <c r="N12" s="77">
        <f t="shared" ref="N12:N43" si="8">N11+1</f>
        <v>1</v>
      </c>
      <c r="O12" s="40" t="e">
        <f t="shared" si="5"/>
        <v>#N/A</v>
      </c>
      <c r="P12" s="40" t="e">
        <f t="shared" si="5"/>
        <v>#N/A</v>
      </c>
      <c r="Q12" s="40" t="e">
        <f t="shared" si="5"/>
        <v>#N/A</v>
      </c>
      <c r="R12" s="40" t="e">
        <f t="shared" si="5"/>
        <v>#N/A</v>
      </c>
    </row>
    <row r="13" spans="2:44">
      <c r="B13" s="77">
        <f t="shared" si="6"/>
        <v>2</v>
      </c>
      <c r="C13" s="40">
        <f t="shared" si="3"/>
        <v>5.0682154636656651E-2</v>
      </c>
      <c r="D13" s="40">
        <f t="shared" si="3"/>
        <v>5.0682154636656651E-2</v>
      </c>
      <c r="E13" s="40">
        <f t="shared" si="3"/>
        <v>5.0682154636656651E-2</v>
      </c>
      <c r="F13" s="40">
        <f t="shared" si="3"/>
        <v>5.0682154636656651E-2</v>
      </c>
      <c r="H13" s="77">
        <f t="shared" si="7"/>
        <v>2</v>
      </c>
      <c r="I13" s="40" t="e">
        <f t="shared" si="4"/>
        <v>#N/A</v>
      </c>
      <c r="J13" s="40" t="e">
        <f t="shared" si="4"/>
        <v>#N/A</v>
      </c>
      <c r="K13" s="40" t="e">
        <f t="shared" si="4"/>
        <v>#N/A</v>
      </c>
      <c r="L13" s="40" t="e">
        <f t="shared" si="4"/>
        <v>#N/A</v>
      </c>
      <c r="N13" s="77">
        <f t="shared" si="8"/>
        <v>2</v>
      </c>
      <c r="O13" s="40" t="e">
        <f t="shared" si="5"/>
        <v>#N/A</v>
      </c>
      <c r="P13" s="40" t="e">
        <f t="shared" si="5"/>
        <v>#N/A</v>
      </c>
      <c r="Q13" s="40" t="e">
        <f t="shared" si="5"/>
        <v>#N/A</v>
      </c>
      <c r="R13" s="40" t="e">
        <f t="shared" si="5"/>
        <v>#N/A</v>
      </c>
    </row>
    <row r="14" spans="2:44">
      <c r="B14" s="77">
        <f t="shared" si="6"/>
        <v>3</v>
      </c>
      <c r="C14" s="40">
        <f t="shared" si="3"/>
        <v>5.0682154636656651E-2</v>
      </c>
      <c r="D14" s="40">
        <f t="shared" si="3"/>
        <v>5.0682154636656651E-2</v>
      </c>
      <c r="E14" s="40">
        <f t="shared" si="3"/>
        <v>5.0682154636656651E-2</v>
      </c>
      <c r="F14" s="40">
        <f t="shared" si="3"/>
        <v>5.0682154636656651E-2</v>
      </c>
      <c r="H14" s="77">
        <f t="shared" si="7"/>
        <v>3</v>
      </c>
      <c r="I14" s="40" t="e">
        <f t="shared" si="4"/>
        <v>#N/A</v>
      </c>
      <c r="J14" s="40" t="e">
        <f t="shared" si="4"/>
        <v>#N/A</v>
      </c>
      <c r="K14" s="40" t="e">
        <f t="shared" si="4"/>
        <v>#N/A</v>
      </c>
      <c r="L14" s="40" t="e">
        <f t="shared" si="4"/>
        <v>#N/A</v>
      </c>
      <c r="N14" s="77">
        <f t="shared" si="8"/>
        <v>3</v>
      </c>
      <c r="O14" s="40" t="e">
        <f t="shared" si="5"/>
        <v>#N/A</v>
      </c>
      <c r="P14" s="40" t="e">
        <f t="shared" si="5"/>
        <v>#N/A</v>
      </c>
      <c r="Q14" s="40" t="e">
        <f t="shared" si="5"/>
        <v>#N/A</v>
      </c>
      <c r="R14" s="40" t="e">
        <f t="shared" si="5"/>
        <v>#N/A</v>
      </c>
    </row>
    <row r="15" spans="2:44">
      <c r="B15" s="77">
        <f t="shared" si="6"/>
        <v>4</v>
      </c>
      <c r="C15" s="40">
        <f t="shared" si="3"/>
        <v>5.0682154636656651E-2</v>
      </c>
      <c r="D15" s="40">
        <f t="shared" si="3"/>
        <v>5.0682154636656651E-2</v>
      </c>
      <c r="E15" s="40">
        <f t="shared" si="3"/>
        <v>5.0682154636656651E-2</v>
      </c>
      <c r="F15" s="40">
        <f t="shared" si="3"/>
        <v>5.0682154636656651E-2</v>
      </c>
      <c r="H15" s="77">
        <f t="shared" si="7"/>
        <v>4</v>
      </c>
      <c r="I15" s="40" t="e">
        <f t="shared" si="4"/>
        <v>#N/A</v>
      </c>
      <c r="J15" s="40" t="e">
        <f t="shared" si="4"/>
        <v>#N/A</v>
      </c>
      <c r="K15" s="40" t="e">
        <f t="shared" si="4"/>
        <v>#N/A</v>
      </c>
      <c r="L15" s="40" t="e">
        <f t="shared" si="4"/>
        <v>#N/A</v>
      </c>
      <c r="N15" s="77">
        <f t="shared" si="8"/>
        <v>4</v>
      </c>
      <c r="O15" s="40" t="e">
        <f t="shared" si="5"/>
        <v>#N/A</v>
      </c>
      <c r="P15" s="40" t="e">
        <f t="shared" si="5"/>
        <v>#N/A</v>
      </c>
      <c r="Q15" s="40" t="e">
        <f t="shared" si="5"/>
        <v>#N/A</v>
      </c>
      <c r="R15" s="40" t="e">
        <f t="shared" si="5"/>
        <v>#N/A</v>
      </c>
    </row>
    <row r="16" spans="2:44">
      <c r="B16" s="77">
        <f t="shared" si="6"/>
        <v>5</v>
      </c>
      <c r="C16" s="40">
        <f t="shared" si="3"/>
        <v>5.0682154636656651E-2</v>
      </c>
      <c r="D16" s="40">
        <f t="shared" si="3"/>
        <v>5.0682154636656651E-2</v>
      </c>
      <c r="E16" s="40">
        <f t="shared" si="3"/>
        <v>5.0682154636656651E-2</v>
      </c>
      <c r="F16" s="40" t="e">
        <f t="shared" si="3"/>
        <v>#N/A</v>
      </c>
      <c r="H16" s="77">
        <f t="shared" si="7"/>
        <v>5</v>
      </c>
      <c r="I16" s="40" t="e">
        <f t="shared" si="4"/>
        <v>#N/A</v>
      </c>
      <c r="J16" s="40" t="e">
        <f t="shared" si="4"/>
        <v>#N/A</v>
      </c>
      <c r="K16" s="40" t="e">
        <f t="shared" si="4"/>
        <v>#N/A</v>
      </c>
      <c r="L16" s="40" t="e">
        <f t="shared" si="4"/>
        <v>#N/A</v>
      </c>
      <c r="N16" s="77">
        <f t="shared" si="8"/>
        <v>5</v>
      </c>
      <c r="O16" s="40" t="e">
        <f t="shared" si="5"/>
        <v>#N/A</v>
      </c>
      <c r="P16" s="40" t="e">
        <f t="shared" si="5"/>
        <v>#N/A</v>
      </c>
      <c r="Q16" s="40" t="e">
        <f t="shared" si="5"/>
        <v>#N/A</v>
      </c>
      <c r="R16" s="40" t="e">
        <f t="shared" si="5"/>
        <v>#N/A</v>
      </c>
    </row>
    <row r="17" spans="2:18">
      <c r="B17" s="77">
        <f t="shared" si="6"/>
        <v>6</v>
      </c>
      <c r="C17" s="40">
        <f t="shared" si="3"/>
        <v>5.0682154636656651E-2</v>
      </c>
      <c r="D17" s="40">
        <f t="shared" si="3"/>
        <v>5.0682154636656651E-2</v>
      </c>
      <c r="E17" s="40">
        <f t="shared" si="3"/>
        <v>5.0682154636656651E-2</v>
      </c>
      <c r="F17" s="40" t="e">
        <f t="shared" si="3"/>
        <v>#N/A</v>
      </c>
      <c r="H17" s="77">
        <f t="shared" si="7"/>
        <v>6</v>
      </c>
      <c r="I17" s="40" t="e">
        <f t="shared" si="4"/>
        <v>#N/A</v>
      </c>
      <c r="J17" s="40" t="e">
        <f t="shared" si="4"/>
        <v>#N/A</v>
      </c>
      <c r="K17" s="40" t="e">
        <f t="shared" si="4"/>
        <v>#N/A</v>
      </c>
      <c r="L17" s="40" t="e">
        <f t="shared" si="4"/>
        <v>#N/A</v>
      </c>
      <c r="N17" s="77">
        <f t="shared" si="8"/>
        <v>6</v>
      </c>
      <c r="O17" s="40" t="e">
        <f t="shared" si="5"/>
        <v>#N/A</v>
      </c>
      <c r="P17" s="40" t="e">
        <f t="shared" si="5"/>
        <v>#N/A</v>
      </c>
      <c r="Q17" s="40" t="e">
        <f t="shared" si="5"/>
        <v>#N/A</v>
      </c>
      <c r="R17" s="40" t="e">
        <f t="shared" si="5"/>
        <v>#N/A</v>
      </c>
    </row>
    <row r="18" spans="2:18">
      <c r="B18" s="77">
        <f t="shared" si="6"/>
        <v>7</v>
      </c>
      <c r="C18" s="40">
        <f t="shared" si="3"/>
        <v>5.0682154636656651E-2</v>
      </c>
      <c r="D18" s="40">
        <f t="shared" si="3"/>
        <v>5.0682154636656651E-2</v>
      </c>
      <c r="E18" s="40" t="e">
        <f t="shared" si="3"/>
        <v>#N/A</v>
      </c>
      <c r="F18" s="40" t="e">
        <f t="shared" si="3"/>
        <v>#N/A</v>
      </c>
      <c r="H18" s="77">
        <f t="shared" si="7"/>
        <v>7</v>
      </c>
      <c r="I18" s="40" t="e">
        <f t="shared" si="4"/>
        <v>#N/A</v>
      </c>
      <c r="J18" s="40" t="e">
        <f t="shared" si="4"/>
        <v>#N/A</v>
      </c>
      <c r="K18" s="40" t="e">
        <f t="shared" si="4"/>
        <v>#N/A</v>
      </c>
      <c r="L18" s="40" t="e">
        <f t="shared" si="4"/>
        <v>#N/A</v>
      </c>
      <c r="N18" s="77">
        <f t="shared" si="8"/>
        <v>7</v>
      </c>
      <c r="O18" s="40" t="e">
        <f t="shared" si="5"/>
        <v>#N/A</v>
      </c>
      <c r="P18" s="40" t="e">
        <f t="shared" si="5"/>
        <v>#N/A</v>
      </c>
      <c r="Q18" s="40" t="e">
        <f t="shared" si="5"/>
        <v>#N/A</v>
      </c>
      <c r="R18" s="40" t="e">
        <f t="shared" si="5"/>
        <v>#N/A</v>
      </c>
    </row>
    <row r="19" spans="2:18">
      <c r="B19" s="77">
        <f t="shared" si="6"/>
        <v>8</v>
      </c>
      <c r="C19" s="40">
        <f t="shared" si="3"/>
        <v>5.0682154636656651E-2</v>
      </c>
      <c r="D19" s="40">
        <f t="shared" si="3"/>
        <v>5.0682154636656651E-2</v>
      </c>
      <c r="E19" s="40" t="e">
        <f t="shared" si="3"/>
        <v>#N/A</v>
      </c>
      <c r="F19" s="40" t="e">
        <f t="shared" si="3"/>
        <v>#N/A</v>
      </c>
      <c r="H19" s="77">
        <f t="shared" si="7"/>
        <v>8</v>
      </c>
      <c r="I19" s="40" t="e">
        <f t="shared" si="4"/>
        <v>#N/A</v>
      </c>
      <c r="J19" s="40" t="e">
        <f t="shared" si="4"/>
        <v>#N/A</v>
      </c>
      <c r="K19" s="40" t="e">
        <f t="shared" si="4"/>
        <v>#N/A</v>
      </c>
      <c r="L19" s="40" t="e">
        <f t="shared" si="4"/>
        <v>#N/A</v>
      </c>
      <c r="N19" s="77">
        <f t="shared" si="8"/>
        <v>8</v>
      </c>
      <c r="O19" s="40" t="e">
        <f t="shared" si="5"/>
        <v>#N/A</v>
      </c>
      <c r="P19" s="40" t="e">
        <f t="shared" si="5"/>
        <v>#N/A</v>
      </c>
      <c r="Q19" s="40" t="e">
        <f t="shared" si="5"/>
        <v>#N/A</v>
      </c>
      <c r="R19" s="40" t="e">
        <f t="shared" si="5"/>
        <v>#N/A</v>
      </c>
    </row>
    <row r="20" spans="2:18">
      <c r="B20" s="77">
        <f t="shared" si="6"/>
        <v>9</v>
      </c>
      <c r="C20" s="40">
        <f t="shared" si="3"/>
        <v>5.0682154636656651E-2</v>
      </c>
      <c r="D20" s="40" t="e">
        <f t="shared" si="3"/>
        <v>#N/A</v>
      </c>
      <c r="E20" s="40" t="e">
        <f t="shared" si="3"/>
        <v>#N/A</v>
      </c>
      <c r="F20" s="40" t="e">
        <f t="shared" si="3"/>
        <v>#N/A</v>
      </c>
      <c r="H20" s="77">
        <f t="shared" si="7"/>
        <v>9</v>
      </c>
      <c r="I20" s="40" t="e">
        <f t="shared" si="4"/>
        <v>#N/A</v>
      </c>
      <c r="J20" s="40" t="e">
        <f t="shared" si="4"/>
        <v>#N/A</v>
      </c>
      <c r="K20" s="40" t="e">
        <f t="shared" si="4"/>
        <v>#N/A</v>
      </c>
      <c r="L20" s="40" t="e">
        <f t="shared" si="4"/>
        <v>#N/A</v>
      </c>
      <c r="N20" s="77">
        <f t="shared" si="8"/>
        <v>9</v>
      </c>
      <c r="O20" s="40" t="e">
        <f t="shared" si="5"/>
        <v>#N/A</v>
      </c>
      <c r="P20" s="40" t="e">
        <f t="shared" si="5"/>
        <v>#N/A</v>
      </c>
      <c r="Q20" s="40" t="e">
        <f t="shared" si="5"/>
        <v>#N/A</v>
      </c>
      <c r="R20" s="40" t="e">
        <f t="shared" si="5"/>
        <v>#N/A</v>
      </c>
    </row>
    <row r="21" spans="2:18">
      <c r="B21" s="77">
        <f t="shared" si="6"/>
        <v>10</v>
      </c>
      <c r="C21" s="40">
        <f t="shared" si="3"/>
        <v>5.0682154636656651E-2</v>
      </c>
      <c r="D21" s="40" t="e">
        <f t="shared" si="3"/>
        <v>#N/A</v>
      </c>
      <c r="E21" s="40" t="e">
        <f t="shared" si="3"/>
        <v>#N/A</v>
      </c>
      <c r="F21" s="40" t="e">
        <f t="shared" si="3"/>
        <v>#N/A</v>
      </c>
      <c r="H21" s="77">
        <f t="shared" si="7"/>
        <v>10</v>
      </c>
      <c r="I21" s="40" t="e">
        <f t="shared" si="4"/>
        <v>#N/A</v>
      </c>
      <c r="J21" s="40" t="e">
        <f t="shared" si="4"/>
        <v>#N/A</v>
      </c>
      <c r="K21" s="40" t="e">
        <f t="shared" si="4"/>
        <v>#N/A</v>
      </c>
      <c r="L21" s="40" t="e">
        <f t="shared" si="4"/>
        <v>#N/A</v>
      </c>
      <c r="N21" s="77">
        <f t="shared" si="8"/>
        <v>10</v>
      </c>
      <c r="O21" s="40" t="e">
        <f t="shared" si="5"/>
        <v>#N/A</v>
      </c>
      <c r="P21" s="40" t="e">
        <f t="shared" si="5"/>
        <v>#N/A</v>
      </c>
      <c r="Q21" s="40" t="e">
        <f t="shared" si="5"/>
        <v>#N/A</v>
      </c>
      <c r="R21" s="40" t="e">
        <f t="shared" si="5"/>
        <v>#N/A</v>
      </c>
    </row>
    <row r="22" spans="2:18">
      <c r="B22" s="77">
        <f t="shared" si="6"/>
        <v>11</v>
      </c>
      <c r="C22" s="40" t="e">
        <f t="shared" si="3"/>
        <v>#N/A</v>
      </c>
      <c r="D22" s="40" t="e">
        <f t="shared" si="3"/>
        <v>#N/A</v>
      </c>
      <c r="E22" s="40" t="e">
        <f t="shared" si="3"/>
        <v>#N/A</v>
      </c>
      <c r="F22" s="40" t="e">
        <f t="shared" si="3"/>
        <v>#N/A</v>
      </c>
      <c r="H22" s="77">
        <f t="shared" si="7"/>
        <v>11</v>
      </c>
      <c r="I22" s="40" t="e">
        <f t="shared" si="4"/>
        <v>#N/A</v>
      </c>
      <c r="J22" s="40" t="e">
        <f t="shared" si="4"/>
        <v>#N/A</v>
      </c>
      <c r="K22" s="40" t="e">
        <f t="shared" si="4"/>
        <v>#N/A</v>
      </c>
      <c r="L22" s="40" t="e">
        <f t="shared" si="4"/>
        <v>#N/A</v>
      </c>
      <c r="N22" s="77">
        <f t="shared" si="8"/>
        <v>11</v>
      </c>
      <c r="O22" s="40" t="e">
        <f t="shared" si="5"/>
        <v>#N/A</v>
      </c>
      <c r="P22" s="40" t="e">
        <f t="shared" si="5"/>
        <v>#N/A</v>
      </c>
      <c r="Q22" s="40" t="e">
        <f t="shared" si="5"/>
        <v>#N/A</v>
      </c>
      <c r="R22" s="40" t="e">
        <f t="shared" si="5"/>
        <v>#N/A</v>
      </c>
    </row>
    <row r="23" spans="2:18">
      <c r="B23" s="77">
        <f t="shared" si="6"/>
        <v>12</v>
      </c>
      <c r="C23" s="40" t="e">
        <f t="shared" si="3"/>
        <v>#N/A</v>
      </c>
      <c r="D23" s="40" t="e">
        <f t="shared" si="3"/>
        <v>#N/A</v>
      </c>
      <c r="E23" s="40" t="e">
        <f t="shared" si="3"/>
        <v>#N/A</v>
      </c>
      <c r="F23" s="40" t="e">
        <f t="shared" si="3"/>
        <v>#N/A</v>
      </c>
      <c r="H23" s="77">
        <f t="shared" si="7"/>
        <v>12</v>
      </c>
      <c r="I23" s="40" t="e">
        <f t="shared" si="4"/>
        <v>#N/A</v>
      </c>
      <c r="J23" s="40" t="e">
        <f t="shared" si="4"/>
        <v>#N/A</v>
      </c>
      <c r="K23" s="40" t="e">
        <f t="shared" si="4"/>
        <v>#N/A</v>
      </c>
      <c r="L23" s="40" t="e">
        <f t="shared" si="4"/>
        <v>#N/A</v>
      </c>
      <c r="N23" s="77">
        <f t="shared" si="8"/>
        <v>12</v>
      </c>
      <c r="O23" s="40" t="e">
        <f t="shared" si="5"/>
        <v>#N/A</v>
      </c>
      <c r="P23" s="40" t="e">
        <f t="shared" si="5"/>
        <v>#N/A</v>
      </c>
      <c r="Q23" s="40" t="e">
        <f t="shared" si="5"/>
        <v>#N/A</v>
      </c>
      <c r="R23" s="40" t="e">
        <f t="shared" si="5"/>
        <v>#N/A</v>
      </c>
    </row>
    <row r="24" spans="2:18">
      <c r="B24" s="77">
        <f t="shared" si="6"/>
        <v>13</v>
      </c>
      <c r="C24" s="40" t="e">
        <f t="shared" si="3"/>
        <v>#N/A</v>
      </c>
      <c r="D24" s="40" t="e">
        <f t="shared" si="3"/>
        <v>#N/A</v>
      </c>
      <c r="E24" s="40" t="e">
        <f t="shared" si="3"/>
        <v>#N/A</v>
      </c>
      <c r="F24" s="40" t="e">
        <f t="shared" si="3"/>
        <v>#N/A</v>
      </c>
      <c r="H24" s="77">
        <f t="shared" si="7"/>
        <v>13</v>
      </c>
      <c r="I24" s="40" t="e">
        <f t="shared" si="4"/>
        <v>#N/A</v>
      </c>
      <c r="J24" s="40" t="e">
        <f t="shared" si="4"/>
        <v>#N/A</v>
      </c>
      <c r="K24" s="40" t="e">
        <f t="shared" si="4"/>
        <v>#N/A</v>
      </c>
      <c r="L24" s="40" t="e">
        <f t="shared" si="4"/>
        <v>#N/A</v>
      </c>
      <c r="N24" s="77">
        <f t="shared" si="8"/>
        <v>13</v>
      </c>
      <c r="O24" s="40" t="e">
        <f t="shared" si="5"/>
        <v>#N/A</v>
      </c>
      <c r="P24" s="40" t="e">
        <f t="shared" si="5"/>
        <v>#N/A</v>
      </c>
      <c r="Q24" s="40" t="e">
        <f t="shared" si="5"/>
        <v>#N/A</v>
      </c>
      <c r="R24" s="40" t="e">
        <f t="shared" si="5"/>
        <v>#N/A</v>
      </c>
    </row>
    <row r="25" spans="2:18">
      <c r="B25" s="77">
        <f t="shared" si="6"/>
        <v>14</v>
      </c>
      <c r="C25" s="40" t="e">
        <f t="shared" si="3"/>
        <v>#N/A</v>
      </c>
      <c r="D25" s="40" t="e">
        <f t="shared" si="3"/>
        <v>#N/A</v>
      </c>
      <c r="E25" s="40" t="e">
        <f t="shared" si="3"/>
        <v>#N/A</v>
      </c>
      <c r="F25" s="40" t="e">
        <f t="shared" si="3"/>
        <v>#N/A</v>
      </c>
      <c r="H25" s="77">
        <f t="shared" si="7"/>
        <v>14</v>
      </c>
      <c r="I25" s="40" t="e">
        <f t="shared" si="4"/>
        <v>#N/A</v>
      </c>
      <c r="J25" s="40" t="e">
        <f t="shared" si="4"/>
        <v>#N/A</v>
      </c>
      <c r="K25" s="40" t="e">
        <f t="shared" si="4"/>
        <v>#N/A</v>
      </c>
      <c r="L25" s="40" t="e">
        <f t="shared" si="4"/>
        <v>#N/A</v>
      </c>
      <c r="N25" s="77">
        <f t="shared" si="8"/>
        <v>14</v>
      </c>
      <c r="O25" s="40" t="e">
        <f t="shared" si="5"/>
        <v>#N/A</v>
      </c>
      <c r="P25" s="40" t="e">
        <f t="shared" si="5"/>
        <v>#N/A</v>
      </c>
      <c r="Q25" s="40" t="e">
        <f t="shared" si="5"/>
        <v>#N/A</v>
      </c>
      <c r="R25" s="40" t="e">
        <f t="shared" si="5"/>
        <v>#N/A</v>
      </c>
    </row>
    <row r="26" spans="2:18">
      <c r="B26" s="77">
        <f t="shared" si="6"/>
        <v>15</v>
      </c>
      <c r="C26" s="40" t="e">
        <f t="shared" si="3"/>
        <v>#N/A</v>
      </c>
      <c r="D26" s="40" t="e">
        <f t="shared" si="3"/>
        <v>#N/A</v>
      </c>
      <c r="E26" s="40" t="e">
        <f t="shared" si="3"/>
        <v>#N/A</v>
      </c>
      <c r="F26" s="40" t="e">
        <f t="shared" si="3"/>
        <v>#N/A</v>
      </c>
      <c r="H26" s="77">
        <f t="shared" si="7"/>
        <v>15</v>
      </c>
      <c r="I26" s="40" t="e">
        <f t="shared" si="4"/>
        <v>#N/A</v>
      </c>
      <c r="J26" s="40" t="e">
        <f t="shared" si="4"/>
        <v>#N/A</v>
      </c>
      <c r="K26" s="40" t="e">
        <f t="shared" si="4"/>
        <v>#N/A</v>
      </c>
      <c r="L26" s="40" t="e">
        <f t="shared" si="4"/>
        <v>#N/A</v>
      </c>
      <c r="N26" s="77">
        <f t="shared" si="8"/>
        <v>15</v>
      </c>
      <c r="O26" s="40" t="e">
        <f t="shared" si="5"/>
        <v>#N/A</v>
      </c>
      <c r="P26" s="40" t="e">
        <f t="shared" si="5"/>
        <v>#N/A</v>
      </c>
      <c r="Q26" s="40" t="e">
        <f t="shared" si="5"/>
        <v>#N/A</v>
      </c>
      <c r="R26" s="40" t="e">
        <f t="shared" si="5"/>
        <v>#N/A</v>
      </c>
    </row>
    <row r="27" spans="2:18">
      <c r="B27" s="77">
        <f t="shared" si="6"/>
        <v>16</v>
      </c>
      <c r="C27" s="40" t="e">
        <f t="shared" si="3"/>
        <v>#N/A</v>
      </c>
      <c r="D27" s="40" t="e">
        <f t="shared" si="3"/>
        <v>#N/A</v>
      </c>
      <c r="E27" s="40" t="e">
        <f t="shared" si="3"/>
        <v>#N/A</v>
      </c>
      <c r="F27" s="40" t="e">
        <f t="shared" si="3"/>
        <v>#N/A</v>
      </c>
      <c r="H27" s="77">
        <f t="shared" si="7"/>
        <v>16</v>
      </c>
      <c r="I27" s="40" t="e">
        <f t="shared" si="4"/>
        <v>#N/A</v>
      </c>
      <c r="J27" s="40" t="e">
        <f t="shared" si="4"/>
        <v>#N/A</v>
      </c>
      <c r="K27" s="40" t="e">
        <f t="shared" si="4"/>
        <v>#N/A</v>
      </c>
      <c r="L27" s="40" t="e">
        <f t="shared" si="4"/>
        <v>#N/A</v>
      </c>
      <c r="N27" s="77">
        <f t="shared" si="8"/>
        <v>16</v>
      </c>
      <c r="O27" s="40" t="e">
        <f t="shared" si="5"/>
        <v>#N/A</v>
      </c>
      <c r="P27" s="40" t="e">
        <f t="shared" si="5"/>
        <v>#N/A</v>
      </c>
      <c r="Q27" s="40" t="e">
        <f t="shared" si="5"/>
        <v>#N/A</v>
      </c>
      <c r="R27" s="40" t="e">
        <f t="shared" si="5"/>
        <v>#N/A</v>
      </c>
    </row>
    <row r="28" spans="2:18">
      <c r="B28" s="77">
        <f t="shared" si="6"/>
        <v>17</v>
      </c>
      <c r="C28" s="40" t="e">
        <f t="shared" si="3"/>
        <v>#N/A</v>
      </c>
      <c r="D28" s="40" t="e">
        <f t="shared" si="3"/>
        <v>#N/A</v>
      </c>
      <c r="E28" s="40" t="e">
        <f t="shared" si="3"/>
        <v>#N/A</v>
      </c>
      <c r="F28" s="40" t="e">
        <f t="shared" si="3"/>
        <v>#N/A</v>
      </c>
      <c r="H28" s="77">
        <f t="shared" si="7"/>
        <v>17</v>
      </c>
      <c r="I28" s="40" t="e">
        <f t="shared" si="4"/>
        <v>#N/A</v>
      </c>
      <c r="J28" s="40" t="e">
        <f t="shared" si="4"/>
        <v>#N/A</v>
      </c>
      <c r="K28" s="40" t="e">
        <f t="shared" si="4"/>
        <v>#N/A</v>
      </c>
      <c r="L28" s="40" t="e">
        <f t="shared" si="4"/>
        <v>#N/A</v>
      </c>
      <c r="N28" s="77">
        <f t="shared" si="8"/>
        <v>17</v>
      </c>
      <c r="O28" s="40" t="e">
        <f t="shared" si="5"/>
        <v>#N/A</v>
      </c>
      <c r="P28" s="40" t="e">
        <f t="shared" si="5"/>
        <v>#N/A</v>
      </c>
      <c r="Q28" s="40" t="e">
        <f t="shared" si="5"/>
        <v>#N/A</v>
      </c>
      <c r="R28" s="40" t="e">
        <f t="shared" si="5"/>
        <v>#N/A</v>
      </c>
    </row>
    <row r="29" spans="2:18">
      <c r="B29" s="77">
        <f t="shared" si="6"/>
        <v>18</v>
      </c>
      <c r="C29" s="40" t="e">
        <f t="shared" si="3"/>
        <v>#N/A</v>
      </c>
      <c r="D29" s="40" t="e">
        <f t="shared" si="3"/>
        <v>#N/A</v>
      </c>
      <c r="E29" s="40" t="e">
        <f t="shared" si="3"/>
        <v>#N/A</v>
      </c>
      <c r="F29" s="40" t="e">
        <f t="shared" si="3"/>
        <v>#N/A</v>
      </c>
      <c r="H29" s="77">
        <f t="shared" si="7"/>
        <v>18</v>
      </c>
      <c r="I29" s="40" t="e">
        <f t="shared" si="4"/>
        <v>#N/A</v>
      </c>
      <c r="J29" s="40" t="e">
        <f t="shared" si="4"/>
        <v>#N/A</v>
      </c>
      <c r="K29" s="40" t="e">
        <f t="shared" si="4"/>
        <v>#N/A</v>
      </c>
      <c r="L29" s="40" t="e">
        <f t="shared" si="4"/>
        <v>#N/A</v>
      </c>
      <c r="N29" s="77">
        <f t="shared" si="8"/>
        <v>18</v>
      </c>
      <c r="O29" s="40" t="e">
        <f t="shared" si="5"/>
        <v>#N/A</v>
      </c>
      <c r="P29" s="40" t="e">
        <f t="shared" si="5"/>
        <v>#N/A</v>
      </c>
      <c r="Q29" s="40" t="e">
        <f t="shared" si="5"/>
        <v>#N/A</v>
      </c>
      <c r="R29" s="40" t="e">
        <f t="shared" si="5"/>
        <v>#N/A</v>
      </c>
    </row>
    <row r="30" spans="2:18">
      <c r="B30" s="77">
        <f t="shared" si="6"/>
        <v>19</v>
      </c>
      <c r="C30" s="40" t="e">
        <f t="shared" si="3"/>
        <v>#N/A</v>
      </c>
      <c r="D30" s="40" t="e">
        <f t="shared" si="3"/>
        <v>#N/A</v>
      </c>
      <c r="E30" s="40" t="e">
        <f t="shared" si="3"/>
        <v>#N/A</v>
      </c>
      <c r="F30" s="40" t="e">
        <f t="shared" si="3"/>
        <v>#N/A</v>
      </c>
      <c r="H30" s="77">
        <f t="shared" si="7"/>
        <v>19</v>
      </c>
      <c r="I30" s="40" t="e">
        <f t="shared" si="4"/>
        <v>#N/A</v>
      </c>
      <c r="J30" s="40" t="e">
        <f t="shared" si="4"/>
        <v>#N/A</v>
      </c>
      <c r="K30" s="40" t="e">
        <f t="shared" si="4"/>
        <v>#N/A</v>
      </c>
      <c r="L30" s="40" t="e">
        <f t="shared" si="4"/>
        <v>#N/A</v>
      </c>
      <c r="N30" s="77">
        <f t="shared" si="8"/>
        <v>19</v>
      </c>
      <c r="O30" s="40" t="e">
        <f t="shared" si="5"/>
        <v>#N/A</v>
      </c>
      <c r="P30" s="40" t="e">
        <f t="shared" si="5"/>
        <v>#N/A</v>
      </c>
      <c r="Q30" s="40" t="e">
        <f t="shared" si="5"/>
        <v>#N/A</v>
      </c>
      <c r="R30" s="40" t="e">
        <f t="shared" si="5"/>
        <v>#N/A</v>
      </c>
    </row>
    <row r="31" spans="2:18">
      <c r="B31" s="77">
        <f t="shared" si="6"/>
        <v>20</v>
      </c>
      <c r="C31" s="40" t="e">
        <f t="shared" ref="C31:F50" si="9">IF(HLOOKUP(C$9,tree.rates,$H31+3,FALSE)="",#N/A,HLOOKUP(C$9,tree.rates,$H31+3,FALSE))</f>
        <v>#N/A</v>
      </c>
      <c r="D31" s="40" t="e">
        <f t="shared" si="9"/>
        <v>#N/A</v>
      </c>
      <c r="E31" s="40" t="e">
        <f t="shared" si="9"/>
        <v>#N/A</v>
      </c>
      <c r="F31" s="40" t="e">
        <f t="shared" si="9"/>
        <v>#N/A</v>
      </c>
      <c r="H31" s="77">
        <f t="shared" si="7"/>
        <v>20</v>
      </c>
      <c r="I31" s="40" t="e">
        <f t="shared" ref="I31:L50" si="10">IF(HLOOKUP(I$9,tree.non.callable,$H31+3,FALSE)="",#N/A,HLOOKUP(I$9,tree.non.callable,$H31+3,FALSE))</f>
        <v>#N/A</v>
      </c>
      <c r="J31" s="40" t="e">
        <f t="shared" si="10"/>
        <v>#N/A</v>
      </c>
      <c r="K31" s="40" t="e">
        <f t="shared" si="10"/>
        <v>#N/A</v>
      </c>
      <c r="L31" s="40" t="e">
        <f t="shared" si="10"/>
        <v>#N/A</v>
      </c>
      <c r="N31" s="77">
        <f t="shared" si="8"/>
        <v>20</v>
      </c>
      <c r="O31" s="40" t="e">
        <f t="shared" ref="O31:R50" si="11">IF(HLOOKUP(O$9,tree.callable,$H31+3,FALSE)=0,#N/A,HLOOKUP(O$9,tree.callable,$H31+3,FALSE))</f>
        <v>#N/A</v>
      </c>
      <c r="P31" s="40" t="e">
        <f t="shared" si="11"/>
        <v>#N/A</v>
      </c>
      <c r="Q31" s="40" t="e">
        <f t="shared" si="11"/>
        <v>#N/A</v>
      </c>
      <c r="R31" s="40" t="e">
        <f t="shared" si="11"/>
        <v>#N/A</v>
      </c>
    </row>
    <row r="32" spans="2:18">
      <c r="B32" s="77">
        <f t="shared" si="6"/>
        <v>21</v>
      </c>
      <c r="C32" s="40" t="e">
        <f t="shared" si="9"/>
        <v>#N/A</v>
      </c>
      <c r="D32" s="40" t="e">
        <f t="shared" si="9"/>
        <v>#N/A</v>
      </c>
      <c r="E32" s="40" t="e">
        <f t="shared" si="9"/>
        <v>#N/A</v>
      </c>
      <c r="F32" s="40" t="e">
        <f t="shared" si="9"/>
        <v>#N/A</v>
      </c>
      <c r="H32" s="77">
        <f t="shared" si="7"/>
        <v>21</v>
      </c>
      <c r="I32" s="40" t="e">
        <f t="shared" si="10"/>
        <v>#N/A</v>
      </c>
      <c r="J32" s="40" t="e">
        <f t="shared" si="10"/>
        <v>#N/A</v>
      </c>
      <c r="K32" s="40" t="e">
        <f t="shared" si="10"/>
        <v>#N/A</v>
      </c>
      <c r="L32" s="40" t="e">
        <f t="shared" si="10"/>
        <v>#N/A</v>
      </c>
      <c r="N32" s="77">
        <f t="shared" si="8"/>
        <v>21</v>
      </c>
      <c r="O32" s="40" t="e">
        <f t="shared" si="11"/>
        <v>#N/A</v>
      </c>
      <c r="P32" s="40" t="e">
        <f t="shared" si="11"/>
        <v>#N/A</v>
      </c>
      <c r="Q32" s="40" t="e">
        <f t="shared" si="11"/>
        <v>#N/A</v>
      </c>
      <c r="R32" s="40" t="e">
        <f t="shared" si="11"/>
        <v>#N/A</v>
      </c>
    </row>
    <row r="33" spans="2:18">
      <c r="B33" s="77">
        <f t="shared" si="6"/>
        <v>22</v>
      </c>
      <c r="C33" s="40" t="e">
        <f t="shared" si="9"/>
        <v>#N/A</v>
      </c>
      <c r="D33" s="40" t="e">
        <f t="shared" si="9"/>
        <v>#N/A</v>
      </c>
      <c r="E33" s="40" t="e">
        <f t="shared" si="9"/>
        <v>#N/A</v>
      </c>
      <c r="F33" s="40" t="e">
        <f t="shared" si="9"/>
        <v>#N/A</v>
      </c>
      <c r="H33" s="77">
        <f t="shared" si="7"/>
        <v>22</v>
      </c>
      <c r="I33" s="40" t="e">
        <f t="shared" si="10"/>
        <v>#N/A</v>
      </c>
      <c r="J33" s="40" t="e">
        <f t="shared" si="10"/>
        <v>#N/A</v>
      </c>
      <c r="K33" s="40" t="e">
        <f t="shared" si="10"/>
        <v>#N/A</v>
      </c>
      <c r="L33" s="40" t="e">
        <f t="shared" si="10"/>
        <v>#N/A</v>
      </c>
      <c r="N33" s="77">
        <f t="shared" si="8"/>
        <v>22</v>
      </c>
      <c r="O33" s="40" t="e">
        <f t="shared" si="11"/>
        <v>#N/A</v>
      </c>
      <c r="P33" s="40" t="e">
        <f t="shared" si="11"/>
        <v>#N/A</v>
      </c>
      <c r="Q33" s="40" t="e">
        <f t="shared" si="11"/>
        <v>#N/A</v>
      </c>
      <c r="R33" s="40" t="e">
        <f t="shared" si="11"/>
        <v>#N/A</v>
      </c>
    </row>
    <row r="34" spans="2:18">
      <c r="B34" s="77">
        <f t="shared" si="6"/>
        <v>23</v>
      </c>
      <c r="C34" s="40" t="e">
        <f t="shared" si="9"/>
        <v>#N/A</v>
      </c>
      <c r="D34" s="40" t="e">
        <f t="shared" si="9"/>
        <v>#N/A</v>
      </c>
      <c r="E34" s="40" t="e">
        <f t="shared" si="9"/>
        <v>#N/A</v>
      </c>
      <c r="F34" s="40" t="e">
        <f t="shared" si="9"/>
        <v>#N/A</v>
      </c>
      <c r="H34" s="77">
        <f t="shared" si="7"/>
        <v>23</v>
      </c>
      <c r="I34" s="40" t="e">
        <f t="shared" si="10"/>
        <v>#N/A</v>
      </c>
      <c r="J34" s="40" t="e">
        <f t="shared" si="10"/>
        <v>#N/A</v>
      </c>
      <c r="K34" s="40" t="e">
        <f t="shared" si="10"/>
        <v>#N/A</v>
      </c>
      <c r="L34" s="40" t="e">
        <f t="shared" si="10"/>
        <v>#N/A</v>
      </c>
      <c r="N34" s="77">
        <f t="shared" si="8"/>
        <v>23</v>
      </c>
      <c r="O34" s="40" t="e">
        <f t="shared" si="11"/>
        <v>#N/A</v>
      </c>
      <c r="P34" s="40" t="e">
        <f t="shared" si="11"/>
        <v>#N/A</v>
      </c>
      <c r="Q34" s="40" t="e">
        <f t="shared" si="11"/>
        <v>#N/A</v>
      </c>
      <c r="R34" s="40" t="e">
        <f t="shared" si="11"/>
        <v>#N/A</v>
      </c>
    </row>
    <row r="35" spans="2:18">
      <c r="B35" s="77">
        <f t="shared" si="6"/>
        <v>24</v>
      </c>
      <c r="C35" s="40" t="e">
        <f t="shared" si="9"/>
        <v>#N/A</v>
      </c>
      <c r="D35" s="40" t="e">
        <f t="shared" si="9"/>
        <v>#N/A</v>
      </c>
      <c r="E35" s="40" t="e">
        <f t="shared" si="9"/>
        <v>#N/A</v>
      </c>
      <c r="F35" s="40" t="e">
        <f t="shared" si="9"/>
        <v>#N/A</v>
      </c>
      <c r="H35" s="77">
        <f t="shared" si="7"/>
        <v>24</v>
      </c>
      <c r="I35" s="40" t="e">
        <f t="shared" si="10"/>
        <v>#N/A</v>
      </c>
      <c r="J35" s="40" t="e">
        <f t="shared" si="10"/>
        <v>#N/A</v>
      </c>
      <c r="K35" s="40" t="e">
        <f t="shared" si="10"/>
        <v>#N/A</v>
      </c>
      <c r="L35" s="40" t="e">
        <f t="shared" si="10"/>
        <v>#N/A</v>
      </c>
      <c r="N35" s="77">
        <f t="shared" si="8"/>
        <v>24</v>
      </c>
      <c r="O35" s="40" t="e">
        <f t="shared" si="11"/>
        <v>#N/A</v>
      </c>
      <c r="P35" s="40" t="e">
        <f t="shared" si="11"/>
        <v>#N/A</v>
      </c>
      <c r="Q35" s="40" t="e">
        <f t="shared" si="11"/>
        <v>#N/A</v>
      </c>
      <c r="R35" s="40" t="e">
        <f t="shared" si="11"/>
        <v>#N/A</v>
      </c>
    </row>
    <row r="36" spans="2:18">
      <c r="B36" s="77">
        <f t="shared" si="6"/>
        <v>25</v>
      </c>
      <c r="C36" s="40" t="e">
        <f t="shared" si="9"/>
        <v>#N/A</v>
      </c>
      <c r="D36" s="40" t="e">
        <f t="shared" si="9"/>
        <v>#N/A</v>
      </c>
      <c r="E36" s="40" t="e">
        <f t="shared" si="9"/>
        <v>#N/A</v>
      </c>
      <c r="F36" s="40" t="e">
        <f t="shared" si="9"/>
        <v>#N/A</v>
      </c>
      <c r="H36" s="77">
        <f t="shared" si="7"/>
        <v>25</v>
      </c>
      <c r="I36" s="40" t="e">
        <f t="shared" si="10"/>
        <v>#N/A</v>
      </c>
      <c r="J36" s="40" t="e">
        <f t="shared" si="10"/>
        <v>#N/A</v>
      </c>
      <c r="K36" s="40" t="e">
        <f t="shared" si="10"/>
        <v>#N/A</v>
      </c>
      <c r="L36" s="40" t="e">
        <f t="shared" si="10"/>
        <v>#N/A</v>
      </c>
      <c r="N36" s="77">
        <f t="shared" si="8"/>
        <v>25</v>
      </c>
      <c r="O36" s="40" t="e">
        <f t="shared" si="11"/>
        <v>#N/A</v>
      </c>
      <c r="P36" s="40" t="e">
        <f t="shared" si="11"/>
        <v>#N/A</v>
      </c>
      <c r="Q36" s="40" t="e">
        <f t="shared" si="11"/>
        <v>#N/A</v>
      </c>
      <c r="R36" s="40" t="e">
        <f t="shared" si="11"/>
        <v>#N/A</v>
      </c>
    </row>
    <row r="37" spans="2:18">
      <c r="B37" s="77">
        <f t="shared" si="6"/>
        <v>26</v>
      </c>
      <c r="C37" s="40" t="e">
        <f t="shared" si="9"/>
        <v>#N/A</v>
      </c>
      <c r="D37" s="40" t="e">
        <f t="shared" si="9"/>
        <v>#N/A</v>
      </c>
      <c r="E37" s="40" t="e">
        <f t="shared" si="9"/>
        <v>#N/A</v>
      </c>
      <c r="F37" s="40" t="e">
        <f t="shared" si="9"/>
        <v>#N/A</v>
      </c>
      <c r="H37" s="77">
        <f t="shared" si="7"/>
        <v>26</v>
      </c>
      <c r="I37" s="40" t="e">
        <f t="shared" si="10"/>
        <v>#N/A</v>
      </c>
      <c r="J37" s="40" t="e">
        <f t="shared" si="10"/>
        <v>#N/A</v>
      </c>
      <c r="K37" s="40" t="e">
        <f t="shared" si="10"/>
        <v>#N/A</v>
      </c>
      <c r="L37" s="40" t="e">
        <f t="shared" si="10"/>
        <v>#N/A</v>
      </c>
      <c r="N37" s="77">
        <f t="shared" si="8"/>
        <v>26</v>
      </c>
      <c r="O37" s="40" t="e">
        <f t="shared" si="11"/>
        <v>#N/A</v>
      </c>
      <c r="P37" s="40" t="e">
        <f t="shared" si="11"/>
        <v>#N/A</v>
      </c>
      <c r="Q37" s="40" t="e">
        <f t="shared" si="11"/>
        <v>#N/A</v>
      </c>
      <c r="R37" s="40" t="e">
        <f t="shared" si="11"/>
        <v>#N/A</v>
      </c>
    </row>
    <row r="38" spans="2:18">
      <c r="B38" s="77">
        <f t="shared" si="6"/>
        <v>27</v>
      </c>
      <c r="C38" s="40" t="e">
        <f t="shared" si="9"/>
        <v>#N/A</v>
      </c>
      <c r="D38" s="40" t="e">
        <f t="shared" si="9"/>
        <v>#N/A</v>
      </c>
      <c r="E38" s="40" t="e">
        <f t="shared" si="9"/>
        <v>#N/A</v>
      </c>
      <c r="F38" s="40" t="e">
        <f t="shared" si="9"/>
        <v>#N/A</v>
      </c>
      <c r="H38" s="77">
        <f t="shared" si="7"/>
        <v>27</v>
      </c>
      <c r="I38" s="40" t="e">
        <f t="shared" si="10"/>
        <v>#N/A</v>
      </c>
      <c r="J38" s="40" t="e">
        <f t="shared" si="10"/>
        <v>#N/A</v>
      </c>
      <c r="K38" s="40" t="e">
        <f t="shared" si="10"/>
        <v>#N/A</v>
      </c>
      <c r="L38" s="40" t="e">
        <f t="shared" si="10"/>
        <v>#N/A</v>
      </c>
      <c r="N38" s="77">
        <f t="shared" si="8"/>
        <v>27</v>
      </c>
      <c r="O38" s="40" t="e">
        <f t="shared" si="11"/>
        <v>#N/A</v>
      </c>
      <c r="P38" s="40" t="e">
        <f t="shared" si="11"/>
        <v>#N/A</v>
      </c>
      <c r="Q38" s="40" t="e">
        <f t="shared" si="11"/>
        <v>#N/A</v>
      </c>
      <c r="R38" s="40" t="e">
        <f t="shared" si="11"/>
        <v>#N/A</v>
      </c>
    </row>
    <row r="39" spans="2:18">
      <c r="B39" s="77">
        <f t="shared" si="6"/>
        <v>28</v>
      </c>
      <c r="C39" s="40" t="e">
        <f t="shared" si="9"/>
        <v>#N/A</v>
      </c>
      <c r="D39" s="40" t="e">
        <f t="shared" si="9"/>
        <v>#N/A</v>
      </c>
      <c r="E39" s="40" t="e">
        <f t="shared" si="9"/>
        <v>#N/A</v>
      </c>
      <c r="F39" s="40" t="e">
        <f t="shared" si="9"/>
        <v>#N/A</v>
      </c>
      <c r="H39" s="77">
        <f t="shared" si="7"/>
        <v>28</v>
      </c>
      <c r="I39" s="40" t="e">
        <f t="shared" si="10"/>
        <v>#N/A</v>
      </c>
      <c r="J39" s="40" t="e">
        <f t="shared" si="10"/>
        <v>#N/A</v>
      </c>
      <c r="K39" s="40" t="e">
        <f t="shared" si="10"/>
        <v>#N/A</v>
      </c>
      <c r="L39" s="40" t="e">
        <f t="shared" si="10"/>
        <v>#N/A</v>
      </c>
      <c r="N39" s="77">
        <f t="shared" si="8"/>
        <v>28</v>
      </c>
      <c r="O39" s="40" t="e">
        <f t="shared" si="11"/>
        <v>#N/A</v>
      </c>
      <c r="P39" s="40" t="e">
        <f t="shared" si="11"/>
        <v>#N/A</v>
      </c>
      <c r="Q39" s="40" t="e">
        <f t="shared" si="11"/>
        <v>#N/A</v>
      </c>
      <c r="R39" s="40" t="e">
        <f t="shared" si="11"/>
        <v>#N/A</v>
      </c>
    </row>
    <row r="40" spans="2:18">
      <c r="B40" s="77">
        <f t="shared" si="6"/>
        <v>29</v>
      </c>
      <c r="C40" s="40" t="e">
        <f t="shared" si="9"/>
        <v>#N/A</v>
      </c>
      <c r="D40" s="40" t="e">
        <f t="shared" si="9"/>
        <v>#N/A</v>
      </c>
      <c r="E40" s="40" t="e">
        <f t="shared" si="9"/>
        <v>#N/A</v>
      </c>
      <c r="F40" s="40" t="e">
        <f t="shared" si="9"/>
        <v>#N/A</v>
      </c>
      <c r="H40" s="77">
        <f t="shared" si="7"/>
        <v>29</v>
      </c>
      <c r="I40" s="40" t="e">
        <f t="shared" si="10"/>
        <v>#N/A</v>
      </c>
      <c r="J40" s="40" t="e">
        <f t="shared" si="10"/>
        <v>#N/A</v>
      </c>
      <c r="K40" s="40" t="e">
        <f t="shared" si="10"/>
        <v>#N/A</v>
      </c>
      <c r="L40" s="40" t="e">
        <f t="shared" si="10"/>
        <v>#N/A</v>
      </c>
      <c r="N40" s="77">
        <f t="shared" si="8"/>
        <v>29</v>
      </c>
      <c r="O40" s="40" t="e">
        <f t="shared" si="11"/>
        <v>#N/A</v>
      </c>
      <c r="P40" s="40" t="e">
        <f t="shared" si="11"/>
        <v>#N/A</v>
      </c>
      <c r="Q40" s="40" t="e">
        <f t="shared" si="11"/>
        <v>#N/A</v>
      </c>
      <c r="R40" s="40" t="e">
        <f t="shared" si="11"/>
        <v>#N/A</v>
      </c>
    </row>
    <row r="41" spans="2:18">
      <c r="B41" s="77">
        <f t="shared" si="6"/>
        <v>30</v>
      </c>
      <c r="C41" s="40" t="e">
        <f t="shared" si="9"/>
        <v>#N/A</v>
      </c>
      <c r="D41" s="40" t="e">
        <f t="shared" si="9"/>
        <v>#N/A</v>
      </c>
      <c r="E41" s="40" t="e">
        <f t="shared" si="9"/>
        <v>#N/A</v>
      </c>
      <c r="F41" s="40" t="e">
        <f t="shared" si="9"/>
        <v>#N/A</v>
      </c>
      <c r="H41" s="77">
        <f t="shared" si="7"/>
        <v>30</v>
      </c>
      <c r="I41" s="40" t="e">
        <f t="shared" si="10"/>
        <v>#N/A</v>
      </c>
      <c r="J41" s="40" t="e">
        <f t="shared" si="10"/>
        <v>#N/A</v>
      </c>
      <c r="K41" s="40" t="e">
        <f t="shared" si="10"/>
        <v>#N/A</v>
      </c>
      <c r="L41" s="40" t="e">
        <f t="shared" si="10"/>
        <v>#N/A</v>
      </c>
      <c r="N41" s="77">
        <f t="shared" si="8"/>
        <v>30</v>
      </c>
      <c r="O41" s="40" t="e">
        <f t="shared" si="11"/>
        <v>#N/A</v>
      </c>
      <c r="P41" s="40" t="e">
        <f t="shared" si="11"/>
        <v>#N/A</v>
      </c>
      <c r="Q41" s="40" t="e">
        <f t="shared" si="11"/>
        <v>#N/A</v>
      </c>
      <c r="R41" s="40" t="e">
        <f t="shared" si="11"/>
        <v>#N/A</v>
      </c>
    </row>
    <row r="42" spans="2:18">
      <c r="B42" s="77">
        <f t="shared" si="6"/>
        <v>31</v>
      </c>
      <c r="C42" s="40" t="e">
        <f t="shared" si="9"/>
        <v>#N/A</v>
      </c>
      <c r="D42" s="40" t="e">
        <f t="shared" si="9"/>
        <v>#N/A</v>
      </c>
      <c r="E42" s="40" t="e">
        <f t="shared" si="9"/>
        <v>#N/A</v>
      </c>
      <c r="F42" s="40" t="e">
        <f t="shared" si="9"/>
        <v>#N/A</v>
      </c>
      <c r="H42" s="77">
        <f t="shared" si="7"/>
        <v>31</v>
      </c>
      <c r="I42" s="40" t="e">
        <f t="shared" si="10"/>
        <v>#N/A</v>
      </c>
      <c r="J42" s="40" t="e">
        <f t="shared" si="10"/>
        <v>#N/A</v>
      </c>
      <c r="K42" s="40" t="e">
        <f t="shared" si="10"/>
        <v>#N/A</v>
      </c>
      <c r="L42" s="40" t="e">
        <f t="shared" si="10"/>
        <v>#N/A</v>
      </c>
      <c r="N42" s="77">
        <f t="shared" si="8"/>
        <v>31</v>
      </c>
      <c r="O42" s="40" t="e">
        <f t="shared" si="11"/>
        <v>#N/A</v>
      </c>
      <c r="P42" s="40" t="e">
        <f t="shared" si="11"/>
        <v>#N/A</v>
      </c>
      <c r="Q42" s="40" t="e">
        <f t="shared" si="11"/>
        <v>#N/A</v>
      </c>
      <c r="R42" s="40" t="e">
        <f t="shared" si="11"/>
        <v>#N/A</v>
      </c>
    </row>
    <row r="43" spans="2:18">
      <c r="B43" s="77">
        <f t="shared" si="6"/>
        <v>32</v>
      </c>
      <c r="C43" s="40" t="e">
        <f t="shared" si="9"/>
        <v>#N/A</v>
      </c>
      <c r="D43" s="40" t="e">
        <f t="shared" si="9"/>
        <v>#N/A</v>
      </c>
      <c r="E43" s="40" t="e">
        <f t="shared" si="9"/>
        <v>#N/A</v>
      </c>
      <c r="F43" s="40" t="e">
        <f t="shared" si="9"/>
        <v>#N/A</v>
      </c>
      <c r="H43" s="77">
        <f t="shared" si="7"/>
        <v>32</v>
      </c>
      <c r="I43" s="40" t="e">
        <f t="shared" si="10"/>
        <v>#N/A</v>
      </c>
      <c r="J43" s="40" t="e">
        <f t="shared" si="10"/>
        <v>#N/A</v>
      </c>
      <c r="K43" s="40" t="e">
        <f t="shared" si="10"/>
        <v>#N/A</v>
      </c>
      <c r="L43" s="40" t="e">
        <f t="shared" si="10"/>
        <v>#N/A</v>
      </c>
      <c r="N43" s="77">
        <f t="shared" si="8"/>
        <v>32</v>
      </c>
      <c r="O43" s="40" t="e">
        <f t="shared" si="11"/>
        <v>#N/A</v>
      </c>
      <c r="P43" s="40" t="e">
        <f t="shared" si="11"/>
        <v>#N/A</v>
      </c>
      <c r="Q43" s="40" t="e">
        <f t="shared" si="11"/>
        <v>#N/A</v>
      </c>
      <c r="R43" s="40" t="e">
        <f t="shared" si="11"/>
        <v>#N/A</v>
      </c>
    </row>
    <row r="44" spans="2:18">
      <c r="B44" s="77">
        <f t="shared" ref="B44:B71" si="12">B43+1</f>
        <v>33</v>
      </c>
      <c r="C44" s="40" t="e">
        <f t="shared" si="9"/>
        <v>#N/A</v>
      </c>
      <c r="D44" s="40" t="e">
        <f t="shared" si="9"/>
        <v>#N/A</v>
      </c>
      <c r="E44" s="40" t="e">
        <f t="shared" si="9"/>
        <v>#N/A</v>
      </c>
      <c r="F44" s="40" t="e">
        <f t="shared" si="9"/>
        <v>#N/A</v>
      </c>
      <c r="H44" s="77">
        <f t="shared" ref="H44:H71" si="13">H43+1</f>
        <v>33</v>
      </c>
      <c r="I44" s="40" t="e">
        <f t="shared" si="10"/>
        <v>#N/A</v>
      </c>
      <c r="J44" s="40" t="e">
        <f t="shared" si="10"/>
        <v>#N/A</v>
      </c>
      <c r="K44" s="40" t="e">
        <f t="shared" si="10"/>
        <v>#N/A</v>
      </c>
      <c r="L44" s="40" t="e">
        <f t="shared" si="10"/>
        <v>#N/A</v>
      </c>
      <c r="N44" s="77">
        <f t="shared" ref="N44:N71" si="14">N43+1</f>
        <v>33</v>
      </c>
      <c r="O44" s="40" t="e">
        <f t="shared" si="11"/>
        <v>#N/A</v>
      </c>
      <c r="P44" s="40" t="e">
        <f t="shared" si="11"/>
        <v>#N/A</v>
      </c>
      <c r="Q44" s="40" t="e">
        <f t="shared" si="11"/>
        <v>#N/A</v>
      </c>
      <c r="R44" s="40" t="e">
        <f t="shared" si="11"/>
        <v>#N/A</v>
      </c>
    </row>
    <row r="45" spans="2:18">
      <c r="B45" s="77">
        <f t="shared" si="12"/>
        <v>34</v>
      </c>
      <c r="C45" s="40" t="e">
        <f t="shared" si="9"/>
        <v>#N/A</v>
      </c>
      <c r="D45" s="40" t="e">
        <f t="shared" si="9"/>
        <v>#N/A</v>
      </c>
      <c r="E45" s="40" t="e">
        <f t="shared" si="9"/>
        <v>#N/A</v>
      </c>
      <c r="F45" s="40" t="e">
        <f t="shared" si="9"/>
        <v>#N/A</v>
      </c>
      <c r="H45" s="77">
        <f t="shared" si="13"/>
        <v>34</v>
      </c>
      <c r="I45" s="40" t="e">
        <f t="shared" si="10"/>
        <v>#N/A</v>
      </c>
      <c r="J45" s="40" t="e">
        <f t="shared" si="10"/>
        <v>#N/A</v>
      </c>
      <c r="K45" s="40" t="e">
        <f t="shared" si="10"/>
        <v>#N/A</v>
      </c>
      <c r="L45" s="40" t="e">
        <f t="shared" si="10"/>
        <v>#N/A</v>
      </c>
      <c r="N45" s="77">
        <f t="shared" si="14"/>
        <v>34</v>
      </c>
      <c r="O45" s="40" t="e">
        <f t="shared" si="11"/>
        <v>#N/A</v>
      </c>
      <c r="P45" s="40" t="e">
        <f t="shared" si="11"/>
        <v>#N/A</v>
      </c>
      <c r="Q45" s="40" t="e">
        <f t="shared" si="11"/>
        <v>#N/A</v>
      </c>
      <c r="R45" s="40" t="e">
        <f t="shared" si="11"/>
        <v>#N/A</v>
      </c>
    </row>
    <row r="46" spans="2:18">
      <c r="B46" s="77">
        <f t="shared" si="12"/>
        <v>35</v>
      </c>
      <c r="C46" s="40" t="e">
        <f t="shared" si="9"/>
        <v>#N/A</v>
      </c>
      <c r="D46" s="40" t="e">
        <f t="shared" si="9"/>
        <v>#N/A</v>
      </c>
      <c r="E46" s="40" t="e">
        <f t="shared" si="9"/>
        <v>#N/A</v>
      </c>
      <c r="F46" s="40" t="e">
        <f t="shared" si="9"/>
        <v>#N/A</v>
      </c>
      <c r="H46" s="77">
        <f t="shared" si="13"/>
        <v>35</v>
      </c>
      <c r="I46" s="40" t="e">
        <f t="shared" si="10"/>
        <v>#N/A</v>
      </c>
      <c r="J46" s="40" t="e">
        <f t="shared" si="10"/>
        <v>#N/A</v>
      </c>
      <c r="K46" s="40" t="e">
        <f t="shared" si="10"/>
        <v>#N/A</v>
      </c>
      <c r="L46" s="40" t="e">
        <f t="shared" si="10"/>
        <v>#N/A</v>
      </c>
      <c r="N46" s="77">
        <f t="shared" si="14"/>
        <v>35</v>
      </c>
      <c r="O46" s="40" t="e">
        <f t="shared" si="11"/>
        <v>#N/A</v>
      </c>
      <c r="P46" s="40" t="e">
        <f t="shared" si="11"/>
        <v>#N/A</v>
      </c>
      <c r="Q46" s="40" t="e">
        <f t="shared" si="11"/>
        <v>#N/A</v>
      </c>
      <c r="R46" s="40" t="e">
        <f t="shared" si="11"/>
        <v>#N/A</v>
      </c>
    </row>
    <row r="47" spans="2:18">
      <c r="B47" s="77">
        <f t="shared" si="12"/>
        <v>36</v>
      </c>
      <c r="C47" s="40" t="e">
        <f t="shared" si="9"/>
        <v>#N/A</v>
      </c>
      <c r="D47" s="40" t="e">
        <f t="shared" si="9"/>
        <v>#N/A</v>
      </c>
      <c r="E47" s="40" t="e">
        <f t="shared" si="9"/>
        <v>#N/A</v>
      </c>
      <c r="F47" s="40" t="e">
        <f t="shared" si="9"/>
        <v>#N/A</v>
      </c>
      <c r="H47" s="77">
        <f t="shared" si="13"/>
        <v>36</v>
      </c>
      <c r="I47" s="40" t="e">
        <f t="shared" si="10"/>
        <v>#N/A</v>
      </c>
      <c r="J47" s="40" t="e">
        <f t="shared" si="10"/>
        <v>#N/A</v>
      </c>
      <c r="K47" s="40" t="e">
        <f t="shared" si="10"/>
        <v>#N/A</v>
      </c>
      <c r="L47" s="40" t="e">
        <f t="shared" si="10"/>
        <v>#N/A</v>
      </c>
      <c r="N47" s="77">
        <f t="shared" si="14"/>
        <v>36</v>
      </c>
      <c r="O47" s="40" t="e">
        <f t="shared" si="11"/>
        <v>#N/A</v>
      </c>
      <c r="P47" s="40" t="e">
        <f t="shared" si="11"/>
        <v>#N/A</v>
      </c>
      <c r="Q47" s="40" t="e">
        <f t="shared" si="11"/>
        <v>#N/A</v>
      </c>
      <c r="R47" s="40" t="e">
        <f t="shared" si="11"/>
        <v>#N/A</v>
      </c>
    </row>
    <row r="48" spans="2:18">
      <c r="B48" s="77">
        <f t="shared" si="12"/>
        <v>37</v>
      </c>
      <c r="C48" s="40" t="e">
        <f t="shared" si="9"/>
        <v>#N/A</v>
      </c>
      <c r="D48" s="40" t="e">
        <f t="shared" si="9"/>
        <v>#N/A</v>
      </c>
      <c r="E48" s="40" t="e">
        <f t="shared" si="9"/>
        <v>#N/A</v>
      </c>
      <c r="F48" s="40" t="e">
        <f t="shared" si="9"/>
        <v>#N/A</v>
      </c>
      <c r="H48" s="77">
        <f t="shared" si="13"/>
        <v>37</v>
      </c>
      <c r="I48" s="40" t="e">
        <f t="shared" si="10"/>
        <v>#N/A</v>
      </c>
      <c r="J48" s="40" t="e">
        <f t="shared" si="10"/>
        <v>#N/A</v>
      </c>
      <c r="K48" s="40" t="e">
        <f t="shared" si="10"/>
        <v>#N/A</v>
      </c>
      <c r="L48" s="40" t="e">
        <f t="shared" si="10"/>
        <v>#N/A</v>
      </c>
      <c r="N48" s="77">
        <f t="shared" si="14"/>
        <v>37</v>
      </c>
      <c r="O48" s="40" t="e">
        <f t="shared" si="11"/>
        <v>#N/A</v>
      </c>
      <c r="P48" s="40" t="e">
        <f t="shared" si="11"/>
        <v>#N/A</v>
      </c>
      <c r="Q48" s="40" t="e">
        <f t="shared" si="11"/>
        <v>#N/A</v>
      </c>
      <c r="R48" s="40" t="e">
        <f t="shared" si="11"/>
        <v>#N/A</v>
      </c>
    </row>
    <row r="49" spans="2:18">
      <c r="B49" s="77">
        <f t="shared" si="12"/>
        <v>38</v>
      </c>
      <c r="C49" s="40" t="e">
        <f t="shared" si="9"/>
        <v>#N/A</v>
      </c>
      <c r="D49" s="40" t="e">
        <f t="shared" si="9"/>
        <v>#N/A</v>
      </c>
      <c r="E49" s="40" t="e">
        <f t="shared" si="9"/>
        <v>#N/A</v>
      </c>
      <c r="F49" s="40" t="e">
        <f t="shared" si="9"/>
        <v>#N/A</v>
      </c>
      <c r="H49" s="77">
        <f t="shared" si="13"/>
        <v>38</v>
      </c>
      <c r="I49" s="40" t="e">
        <f t="shared" si="10"/>
        <v>#N/A</v>
      </c>
      <c r="J49" s="40" t="e">
        <f t="shared" si="10"/>
        <v>#N/A</v>
      </c>
      <c r="K49" s="40" t="e">
        <f t="shared" si="10"/>
        <v>#N/A</v>
      </c>
      <c r="L49" s="40" t="e">
        <f t="shared" si="10"/>
        <v>#N/A</v>
      </c>
      <c r="N49" s="77">
        <f t="shared" si="14"/>
        <v>38</v>
      </c>
      <c r="O49" s="40" t="e">
        <f t="shared" si="11"/>
        <v>#N/A</v>
      </c>
      <c r="P49" s="40" t="e">
        <f t="shared" si="11"/>
        <v>#N/A</v>
      </c>
      <c r="Q49" s="40" t="e">
        <f t="shared" si="11"/>
        <v>#N/A</v>
      </c>
      <c r="R49" s="40" t="e">
        <f t="shared" si="11"/>
        <v>#N/A</v>
      </c>
    </row>
    <row r="50" spans="2:18">
      <c r="B50" s="77">
        <f t="shared" si="12"/>
        <v>39</v>
      </c>
      <c r="C50" s="40" t="e">
        <f t="shared" si="9"/>
        <v>#N/A</v>
      </c>
      <c r="D50" s="40" t="e">
        <f t="shared" si="9"/>
        <v>#N/A</v>
      </c>
      <c r="E50" s="40" t="e">
        <f t="shared" si="9"/>
        <v>#N/A</v>
      </c>
      <c r="F50" s="40" t="e">
        <f t="shared" si="9"/>
        <v>#N/A</v>
      </c>
      <c r="H50" s="77">
        <f t="shared" si="13"/>
        <v>39</v>
      </c>
      <c r="I50" s="40" t="e">
        <f t="shared" si="10"/>
        <v>#N/A</v>
      </c>
      <c r="J50" s="40" t="e">
        <f t="shared" si="10"/>
        <v>#N/A</v>
      </c>
      <c r="K50" s="40" t="e">
        <f t="shared" si="10"/>
        <v>#N/A</v>
      </c>
      <c r="L50" s="40" t="e">
        <f t="shared" si="10"/>
        <v>#N/A</v>
      </c>
      <c r="N50" s="77">
        <f t="shared" si="14"/>
        <v>39</v>
      </c>
      <c r="O50" s="40" t="e">
        <f t="shared" si="11"/>
        <v>#N/A</v>
      </c>
      <c r="P50" s="40" t="e">
        <f t="shared" si="11"/>
        <v>#N/A</v>
      </c>
      <c r="Q50" s="40" t="e">
        <f t="shared" si="11"/>
        <v>#N/A</v>
      </c>
      <c r="R50" s="40" t="e">
        <f t="shared" si="11"/>
        <v>#N/A</v>
      </c>
    </row>
    <row r="51" spans="2:18">
      <c r="B51" s="77">
        <f t="shared" si="12"/>
        <v>40</v>
      </c>
      <c r="C51" s="40" t="e">
        <f t="shared" ref="C51:F71" si="15">IF(HLOOKUP(C$9,tree.rates,$H51+3,FALSE)="",#N/A,HLOOKUP(C$9,tree.rates,$H51+3,FALSE))</f>
        <v>#N/A</v>
      </c>
      <c r="D51" s="40" t="e">
        <f t="shared" si="15"/>
        <v>#N/A</v>
      </c>
      <c r="E51" s="40" t="e">
        <f t="shared" si="15"/>
        <v>#N/A</v>
      </c>
      <c r="F51" s="40" t="e">
        <f t="shared" si="15"/>
        <v>#N/A</v>
      </c>
      <c r="H51" s="77">
        <f t="shared" si="13"/>
        <v>40</v>
      </c>
      <c r="I51" s="40" t="e">
        <f t="shared" ref="I51:L71" si="16">IF(HLOOKUP(I$9,tree.non.callable,$H51+3,FALSE)="",#N/A,HLOOKUP(I$9,tree.non.callable,$H51+3,FALSE))</f>
        <v>#N/A</v>
      </c>
      <c r="J51" s="40" t="e">
        <f t="shared" si="16"/>
        <v>#N/A</v>
      </c>
      <c r="K51" s="40" t="e">
        <f t="shared" si="16"/>
        <v>#N/A</v>
      </c>
      <c r="L51" s="40" t="e">
        <f t="shared" si="16"/>
        <v>#N/A</v>
      </c>
      <c r="N51" s="77">
        <f t="shared" si="14"/>
        <v>40</v>
      </c>
      <c r="O51" s="40" t="e">
        <f t="shared" ref="O51:R71" si="17">IF(HLOOKUP(O$9,tree.callable,$H51+3,FALSE)=0,#N/A,HLOOKUP(O$9,tree.callable,$H51+3,FALSE))</f>
        <v>#N/A</v>
      </c>
      <c r="P51" s="40" t="e">
        <f t="shared" si="17"/>
        <v>#N/A</v>
      </c>
      <c r="Q51" s="40" t="e">
        <f t="shared" si="17"/>
        <v>#N/A</v>
      </c>
      <c r="R51" s="40" t="e">
        <f t="shared" si="17"/>
        <v>#N/A</v>
      </c>
    </row>
    <row r="52" spans="2:18">
      <c r="B52" s="77">
        <f t="shared" si="12"/>
        <v>41</v>
      </c>
      <c r="C52" s="40" t="e">
        <f t="shared" si="15"/>
        <v>#N/A</v>
      </c>
      <c r="D52" s="40" t="e">
        <f t="shared" si="15"/>
        <v>#N/A</v>
      </c>
      <c r="E52" s="40" t="e">
        <f t="shared" si="15"/>
        <v>#N/A</v>
      </c>
      <c r="F52" s="40" t="e">
        <f t="shared" si="15"/>
        <v>#N/A</v>
      </c>
      <c r="H52" s="77">
        <f t="shared" si="13"/>
        <v>41</v>
      </c>
      <c r="I52" s="40" t="e">
        <f t="shared" si="16"/>
        <v>#N/A</v>
      </c>
      <c r="J52" s="40" t="e">
        <f t="shared" si="16"/>
        <v>#N/A</v>
      </c>
      <c r="K52" s="40" t="e">
        <f t="shared" si="16"/>
        <v>#N/A</v>
      </c>
      <c r="L52" s="40" t="e">
        <f t="shared" si="16"/>
        <v>#N/A</v>
      </c>
      <c r="N52" s="77">
        <f t="shared" si="14"/>
        <v>41</v>
      </c>
      <c r="O52" s="40" t="e">
        <f t="shared" si="17"/>
        <v>#N/A</v>
      </c>
      <c r="P52" s="40" t="e">
        <f t="shared" si="17"/>
        <v>#N/A</v>
      </c>
      <c r="Q52" s="40" t="e">
        <f t="shared" si="17"/>
        <v>#N/A</v>
      </c>
      <c r="R52" s="40" t="e">
        <f t="shared" si="17"/>
        <v>#N/A</v>
      </c>
    </row>
    <row r="53" spans="2:18">
      <c r="B53" s="77">
        <f t="shared" si="12"/>
        <v>42</v>
      </c>
      <c r="C53" s="40" t="e">
        <f t="shared" si="15"/>
        <v>#N/A</v>
      </c>
      <c r="D53" s="40" t="e">
        <f t="shared" si="15"/>
        <v>#N/A</v>
      </c>
      <c r="E53" s="40" t="e">
        <f t="shared" si="15"/>
        <v>#N/A</v>
      </c>
      <c r="F53" s="40" t="e">
        <f t="shared" si="15"/>
        <v>#N/A</v>
      </c>
      <c r="H53" s="77">
        <f t="shared" si="13"/>
        <v>42</v>
      </c>
      <c r="I53" s="40" t="e">
        <f t="shared" si="16"/>
        <v>#N/A</v>
      </c>
      <c r="J53" s="40" t="e">
        <f t="shared" si="16"/>
        <v>#N/A</v>
      </c>
      <c r="K53" s="40" t="e">
        <f t="shared" si="16"/>
        <v>#N/A</v>
      </c>
      <c r="L53" s="40" t="e">
        <f t="shared" si="16"/>
        <v>#N/A</v>
      </c>
      <c r="N53" s="77">
        <f t="shared" si="14"/>
        <v>42</v>
      </c>
      <c r="O53" s="40" t="e">
        <f t="shared" si="17"/>
        <v>#N/A</v>
      </c>
      <c r="P53" s="40" t="e">
        <f t="shared" si="17"/>
        <v>#N/A</v>
      </c>
      <c r="Q53" s="40" t="e">
        <f t="shared" si="17"/>
        <v>#N/A</v>
      </c>
      <c r="R53" s="40" t="e">
        <f t="shared" si="17"/>
        <v>#N/A</v>
      </c>
    </row>
    <row r="54" spans="2:18">
      <c r="B54" s="77">
        <f t="shared" si="12"/>
        <v>43</v>
      </c>
      <c r="C54" s="40" t="e">
        <f t="shared" si="15"/>
        <v>#N/A</v>
      </c>
      <c r="D54" s="40" t="e">
        <f t="shared" si="15"/>
        <v>#N/A</v>
      </c>
      <c r="E54" s="40" t="e">
        <f t="shared" si="15"/>
        <v>#N/A</v>
      </c>
      <c r="F54" s="40" t="e">
        <f t="shared" si="15"/>
        <v>#N/A</v>
      </c>
      <c r="H54" s="77">
        <f t="shared" si="13"/>
        <v>43</v>
      </c>
      <c r="I54" s="40" t="e">
        <f t="shared" si="16"/>
        <v>#N/A</v>
      </c>
      <c r="J54" s="40" t="e">
        <f t="shared" si="16"/>
        <v>#N/A</v>
      </c>
      <c r="K54" s="40" t="e">
        <f t="shared" si="16"/>
        <v>#N/A</v>
      </c>
      <c r="L54" s="40" t="e">
        <f t="shared" si="16"/>
        <v>#N/A</v>
      </c>
      <c r="N54" s="77">
        <f t="shared" si="14"/>
        <v>43</v>
      </c>
      <c r="O54" s="40" t="e">
        <f t="shared" si="17"/>
        <v>#N/A</v>
      </c>
      <c r="P54" s="40" t="e">
        <f t="shared" si="17"/>
        <v>#N/A</v>
      </c>
      <c r="Q54" s="40" t="e">
        <f t="shared" si="17"/>
        <v>#N/A</v>
      </c>
      <c r="R54" s="40" t="e">
        <f t="shared" si="17"/>
        <v>#N/A</v>
      </c>
    </row>
    <row r="55" spans="2:18">
      <c r="B55" s="77">
        <f t="shared" si="12"/>
        <v>44</v>
      </c>
      <c r="C55" s="40" t="e">
        <f t="shared" si="15"/>
        <v>#N/A</v>
      </c>
      <c r="D55" s="40" t="e">
        <f t="shared" si="15"/>
        <v>#N/A</v>
      </c>
      <c r="E55" s="40" t="e">
        <f t="shared" si="15"/>
        <v>#N/A</v>
      </c>
      <c r="F55" s="40" t="e">
        <f t="shared" si="15"/>
        <v>#N/A</v>
      </c>
      <c r="H55" s="77">
        <f t="shared" si="13"/>
        <v>44</v>
      </c>
      <c r="I55" s="40" t="e">
        <f t="shared" si="16"/>
        <v>#N/A</v>
      </c>
      <c r="J55" s="40" t="e">
        <f t="shared" si="16"/>
        <v>#N/A</v>
      </c>
      <c r="K55" s="40" t="e">
        <f t="shared" si="16"/>
        <v>#N/A</v>
      </c>
      <c r="L55" s="40" t="e">
        <f t="shared" si="16"/>
        <v>#N/A</v>
      </c>
      <c r="N55" s="77">
        <f t="shared" si="14"/>
        <v>44</v>
      </c>
      <c r="O55" s="40" t="e">
        <f t="shared" si="17"/>
        <v>#N/A</v>
      </c>
      <c r="P55" s="40" t="e">
        <f t="shared" si="17"/>
        <v>#N/A</v>
      </c>
      <c r="Q55" s="40" t="e">
        <f t="shared" si="17"/>
        <v>#N/A</v>
      </c>
      <c r="R55" s="40" t="e">
        <f t="shared" si="17"/>
        <v>#N/A</v>
      </c>
    </row>
    <row r="56" spans="2:18">
      <c r="B56" s="77">
        <f t="shared" si="12"/>
        <v>45</v>
      </c>
      <c r="C56" s="40" t="e">
        <f t="shared" si="15"/>
        <v>#N/A</v>
      </c>
      <c r="D56" s="40" t="e">
        <f t="shared" si="15"/>
        <v>#N/A</v>
      </c>
      <c r="E56" s="40" t="e">
        <f t="shared" si="15"/>
        <v>#N/A</v>
      </c>
      <c r="F56" s="40" t="e">
        <f t="shared" si="15"/>
        <v>#N/A</v>
      </c>
      <c r="H56" s="77">
        <f t="shared" si="13"/>
        <v>45</v>
      </c>
      <c r="I56" s="40" t="e">
        <f t="shared" si="16"/>
        <v>#N/A</v>
      </c>
      <c r="J56" s="40" t="e">
        <f t="shared" si="16"/>
        <v>#N/A</v>
      </c>
      <c r="K56" s="40" t="e">
        <f t="shared" si="16"/>
        <v>#N/A</v>
      </c>
      <c r="L56" s="40" t="e">
        <f t="shared" si="16"/>
        <v>#N/A</v>
      </c>
      <c r="N56" s="77">
        <f t="shared" si="14"/>
        <v>45</v>
      </c>
      <c r="O56" s="40" t="e">
        <f t="shared" si="17"/>
        <v>#N/A</v>
      </c>
      <c r="P56" s="40" t="e">
        <f t="shared" si="17"/>
        <v>#N/A</v>
      </c>
      <c r="Q56" s="40" t="e">
        <f t="shared" si="17"/>
        <v>#N/A</v>
      </c>
      <c r="R56" s="40" t="e">
        <f t="shared" si="17"/>
        <v>#N/A</v>
      </c>
    </row>
    <row r="57" spans="2:18">
      <c r="B57" s="77">
        <f t="shared" si="12"/>
        <v>46</v>
      </c>
      <c r="C57" s="40" t="e">
        <f t="shared" si="15"/>
        <v>#N/A</v>
      </c>
      <c r="D57" s="40" t="e">
        <f t="shared" si="15"/>
        <v>#N/A</v>
      </c>
      <c r="E57" s="40" t="e">
        <f t="shared" si="15"/>
        <v>#N/A</v>
      </c>
      <c r="F57" s="40" t="e">
        <f t="shared" si="15"/>
        <v>#N/A</v>
      </c>
      <c r="H57" s="77">
        <f t="shared" si="13"/>
        <v>46</v>
      </c>
      <c r="I57" s="40" t="e">
        <f t="shared" si="16"/>
        <v>#N/A</v>
      </c>
      <c r="J57" s="40" t="e">
        <f t="shared" si="16"/>
        <v>#N/A</v>
      </c>
      <c r="K57" s="40" t="e">
        <f t="shared" si="16"/>
        <v>#N/A</v>
      </c>
      <c r="L57" s="40" t="e">
        <f t="shared" si="16"/>
        <v>#N/A</v>
      </c>
      <c r="N57" s="77">
        <f t="shared" si="14"/>
        <v>46</v>
      </c>
      <c r="O57" s="40" t="e">
        <f t="shared" si="17"/>
        <v>#N/A</v>
      </c>
      <c r="P57" s="40" t="e">
        <f t="shared" si="17"/>
        <v>#N/A</v>
      </c>
      <c r="Q57" s="40" t="e">
        <f t="shared" si="17"/>
        <v>#N/A</v>
      </c>
      <c r="R57" s="40" t="e">
        <f t="shared" si="17"/>
        <v>#N/A</v>
      </c>
    </row>
    <row r="58" spans="2:18">
      <c r="B58" s="77">
        <f t="shared" si="12"/>
        <v>47</v>
      </c>
      <c r="C58" s="40" t="e">
        <f t="shared" si="15"/>
        <v>#N/A</v>
      </c>
      <c r="D58" s="40" t="e">
        <f t="shared" si="15"/>
        <v>#N/A</v>
      </c>
      <c r="E58" s="40" t="e">
        <f t="shared" si="15"/>
        <v>#N/A</v>
      </c>
      <c r="F58" s="40" t="e">
        <f t="shared" si="15"/>
        <v>#N/A</v>
      </c>
      <c r="H58" s="77">
        <f t="shared" si="13"/>
        <v>47</v>
      </c>
      <c r="I58" s="40" t="e">
        <f t="shared" si="16"/>
        <v>#N/A</v>
      </c>
      <c r="J58" s="40" t="e">
        <f t="shared" si="16"/>
        <v>#N/A</v>
      </c>
      <c r="K58" s="40" t="e">
        <f t="shared" si="16"/>
        <v>#N/A</v>
      </c>
      <c r="L58" s="40" t="e">
        <f t="shared" si="16"/>
        <v>#N/A</v>
      </c>
      <c r="N58" s="77">
        <f t="shared" si="14"/>
        <v>47</v>
      </c>
      <c r="O58" s="40" t="e">
        <f t="shared" si="17"/>
        <v>#N/A</v>
      </c>
      <c r="P58" s="40" t="e">
        <f t="shared" si="17"/>
        <v>#N/A</v>
      </c>
      <c r="Q58" s="40" t="e">
        <f t="shared" si="17"/>
        <v>#N/A</v>
      </c>
      <c r="R58" s="40" t="e">
        <f t="shared" si="17"/>
        <v>#N/A</v>
      </c>
    </row>
    <row r="59" spans="2:18">
      <c r="B59" s="77">
        <f t="shared" si="12"/>
        <v>48</v>
      </c>
      <c r="C59" s="40" t="e">
        <f t="shared" si="15"/>
        <v>#N/A</v>
      </c>
      <c r="D59" s="40" t="e">
        <f t="shared" si="15"/>
        <v>#N/A</v>
      </c>
      <c r="E59" s="40" t="e">
        <f t="shared" si="15"/>
        <v>#N/A</v>
      </c>
      <c r="F59" s="40" t="e">
        <f t="shared" si="15"/>
        <v>#N/A</v>
      </c>
      <c r="H59" s="77">
        <f t="shared" si="13"/>
        <v>48</v>
      </c>
      <c r="I59" s="40" t="e">
        <f t="shared" si="16"/>
        <v>#N/A</v>
      </c>
      <c r="J59" s="40" t="e">
        <f t="shared" si="16"/>
        <v>#N/A</v>
      </c>
      <c r="K59" s="40" t="e">
        <f t="shared" si="16"/>
        <v>#N/A</v>
      </c>
      <c r="L59" s="40" t="e">
        <f t="shared" si="16"/>
        <v>#N/A</v>
      </c>
      <c r="N59" s="77">
        <f t="shared" si="14"/>
        <v>48</v>
      </c>
      <c r="O59" s="40" t="e">
        <f t="shared" si="17"/>
        <v>#N/A</v>
      </c>
      <c r="P59" s="40" t="e">
        <f t="shared" si="17"/>
        <v>#N/A</v>
      </c>
      <c r="Q59" s="40" t="e">
        <f t="shared" si="17"/>
        <v>#N/A</v>
      </c>
      <c r="R59" s="40" t="e">
        <f t="shared" si="17"/>
        <v>#N/A</v>
      </c>
    </row>
    <row r="60" spans="2:18">
      <c r="B60" s="77">
        <f t="shared" si="12"/>
        <v>49</v>
      </c>
      <c r="C60" s="40" t="e">
        <f t="shared" si="15"/>
        <v>#N/A</v>
      </c>
      <c r="D60" s="40" t="e">
        <f t="shared" si="15"/>
        <v>#N/A</v>
      </c>
      <c r="E60" s="40" t="e">
        <f t="shared" si="15"/>
        <v>#N/A</v>
      </c>
      <c r="F60" s="40" t="e">
        <f t="shared" si="15"/>
        <v>#N/A</v>
      </c>
      <c r="H60" s="77">
        <f t="shared" si="13"/>
        <v>49</v>
      </c>
      <c r="I60" s="40" t="e">
        <f t="shared" si="16"/>
        <v>#N/A</v>
      </c>
      <c r="J60" s="40" t="e">
        <f t="shared" si="16"/>
        <v>#N/A</v>
      </c>
      <c r="K60" s="40" t="e">
        <f t="shared" si="16"/>
        <v>#N/A</v>
      </c>
      <c r="L60" s="40" t="e">
        <f t="shared" si="16"/>
        <v>#N/A</v>
      </c>
      <c r="N60" s="77">
        <f t="shared" si="14"/>
        <v>49</v>
      </c>
      <c r="O60" s="40" t="e">
        <f t="shared" si="17"/>
        <v>#N/A</v>
      </c>
      <c r="P60" s="40" t="e">
        <f t="shared" si="17"/>
        <v>#N/A</v>
      </c>
      <c r="Q60" s="40" t="e">
        <f t="shared" si="17"/>
        <v>#N/A</v>
      </c>
      <c r="R60" s="40" t="e">
        <f t="shared" si="17"/>
        <v>#N/A</v>
      </c>
    </row>
    <row r="61" spans="2:18">
      <c r="B61" s="77">
        <f t="shared" si="12"/>
        <v>50</v>
      </c>
      <c r="C61" s="40" t="e">
        <f t="shared" si="15"/>
        <v>#N/A</v>
      </c>
      <c r="D61" s="40" t="e">
        <f t="shared" si="15"/>
        <v>#N/A</v>
      </c>
      <c r="E61" s="40" t="e">
        <f t="shared" si="15"/>
        <v>#N/A</v>
      </c>
      <c r="F61" s="40" t="e">
        <f t="shared" si="15"/>
        <v>#N/A</v>
      </c>
      <c r="H61" s="77">
        <f t="shared" si="13"/>
        <v>50</v>
      </c>
      <c r="I61" s="40" t="e">
        <f t="shared" si="16"/>
        <v>#N/A</v>
      </c>
      <c r="J61" s="40" t="e">
        <f t="shared" si="16"/>
        <v>#N/A</v>
      </c>
      <c r="K61" s="40" t="e">
        <f t="shared" si="16"/>
        <v>#N/A</v>
      </c>
      <c r="L61" s="40" t="e">
        <f t="shared" si="16"/>
        <v>#N/A</v>
      </c>
      <c r="N61" s="77">
        <f t="shared" si="14"/>
        <v>50</v>
      </c>
      <c r="O61" s="40" t="e">
        <f t="shared" si="17"/>
        <v>#N/A</v>
      </c>
      <c r="P61" s="40" t="e">
        <f t="shared" si="17"/>
        <v>#N/A</v>
      </c>
      <c r="Q61" s="40" t="e">
        <f t="shared" si="17"/>
        <v>#N/A</v>
      </c>
      <c r="R61" s="40" t="e">
        <f t="shared" si="17"/>
        <v>#N/A</v>
      </c>
    </row>
    <row r="62" spans="2:18">
      <c r="B62" s="77">
        <f t="shared" si="12"/>
        <v>51</v>
      </c>
      <c r="C62" s="40" t="e">
        <f t="shared" si="15"/>
        <v>#N/A</v>
      </c>
      <c r="D62" s="40" t="e">
        <f t="shared" si="15"/>
        <v>#N/A</v>
      </c>
      <c r="E62" s="40" t="e">
        <f t="shared" si="15"/>
        <v>#N/A</v>
      </c>
      <c r="F62" s="40" t="e">
        <f t="shared" si="15"/>
        <v>#N/A</v>
      </c>
      <c r="H62" s="77">
        <f t="shared" si="13"/>
        <v>51</v>
      </c>
      <c r="I62" s="40" t="e">
        <f t="shared" si="16"/>
        <v>#N/A</v>
      </c>
      <c r="J62" s="40" t="e">
        <f t="shared" si="16"/>
        <v>#N/A</v>
      </c>
      <c r="K62" s="40" t="e">
        <f t="shared" si="16"/>
        <v>#N/A</v>
      </c>
      <c r="L62" s="40" t="e">
        <f t="shared" si="16"/>
        <v>#N/A</v>
      </c>
      <c r="N62" s="77">
        <f t="shared" si="14"/>
        <v>51</v>
      </c>
      <c r="O62" s="40" t="e">
        <f t="shared" si="17"/>
        <v>#N/A</v>
      </c>
      <c r="P62" s="40" t="e">
        <f t="shared" si="17"/>
        <v>#N/A</v>
      </c>
      <c r="Q62" s="40" t="e">
        <f t="shared" si="17"/>
        <v>#N/A</v>
      </c>
      <c r="R62" s="40" t="e">
        <f t="shared" si="17"/>
        <v>#N/A</v>
      </c>
    </row>
    <row r="63" spans="2:18">
      <c r="B63" s="77">
        <f t="shared" si="12"/>
        <v>52</v>
      </c>
      <c r="C63" s="40" t="e">
        <f t="shared" si="15"/>
        <v>#N/A</v>
      </c>
      <c r="D63" s="40" t="e">
        <f t="shared" si="15"/>
        <v>#N/A</v>
      </c>
      <c r="E63" s="40" t="e">
        <f t="shared" si="15"/>
        <v>#N/A</v>
      </c>
      <c r="F63" s="40" t="e">
        <f t="shared" si="15"/>
        <v>#N/A</v>
      </c>
      <c r="H63" s="77">
        <f t="shared" si="13"/>
        <v>52</v>
      </c>
      <c r="I63" s="40" t="e">
        <f t="shared" si="16"/>
        <v>#N/A</v>
      </c>
      <c r="J63" s="40" t="e">
        <f t="shared" si="16"/>
        <v>#N/A</v>
      </c>
      <c r="K63" s="40" t="e">
        <f t="shared" si="16"/>
        <v>#N/A</v>
      </c>
      <c r="L63" s="40" t="e">
        <f t="shared" si="16"/>
        <v>#N/A</v>
      </c>
      <c r="N63" s="77">
        <f t="shared" si="14"/>
        <v>52</v>
      </c>
      <c r="O63" s="40" t="e">
        <f t="shared" si="17"/>
        <v>#N/A</v>
      </c>
      <c r="P63" s="40" t="e">
        <f t="shared" si="17"/>
        <v>#N/A</v>
      </c>
      <c r="Q63" s="40" t="e">
        <f t="shared" si="17"/>
        <v>#N/A</v>
      </c>
      <c r="R63" s="40" t="e">
        <f t="shared" si="17"/>
        <v>#N/A</v>
      </c>
    </row>
    <row r="64" spans="2:18">
      <c r="B64" s="77">
        <f t="shared" si="12"/>
        <v>53</v>
      </c>
      <c r="C64" s="40" t="e">
        <f t="shared" si="15"/>
        <v>#N/A</v>
      </c>
      <c r="D64" s="40" t="e">
        <f t="shared" si="15"/>
        <v>#N/A</v>
      </c>
      <c r="E64" s="40" t="e">
        <f t="shared" si="15"/>
        <v>#N/A</v>
      </c>
      <c r="F64" s="40" t="e">
        <f t="shared" si="15"/>
        <v>#N/A</v>
      </c>
      <c r="H64" s="77">
        <f t="shared" si="13"/>
        <v>53</v>
      </c>
      <c r="I64" s="40" t="e">
        <f t="shared" si="16"/>
        <v>#N/A</v>
      </c>
      <c r="J64" s="40" t="e">
        <f t="shared" si="16"/>
        <v>#N/A</v>
      </c>
      <c r="K64" s="40" t="e">
        <f t="shared" si="16"/>
        <v>#N/A</v>
      </c>
      <c r="L64" s="40" t="e">
        <f t="shared" si="16"/>
        <v>#N/A</v>
      </c>
      <c r="N64" s="77">
        <f t="shared" si="14"/>
        <v>53</v>
      </c>
      <c r="O64" s="40" t="e">
        <f t="shared" si="17"/>
        <v>#N/A</v>
      </c>
      <c r="P64" s="40" t="e">
        <f t="shared" si="17"/>
        <v>#N/A</v>
      </c>
      <c r="Q64" s="40" t="e">
        <f t="shared" si="17"/>
        <v>#N/A</v>
      </c>
      <c r="R64" s="40" t="e">
        <f t="shared" si="17"/>
        <v>#N/A</v>
      </c>
    </row>
    <row r="65" spans="2:18">
      <c r="B65" s="77">
        <f t="shared" si="12"/>
        <v>54</v>
      </c>
      <c r="C65" s="40" t="e">
        <f t="shared" si="15"/>
        <v>#N/A</v>
      </c>
      <c r="D65" s="40" t="e">
        <f t="shared" si="15"/>
        <v>#N/A</v>
      </c>
      <c r="E65" s="40" t="e">
        <f t="shared" si="15"/>
        <v>#N/A</v>
      </c>
      <c r="F65" s="40" t="e">
        <f t="shared" si="15"/>
        <v>#N/A</v>
      </c>
      <c r="H65" s="77">
        <f t="shared" si="13"/>
        <v>54</v>
      </c>
      <c r="I65" s="40" t="e">
        <f t="shared" si="16"/>
        <v>#N/A</v>
      </c>
      <c r="J65" s="40" t="e">
        <f t="shared" si="16"/>
        <v>#N/A</v>
      </c>
      <c r="K65" s="40" t="e">
        <f t="shared" si="16"/>
        <v>#N/A</v>
      </c>
      <c r="L65" s="40" t="e">
        <f t="shared" si="16"/>
        <v>#N/A</v>
      </c>
      <c r="N65" s="77">
        <f t="shared" si="14"/>
        <v>54</v>
      </c>
      <c r="O65" s="40" t="e">
        <f t="shared" si="17"/>
        <v>#N/A</v>
      </c>
      <c r="P65" s="40" t="e">
        <f t="shared" si="17"/>
        <v>#N/A</v>
      </c>
      <c r="Q65" s="40" t="e">
        <f t="shared" si="17"/>
        <v>#N/A</v>
      </c>
      <c r="R65" s="40" t="e">
        <f t="shared" si="17"/>
        <v>#N/A</v>
      </c>
    </row>
    <row r="66" spans="2:18">
      <c r="B66" s="77">
        <f t="shared" si="12"/>
        <v>55</v>
      </c>
      <c r="C66" s="40" t="e">
        <f t="shared" si="15"/>
        <v>#N/A</v>
      </c>
      <c r="D66" s="40" t="e">
        <f t="shared" si="15"/>
        <v>#N/A</v>
      </c>
      <c r="E66" s="40" t="e">
        <f t="shared" si="15"/>
        <v>#N/A</v>
      </c>
      <c r="F66" s="40" t="e">
        <f t="shared" si="15"/>
        <v>#N/A</v>
      </c>
      <c r="H66" s="77">
        <f t="shared" si="13"/>
        <v>55</v>
      </c>
      <c r="I66" s="40" t="e">
        <f t="shared" si="16"/>
        <v>#N/A</v>
      </c>
      <c r="J66" s="40" t="e">
        <f t="shared" si="16"/>
        <v>#N/A</v>
      </c>
      <c r="K66" s="40" t="e">
        <f t="shared" si="16"/>
        <v>#N/A</v>
      </c>
      <c r="L66" s="40" t="e">
        <f t="shared" si="16"/>
        <v>#N/A</v>
      </c>
      <c r="N66" s="77">
        <f t="shared" si="14"/>
        <v>55</v>
      </c>
      <c r="O66" s="40" t="e">
        <f t="shared" si="17"/>
        <v>#N/A</v>
      </c>
      <c r="P66" s="40" t="e">
        <f t="shared" si="17"/>
        <v>#N/A</v>
      </c>
      <c r="Q66" s="40" t="e">
        <f t="shared" si="17"/>
        <v>#N/A</v>
      </c>
      <c r="R66" s="40" t="e">
        <f t="shared" si="17"/>
        <v>#N/A</v>
      </c>
    </row>
    <row r="67" spans="2:18">
      <c r="B67" s="77">
        <f t="shared" si="12"/>
        <v>56</v>
      </c>
      <c r="C67" s="40" t="e">
        <f t="shared" si="15"/>
        <v>#N/A</v>
      </c>
      <c r="D67" s="40" t="e">
        <f t="shared" si="15"/>
        <v>#N/A</v>
      </c>
      <c r="E67" s="40" t="e">
        <f t="shared" si="15"/>
        <v>#N/A</v>
      </c>
      <c r="F67" s="40" t="e">
        <f t="shared" si="15"/>
        <v>#N/A</v>
      </c>
      <c r="H67" s="77">
        <f t="shared" si="13"/>
        <v>56</v>
      </c>
      <c r="I67" s="40" t="e">
        <f t="shared" si="16"/>
        <v>#N/A</v>
      </c>
      <c r="J67" s="40" t="e">
        <f t="shared" si="16"/>
        <v>#N/A</v>
      </c>
      <c r="K67" s="40" t="e">
        <f t="shared" si="16"/>
        <v>#N/A</v>
      </c>
      <c r="L67" s="40" t="e">
        <f t="shared" si="16"/>
        <v>#N/A</v>
      </c>
      <c r="N67" s="77">
        <f t="shared" si="14"/>
        <v>56</v>
      </c>
      <c r="O67" s="40" t="e">
        <f t="shared" si="17"/>
        <v>#N/A</v>
      </c>
      <c r="P67" s="40" t="e">
        <f t="shared" si="17"/>
        <v>#N/A</v>
      </c>
      <c r="Q67" s="40" t="e">
        <f t="shared" si="17"/>
        <v>#N/A</v>
      </c>
      <c r="R67" s="40" t="e">
        <f t="shared" si="17"/>
        <v>#N/A</v>
      </c>
    </row>
    <row r="68" spans="2:18">
      <c r="B68" s="77">
        <f t="shared" si="12"/>
        <v>57</v>
      </c>
      <c r="C68" s="40" t="e">
        <f t="shared" si="15"/>
        <v>#N/A</v>
      </c>
      <c r="D68" s="40" t="e">
        <f t="shared" si="15"/>
        <v>#N/A</v>
      </c>
      <c r="E68" s="40" t="e">
        <f t="shared" si="15"/>
        <v>#N/A</v>
      </c>
      <c r="F68" s="40" t="e">
        <f t="shared" si="15"/>
        <v>#N/A</v>
      </c>
      <c r="H68" s="77">
        <f t="shared" si="13"/>
        <v>57</v>
      </c>
      <c r="I68" s="40" t="e">
        <f t="shared" si="16"/>
        <v>#N/A</v>
      </c>
      <c r="J68" s="40" t="e">
        <f t="shared" si="16"/>
        <v>#N/A</v>
      </c>
      <c r="K68" s="40" t="e">
        <f t="shared" si="16"/>
        <v>#N/A</v>
      </c>
      <c r="L68" s="40" t="e">
        <f t="shared" si="16"/>
        <v>#N/A</v>
      </c>
      <c r="N68" s="77">
        <f t="shared" si="14"/>
        <v>57</v>
      </c>
      <c r="O68" s="40" t="e">
        <f t="shared" si="17"/>
        <v>#N/A</v>
      </c>
      <c r="P68" s="40" t="e">
        <f t="shared" si="17"/>
        <v>#N/A</v>
      </c>
      <c r="Q68" s="40" t="e">
        <f t="shared" si="17"/>
        <v>#N/A</v>
      </c>
      <c r="R68" s="40" t="e">
        <f t="shared" si="17"/>
        <v>#N/A</v>
      </c>
    </row>
    <row r="69" spans="2:18">
      <c r="B69" s="77">
        <f t="shared" si="12"/>
        <v>58</v>
      </c>
      <c r="C69" s="40" t="e">
        <f t="shared" si="15"/>
        <v>#N/A</v>
      </c>
      <c r="D69" s="40" t="e">
        <f t="shared" si="15"/>
        <v>#N/A</v>
      </c>
      <c r="E69" s="40" t="e">
        <f t="shared" si="15"/>
        <v>#N/A</v>
      </c>
      <c r="F69" s="40" t="e">
        <f t="shared" si="15"/>
        <v>#N/A</v>
      </c>
      <c r="H69" s="77">
        <f t="shared" si="13"/>
        <v>58</v>
      </c>
      <c r="I69" s="40" t="e">
        <f t="shared" si="16"/>
        <v>#N/A</v>
      </c>
      <c r="J69" s="40" t="e">
        <f t="shared" si="16"/>
        <v>#N/A</v>
      </c>
      <c r="K69" s="40" t="e">
        <f t="shared" si="16"/>
        <v>#N/A</v>
      </c>
      <c r="L69" s="40" t="e">
        <f t="shared" si="16"/>
        <v>#N/A</v>
      </c>
      <c r="N69" s="77">
        <f t="shared" si="14"/>
        <v>58</v>
      </c>
      <c r="O69" s="40" t="e">
        <f t="shared" si="17"/>
        <v>#N/A</v>
      </c>
      <c r="P69" s="40" t="e">
        <f t="shared" si="17"/>
        <v>#N/A</v>
      </c>
      <c r="Q69" s="40" t="e">
        <f t="shared" si="17"/>
        <v>#N/A</v>
      </c>
      <c r="R69" s="40" t="e">
        <f t="shared" si="17"/>
        <v>#N/A</v>
      </c>
    </row>
    <row r="70" spans="2:18">
      <c r="B70" s="77">
        <f t="shared" si="12"/>
        <v>59</v>
      </c>
      <c r="C70" s="40" t="e">
        <f t="shared" si="15"/>
        <v>#N/A</v>
      </c>
      <c r="D70" s="40" t="e">
        <f t="shared" si="15"/>
        <v>#N/A</v>
      </c>
      <c r="E70" s="40" t="e">
        <f t="shared" si="15"/>
        <v>#N/A</v>
      </c>
      <c r="F70" s="40" t="e">
        <f t="shared" si="15"/>
        <v>#N/A</v>
      </c>
      <c r="H70" s="77">
        <f t="shared" si="13"/>
        <v>59</v>
      </c>
      <c r="I70" s="40" t="e">
        <f t="shared" si="16"/>
        <v>#N/A</v>
      </c>
      <c r="J70" s="40" t="e">
        <f t="shared" si="16"/>
        <v>#N/A</v>
      </c>
      <c r="K70" s="40" t="e">
        <f t="shared" si="16"/>
        <v>#N/A</v>
      </c>
      <c r="L70" s="40" t="e">
        <f t="shared" si="16"/>
        <v>#N/A</v>
      </c>
      <c r="N70" s="77">
        <f t="shared" si="14"/>
        <v>59</v>
      </c>
      <c r="O70" s="40" t="e">
        <f t="shared" si="17"/>
        <v>#N/A</v>
      </c>
      <c r="P70" s="40" t="e">
        <f t="shared" si="17"/>
        <v>#N/A</v>
      </c>
      <c r="Q70" s="40" t="e">
        <f t="shared" si="17"/>
        <v>#N/A</v>
      </c>
      <c r="R70" s="40" t="e">
        <f t="shared" si="17"/>
        <v>#N/A</v>
      </c>
    </row>
    <row r="71" spans="2:18">
      <c r="B71" s="77">
        <f t="shared" si="12"/>
        <v>60</v>
      </c>
      <c r="C71" s="40" t="e">
        <f t="shared" si="15"/>
        <v>#N/A</v>
      </c>
      <c r="D71" s="40" t="e">
        <f t="shared" si="15"/>
        <v>#N/A</v>
      </c>
      <c r="E71" s="40" t="e">
        <f t="shared" si="15"/>
        <v>#N/A</v>
      </c>
      <c r="F71" s="40" t="e">
        <f t="shared" si="15"/>
        <v>#N/A</v>
      </c>
      <c r="H71" s="77">
        <f t="shared" si="13"/>
        <v>60</v>
      </c>
      <c r="I71" s="40" t="e">
        <f t="shared" si="16"/>
        <v>#N/A</v>
      </c>
      <c r="J71" s="40" t="e">
        <f t="shared" si="16"/>
        <v>#N/A</v>
      </c>
      <c r="K71" s="40" t="e">
        <f t="shared" si="16"/>
        <v>#N/A</v>
      </c>
      <c r="L71" s="40" t="e">
        <f t="shared" si="16"/>
        <v>#N/A</v>
      </c>
      <c r="N71" s="77">
        <f t="shared" si="14"/>
        <v>60</v>
      </c>
      <c r="O71" s="40" t="e">
        <f t="shared" si="17"/>
        <v>#N/A</v>
      </c>
      <c r="P71" s="40" t="e">
        <f t="shared" si="17"/>
        <v>#N/A</v>
      </c>
      <c r="Q71" s="40" t="e">
        <f t="shared" si="17"/>
        <v>#N/A</v>
      </c>
      <c r="R71" s="40" t="e">
        <f t="shared" si="17"/>
        <v>#N/A</v>
      </c>
    </row>
  </sheetData>
  <mergeCells count="3">
    <mergeCell ref="I8:L8"/>
    <mergeCell ref="O8:R8"/>
    <mergeCell ref="C8:F8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rgb="FF00B050"/>
  </sheetPr>
  <dimension ref="B1:AR12"/>
  <sheetViews>
    <sheetView workbookViewId="0"/>
  </sheetViews>
  <sheetFormatPr baseColWidth="10" defaultColWidth="8.83203125" defaultRowHeight="13"/>
  <cols>
    <col min="4" max="4" width="13.6640625" customWidth="1"/>
    <col min="5" max="5" width="3.33203125" customWidth="1"/>
    <col min="6" max="6" width="13.6640625" customWidth="1"/>
    <col min="7" max="7" width="3.33203125" customWidth="1"/>
    <col min="8" max="10" width="13.6640625" customWidth="1"/>
  </cols>
  <sheetData>
    <row r="1" spans="2:44" s="89" customFormat="1" ht="15">
      <c r="B1" s="90" t="s">
        <v>675</v>
      </c>
      <c r="O1" s="91"/>
      <c r="P1" s="92"/>
      <c r="Q1" s="93"/>
      <c r="R1" s="94"/>
      <c r="S1" s="92"/>
      <c r="T1" s="92"/>
      <c r="U1" s="92"/>
      <c r="V1" s="92"/>
      <c r="W1" s="92"/>
      <c r="X1" s="92"/>
      <c r="Y1" s="92"/>
      <c r="Z1" s="92"/>
      <c r="AA1" s="92"/>
      <c r="AB1" s="92"/>
      <c r="AD1" s="95"/>
    </row>
    <row r="2" spans="2:44" s="89" customFormat="1" ht="15">
      <c r="B2" s="103" t="s">
        <v>688</v>
      </c>
      <c r="O2" s="91"/>
      <c r="P2" s="92"/>
      <c r="Q2" s="93"/>
      <c r="R2" s="94"/>
      <c r="S2" s="92"/>
      <c r="T2" s="92"/>
      <c r="U2" s="92"/>
      <c r="V2" s="92"/>
      <c r="W2" s="92"/>
      <c r="X2" s="92"/>
      <c r="Y2" s="92"/>
      <c r="Z2" s="92"/>
      <c r="AA2" s="92"/>
      <c r="AB2" s="92"/>
      <c r="AD2" s="95"/>
    </row>
    <row r="3" spans="2:44" s="89" customFormat="1" ht="15">
      <c r="B3" s="103" t="s">
        <v>689</v>
      </c>
      <c r="O3" s="91"/>
      <c r="P3" s="92"/>
      <c r="Q3" s="93"/>
      <c r="R3" s="94"/>
      <c r="S3" s="92"/>
      <c r="T3" s="92"/>
      <c r="U3" s="92"/>
      <c r="V3" s="92"/>
      <c r="W3" s="92"/>
      <c r="X3" s="92"/>
      <c r="Y3" s="92"/>
      <c r="Z3" s="92"/>
      <c r="AA3" s="92"/>
      <c r="AB3" s="92"/>
      <c r="AD3" s="95"/>
    </row>
    <row r="4" spans="2:44" s="89" customFormat="1" ht="15">
      <c r="B4" s="97"/>
      <c r="O4" s="91"/>
      <c r="P4" s="92"/>
      <c r="Q4" s="93"/>
      <c r="R4" s="94"/>
      <c r="S4" s="92"/>
      <c r="T4" s="92"/>
      <c r="U4" s="92"/>
      <c r="V4" s="92"/>
      <c r="W4" s="92"/>
      <c r="X4" s="92"/>
      <c r="Y4" s="92"/>
      <c r="Z4" s="92"/>
      <c r="AA4" s="92"/>
      <c r="AB4" s="92"/>
      <c r="AD4" s="95"/>
    </row>
    <row r="5" spans="2:44" s="98" customFormat="1" ht="15">
      <c r="D5" s="59"/>
      <c r="E5" s="59"/>
      <c r="F5" s="59"/>
      <c r="G5" s="59"/>
      <c r="I5" s="59"/>
      <c r="J5" s="59"/>
      <c r="K5" s="99"/>
      <c r="L5" s="100"/>
      <c r="M5" s="100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99"/>
      <c r="AB5" s="101"/>
      <c r="AC5" s="101"/>
      <c r="AD5" s="101"/>
      <c r="AE5" s="101"/>
      <c r="AF5" s="101"/>
      <c r="AG5" s="101"/>
      <c r="AH5" s="101"/>
      <c r="AI5" s="101"/>
      <c r="AJ5" s="101"/>
      <c r="AK5" s="101"/>
      <c r="AL5" s="101"/>
      <c r="AM5" s="101"/>
      <c r="AN5" s="101"/>
      <c r="AO5" s="101"/>
      <c r="AP5" s="101"/>
      <c r="AQ5" s="101"/>
      <c r="AR5" s="101"/>
    </row>
    <row r="8" spans="2:44" ht="16">
      <c r="H8" s="109" t="s">
        <v>669</v>
      </c>
      <c r="I8" s="109"/>
      <c r="J8" s="109"/>
    </row>
    <row r="9" spans="2:44" ht="16">
      <c r="D9" s="72" t="s">
        <v>643</v>
      </c>
      <c r="E9" s="72"/>
      <c r="F9" s="72" t="s">
        <v>37</v>
      </c>
      <c r="G9" s="72"/>
      <c r="H9" s="72" t="s">
        <v>667</v>
      </c>
      <c r="I9" s="72" t="s">
        <v>668</v>
      </c>
      <c r="J9" s="72" t="s">
        <v>38</v>
      </c>
    </row>
    <row r="10" spans="2:44">
      <c r="B10" s="62" t="s">
        <v>662</v>
      </c>
      <c r="D10" s="66">
        <f>'Q4-5 - Pricing'!B94*100</f>
        <v>0</v>
      </c>
      <c r="E10" s="66"/>
      <c r="F10" s="88"/>
      <c r="G10" s="40"/>
      <c r="H10" s="40" t="e">
        <f>('Q4-5 - Pricing'!D95-'Q4-5 - Pricing'!D94)/('Q4-5 - Pricing'!D24-'Q4-5 - Pricing'!D23)</f>
        <v>#DIV/0!</v>
      </c>
      <c r="I10" s="40" t="e">
        <f>('Q4-5 - Pricing'!D96-'Q4-5 - Pricing'!D95)/('Q4-5 - Pricing'!D25-'Q4-5 - Pricing'!D24)</f>
        <v>#DIV/0!</v>
      </c>
      <c r="J10" s="88"/>
    </row>
    <row r="11" spans="2:44">
      <c r="B11" s="62" t="s">
        <v>666</v>
      </c>
      <c r="D11" s="66">
        <f>D10-D12</f>
        <v>0</v>
      </c>
      <c r="E11" s="66"/>
      <c r="F11" s="88"/>
      <c r="G11" s="40"/>
      <c r="H11" s="40" t="e">
        <f>('Q4-5 - Pricing'!D233-'Q4-5 - Pricing'!D232)/('Q4-5 - Pricing'!D24-'Q4-5 - Pricing'!D23)</f>
        <v>#DIV/0!</v>
      </c>
      <c r="I11" s="40" t="e">
        <f>('Q4-5 - Pricing'!D234-'Q4-5 - Pricing'!D233)/('Q4-5 - Pricing'!D25-'Q4-5 - Pricing'!D24)</f>
        <v>#DIV/0!</v>
      </c>
      <c r="J11" s="88"/>
    </row>
    <row r="12" spans="2:44">
      <c r="B12" s="62" t="s">
        <v>664</v>
      </c>
      <c r="D12" s="66">
        <f>'Q4-5 - Pricing'!B163*100</f>
        <v>0</v>
      </c>
      <c r="E12" s="66"/>
    </row>
  </sheetData>
  <mergeCells count="1">
    <mergeCell ref="H8:J8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31</vt:i4>
      </vt:variant>
    </vt:vector>
  </HeadingPairs>
  <TitlesOfParts>
    <vt:vector size="40" baseType="lpstr">
      <vt:lpstr>HW6_FRB_H15</vt:lpstr>
      <vt:lpstr>Data Bonds</vt:lpstr>
      <vt:lpstr>Q1 - Nelson-Siegel</vt:lpstr>
      <vt:lpstr>Q2 - IRTree - Instructions</vt:lpstr>
      <vt:lpstr>Q2 - IRTree</vt:lpstr>
      <vt:lpstr>Q3 - Plot</vt:lpstr>
      <vt:lpstr>Q4-5 - Pricing</vt:lpstr>
      <vt:lpstr>Q6 - Plot</vt:lpstr>
      <vt:lpstr>Q7 - Dur-Conv</vt:lpstr>
      <vt:lpstr>cc</vt:lpstr>
      <vt:lpstr>coupon</vt:lpstr>
      <vt:lpstr>d</vt:lpstr>
      <vt:lpstr>data.NelsonSiegel</vt:lpstr>
      <vt:lpstr>FCT</vt:lpstr>
      <vt:lpstr>FstCT</vt:lpstr>
      <vt:lpstr>h</vt:lpstr>
      <vt:lpstr>h0</vt:lpstr>
      <vt:lpstr>hh</vt:lpstr>
      <vt:lpstr>HoLee.BDT</vt:lpstr>
      <vt:lpstr>K</vt:lpstr>
      <vt:lpstr>la</vt:lpstr>
      <vt:lpstr>matur</vt:lpstr>
      <vt:lpstr>'Q2 - IRTree'!Print_Area</vt:lpstr>
      <vt:lpstr>q</vt:lpstr>
      <vt:lpstr>rr</vt:lpstr>
      <vt:lpstr>S0</vt:lpstr>
      <vt:lpstr>sig</vt:lpstr>
      <vt:lpstr>'Q1 - Nelson-Siegel'!T</vt:lpstr>
      <vt:lpstr>T</vt:lpstr>
      <vt:lpstr>theta0</vt:lpstr>
      <vt:lpstr>theta1</vt:lpstr>
      <vt:lpstr>theta2</vt:lpstr>
      <vt:lpstr>Tree.BondValue</vt:lpstr>
      <vt:lpstr>Tree.BondValue.All</vt:lpstr>
      <vt:lpstr>tree.callable</vt:lpstr>
      <vt:lpstr>tree.non.callable</vt:lpstr>
      <vt:lpstr>tree.rates</vt:lpstr>
      <vt:lpstr>TT</vt:lpstr>
      <vt:lpstr>TTT</vt:lpstr>
      <vt:lpstr>YY</vt:lpstr>
    </vt:vector>
  </TitlesOfParts>
  <Company>The University of Chicago, GSB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Veronesi, Pietro</dc:creator>
  <cp:lastModifiedBy>John Heaton</cp:lastModifiedBy>
  <cp:lastPrinted>2009-01-21T23:08:09Z</cp:lastPrinted>
  <dcterms:created xsi:type="dcterms:W3CDTF">2007-04-22T09:20:08Z</dcterms:created>
  <dcterms:modified xsi:type="dcterms:W3CDTF">2020-05-13T21:17:30Z</dcterms:modified>
</cp:coreProperties>
</file>