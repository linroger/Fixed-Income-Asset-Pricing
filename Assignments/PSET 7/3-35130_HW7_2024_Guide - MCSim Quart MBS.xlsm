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APietro\Teaching\B437\AA2017\Assignments\Assignment7\HW7_2017\Solution\Excel\"/>
    </mc:Choice>
  </mc:AlternateContent>
  <bookViews>
    <workbookView xWindow="0" yWindow="0" windowWidth="19200" windowHeight="6105" tabRatio="484"/>
  </bookViews>
  <sheets>
    <sheet name="IRTree-INPUT" sheetId="1" r:id="rId1"/>
    <sheet name="MODEL" sheetId="36" r:id="rId2"/>
  </sheets>
  <externalReferences>
    <externalReference r:id="rId3"/>
  </externalReferences>
  <definedNames>
    <definedName name="A">#REF!</definedName>
    <definedName name="c_1">MODEL!$B$17</definedName>
    <definedName name="c_2">MODEL!$B$18</definedName>
    <definedName name="CallFlag">[1]IRTree!#REF!</definedName>
    <definedName name="cc">'IRTree-INPUT'!#REF!</definedName>
    <definedName name="CM">MODEL!$B$8</definedName>
    <definedName name="d">'IRTree-INPUT'!#REF!</definedName>
    <definedName name="dr">[1]IRTree!$C$5</definedName>
    <definedName name="FCT">'IRTree-INPUT'!#REF!</definedName>
    <definedName name="h">MODEL!$B$13</definedName>
    <definedName name="h0">'IRTree-INPUT'!#REF!</definedName>
    <definedName name="input.SimNum">MODEL!$B$22</definedName>
    <definedName name="K">'IRTree-INPUT'!#REF!</definedName>
    <definedName name="mu">[1]IRTree!#REF!</definedName>
    <definedName name="n">[1]IRTree!#REF!</definedName>
    <definedName name="out1.CapCF">MODEL!#REF!</definedName>
    <definedName name="out1.PTCashFlow">MODEL!$C$47:$DS$47</definedName>
    <definedName name="output.Cum">MODEL!$D$64:$DS$65</definedName>
    <definedName name="output.Cum2">MODEL!$C$64:$C$69</definedName>
    <definedName name="output.Indiv">MODEL!$D$58:$DS$59</definedName>
    <definedName name="output.Indiv2">MODEL!$C$58:$C$63</definedName>
    <definedName name="output.SimNum">MODEL!$D$22</definedName>
    <definedName name="outSUM.CapCF">MODEL!$C$64:$DS$64</definedName>
    <definedName name="outSUM.PTCashFlow">MODEL!$C$65:$DS$65</definedName>
    <definedName name="p_1">#REF!</definedName>
    <definedName name="p_2">#REF!</definedName>
    <definedName name="_xlnm.Print_Area" localSheetId="0">'IRTree-INPUT'!$A$7:$L$21</definedName>
    <definedName name="pstar">[1]IRTree!#REF!</definedName>
    <definedName name="rate.mge">#REF!</definedName>
    <definedName name="rate.PT">#REF!</definedName>
    <definedName name="rm">MODEL!$B$19</definedName>
    <definedName name="rr">'IRTree-INPUT'!#REF!</definedName>
    <definedName name="S0">'IRTree-INPUT'!#REF!</definedName>
    <definedName name="sig">'IRTree-INPUT'!#REF!</definedName>
    <definedName name="solver_adj" localSheetId="0" hidden="1">'IRTree-INPUT'!#REF!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'IRTree-INPUT'!#REF!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p">MODEL!$B$20</definedName>
    <definedName name="T">'IRTree-INPUT'!#REF!</definedName>
    <definedName name="table.IRTree">'IRTree-INPUT'!$A$10:$DR$131</definedName>
    <definedName name="table.OptimExercise">'IRTree-INPUT'!$A$138:$DR$259</definedName>
    <definedName name="TM">#REF!</definedName>
    <definedName name="Tree.BondValue">'IRTree-INPUT'!#REF!</definedName>
    <definedName name="Tree.BondValue.All">'IRTree-INPUT'!#REF!</definedName>
    <definedName name="TT">'IRTree-INPUT'!#REF!</definedName>
    <definedName name="u">[1]IRTree!#REF!</definedName>
  </definedNames>
  <calcPr calcId="152511"/>
</workbook>
</file>

<file path=xl/calcChain.xml><?xml version="1.0" encoding="utf-8"?>
<calcChain xmlns="http://schemas.openxmlformats.org/spreadsheetml/2006/main">
  <c r="D51" i="36" l="1"/>
  <c r="C75" i="36" l="1"/>
  <c r="C74" i="36"/>
  <c r="C73" i="36"/>
  <c r="C72" i="36"/>
  <c r="D13" i="36" s="1"/>
  <c r="C71" i="36"/>
  <c r="D12" i="36" s="1"/>
  <c r="C70" i="36"/>
  <c r="D11" i="36" s="1"/>
  <c r="C76" i="36" l="1"/>
  <c r="F11" i="36" s="1"/>
  <c r="H11" i="36" s="1"/>
  <c r="C78" i="36"/>
  <c r="F13" i="36" s="1"/>
  <c r="H13" i="36" s="1"/>
  <c r="C77" i="36"/>
  <c r="F12" i="36" s="1"/>
  <c r="D26" i="36"/>
  <c r="E26" i="36"/>
  <c r="F26" i="36"/>
  <c r="G26" i="36"/>
  <c r="H26" i="36"/>
  <c r="I26" i="36"/>
  <c r="J26" i="36"/>
  <c r="K26" i="36"/>
  <c r="L26" i="36"/>
  <c r="M26" i="36"/>
  <c r="N26" i="36"/>
  <c r="O26" i="36"/>
  <c r="P26" i="36"/>
  <c r="Q26" i="36"/>
  <c r="R26" i="36"/>
  <c r="S26" i="36"/>
  <c r="T26" i="36"/>
  <c r="U26" i="36"/>
  <c r="V26" i="36"/>
  <c r="W26" i="36"/>
  <c r="X26" i="36"/>
  <c r="Y26" i="36"/>
  <c r="Z26" i="36"/>
  <c r="AA26" i="36"/>
  <c r="AB26" i="36"/>
  <c r="AC26" i="36"/>
  <c r="AD26" i="36"/>
  <c r="AE26" i="36"/>
  <c r="AF26" i="36"/>
  <c r="AG26" i="36"/>
  <c r="AH26" i="36"/>
  <c r="AI26" i="36"/>
  <c r="AJ26" i="36"/>
  <c r="AK26" i="36"/>
  <c r="AL26" i="36"/>
  <c r="AM26" i="36"/>
  <c r="AN26" i="36"/>
  <c r="AO26" i="36"/>
  <c r="AP26" i="36"/>
  <c r="AQ26" i="36"/>
  <c r="AR26" i="36"/>
  <c r="AS26" i="36"/>
  <c r="AT26" i="36"/>
  <c r="AU26" i="36"/>
  <c r="AV26" i="36"/>
  <c r="AW26" i="36"/>
  <c r="AX26" i="36"/>
  <c r="AY26" i="36"/>
  <c r="AZ26" i="36"/>
  <c r="BA26" i="36"/>
  <c r="BB26" i="36"/>
  <c r="BC26" i="36"/>
  <c r="BD26" i="36"/>
  <c r="BE26" i="36"/>
  <c r="BF26" i="36"/>
  <c r="BG26" i="36"/>
  <c r="BH26" i="36"/>
  <c r="BI26" i="36"/>
  <c r="BJ26" i="36"/>
  <c r="BK26" i="36"/>
  <c r="BL26" i="36"/>
  <c r="BM26" i="36"/>
  <c r="BN26" i="36"/>
  <c r="BO26" i="36"/>
  <c r="BP26" i="36"/>
  <c r="BQ26" i="36"/>
  <c r="BR26" i="36"/>
  <c r="BS26" i="36"/>
  <c r="BT26" i="36"/>
  <c r="BU26" i="36"/>
  <c r="BV26" i="36"/>
  <c r="BW26" i="36"/>
  <c r="BX26" i="36"/>
  <c r="BY26" i="36"/>
  <c r="BZ26" i="36"/>
  <c r="CA26" i="36"/>
  <c r="CB26" i="36"/>
  <c r="CC26" i="36"/>
  <c r="CD26" i="36"/>
  <c r="CE26" i="36"/>
  <c r="CF26" i="36"/>
  <c r="CG26" i="36"/>
  <c r="CH26" i="36"/>
  <c r="CI26" i="36"/>
  <c r="CJ26" i="36"/>
  <c r="CK26" i="36"/>
  <c r="CL26" i="36"/>
  <c r="CM26" i="36"/>
  <c r="CN26" i="36"/>
  <c r="CO26" i="36"/>
  <c r="CP26" i="36"/>
  <c r="CQ26" i="36"/>
  <c r="CR26" i="36"/>
  <c r="CS26" i="36"/>
  <c r="CT26" i="36"/>
  <c r="CU26" i="36"/>
  <c r="CV26" i="36"/>
  <c r="CW26" i="36"/>
  <c r="CX26" i="36"/>
  <c r="CY26" i="36"/>
  <c r="CZ26" i="36"/>
  <c r="DA26" i="36"/>
  <c r="DB26" i="36"/>
  <c r="DC26" i="36"/>
  <c r="DD26" i="36"/>
  <c r="DE26" i="36"/>
  <c r="DF26" i="36"/>
  <c r="DG26" i="36"/>
  <c r="DH26" i="36"/>
  <c r="DI26" i="36"/>
  <c r="DJ26" i="36"/>
  <c r="DK26" i="36"/>
  <c r="DL26" i="36"/>
  <c r="DM26" i="36"/>
  <c r="DN26" i="36"/>
  <c r="DO26" i="36"/>
  <c r="DP26" i="36"/>
  <c r="DQ26" i="36"/>
  <c r="DR26" i="36"/>
  <c r="DS26" i="36"/>
  <c r="B6" i="36"/>
  <c r="B9" i="36" s="1"/>
  <c r="B7" i="36"/>
  <c r="C32" i="36"/>
  <c r="C37" i="36"/>
  <c r="C38" i="36" s="1"/>
  <c r="DS35" i="36"/>
  <c r="DR35" i="36"/>
  <c r="DQ35" i="36"/>
  <c r="DP35" i="36"/>
  <c r="DO35" i="36"/>
  <c r="DN35" i="36"/>
  <c r="DM35" i="36"/>
  <c r="DL35" i="36"/>
  <c r="DK35" i="36"/>
  <c r="DJ35" i="36"/>
  <c r="DI35" i="36"/>
  <c r="DH35" i="36"/>
  <c r="DG35" i="36"/>
  <c r="DF35" i="36"/>
  <c r="DE35" i="36"/>
  <c r="DD35" i="36"/>
  <c r="DC35" i="36"/>
  <c r="DB35" i="36"/>
  <c r="DA35" i="36"/>
  <c r="CZ35" i="36"/>
  <c r="CY35" i="36"/>
  <c r="CX35" i="36"/>
  <c r="CW35" i="36"/>
  <c r="CV35" i="36"/>
  <c r="CU35" i="36"/>
  <c r="CT35" i="36"/>
  <c r="CS35" i="36"/>
  <c r="CR35" i="36"/>
  <c r="CQ35" i="36"/>
  <c r="CP35" i="36"/>
  <c r="CO35" i="36"/>
  <c r="CN35" i="36"/>
  <c r="CM35" i="36"/>
  <c r="CL35" i="36"/>
  <c r="CK35" i="36"/>
  <c r="CJ35" i="36"/>
  <c r="CI35" i="36"/>
  <c r="CH35" i="36"/>
  <c r="CG35" i="36"/>
  <c r="CF35" i="36"/>
  <c r="CE35" i="36"/>
  <c r="CD35" i="36"/>
  <c r="CC35" i="36"/>
  <c r="CB35" i="36"/>
  <c r="CA35" i="36"/>
  <c r="BZ35" i="36"/>
  <c r="BY35" i="36"/>
  <c r="BX35" i="36"/>
  <c r="BW35" i="36"/>
  <c r="BV35" i="36"/>
  <c r="BU35" i="36"/>
  <c r="BT35" i="36"/>
  <c r="BS35" i="36"/>
  <c r="BR35" i="36"/>
  <c r="BQ35" i="36"/>
  <c r="BP35" i="36"/>
  <c r="BO35" i="36"/>
  <c r="BN35" i="36"/>
  <c r="BM35" i="36"/>
  <c r="BL35" i="36"/>
  <c r="BK35" i="36"/>
  <c r="BJ35" i="36"/>
  <c r="BI35" i="36"/>
  <c r="BH35" i="36"/>
  <c r="BG35" i="36"/>
  <c r="BF35" i="36"/>
  <c r="BE35" i="36"/>
  <c r="BD35" i="36"/>
  <c r="BC35" i="36"/>
  <c r="BB35" i="36"/>
  <c r="BA35" i="36"/>
  <c r="AZ35" i="36"/>
  <c r="AY35" i="36"/>
  <c r="AX35" i="36"/>
  <c r="AW35" i="36"/>
  <c r="AV35" i="36"/>
  <c r="AU35" i="36"/>
  <c r="AT35" i="36"/>
  <c r="AS35" i="36"/>
  <c r="AR35" i="36"/>
  <c r="AQ35" i="36"/>
  <c r="AP35" i="36"/>
  <c r="AO35" i="36"/>
  <c r="AN35" i="36"/>
  <c r="AM35" i="36"/>
  <c r="AL35" i="36"/>
  <c r="AK35" i="36"/>
  <c r="AJ35" i="36"/>
  <c r="AI35" i="36"/>
  <c r="AH35" i="36"/>
  <c r="AG35" i="36"/>
  <c r="AF35" i="36"/>
  <c r="AE35" i="36"/>
  <c r="AD35" i="36"/>
  <c r="AC35" i="36"/>
  <c r="AB35" i="36"/>
  <c r="AA35" i="36"/>
  <c r="Z35" i="36"/>
  <c r="Y35" i="36"/>
  <c r="X35" i="36"/>
  <c r="W35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D36" i="36" s="1"/>
  <c r="G13" i="36" l="1"/>
  <c r="G11" i="36"/>
  <c r="H12" i="36"/>
  <c r="G12" i="36"/>
  <c r="C42" i="36"/>
  <c r="D52" i="36" s="1"/>
  <c r="D30" i="36"/>
  <c r="D37" i="36"/>
  <c r="E36" i="36"/>
  <c r="E37" i="36" s="1"/>
  <c r="B8" i="36"/>
  <c r="E41" i="36" l="1"/>
  <c r="D41" i="36"/>
  <c r="D43" i="36"/>
  <c r="D44" i="36" s="1"/>
  <c r="D31" i="36"/>
  <c r="D32" i="36" s="1"/>
  <c r="E30" i="36" s="1"/>
  <c r="E31" i="36" s="1"/>
  <c r="F36" i="36"/>
  <c r="E38" i="36"/>
  <c r="D38" i="36"/>
  <c r="E32" i="36" l="1"/>
  <c r="F30" i="36" s="1"/>
  <c r="F31" i="36" s="1"/>
  <c r="D45" i="36"/>
  <c r="E43" i="36"/>
  <c r="F37" i="36"/>
  <c r="G36" i="36"/>
  <c r="D54" i="36" l="1"/>
  <c r="D55" i="36" s="1"/>
  <c r="F41" i="36"/>
  <c r="F32" i="36"/>
  <c r="G30" i="36" s="1"/>
  <c r="G31" i="36" s="1"/>
  <c r="F38" i="36"/>
  <c r="G37" i="36"/>
  <c r="H36" i="36"/>
  <c r="D42" i="36"/>
  <c r="D47" i="36"/>
  <c r="E51" i="36" l="1"/>
  <c r="E52" i="36" s="1"/>
  <c r="D48" i="36"/>
  <c r="G41" i="36"/>
  <c r="G32" i="36"/>
  <c r="H30" i="36" s="1"/>
  <c r="H31" i="36" s="1"/>
  <c r="F43" i="36"/>
  <c r="H37" i="36"/>
  <c r="I36" i="36"/>
  <c r="E44" i="36"/>
  <c r="G38" i="36"/>
  <c r="H41" i="36" l="1"/>
  <c r="H32" i="36"/>
  <c r="I30" i="36" s="1"/>
  <c r="I31" i="36" s="1"/>
  <c r="H38" i="36"/>
  <c r="I37" i="36"/>
  <c r="J36" i="36"/>
  <c r="E45" i="36"/>
  <c r="E47" i="36" s="1"/>
  <c r="E54" i="36" l="1"/>
  <c r="E55" i="36" s="1"/>
  <c r="E48" i="36"/>
  <c r="I41" i="36"/>
  <c r="I32" i="36"/>
  <c r="J30" i="36" s="1"/>
  <c r="J31" i="36" s="1"/>
  <c r="I38" i="36"/>
  <c r="J37" i="36"/>
  <c r="K36" i="36"/>
  <c r="E42" i="36"/>
  <c r="F51" i="36" l="1"/>
  <c r="F52" i="36" s="1"/>
  <c r="J41" i="36"/>
  <c r="J32" i="36"/>
  <c r="K30" i="36" s="1"/>
  <c r="K31" i="36" s="1"/>
  <c r="K37" i="36"/>
  <c r="L36" i="36"/>
  <c r="J38" i="36"/>
  <c r="G43" i="36"/>
  <c r="F44" i="36"/>
  <c r="K41" i="36" l="1"/>
  <c r="K32" i="36"/>
  <c r="L30" i="36" s="1"/>
  <c r="L31" i="36" s="1"/>
  <c r="K38" i="36"/>
  <c r="F45" i="36"/>
  <c r="F47" i="36" s="1"/>
  <c r="L37" i="36"/>
  <c r="M36" i="36"/>
  <c r="F54" i="36" l="1"/>
  <c r="F55" i="36" s="1"/>
  <c r="F48" i="36"/>
  <c r="L41" i="36"/>
  <c r="L32" i="36"/>
  <c r="M30" i="36" s="1"/>
  <c r="M31" i="36" s="1"/>
  <c r="M37" i="36"/>
  <c r="N36" i="36"/>
  <c r="F42" i="36"/>
  <c r="L38" i="36"/>
  <c r="G51" i="36" l="1"/>
  <c r="G52" i="36" s="1"/>
  <c r="M41" i="36"/>
  <c r="M32" i="36"/>
  <c r="N30" i="36" s="1"/>
  <c r="N31" i="36" s="1"/>
  <c r="N37" i="36"/>
  <c r="O36" i="36"/>
  <c r="H43" i="36"/>
  <c r="G44" i="36"/>
  <c r="M38" i="36"/>
  <c r="G45" i="36" l="1"/>
  <c r="G47" i="36" s="1"/>
  <c r="N41" i="36"/>
  <c r="N32" i="36"/>
  <c r="O30" i="36" s="1"/>
  <c r="O31" i="36" s="1"/>
  <c r="O37" i="36"/>
  <c r="P36" i="36"/>
  <c r="N38" i="36"/>
  <c r="G54" i="36" l="1"/>
  <c r="G55" i="36" s="1"/>
  <c r="G48" i="36"/>
  <c r="G42" i="36"/>
  <c r="H51" i="36" s="1"/>
  <c r="O41" i="36"/>
  <c r="O32" i="36"/>
  <c r="P30" i="36" s="1"/>
  <c r="P31" i="36" s="1"/>
  <c r="O38" i="36"/>
  <c r="P37" i="36"/>
  <c r="Q36" i="36"/>
  <c r="I43" i="36" l="1"/>
  <c r="H52" i="36"/>
  <c r="H44" i="36"/>
  <c r="P41" i="36"/>
  <c r="P32" i="36"/>
  <c r="Q30" i="36" s="1"/>
  <c r="Q31" i="36" s="1"/>
  <c r="P38" i="36"/>
  <c r="Q37" i="36"/>
  <c r="R36" i="36"/>
  <c r="H45" i="36" l="1"/>
  <c r="H47" i="36" s="1"/>
  <c r="Q41" i="36"/>
  <c r="Q32" i="36"/>
  <c r="R30" i="36" s="1"/>
  <c r="R31" i="36" s="1"/>
  <c r="Q38" i="36"/>
  <c r="R37" i="36"/>
  <c r="S36" i="36"/>
  <c r="H54" i="36" l="1"/>
  <c r="H55" i="36" s="1"/>
  <c r="H42" i="36"/>
  <c r="H48" i="36"/>
  <c r="R41" i="36"/>
  <c r="R32" i="36"/>
  <c r="S30" i="36" s="1"/>
  <c r="S31" i="36" s="1"/>
  <c r="S37" i="36"/>
  <c r="T36" i="36"/>
  <c r="R38" i="36"/>
  <c r="I51" i="36" l="1"/>
  <c r="I52" i="36" s="1"/>
  <c r="I44" i="36"/>
  <c r="J43" i="36"/>
  <c r="S41" i="36"/>
  <c r="S32" i="36"/>
  <c r="T30" i="36" s="1"/>
  <c r="T31" i="36" s="1"/>
  <c r="T37" i="36"/>
  <c r="U36" i="36"/>
  <c r="S38" i="36"/>
  <c r="I45" i="36" l="1"/>
  <c r="I47" i="36" s="1"/>
  <c r="I48" i="36" s="1"/>
  <c r="T41" i="36"/>
  <c r="T32" i="36"/>
  <c r="U30" i="36" s="1"/>
  <c r="U31" i="36" s="1"/>
  <c r="U37" i="36"/>
  <c r="V36" i="36"/>
  <c r="T38" i="36"/>
  <c r="I42" i="36" l="1"/>
  <c r="J51" i="36" s="1"/>
  <c r="J52" i="36" s="1"/>
  <c r="I54" i="36"/>
  <c r="I55" i="36" s="1"/>
  <c r="U41" i="36"/>
  <c r="U32" i="36"/>
  <c r="V30" i="36" s="1"/>
  <c r="V31" i="36" s="1"/>
  <c r="U38" i="36"/>
  <c r="V37" i="36"/>
  <c r="W36" i="36"/>
  <c r="K43" i="36" l="1"/>
  <c r="J44" i="36"/>
  <c r="J45" i="36" s="1"/>
  <c r="J47" i="36" s="1"/>
  <c r="V41" i="36"/>
  <c r="V32" i="36"/>
  <c r="W30" i="36" s="1"/>
  <c r="W31" i="36" s="1"/>
  <c r="W37" i="36"/>
  <c r="X36" i="36"/>
  <c r="V38" i="36"/>
  <c r="J54" i="36" l="1"/>
  <c r="J55" i="36" s="1"/>
  <c r="J48" i="36"/>
  <c r="J42" i="36"/>
  <c r="W41" i="36"/>
  <c r="W32" i="36"/>
  <c r="X30" i="36" s="1"/>
  <c r="X31" i="36" s="1"/>
  <c r="X37" i="36"/>
  <c r="Y36" i="36"/>
  <c r="W38" i="36"/>
  <c r="L43" i="36" l="1"/>
  <c r="K51" i="36"/>
  <c r="K52" i="36" s="1"/>
  <c r="K44" i="36"/>
  <c r="X41" i="36"/>
  <c r="X32" i="36"/>
  <c r="Y30" i="36" s="1"/>
  <c r="Y31" i="36" s="1"/>
  <c r="Y37" i="36"/>
  <c r="Z36" i="36"/>
  <c r="X38" i="36"/>
  <c r="K45" i="36" l="1"/>
  <c r="K54" i="36" s="1"/>
  <c r="K55" i="36" s="1"/>
  <c r="Y41" i="36"/>
  <c r="Y32" i="36"/>
  <c r="Z30" i="36" s="1"/>
  <c r="Z31" i="36" s="1"/>
  <c r="Z37" i="36"/>
  <c r="AA36" i="36"/>
  <c r="Y38" i="36"/>
  <c r="K47" i="36" l="1"/>
  <c r="K48" i="36" s="1"/>
  <c r="K42" i="36"/>
  <c r="L51" i="36" s="1"/>
  <c r="L52" i="36" s="1"/>
  <c r="Z41" i="36"/>
  <c r="Z32" i="36"/>
  <c r="AA30" i="36" s="1"/>
  <c r="AA31" i="36" s="1"/>
  <c r="Z38" i="36"/>
  <c r="AA37" i="36"/>
  <c r="AB36" i="36"/>
  <c r="M43" i="36" l="1"/>
  <c r="L44" i="36"/>
  <c r="L45" i="36" s="1"/>
  <c r="L47" i="36" s="1"/>
  <c r="L48" i="36" s="1"/>
  <c r="AA41" i="36"/>
  <c r="AA32" i="36"/>
  <c r="AB30" i="36" s="1"/>
  <c r="AB31" i="36" s="1"/>
  <c r="AB37" i="36"/>
  <c r="AC36" i="36"/>
  <c r="AA38" i="36"/>
  <c r="L54" i="36" l="1"/>
  <c r="L55" i="36" s="1"/>
  <c r="L42" i="36"/>
  <c r="N43" i="36" s="1"/>
  <c r="AB41" i="36"/>
  <c r="AB32" i="36"/>
  <c r="AC30" i="36" s="1"/>
  <c r="AC31" i="36" s="1"/>
  <c r="AB38" i="36"/>
  <c r="AC37" i="36"/>
  <c r="AD36" i="36"/>
  <c r="M51" i="36" l="1"/>
  <c r="M52" i="36" s="1"/>
  <c r="M44" i="36"/>
  <c r="M45" i="36" s="1"/>
  <c r="AC41" i="36"/>
  <c r="AC32" i="36"/>
  <c r="AD30" i="36" s="1"/>
  <c r="AD31" i="36" s="1"/>
  <c r="AD37" i="36"/>
  <c r="AE36" i="36"/>
  <c r="AC38" i="36"/>
  <c r="M42" i="36" l="1"/>
  <c r="M54" i="36"/>
  <c r="M55" i="36" s="1"/>
  <c r="M47" i="36"/>
  <c r="M48" i="36" s="1"/>
  <c r="AD41" i="36"/>
  <c r="AD32" i="36"/>
  <c r="AE30" i="36" s="1"/>
  <c r="AE31" i="36" s="1"/>
  <c r="AD38" i="36"/>
  <c r="AE37" i="36"/>
  <c r="AF36" i="36"/>
  <c r="N51" i="36" l="1"/>
  <c r="N52" i="36" s="1"/>
  <c r="O43" i="36"/>
  <c r="N44" i="36"/>
  <c r="N45" i="36" s="1"/>
  <c r="AE41" i="36"/>
  <c r="AE32" i="36"/>
  <c r="AF30" i="36" s="1"/>
  <c r="AF31" i="36" s="1"/>
  <c r="AF37" i="36"/>
  <c r="AG36" i="36"/>
  <c r="AE38" i="36"/>
  <c r="N47" i="36" l="1"/>
  <c r="N48" i="36" s="1"/>
  <c r="N54" i="36"/>
  <c r="N55" i="36" s="1"/>
  <c r="N42" i="36"/>
  <c r="O51" i="36" s="1"/>
  <c r="O52" i="36" s="1"/>
  <c r="AF41" i="36"/>
  <c r="AF32" i="36"/>
  <c r="AG30" i="36" s="1"/>
  <c r="AG31" i="36" s="1"/>
  <c r="AG37" i="36"/>
  <c r="AH36" i="36"/>
  <c r="AF38" i="36"/>
  <c r="O44" i="36" l="1"/>
  <c r="O45" i="36" s="1"/>
  <c r="O54" i="36" s="1"/>
  <c r="P43" i="36"/>
  <c r="AG41" i="36"/>
  <c r="AG32" i="36"/>
  <c r="AH30" i="36" s="1"/>
  <c r="AH31" i="36" s="1"/>
  <c r="AH37" i="36"/>
  <c r="AI36" i="36"/>
  <c r="AG38" i="36"/>
  <c r="O47" i="36" l="1"/>
  <c r="O42" i="36"/>
  <c r="P51" i="36" s="1"/>
  <c r="O55" i="36"/>
  <c r="AH41" i="36"/>
  <c r="AH32" i="36"/>
  <c r="AI30" i="36" s="1"/>
  <c r="AI31" i="36" s="1"/>
  <c r="AI37" i="36"/>
  <c r="AJ36" i="36"/>
  <c r="AH38" i="36"/>
  <c r="O48" i="36" l="1"/>
  <c r="P52" i="36"/>
  <c r="P44" i="36"/>
  <c r="Q43" i="36"/>
  <c r="AI41" i="36"/>
  <c r="AI32" i="36"/>
  <c r="AJ30" i="36" s="1"/>
  <c r="AJ31" i="36" s="1"/>
  <c r="AJ37" i="36"/>
  <c r="AK36" i="36"/>
  <c r="AI38" i="36"/>
  <c r="P45" i="36" l="1"/>
  <c r="P47" i="36" s="1"/>
  <c r="AJ41" i="36"/>
  <c r="AJ32" i="36"/>
  <c r="AK30" i="36" s="1"/>
  <c r="AK31" i="36" s="1"/>
  <c r="AJ38" i="36"/>
  <c r="AK37" i="36"/>
  <c r="AL36" i="36"/>
  <c r="P54" i="36" l="1"/>
  <c r="P55" i="36" s="1"/>
  <c r="P42" i="36"/>
  <c r="P48" i="36"/>
  <c r="AK41" i="36"/>
  <c r="AK32" i="36"/>
  <c r="AL30" i="36" s="1"/>
  <c r="AL31" i="36" s="1"/>
  <c r="AL37" i="36"/>
  <c r="AM36" i="36"/>
  <c r="AK38" i="36"/>
  <c r="R43" i="36" l="1"/>
  <c r="Q51" i="36"/>
  <c r="Q52" i="36" s="1"/>
  <c r="Q44" i="36"/>
  <c r="AL41" i="36"/>
  <c r="AL32" i="36"/>
  <c r="AM30" i="36" s="1"/>
  <c r="AM31" i="36" s="1"/>
  <c r="AM37" i="36"/>
  <c r="AN36" i="36"/>
  <c r="AL38" i="36"/>
  <c r="Q45" i="36" l="1"/>
  <c r="Q47" i="36" s="1"/>
  <c r="Q48" i="36" s="1"/>
  <c r="AM41" i="36"/>
  <c r="AM32" i="36"/>
  <c r="AN30" i="36" s="1"/>
  <c r="AN31" i="36" s="1"/>
  <c r="AN37" i="36"/>
  <c r="AO36" i="36"/>
  <c r="AM38" i="36"/>
  <c r="Q42" i="36" l="1"/>
  <c r="R51" i="36" s="1"/>
  <c r="R52" i="36" s="1"/>
  <c r="Q54" i="36"/>
  <c r="Q55" i="36" s="1"/>
  <c r="AN41" i="36"/>
  <c r="AN32" i="36"/>
  <c r="AO30" i="36" s="1"/>
  <c r="AO31" i="36" s="1"/>
  <c r="AN38" i="36"/>
  <c r="AO37" i="36"/>
  <c r="AP36" i="36"/>
  <c r="R44" i="36" l="1"/>
  <c r="R45" i="36" s="1"/>
  <c r="R47" i="36" s="1"/>
  <c r="R48" i="36" s="1"/>
  <c r="S43" i="36"/>
  <c r="AO41" i="36"/>
  <c r="AO32" i="36"/>
  <c r="AP30" i="36" s="1"/>
  <c r="AP31" i="36" s="1"/>
  <c r="AO38" i="36"/>
  <c r="AP37" i="36"/>
  <c r="AQ36" i="36"/>
  <c r="R42" i="36" l="1"/>
  <c r="S51" i="36" s="1"/>
  <c r="S52" i="36" s="1"/>
  <c r="R54" i="36"/>
  <c r="R55" i="36" s="1"/>
  <c r="AP41" i="36"/>
  <c r="AP32" i="36"/>
  <c r="AQ30" i="36" s="1"/>
  <c r="AQ31" i="36" s="1"/>
  <c r="AP38" i="36"/>
  <c r="AQ37" i="36"/>
  <c r="AR36" i="36"/>
  <c r="S44" i="36" l="1"/>
  <c r="S45" i="36" s="1"/>
  <c r="S42" i="36" s="1"/>
  <c r="T43" i="36"/>
  <c r="AQ41" i="36"/>
  <c r="AQ32" i="36"/>
  <c r="AR30" i="36" s="1"/>
  <c r="AR31" i="36" s="1"/>
  <c r="AQ38" i="36"/>
  <c r="AR37" i="36"/>
  <c r="AS36" i="36"/>
  <c r="S47" i="36" l="1"/>
  <c r="S48" i="36" s="1"/>
  <c r="U43" i="36"/>
  <c r="T44" i="36"/>
  <c r="T45" i="36" s="1"/>
  <c r="T42" i="36" s="1"/>
  <c r="U51" i="36" s="1"/>
  <c r="U52" i="36" s="1"/>
  <c r="T51" i="36"/>
  <c r="T52" i="36" s="1"/>
  <c r="S54" i="36"/>
  <c r="S55" i="36" s="1"/>
  <c r="AR41" i="36"/>
  <c r="AR32" i="36"/>
  <c r="AS30" i="36" s="1"/>
  <c r="AS31" i="36" s="1"/>
  <c r="AS37" i="36"/>
  <c r="AT36" i="36"/>
  <c r="AR38" i="36"/>
  <c r="U44" i="36" l="1"/>
  <c r="U45" i="36" s="1"/>
  <c r="U47" i="36" s="1"/>
  <c r="U48" i="36" s="1"/>
  <c r="T47" i="36"/>
  <c r="T48" i="36" s="1"/>
  <c r="V43" i="36"/>
  <c r="T54" i="36"/>
  <c r="T55" i="36" s="1"/>
  <c r="AS41" i="36"/>
  <c r="AS32" i="36"/>
  <c r="AT30" i="36" s="1"/>
  <c r="AT31" i="36" s="1"/>
  <c r="AT37" i="36"/>
  <c r="AU36" i="36"/>
  <c r="AS38" i="36"/>
  <c r="U42" i="36" l="1"/>
  <c r="V51" i="36" s="1"/>
  <c r="V52" i="36" s="1"/>
  <c r="U54" i="36"/>
  <c r="U55" i="36" s="1"/>
  <c r="AT41" i="36"/>
  <c r="AT32" i="36"/>
  <c r="AU30" i="36" s="1"/>
  <c r="AU31" i="36" s="1"/>
  <c r="AT38" i="36"/>
  <c r="AU37" i="36"/>
  <c r="AV36" i="36"/>
  <c r="V44" i="36" l="1"/>
  <c r="V45" i="36" s="1"/>
  <c r="V42" i="36" s="1"/>
  <c r="W51" i="36" s="1"/>
  <c r="W43" i="36"/>
  <c r="AU41" i="36"/>
  <c r="AU32" i="36"/>
  <c r="AV30" i="36" s="1"/>
  <c r="AV31" i="36" s="1"/>
  <c r="AV37" i="36"/>
  <c r="AW36" i="36"/>
  <c r="AU38" i="36"/>
  <c r="V54" i="36" l="1"/>
  <c r="V55" i="36" s="1"/>
  <c r="W52" i="36"/>
  <c r="X43" i="36"/>
  <c r="V47" i="36"/>
  <c r="W44" i="36"/>
  <c r="AV41" i="36"/>
  <c r="AV32" i="36"/>
  <c r="AW30" i="36" s="1"/>
  <c r="AW31" i="36" s="1"/>
  <c r="AW37" i="36"/>
  <c r="AX36" i="36"/>
  <c r="AV38" i="36"/>
  <c r="V48" i="36" l="1"/>
  <c r="W45" i="36"/>
  <c r="W47" i="36" s="1"/>
  <c r="AW41" i="36"/>
  <c r="AW32" i="36"/>
  <c r="AX30" i="36" s="1"/>
  <c r="AX31" i="36" s="1"/>
  <c r="AW38" i="36"/>
  <c r="AX37" i="36"/>
  <c r="AY36" i="36"/>
  <c r="W54" i="36" l="1"/>
  <c r="W55" i="36" s="1"/>
  <c r="W42" i="36"/>
  <c r="W48" i="36"/>
  <c r="AX41" i="36"/>
  <c r="AX32" i="36"/>
  <c r="AY30" i="36" s="1"/>
  <c r="AY31" i="36" s="1"/>
  <c r="AY37" i="36"/>
  <c r="AZ36" i="36"/>
  <c r="AX38" i="36"/>
  <c r="X44" i="36" l="1"/>
  <c r="X45" i="36" s="1"/>
  <c r="X47" i="36" s="1"/>
  <c r="X48" i="36" s="1"/>
  <c r="X51" i="36"/>
  <c r="X52" i="36" s="1"/>
  <c r="Y43" i="36"/>
  <c r="AY41" i="36"/>
  <c r="AY32" i="36"/>
  <c r="AZ30" i="36" s="1"/>
  <c r="AZ31" i="36" s="1"/>
  <c r="AZ37" i="36"/>
  <c r="BA36" i="36"/>
  <c r="AY38" i="36"/>
  <c r="X54" i="36" l="1"/>
  <c r="X55" i="36" s="1"/>
  <c r="X42" i="36"/>
  <c r="AZ41" i="36"/>
  <c r="AZ32" i="36"/>
  <c r="BA30" i="36" s="1"/>
  <c r="BA31" i="36" s="1"/>
  <c r="BA37" i="36"/>
  <c r="BB36" i="36"/>
  <c r="AZ38" i="36"/>
  <c r="Y51" i="36" l="1"/>
  <c r="Y52" i="36" s="1"/>
  <c r="Z43" i="36"/>
  <c r="Y44" i="36"/>
  <c r="BA41" i="36"/>
  <c r="BA32" i="36"/>
  <c r="BB30" i="36" s="1"/>
  <c r="BB31" i="36" s="1"/>
  <c r="BA38" i="36"/>
  <c r="BB37" i="36"/>
  <c r="BC36" i="36"/>
  <c r="Y45" i="36" l="1"/>
  <c r="BB41" i="36"/>
  <c r="BB32" i="36"/>
  <c r="BC30" i="36" s="1"/>
  <c r="BC31" i="36" s="1"/>
  <c r="BC37" i="36"/>
  <c r="BD36" i="36"/>
  <c r="BB38" i="36"/>
  <c r="Y54" i="36" l="1"/>
  <c r="Y55" i="36" s="1"/>
  <c r="Y47" i="36"/>
  <c r="Y48" i="36" s="1"/>
  <c r="Y42" i="36"/>
  <c r="Z51" i="36" s="1"/>
  <c r="BC41" i="36"/>
  <c r="BC32" i="36"/>
  <c r="BD30" i="36" s="1"/>
  <c r="BD31" i="36" s="1"/>
  <c r="BD37" i="36"/>
  <c r="BE36" i="36"/>
  <c r="BC38" i="36"/>
  <c r="Z52" i="36" l="1"/>
  <c r="Z44" i="36"/>
  <c r="AA43" i="36"/>
  <c r="BD41" i="36"/>
  <c r="BD32" i="36"/>
  <c r="BE30" i="36" s="1"/>
  <c r="BE31" i="36" s="1"/>
  <c r="BE37" i="36"/>
  <c r="BF36" i="36"/>
  <c r="BD38" i="36"/>
  <c r="Z45" i="36" l="1"/>
  <c r="Z47" i="36" s="1"/>
  <c r="Z48" i="36" s="1"/>
  <c r="BE41" i="36"/>
  <c r="BE32" i="36"/>
  <c r="BF30" i="36" s="1"/>
  <c r="BF31" i="36" s="1"/>
  <c r="BE38" i="36"/>
  <c r="BF37" i="36"/>
  <c r="BG36" i="36"/>
  <c r="Z42" i="36" l="1"/>
  <c r="AB43" i="36" s="1"/>
  <c r="Z54" i="36"/>
  <c r="Z55" i="36" s="1"/>
  <c r="BF41" i="36"/>
  <c r="BF32" i="36"/>
  <c r="BG30" i="36" s="1"/>
  <c r="BG31" i="36" s="1"/>
  <c r="BG37" i="36"/>
  <c r="BH36" i="36"/>
  <c r="BF38" i="36"/>
  <c r="AA44" i="36" l="1"/>
  <c r="AA45" i="36" s="1"/>
  <c r="AA42" i="36" s="1"/>
  <c r="AC43" i="36" s="1"/>
  <c r="AA51" i="36"/>
  <c r="AA52" i="36" s="1"/>
  <c r="BG41" i="36"/>
  <c r="BG32" i="36"/>
  <c r="BH30" i="36" s="1"/>
  <c r="BH31" i="36" s="1"/>
  <c r="BH37" i="36"/>
  <c r="BI36" i="36"/>
  <c r="BG38" i="36"/>
  <c r="AB44" i="36" l="1"/>
  <c r="AB45" i="36" s="1"/>
  <c r="AB47" i="36" s="1"/>
  <c r="AB48" i="36" s="1"/>
  <c r="AA47" i="36"/>
  <c r="AA48" i="36" s="1"/>
  <c r="AB51" i="36"/>
  <c r="AB52" i="36" s="1"/>
  <c r="AA54" i="36"/>
  <c r="AA55" i="36" s="1"/>
  <c r="BH41" i="36"/>
  <c r="BH32" i="36"/>
  <c r="BI30" i="36" s="1"/>
  <c r="BI31" i="36" s="1"/>
  <c r="BH38" i="36"/>
  <c r="BI37" i="36"/>
  <c r="BJ36" i="36"/>
  <c r="AB42" i="36" l="1"/>
  <c r="AC51" i="36" s="1"/>
  <c r="AC52" i="36" s="1"/>
  <c r="AB54" i="36"/>
  <c r="AB55" i="36" s="1"/>
  <c r="BI41" i="36"/>
  <c r="BI32" i="36"/>
  <c r="BJ30" i="36" s="1"/>
  <c r="BJ31" i="36" s="1"/>
  <c r="BJ37" i="36"/>
  <c r="BK36" i="36"/>
  <c r="BI38" i="36"/>
  <c r="AC44" i="36" l="1"/>
  <c r="AC45" i="36" s="1"/>
  <c r="AC47" i="36" s="1"/>
  <c r="AD43" i="36"/>
  <c r="BJ41" i="36"/>
  <c r="BJ32" i="36"/>
  <c r="BK30" i="36" s="1"/>
  <c r="BK31" i="36" s="1"/>
  <c r="BK37" i="36"/>
  <c r="BL36" i="36"/>
  <c r="BJ38" i="36"/>
  <c r="AC54" i="36" l="1"/>
  <c r="AC55" i="36" s="1"/>
  <c r="AC48" i="36"/>
  <c r="AC42" i="36"/>
  <c r="AD51" i="36" s="1"/>
  <c r="BK41" i="36"/>
  <c r="BK32" i="36"/>
  <c r="BL30" i="36" s="1"/>
  <c r="BL31" i="36" s="1"/>
  <c r="BK38" i="36"/>
  <c r="BL37" i="36"/>
  <c r="BM36" i="36"/>
  <c r="AD52" i="36" l="1"/>
  <c r="AE43" i="36"/>
  <c r="AD44" i="36"/>
  <c r="BL41" i="36"/>
  <c r="BL32" i="36"/>
  <c r="BM30" i="36" s="1"/>
  <c r="BM31" i="36" s="1"/>
  <c r="BL38" i="36"/>
  <c r="BM37" i="36"/>
  <c r="BN36" i="36"/>
  <c r="AD45" i="36" l="1"/>
  <c r="AD42" i="36" s="1"/>
  <c r="BM41" i="36"/>
  <c r="BM32" i="36"/>
  <c r="BN30" i="36" s="1"/>
  <c r="BN31" i="36" s="1"/>
  <c r="BN37" i="36"/>
  <c r="BO36" i="36"/>
  <c r="BM38" i="36"/>
  <c r="AD54" i="36" l="1"/>
  <c r="AD55" i="36" s="1"/>
  <c r="AE44" i="36"/>
  <c r="AE45" i="36" s="1"/>
  <c r="AE42" i="36" s="1"/>
  <c r="AF51" i="36" s="1"/>
  <c r="AE51" i="36"/>
  <c r="AE52" i="36" s="1"/>
  <c r="AD47" i="36"/>
  <c r="AD48" i="36" s="1"/>
  <c r="AF43" i="36"/>
  <c r="BN41" i="36"/>
  <c r="BN32" i="36"/>
  <c r="BO30" i="36" s="1"/>
  <c r="BO31" i="36" s="1"/>
  <c r="BO37" i="36"/>
  <c r="BP36" i="36"/>
  <c r="BN38" i="36"/>
  <c r="AE54" i="36" l="1"/>
  <c r="AE55" i="36" s="1"/>
  <c r="AE47" i="36"/>
  <c r="AE48" i="36" s="1"/>
  <c r="AF52" i="36"/>
  <c r="AG43" i="36"/>
  <c r="AF44" i="36"/>
  <c r="BO41" i="36"/>
  <c r="BO32" i="36"/>
  <c r="BP30" i="36" s="1"/>
  <c r="BP31" i="36" s="1"/>
  <c r="BO38" i="36"/>
  <c r="BP37" i="36"/>
  <c r="BQ36" i="36"/>
  <c r="AF45" i="36" l="1"/>
  <c r="AF47" i="36" s="1"/>
  <c r="AF48" i="36" s="1"/>
  <c r="BP41" i="36"/>
  <c r="BP32" i="36"/>
  <c r="BQ30" i="36" s="1"/>
  <c r="BQ31" i="36" s="1"/>
  <c r="BQ37" i="36"/>
  <c r="BR36" i="36"/>
  <c r="BP38" i="36"/>
  <c r="AF42" i="36" l="1"/>
  <c r="AG51" i="36" s="1"/>
  <c r="AG52" i="36" s="1"/>
  <c r="AF54" i="36"/>
  <c r="AF55" i="36" s="1"/>
  <c r="BQ41" i="36"/>
  <c r="BQ32" i="36"/>
  <c r="BR30" i="36" s="1"/>
  <c r="BR31" i="36" s="1"/>
  <c r="BQ38" i="36"/>
  <c r="BR37" i="36"/>
  <c r="BS36" i="36"/>
  <c r="AG44" i="36" l="1"/>
  <c r="AG45" i="36" s="1"/>
  <c r="AG42" i="36" s="1"/>
  <c r="AH51" i="36" s="1"/>
  <c r="AH52" i="36" s="1"/>
  <c r="AH43" i="36"/>
  <c r="BR41" i="36"/>
  <c r="BR32" i="36"/>
  <c r="BS30" i="36" s="1"/>
  <c r="BS31" i="36" s="1"/>
  <c r="BS37" i="36"/>
  <c r="BT36" i="36"/>
  <c r="BR38" i="36"/>
  <c r="AH44" i="36" l="1"/>
  <c r="AH45" i="36" s="1"/>
  <c r="AI43" i="36"/>
  <c r="AG47" i="36"/>
  <c r="AG48" i="36" s="1"/>
  <c r="AG54" i="36"/>
  <c r="AG55" i="36" s="1"/>
  <c r="BS41" i="36"/>
  <c r="BS32" i="36"/>
  <c r="BT30" i="36" s="1"/>
  <c r="BT31" i="36" s="1"/>
  <c r="BT37" i="36"/>
  <c r="BU36" i="36"/>
  <c r="BS38" i="36"/>
  <c r="AH54" i="36" l="1"/>
  <c r="AH55" i="36" s="1"/>
  <c r="AH47" i="36"/>
  <c r="AH42" i="36"/>
  <c r="AI51" i="36" s="1"/>
  <c r="BT41" i="36"/>
  <c r="BT32" i="36"/>
  <c r="BU30" i="36" s="1"/>
  <c r="BU31" i="36" s="1"/>
  <c r="BT38" i="36"/>
  <c r="BU37" i="36"/>
  <c r="BV36" i="36"/>
  <c r="AH48" i="36" l="1"/>
  <c r="AI52" i="36"/>
  <c r="AJ43" i="36"/>
  <c r="AI44" i="36"/>
  <c r="BU41" i="36"/>
  <c r="BU32" i="36"/>
  <c r="BV30" i="36" s="1"/>
  <c r="BV31" i="36" s="1"/>
  <c r="BU38" i="36"/>
  <c r="BV37" i="36"/>
  <c r="BW36" i="36"/>
  <c r="AI45" i="36" l="1"/>
  <c r="AI47" i="36" s="1"/>
  <c r="AI48" i="36" s="1"/>
  <c r="BV41" i="36"/>
  <c r="BV32" i="36"/>
  <c r="BW30" i="36" s="1"/>
  <c r="BW31" i="36" s="1"/>
  <c r="BV38" i="36"/>
  <c r="BW37" i="36"/>
  <c r="BX36" i="36"/>
  <c r="AI42" i="36" l="1"/>
  <c r="AJ51" i="36" s="1"/>
  <c r="AJ52" i="36" s="1"/>
  <c r="AI54" i="36"/>
  <c r="AI55" i="36" s="1"/>
  <c r="BW41" i="36"/>
  <c r="BW32" i="36"/>
  <c r="BX30" i="36" s="1"/>
  <c r="BX31" i="36" s="1"/>
  <c r="BW38" i="36"/>
  <c r="BX37" i="36"/>
  <c r="BY36" i="36"/>
  <c r="AJ44" i="36" l="1"/>
  <c r="AJ45" i="36" s="1"/>
  <c r="AJ42" i="36" s="1"/>
  <c r="AK51" i="36" s="1"/>
  <c r="AK52" i="36" s="1"/>
  <c r="AK43" i="36"/>
  <c r="BX41" i="36"/>
  <c r="BX32" i="36"/>
  <c r="BY30" i="36" s="1"/>
  <c r="BY31" i="36" s="1"/>
  <c r="BX38" i="36"/>
  <c r="BY37" i="36"/>
  <c r="BZ36" i="36"/>
  <c r="AJ47" i="36" l="1"/>
  <c r="AJ48" i="36" s="1"/>
  <c r="AL43" i="36"/>
  <c r="AK44" i="36"/>
  <c r="AK45" i="36" s="1"/>
  <c r="AJ54" i="36"/>
  <c r="AJ55" i="36" s="1"/>
  <c r="BY41" i="36"/>
  <c r="BY32" i="36"/>
  <c r="BZ30" i="36" s="1"/>
  <c r="BZ31" i="36" s="1"/>
  <c r="BY38" i="36"/>
  <c r="BZ37" i="36"/>
  <c r="CA36" i="36"/>
  <c r="AK47" i="36" l="1"/>
  <c r="AK48" i="36" s="1"/>
  <c r="AK54" i="36"/>
  <c r="AK55" i="36" s="1"/>
  <c r="AK42" i="36"/>
  <c r="AM43" i="36" s="1"/>
  <c r="BZ41" i="36"/>
  <c r="BZ32" i="36"/>
  <c r="CA30" i="36" s="1"/>
  <c r="CA31" i="36" s="1"/>
  <c r="CA37" i="36"/>
  <c r="CB36" i="36"/>
  <c r="BZ38" i="36"/>
  <c r="AL51" i="36" l="1"/>
  <c r="AL52" i="36" s="1"/>
  <c r="AL44" i="36"/>
  <c r="AL45" i="36" s="1"/>
  <c r="AL47" i="36" s="1"/>
  <c r="AL48" i="36" s="1"/>
  <c r="CA41" i="36"/>
  <c r="CA32" i="36"/>
  <c r="CB30" i="36" s="1"/>
  <c r="CB31" i="36" s="1"/>
  <c r="CB37" i="36"/>
  <c r="CC36" i="36"/>
  <c r="CA38" i="36"/>
  <c r="AL42" i="36" l="1"/>
  <c r="AM44" i="36" s="1"/>
  <c r="AL54" i="36"/>
  <c r="AL55" i="36" s="1"/>
  <c r="CB41" i="36"/>
  <c r="CB32" i="36"/>
  <c r="CC30" i="36" s="1"/>
  <c r="CC31" i="36" s="1"/>
  <c r="CB38" i="36"/>
  <c r="CC37" i="36"/>
  <c r="CD36" i="36"/>
  <c r="AN43" i="36" l="1"/>
  <c r="AM51" i="36"/>
  <c r="AM52" i="36" s="1"/>
  <c r="AM45" i="36"/>
  <c r="AM42" i="36" s="1"/>
  <c r="AN51" i="36" s="1"/>
  <c r="AN52" i="36" s="1"/>
  <c r="CC41" i="36"/>
  <c r="CC32" i="36"/>
  <c r="CD30" i="36" s="1"/>
  <c r="CD31" i="36" s="1"/>
  <c r="CD37" i="36"/>
  <c r="CE36" i="36"/>
  <c r="CC38" i="36"/>
  <c r="AM47" i="36" l="1"/>
  <c r="AM48" i="36" s="1"/>
  <c r="AN44" i="36"/>
  <c r="AN45" i="36" s="1"/>
  <c r="AM54" i="36"/>
  <c r="AM55" i="36" s="1"/>
  <c r="AO43" i="36"/>
  <c r="CD41" i="36"/>
  <c r="CD32" i="36"/>
  <c r="CE30" i="36" s="1"/>
  <c r="CE31" i="36" s="1"/>
  <c r="CD38" i="36"/>
  <c r="CE37" i="36"/>
  <c r="CF36" i="36"/>
  <c r="AN54" i="36" l="1"/>
  <c r="AN55" i="36" s="1"/>
  <c r="AN47" i="36"/>
  <c r="AN42" i="36"/>
  <c r="AO51" i="36" s="1"/>
  <c r="CE41" i="36"/>
  <c r="CE32" i="36"/>
  <c r="CF30" i="36" s="1"/>
  <c r="CF31" i="36" s="1"/>
  <c r="CF37" i="36"/>
  <c r="CG36" i="36"/>
  <c r="CE38" i="36"/>
  <c r="AN48" i="36" l="1"/>
  <c r="AP43" i="36"/>
  <c r="AO52" i="36"/>
  <c r="AO44" i="36"/>
  <c r="CF41" i="36"/>
  <c r="CF32" i="36"/>
  <c r="CG30" i="36" s="1"/>
  <c r="CG31" i="36" s="1"/>
  <c r="CG37" i="36"/>
  <c r="CH36" i="36"/>
  <c r="CF38" i="36"/>
  <c r="AO45" i="36" l="1"/>
  <c r="AO42" i="36" s="1"/>
  <c r="AP51" i="36" s="1"/>
  <c r="CG41" i="36"/>
  <c r="CG32" i="36"/>
  <c r="CH30" i="36" s="1"/>
  <c r="CH31" i="36" s="1"/>
  <c r="CH37" i="36"/>
  <c r="CI36" i="36"/>
  <c r="CG38" i="36"/>
  <c r="AO54" i="36" l="1"/>
  <c r="AO55" i="36" s="1"/>
  <c r="AO47" i="36"/>
  <c r="AP52" i="36"/>
  <c r="AQ43" i="36"/>
  <c r="AP44" i="36"/>
  <c r="CH41" i="36"/>
  <c r="CH32" i="36"/>
  <c r="CI30" i="36" s="1"/>
  <c r="CI31" i="36" s="1"/>
  <c r="CH38" i="36"/>
  <c r="CI37" i="36"/>
  <c r="CJ36" i="36"/>
  <c r="AO48" i="36" l="1"/>
  <c r="AP45" i="36"/>
  <c r="AP42" i="36" s="1"/>
  <c r="AQ51" i="36" s="1"/>
  <c r="CI41" i="36"/>
  <c r="CI32" i="36"/>
  <c r="CJ30" i="36" s="1"/>
  <c r="CJ31" i="36" s="1"/>
  <c r="CI38" i="36"/>
  <c r="CJ37" i="36"/>
  <c r="CK36" i="36"/>
  <c r="AP54" i="36" l="1"/>
  <c r="AP55" i="36" s="1"/>
  <c r="AP47" i="36"/>
  <c r="AQ52" i="36"/>
  <c r="AR43" i="36"/>
  <c r="AQ44" i="36"/>
  <c r="CJ41" i="36"/>
  <c r="CJ32" i="36"/>
  <c r="CK30" i="36" s="1"/>
  <c r="CK31" i="36" s="1"/>
  <c r="CK37" i="36"/>
  <c r="CL36" i="36"/>
  <c r="CJ38" i="36"/>
  <c r="AP48" i="36" l="1"/>
  <c r="AQ45" i="36"/>
  <c r="CK41" i="36"/>
  <c r="CK32" i="36"/>
  <c r="CL30" i="36" s="1"/>
  <c r="CL31" i="36" s="1"/>
  <c r="CL37" i="36"/>
  <c r="CM36" i="36"/>
  <c r="CK38" i="36"/>
  <c r="AQ54" i="36" l="1"/>
  <c r="AQ55" i="36" s="1"/>
  <c r="AQ47" i="36"/>
  <c r="AQ42" i="36"/>
  <c r="AR51" i="36" s="1"/>
  <c r="CL41" i="36"/>
  <c r="CL32" i="36"/>
  <c r="CM30" i="36" s="1"/>
  <c r="CM31" i="36" s="1"/>
  <c r="CM37" i="36"/>
  <c r="CN36" i="36"/>
  <c r="CL38" i="36"/>
  <c r="AQ48" i="36" l="1"/>
  <c r="AR52" i="36"/>
  <c r="AS43" i="36"/>
  <c r="AR44" i="36"/>
  <c r="CM41" i="36"/>
  <c r="CM32" i="36"/>
  <c r="CN30" i="36" s="1"/>
  <c r="CN31" i="36" s="1"/>
  <c r="CM38" i="36"/>
  <c r="CN37" i="36"/>
  <c r="CO36" i="36"/>
  <c r="AR45" i="36" l="1"/>
  <c r="AR47" i="36" s="1"/>
  <c r="AR48" i="36" s="1"/>
  <c r="CN41" i="36"/>
  <c r="CN32" i="36"/>
  <c r="CO30" i="36" s="1"/>
  <c r="CO31" i="36" s="1"/>
  <c r="CN38" i="36"/>
  <c r="CO37" i="36"/>
  <c r="CP36" i="36"/>
  <c r="AR42" i="36" l="1"/>
  <c r="AS51" i="36" s="1"/>
  <c r="AS52" i="36" s="1"/>
  <c r="AR54" i="36"/>
  <c r="AR55" i="36" s="1"/>
  <c r="CO41" i="36"/>
  <c r="CO32" i="36"/>
  <c r="CP30" i="36" s="1"/>
  <c r="CP31" i="36" s="1"/>
  <c r="CO38" i="36"/>
  <c r="CP37" i="36"/>
  <c r="CQ36" i="36"/>
  <c r="AS44" i="36" l="1"/>
  <c r="AS45" i="36" s="1"/>
  <c r="AS42" i="36" s="1"/>
  <c r="AT51" i="36" s="1"/>
  <c r="AT43" i="36"/>
  <c r="CP41" i="36"/>
  <c r="CP32" i="36"/>
  <c r="CQ30" i="36" s="1"/>
  <c r="CQ31" i="36" s="1"/>
  <c r="CQ37" i="36"/>
  <c r="CR36" i="36"/>
  <c r="CP38" i="36"/>
  <c r="AS54" i="36" l="1"/>
  <c r="AS55" i="36" s="1"/>
  <c r="AS47" i="36"/>
  <c r="AS48" i="36" s="1"/>
  <c r="AT52" i="36"/>
  <c r="AU43" i="36"/>
  <c r="AT44" i="36"/>
  <c r="CQ41" i="36"/>
  <c r="CQ32" i="36"/>
  <c r="CR30" i="36" s="1"/>
  <c r="CR31" i="36" s="1"/>
  <c r="CQ38" i="36"/>
  <c r="CR37" i="36"/>
  <c r="CS36" i="36"/>
  <c r="AT45" i="36" l="1"/>
  <c r="CR41" i="36"/>
  <c r="CR32" i="36"/>
  <c r="CS30" i="36" s="1"/>
  <c r="CS31" i="36" s="1"/>
  <c r="CR38" i="36"/>
  <c r="CS37" i="36"/>
  <c r="CT36" i="36"/>
  <c r="AT54" i="36" l="1"/>
  <c r="AT55" i="36" s="1"/>
  <c r="AT47" i="36"/>
  <c r="AT42" i="36"/>
  <c r="AU51" i="36" s="1"/>
  <c r="CS41" i="36"/>
  <c r="CS32" i="36"/>
  <c r="CT30" i="36" s="1"/>
  <c r="CT31" i="36" s="1"/>
  <c r="CS38" i="36"/>
  <c r="CT37" i="36"/>
  <c r="CU36" i="36"/>
  <c r="AT48" i="36" l="1"/>
  <c r="AU52" i="36"/>
  <c r="AV43" i="36"/>
  <c r="AU44" i="36"/>
  <c r="CT41" i="36"/>
  <c r="CT32" i="36"/>
  <c r="CU30" i="36" s="1"/>
  <c r="CU31" i="36" s="1"/>
  <c r="CU37" i="36"/>
  <c r="CV36" i="36"/>
  <c r="CT38" i="36"/>
  <c r="AU45" i="36" l="1"/>
  <c r="AU42" i="36" s="1"/>
  <c r="AV51" i="36" s="1"/>
  <c r="AV52" i="36" s="1"/>
  <c r="CU41" i="36"/>
  <c r="CU32" i="36"/>
  <c r="CV30" i="36" s="1"/>
  <c r="CV31" i="36" s="1"/>
  <c r="CU38" i="36"/>
  <c r="CV37" i="36"/>
  <c r="CW36" i="36"/>
  <c r="AU47" i="36" l="1"/>
  <c r="AU48" i="36" s="1"/>
  <c r="AV44" i="36"/>
  <c r="AV45" i="36" s="1"/>
  <c r="AW43" i="36"/>
  <c r="AU54" i="36"/>
  <c r="AU55" i="36" s="1"/>
  <c r="CV41" i="36"/>
  <c r="CV32" i="36"/>
  <c r="CW30" i="36" s="1"/>
  <c r="CW31" i="36" s="1"/>
  <c r="CW37" i="36"/>
  <c r="CX36" i="36"/>
  <c r="CV38" i="36"/>
  <c r="AV54" i="36" l="1"/>
  <c r="AV55" i="36" s="1"/>
  <c r="AV47" i="36"/>
  <c r="AV42" i="36"/>
  <c r="AW51" i="36" s="1"/>
  <c r="CW41" i="36"/>
  <c r="CW32" i="36"/>
  <c r="CX30" i="36" s="1"/>
  <c r="CX31" i="36" s="1"/>
  <c r="CX37" i="36"/>
  <c r="CY36" i="36"/>
  <c r="CW38" i="36"/>
  <c r="AV48" i="36" l="1"/>
  <c r="AX43" i="36"/>
  <c r="AW52" i="36"/>
  <c r="AW44" i="36"/>
  <c r="CX41" i="36"/>
  <c r="CX32" i="36"/>
  <c r="CY30" i="36" s="1"/>
  <c r="CY31" i="36" s="1"/>
  <c r="CX38" i="36"/>
  <c r="CY37" i="36"/>
  <c r="CZ36" i="36"/>
  <c r="AW45" i="36" l="1"/>
  <c r="CY41" i="36"/>
  <c r="CY32" i="36"/>
  <c r="CZ30" i="36" s="1"/>
  <c r="CZ31" i="36" s="1"/>
  <c r="CZ37" i="36"/>
  <c r="DA36" i="36"/>
  <c r="CY38" i="36"/>
  <c r="AW54" i="36" l="1"/>
  <c r="AW55" i="36" s="1"/>
  <c r="AW47" i="36"/>
  <c r="AW42" i="36"/>
  <c r="AX51" i="36" s="1"/>
  <c r="CZ41" i="36"/>
  <c r="CZ32" i="36"/>
  <c r="DA30" i="36" s="1"/>
  <c r="DA31" i="36" s="1"/>
  <c r="CZ38" i="36"/>
  <c r="DA37" i="36"/>
  <c r="DB36" i="36"/>
  <c r="AW48" i="36" l="1"/>
  <c r="AY43" i="36"/>
  <c r="AX52" i="36"/>
  <c r="AX44" i="36"/>
  <c r="DA41" i="36"/>
  <c r="DA32" i="36"/>
  <c r="DB30" i="36" s="1"/>
  <c r="DB37" i="36"/>
  <c r="DC36" i="36"/>
  <c r="DA38" i="36"/>
  <c r="AX45" i="36" l="1"/>
  <c r="AX47" i="36" s="1"/>
  <c r="DB41" i="36"/>
  <c r="DB31" i="36"/>
  <c r="DB32" i="36" s="1"/>
  <c r="DC37" i="36"/>
  <c r="DD36" i="36"/>
  <c r="DB38" i="36"/>
  <c r="AX54" i="36" l="1"/>
  <c r="AX55" i="36" s="1"/>
  <c r="AX48" i="36"/>
  <c r="AX42" i="36"/>
  <c r="AY51" i="36" s="1"/>
  <c r="DC41" i="36"/>
  <c r="DC30" i="36"/>
  <c r="DC31" i="36" s="1"/>
  <c r="DC32" i="36" s="1"/>
  <c r="DD30" i="36" s="1"/>
  <c r="DD31" i="36" s="1"/>
  <c r="DD37" i="36"/>
  <c r="DE36" i="36"/>
  <c r="DC38" i="36"/>
  <c r="AZ43" i="36" l="1"/>
  <c r="AY52" i="36"/>
  <c r="AY44" i="36"/>
  <c r="DD41" i="36"/>
  <c r="DD32" i="36"/>
  <c r="DE30" i="36" s="1"/>
  <c r="DE31" i="36" s="1"/>
  <c r="DE32" i="36" s="1"/>
  <c r="DF30" i="36" s="1"/>
  <c r="DE37" i="36"/>
  <c r="DF36" i="36"/>
  <c r="DD38" i="36"/>
  <c r="AY45" i="36" l="1"/>
  <c r="AY54" i="36" s="1"/>
  <c r="AY55" i="36" s="1"/>
  <c r="DE41" i="36"/>
  <c r="DF31" i="36"/>
  <c r="DF32" i="36" s="1"/>
  <c r="DG30" i="36" s="1"/>
  <c r="DE38" i="36"/>
  <c r="DF37" i="36"/>
  <c r="DG36" i="36"/>
  <c r="AY42" i="36" l="1"/>
  <c r="AZ51" i="36" s="1"/>
  <c r="AZ52" i="36" s="1"/>
  <c r="AY47" i="36"/>
  <c r="AY48" i="36" s="1"/>
  <c r="DF41" i="36"/>
  <c r="DG31" i="36"/>
  <c r="DG32" i="36" s="1"/>
  <c r="DH30" i="36" s="1"/>
  <c r="DF38" i="36"/>
  <c r="DG37" i="36"/>
  <c r="DH36" i="36"/>
  <c r="AZ44" i="36" l="1"/>
  <c r="AZ45" i="36" s="1"/>
  <c r="AZ42" i="36" s="1"/>
  <c r="BA51" i="36" s="1"/>
  <c r="BA52" i="36" s="1"/>
  <c r="BA43" i="36"/>
  <c r="DG41" i="36"/>
  <c r="DH31" i="36"/>
  <c r="DH32" i="36" s="1"/>
  <c r="DI30" i="36" s="1"/>
  <c r="DG38" i="36"/>
  <c r="DH37" i="36"/>
  <c r="DI36" i="36"/>
  <c r="AZ54" i="36" l="1"/>
  <c r="AZ55" i="36" s="1"/>
  <c r="BA44" i="36"/>
  <c r="BA45" i="36" s="1"/>
  <c r="AZ47" i="36"/>
  <c r="AZ48" i="36" s="1"/>
  <c r="BB43" i="36"/>
  <c r="DH41" i="36"/>
  <c r="DI31" i="36"/>
  <c r="DI32" i="36" s="1"/>
  <c r="DJ30" i="36" s="1"/>
  <c r="DI37" i="36"/>
  <c r="DJ36" i="36"/>
  <c r="DH38" i="36"/>
  <c r="BA54" i="36" l="1"/>
  <c r="BA55" i="36" s="1"/>
  <c r="BA47" i="36"/>
  <c r="BA42" i="36"/>
  <c r="BB51" i="36" s="1"/>
  <c r="DI41" i="36"/>
  <c r="DJ31" i="36"/>
  <c r="DJ32" i="36" s="1"/>
  <c r="DK30" i="36" s="1"/>
  <c r="DI38" i="36"/>
  <c r="DJ37" i="36"/>
  <c r="DK36" i="36"/>
  <c r="BA48" i="36" l="1"/>
  <c r="BC43" i="36"/>
  <c r="BB52" i="36"/>
  <c r="BB44" i="36"/>
  <c r="DJ41" i="36"/>
  <c r="DK31" i="36"/>
  <c r="DK32" i="36" s="1"/>
  <c r="DL30" i="36" s="1"/>
  <c r="DJ38" i="36"/>
  <c r="DK37" i="36"/>
  <c r="DL36" i="36"/>
  <c r="BB45" i="36" l="1"/>
  <c r="BB42" i="36" s="1"/>
  <c r="DK41" i="36"/>
  <c r="DL31" i="36"/>
  <c r="DL32" i="36" s="1"/>
  <c r="DM30" i="36" s="1"/>
  <c r="DK38" i="36"/>
  <c r="DL37" i="36"/>
  <c r="DM36" i="36"/>
  <c r="BB54" i="36" l="1"/>
  <c r="BB55" i="36" s="1"/>
  <c r="BC44" i="36"/>
  <c r="BC45" i="36" s="1"/>
  <c r="BC47" i="36" s="1"/>
  <c r="BC51" i="36"/>
  <c r="BC52" i="36" s="1"/>
  <c r="BB47" i="36"/>
  <c r="BB48" i="36" s="1"/>
  <c r="BD43" i="36"/>
  <c r="DL41" i="36"/>
  <c r="DM31" i="36"/>
  <c r="DM32" i="36" s="1"/>
  <c r="DN30" i="36" s="1"/>
  <c r="DL38" i="36"/>
  <c r="DM37" i="36"/>
  <c r="DN36" i="36"/>
  <c r="BC54" i="36" l="1"/>
  <c r="BC55" i="36" s="1"/>
  <c r="BC48" i="36"/>
  <c r="BC42" i="36"/>
  <c r="DM41" i="36"/>
  <c r="DN31" i="36"/>
  <c r="DN32" i="36" s="1"/>
  <c r="DO30" i="36" s="1"/>
  <c r="DM38" i="36"/>
  <c r="DN37" i="36"/>
  <c r="DO36" i="36"/>
  <c r="BD51" i="36" l="1"/>
  <c r="BD52" i="36" s="1"/>
  <c r="BE43" i="36"/>
  <c r="BD44" i="36"/>
  <c r="DN41" i="36"/>
  <c r="DO31" i="36"/>
  <c r="DO32" i="36" s="1"/>
  <c r="DP30" i="36" s="1"/>
  <c r="DO37" i="36"/>
  <c r="DP36" i="36"/>
  <c r="DN38" i="36"/>
  <c r="BD45" i="36" l="1"/>
  <c r="BD42" i="36" s="1"/>
  <c r="BF43" i="36" s="1"/>
  <c r="DO41" i="36"/>
  <c r="DP31" i="36"/>
  <c r="DP32" i="36" s="1"/>
  <c r="DQ30" i="36" s="1"/>
  <c r="DP37" i="36"/>
  <c r="DQ36" i="36"/>
  <c r="DO38" i="36"/>
  <c r="BD47" i="36" l="1"/>
  <c r="BD48" i="36" s="1"/>
  <c r="BE44" i="36"/>
  <c r="BE45" i="36" s="1"/>
  <c r="BE42" i="36" s="1"/>
  <c r="BF51" i="36" s="1"/>
  <c r="BF52" i="36" s="1"/>
  <c r="BE51" i="36"/>
  <c r="BE52" i="36" s="1"/>
  <c r="BD54" i="36"/>
  <c r="BD55" i="36" s="1"/>
  <c r="DP41" i="36"/>
  <c r="DQ31" i="36"/>
  <c r="DQ32" i="36" s="1"/>
  <c r="DR30" i="36" s="1"/>
  <c r="DP38" i="36"/>
  <c r="DQ37" i="36"/>
  <c r="DR36" i="36"/>
  <c r="BG43" i="36" l="1"/>
  <c r="BE47" i="36"/>
  <c r="BE48" i="36" s="1"/>
  <c r="BF44" i="36"/>
  <c r="BE54" i="36"/>
  <c r="BE55" i="36" s="1"/>
  <c r="DQ41" i="36"/>
  <c r="DR31" i="36"/>
  <c r="DR32" i="36" s="1"/>
  <c r="DS30" i="36" s="1"/>
  <c r="DR37" i="36"/>
  <c r="DS36" i="36"/>
  <c r="DS37" i="36" s="1"/>
  <c r="DQ38" i="36"/>
  <c r="BF45" i="36" l="1"/>
  <c r="BF54" i="36" s="1"/>
  <c r="BF55" i="36" s="1"/>
  <c r="DR41" i="36"/>
  <c r="DS31" i="36"/>
  <c r="DS32" i="36" s="1"/>
  <c r="DS38" i="36"/>
  <c r="DR38" i="36"/>
  <c r="BF47" i="36" l="1"/>
  <c r="BF48" i="36" s="1"/>
  <c r="BF42" i="36"/>
  <c r="BH43" i="36" l="1"/>
  <c r="BG44" i="36"/>
  <c r="BG51" i="36"/>
  <c r="BG52" i="36" s="1"/>
  <c r="BG45" i="36" l="1"/>
  <c r="BG47" i="36" s="1"/>
  <c r="BG48" i="36" s="1"/>
  <c r="BG42" i="36" l="1"/>
  <c r="BH44" i="36" s="1"/>
  <c r="BG54" i="36"/>
  <c r="BG55" i="36" s="1"/>
  <c r="BI43" i="36" l="1"/>
  <c r="BH51" i="36"/>
  <c r="BH52" i="36" s="1"/>
  <c r="BH45" i="36"/>
  <c r="BH47" i="36" s="1"/>
  <c r="BH48" i="36" s="1"/>
  <c r="BH42" i="36" l="1"/>
  <c r="BH54" i="36"/>
  <c r="BH55" i="36" s="1"/>
  <c r="BJ43" i="36" l="1"/>
  <c r="BI51" i="36"/>
  <c r="BI52" i="36" s="1"/>
  <c r="BI44" i="36"/>
  <c r="BI45" i="36" l="1"/>
  <c r="BI47" i="36" s="1"/>
  <c r="BI48" i="36" s="1"/>
  <c r="BI42" i="36" l="1"/>
  <c r="BJ44" i="36" s="1"/>
  <c r="BI54" i="36"/>
  <c r="BI55" i="36" s="1"/>
  <c r="BK43" i="36" l="1"/>
  <c r="BJ45" i="36"/>
  <c r="BJ54" i="36" s="1"/>
  <c r="BJ55" i="36" s="1"/>
  <c r="BJ51" i="36"/>
  <c r="BJ52" i="36" s="1"/>
  <c r="BJ47" i="36" l="1"/>
  <c r="BJ48" i="36" s="1"/>
  <c r="BJ42" i="36"/>
  <c r="BK44" i="36" s="1"/>
  <c r="BK45" i="36" s="1"/>
  <c r="BK47" i="36" s="1"/>
  <c r="BK48" i="36" s="1"/>
  <c r="BK51" i="36" l="1"/>
  <c r="BK52" i="36" s="1"/>
  <c r="BL43" i="36"/>
  <c r="BK54" i="36"/>
  <c r="BK55" i="36" s="1"/>
  <c r="BK42" i="36"/>
  <c r="BL44" i="36" l="1"/>
  <c r="BL45" i="36" s="1"/>
  <c r="BL47" i="36" s="1"/>
  <c r="BL48" i="36" s="1"/>
  <c r="BL51" i="36"/>
  <c r="BL52" i="36" s="1"/>
  <c r="BM43" i="36"/>
  <c r="BL42" i="36" l="1"/>
  <c r="BM44" i="36" s="1"/>
  <c r="BL54" i="36"/>
  <c r="BL55" i="36" s="1"/>
  <c r="BN43" i="36" l="1"/>
  <c r="BM45" i="36"/>
  <c r="BM47" i="36" s="1"/>
  <c r="BM48" i="36" s="1"/>
  <c r="BM51" i="36"/>
  <c r="BM52" i="36" s="1"/>
  <c r="BM54" i="36" l="1"/>
  <c r="BM55" i="36" s="1"/>
  <c r="BM42" i="36"/>
  <c r="BN51" i="36" l="1"/>
  <c r="BN52" i="36" s="1"/>
  <c r="BO43" i="36"/>
  <c r="BN44" i="36"/>
  <c r="BN45" i="36" l="1"/>
  <c r="BN54" i="36" s="1"/>
  <c r="BN55" i="36" s="1"/>
  <c r="BN47" i="36" l="1"/>
  <c r="BN48" i="36" s="1"/>
  <c r="BN42" i="36"/>
  <c r="BO44" i="36" s="1"/>
  <c r="BP43" i="36" l="1"/>
  <c r="BO45" i="36"/>
  <c r="BO47" i="36" s="1"/>
  <c r="BO48" i="36" s="1"/>
  <c r="BO51" i="36"/>
  <c r="BO52" i="36" s="1"/>
  <c r="BO42" i="36" l="1"/>
  <c r="BP44" i="36" s="1"/>
  <c r="BO54" i="36"/>
  <c r="BO55" i="36" s="1"/>
  <c r="BQ43" i="36" l="1"/>
  <c r="BP45" i="36"/>
  <c r="BP42" i="36" s="1"/>
  <c r="BQ51" i="36" s="1"/>
  <c r="BQ52" i="36" s="1"/>
  <c r="BP51" i="36"/>
  <c r="BP52" i="36" s="1"/>
  <c r="BP47" i="36" l="1"/>
  <c r="BP48" i="36" s="1"/>
  <c r="BP54" i="36"/>
  <c r="BP55" i="36" s="1"/>
  <c r="BR43" i="36"/>
  <c r="BQ44" i="36"/>
  <c r="BQ45" i="36" s="1"/>
  <c r="BQ42" i="36" s="1"/>
  <c r="BQ54" i="36" l="1"/>
  <c r="BQ55" i="36" s="1"/>
  <c r="BQ47" i="36"/>
  <c r="BQ48" i="36" s="1"/>
  <c r="BR44" i="36"/>
  <c r="BR51" i="36"/>
  <c r="BR52" i="36" s="1"/>
  <c r="BS43" i="36"/>
  <c r="BR45" i="36" l="1"/>
  <c r="BR47" i="36" s="1"/>
  <c r="BR48" i="36" s="1"/>
  <c r="BR54" i="36" l="1"/>
  <c r="BR55" i="36" s="1"/>
  <c r="BR42" i="36"/>
  <c r="BS44" i="36" l="1"/>
  <c r="BS45" i="36" s="1"/>
  <c r="BS47" i="36" s="1"/>
  <c r="BS48" i="36" s="1"/>
  <c r="BT43" i="36"/>
  <c r="BS51" i="36"/>
  <c r="BS52" i="36" s="1"/>
  <c r="BS54" i="36" l="1"/>
  <c r="BS55" i="36" s="1"/>
  <c r="BS42" i="36"/>
  <c r="BT44" i="36" s="1"/>
  <c r="BT45" i="36" l="1"/>
  <c r="BT42" i="36" s="1"/>
  <c r="BT51" i="36"/>
  <c r="BT52" i="36" s="1"/>
  <c r="BU43" i="36"/>
  <c r="BT47" i="36" l="1"/>
  <c r="BT48" i="36" s="1"/>
  <c r="BU44" i="36"/>
  <c r="BT54" i="36"/>
  <c r="BT55" i="36" s="1"/>
  <c r="BU51" i="36"/>
  <c r="BU52" i="36" s="1"/>
  <c r="BV43" i="36"/>
  <c r="BU45" i="36" l="1"/>
  <c r="BU54" i="36" s="1"/>
  <c r="BU55" i="36" s="1"/>
  <c r="BU47" i="36" l="1"/>
  <c r="BU48" i="36" s="1"/>
  <c r="BU42" i="36"/>
  <c r="BV51" i="36" l="1"/>
  <c r="BV52" i="36" s="1"/>
  <c r="BW43" i="36"/>
  <c r="BV44" i="36"/>
  <c r="BV45" i="36" s="1"/>
  <c r="BV42" i="36" s="1"/>
  <c r="BX43" i="36" l="1"/>
  <c r="BW51" i="36"/>
  <c r="BW52" i="36" s="1"/>
  <c r="BW44" i="36"/>
  <c r="BV54" i="36"/>
  <c r="BV55" i="36" s="1"/>
  <c r="BV47" i="36"/>
  <c r="BV48" i="36" s="1"/>
  <c r="BW45" i="36" l="1"/>
  <c r="BW47" i="36" s="1"/>
  <c r="BW48" i="36" s="1"/>
  <c r="BW42" i="36" l="1"/>
  <c r="BW54" i="36"/>
  <c r="BW55" i="36" s="1"/>
  <c r="BX44" i="36" l="1"/>
  <c r="BY43" i="36"/>
  <c r="BX51" i="36"/>
  <c r="BX52" i="36" s="1"/>
  <c r="BX45" i="36" l="1"/>
  <c r="BX47" i="36" s="1"/>
  <c r="BX48" i="36" s="1"/>
  <c r="BX54" i="36" l="1"/>
  <c r="BX55" i="36" s="1"/>
  <c r="BX42" i="36"/>
  <c r="BY44" i="36" s="1"/>
  <c r="BY45" i="36" s="1"/>
  <c r="BY47" i="36" s="1"/>
  <c r="BY48" i="36" s="1"/>
  <c r="BY51" i="36" l="1"/>
  <c r="BY52" i="36" s="1"/>
  <c r="BZ43" i="36"/>
  <c r="BY54" i="36"/>
  <c r="BY55" i="36" s="1"/>
  <c r="BY42" i="36"/>
  <c r="BZ44" i="36" l="1"/>
  <c r="BZ45" i="36" s="1"/>
  <c r="BZ51" i="36"/>
  <c r="BZ52" i="36" s="1"/>
  <c r="CA43" i="36"/>
  <c r="BZ54" i="36" l="1"/>
  <c r="BZ55" i="36" s="1"/>
  <c r="BZ42" i="36"/>
  <c r="CA44" i="36" s="1"/>
  <c r="BZ47" i="36"/>
  <c r="BZ48" i="36" s="1"/>
  <c r="CA51" i="36" l="1"/>
  <c r="CA52" i="36" s="1"/>
  <c r="CB43" i="36"/>
  <c r="CA45" i="36"/>
  <c r="CA47" i="36" s="1"/>
  <c r="CA48" i="36" s="1"/>
  <c r="CA42" i="36" l="1"/>
  <c r="CB51" i="36" s="1"/>
  <c r="CB52" i="36" s="1"/>
  <c r="CA54" i="36"/>
  <c r="CA55" i="36" s="1"/>
  <c r="CB44" i="36" l="1"/>
  <c r="CB45" i="36" s="1"/>
  <c r="CB54" i="36" s="1"/>
  <c r="CB55" i="36" s="1"/>
  <c r="CC43" i="36"/>
  <c r="CB42" i="36" l="1"/>
  <c r="CC44" i="36" s="1"/>
  <c r="CC45" i="36" s="1"/>
  <c r="CC42" i="36" s="1"/>
  <c r="CB47" i="36"/>
  <c r="CB48" i="36" s="1"/>
  <c r="CC51" i="36" l="1"/>
  <c r="CC52" i="36" s="1"/>
  <c r="CD43" i="36"/>
  <c r="CD44" i="36" s="1"/>
  <c r="CD51" i="36"/>
  <c r="CD52" i="36" s="1"/>
  <c r="CC54" i="36"/>
  <c r="CC55" i="36" s="1"/>
  <c r="CC47" i="36"/>
  <c r="CC48" i="36" s="1"/>
  <c r="CE43" i="36" l="1"/>
  <c r="CD45" i="36"/>
  <c r="CD47" i="36" s="1"/>
  <c r="CD48" i="36" s="1"/>
  <c r="CD54" i="36" l="1"/>
  <c r="CD55" i="36" s="1"/>
  <c r="CD42" i="36"/>
  <c r="CE44" i="36" l="1"/>
  <c r="CE51" i="36"/>
  <c r="CE52" i="36" s="1"/>
  <c r="CF43" i="36"/>
  <c r="CE45" i="36" l="1"/>
  <c r="CE47" i="36" l="1"/>
  <c r="CE48" i="36" s="1"/>
  <c r="CE42" i="36"/>
  <c r="CE54" i="36"/>
  <c r="CE55" i="36" s="1"/>
  <c r="CF51" i="36" l="1"/>
  <c r="CF52" i="36" s="1"/>
  <c r="CG43" i="36"/>
  <c r="CF44" i="36"/>
  <c r="CF45" i="36" l="1"/>
  <c r="CF42" i="36" s="1"/>
  <c r="CG51" i="36" l="1"/>
  <c r="CG52" i="36" s="1"/>
  <c r="CH43" i="36"/>
  <c r="CG44" i="36"/>
  <c r="CG45" i="36" s="1"/>
  <c r="CF47" i="36"/>
  <c r="CF48" i="36" s="1"/>
  <c r="CF54" i="36"/>
  <c r="CF55" i="36" s="1"/>
  <c r="CG42" i="36" l="1"/>
  <c r="CH44" i="36" s="1"/>
  <c r="CG47" i="36"/>
  <c r="CG48" i="36" s="1"/>
  <c r="CG54" i="36"/>
  <c r="CG55" i="36" s="1"/>
  <c r="CH51" i="36" l="1"/>
  <c r="CH52" i="36" s="1"/>
  <c r="CI43" i="36"/>
  <c r="CH45" i="36"/>
  <c r="CH47" i="36" s="1"/>
  <c r="CH48" i="36" s="1"/>
  <c r="CH42" i="36" l="1"/>
  <c r="CH54" i="36"/>
  <c r="CH55" i="36" s="1"/>
  <c r="CJ43" i="36" l="1"/>
  <c r="CI51" i="36"/>
  <c r="CI52" i="36" s="1"/>
  <c r="CI44" i="36"/>
  <c r="CI45" i="36" l="1"/>
  <c r="CI42" i="36" s="1"/>
  <c r="CJ44" i="36" s="1"/>
  <c r="CI54" i="36" l="1"/>
  <c r="CI55" i="36" s="1"/>
  <c r="CK43" i="36"/>
  <c r="CJ51" i="36"/>
  <c r="CJ52" i="36" s="1"/>
  <c r="CJ45" i="36"/>
  <c r="CJ42" i="36" s="1"/>
  <c r="CI47" i="36"/>
  <c r="CI48" i="36" s="1"/>
  <c r="CJ54" i="36" l="1"/>
  <c r="CJ55" i="36" s="1"/>
  <c r="CK44" i="36"/>
  <c r="CK45" i="36" s="1"/>
  <c r="CK47" i="36" s="1"/>
  <c r="CK48" i="36" s="1"/>
  <c r="CL43" i="36"/>
  <c r="CK51" i="36"/>
  <c r="CK52" i="36" s="1"/>
  <c r="CJ47" i="36"/>
  <c r="CJ48" i="36" s="1"/>
  <c r="CK42" i="36" l="1"/>
  <c r="CK54" i="36"/>
  <c r="CK55" i="36" s="1"/>
  <c r="CM43" i="36" l="1"/>
  <c r="CL51" i="36"/>
  <c r="CL52" i="36" s="1"/>
  <c r="CL44" i="36"/>
  <c r="CL45" i="36" l="1"/>
  <c r="CL47" i="36" s="1"/>
  <c r="CL48" i="36" s="1"/>
  <c r="CL42" i="36" l="1"/>
  <c r="CM44" i="36" s="1"/>
  <c r="CM45" i="36" s="1"/>
  <c r="CM42" i="36" s="1"/>
  <c r="CL54" i="36"/>
  <c r="CL55" i="36" s="1"/>
  <c r="CM51" i="36" l="1"/>
  <c r="CM52" i="36" s="1"/>
  <c r="CM54" i="36"/>
  <c r="CM55" i="36" s="1"/>
  <c r="CN43" i="36"/>
  <c r="CO43" i="36" s="1"/>
  <c r="CM47" i="36"/>
  <c r="CM48" i="36" s="1"/>
  <c r="CN51" i="36"/>
  <c r="CN52" i="36" s="1"/>
  <c r="CN44" i="36" l="1"/>
  <c r="CN45" i="36" s="1"/>
  <c r="CN47" i="36" s="1"/>
  <c r="CN48" i="36" s="1"/>
  <c r="CN42" i="36" l="1"/>
  <c r="CO44" i="36" s="1"/>
  <c r="CN54" i="36"/>
  <c r="CN55" i="36" s="1"/>
  <c r="CO51" i="36" l="1"/>
  <c r="CO52" i="36" s="1"/>
  <c r="CP43" i="36"/>
  <c r="CO45" i="36"/>
  <c r="CO47" i="36" s="1"/>
  <c r="CO48" i="36" s="1"/>
  <c r="CO42" i="36" l="1"/>
  <c r="CP51" i="36" s="1"/>
  <c r="CP52" i="36" s="1"/>
  <c r="CO54" i="36"/>
  <c r="CO55" i="36" s="1"/>
  <c r="CQ43" i="36" l="1"/>
  <c r="CP44" i="36"/>
  <c r="CP45" i="36" s="1"/>
  <c r="CP42" i="36" s="1"/>
  <c r="CQ51" i="36" s="1"/>
  <c r="CQ52" i="36" s="1"/>
  <c r="CQ44" i="36" l="1"/>
  <c r="CQ45" i="36" s="1"/>
  <c r="CQ42" i="36" s="1"/>
  <c r="CR51" i="36" s="1"/>
  <c r="CR52" i="36" s="1"/>
  <c r="CP47" i="36"/>
  <c r="CP48" i="36" s="1"/>
  <c r="CP54" i="36"/>
  <c r="CP55" i="36" s="1"/>
  <c r="CR43" i="36"/>
  <c r="CQ47" i="36" l="1"/>
  <c r="CQ48" i="36" s="1"/>
  <c r="CQ54" i="36"/>
  <c r="CQ55" i="36" s="1"/>
  <c r="CS43" i="36"/>
  <c r="CR44" i="36"/>
  <c r="CR45" i="36" s="1"/>
  <c r="CR47" i="36" s="1"/>
  <c r="CR48" i="36" s="1"/>
  <c r="CR42" i="36" l="1"/>
  <c r="CS51" i="36" s="1"/>
  <c r="CS52" i="36" s="1"/>
  <c r="CR54" i="36"/>
  <c r="CR55" i="36" s="1"/>
  <c r="CS44" i="36" l="1"/>
  <c r="CS45" i="36" s="1"/>
  <c r="CS42" i="36" s="1"/>
  <c r="CT43" i="36"/>
  <c r="CT44" i="36" l="1"/>
  <c r="CT45" i="36" s="1"/>
  <c r="CT47" i="36" s="1"/>
  <c r="CT48" i="36" s="1"/>
  <c r="CT51" i="36"/>
  <c r="CT52" i="36" s="1"/>
  <c r="CU43" i="36"/>
  <c r="CS54" i="36"/>
  <c r="CS55" i="36" s="1"/>
  <c r="CS47" i="36"/>
  <c r="CS48" i="36" s="1"/>
  <c r="CT54" i="36" l="1"/>
  <c r="CT55" i="36" s="1"/>
  <c r="CT42" i="36"/>
  <c r="CU44" i="36" s="1"/>
  <c r="CU51" i="36" l="1"/>
  <c r="CU52" i="36" s="1"/>
  <c r="CV43" i="36"/>
  <c r="CU45" i="36"/>
  <c r="CU47" i="36" s="1"/>
  <c r="CU48" i="36" s="1"/>
  <c r="CU42" i="36" l="1"/>
  <c r="CU54" i="36"/>
  <c r="CU55" i="36" s="1"/>
  <c r="CW43" i="36" l="1"/>
  <c r="CV51" i="36"/>
  <c r="CV52" i="36" s="1"/>
  <c r="CV44" i="36"/>
  <c r="CV45" i="36" l="1"/>
  <c r="CV54" i="36" s="1"/>
  <c r="CV55" i="36" s="1"/>
  <c r="CV42" i="36" l="1"/>
  <c r="CW51" i="36" s="1"/>
  <c r="CW52" i="36" s="1"/>
  <c r="CV47" i="36"/>
  <c r="CV48" i="36" s="1"/>
  <c r="CX43" i="36" l="1"/>
  <c r="CW44" i="36"/>
  <c r="CW45" i="36" s="1"/>
  <c r="CW42" i="36" s="1"/>
  <c r="CW54" i="36" l="1"/>
  <c r="CW55" i="36" s="1"/>
  <c r="CW47" i="36"/>
  <c r="CW48" i="36" s="1"/>
  <c r="CX51" i="36"/>
  <c r="CX52" i="36" s="1"/>
  <c r="CY43" i="36"/>
  <c r="CX44" i="36"/>
  <c r="CX45" i="36" s="1"/>
  <c r="CX47" i="36" s="1"/>
  <c r="CX48" i="36" s="1"/>
  <c r="CX42" i="36" l="1"/>
  <c r="CY44" i="36" s="1"/>
  <c r="CX54" i="36"/>
  <c r="CX55" i="36" s="1"/>
  <c r="CZ43" i="36" l="1"/>
  <c r="CY51" i="36"/>
  <c r="CY52" i="36" s="1"/>
  <c r="CY45" i="36"/>
  <c r="CY54" i="36" s="1"/>
  <c r="CY55" i="36" s="1"/>
  <c r="CY47" i="36" l="1"/>
  <c r="CY48" i="36" s="1"/>
  <c r="CY42" i="36"/>
  <c r="CZ51" i="36" l="1"/>
  <c r="CZ52" i="36" s="1"/>
  <c r="DA43" i="36"/>
  <c r="CZ44" i="36"/>
  <c r="CZ45" i="36" l="1"/>
  <c r="CZ54" i="36" s="1"/>
  <c r="CZ55" i="36" s="1"/>
  <c r="CZ42" i="36" l="1"/>
  <c r="DB43" i="36" s="1"/>
  <c r="CZ47" i="36"/>
  <c r="CZ48" i="36" s="1"/>
  <c r="DA44" i="36" l="1"/>
  <c r="DA45" i="36" s="1"/>
  <c r="DA42" i="36" s="1"/>
  <c r="DB44" i="36" s="1"/>
  <c r="DA51" i="36"/>
  <c r="DA52" i="36" s="1"/>
  <c r="DB51" i="36" l="1"/>
  <c r="DB52" i="36" s="1"/>
  <c r="DC43" i="36"/>
  <c r="DB45" i="36"/>
  <c r="DB54" i="36" s="1"/>
  <c r="DB55" i="36" s="1"/>
  <c r="DA54" i="36"/>
  <c r="DA55" i="36" s="1"/>
  <c r="DA47" i="36"/>
  <c r="DA48" i="36" s="1"/>
  <c r="DB42" i="36" l="1"/>
  <c r="DC44" i="36" s="1"/>
  <c r="DB47" i="36"/>
  <c r="DB48" i="36" s="1"/>
  <c r="DC45" i="36" l="1"/>
  <c r="DC42" i="36" s="1"/>
  <c r="DE43" i="36" s="1"/>
  <c r="DC51" i="36"/>
  <c r="DC52" i="36" s="1"/>
  <c r="DD43" i="36"/>
  <c r="DD44" i="36" l="1"/>
  <c r="DD45" i="36" s="1"/>
  <c r="DD42" i="36" s="1"/>
  <c r="DF43" i="36" s="1"/>
  <c r="DD51" i="36"/>
  <c r="DD52" i="36" s="1"/>
  <c r="DC47" i="36"/>
  <c r="DC48" i="36" s="1"/>
  <c r="DC54" i="36"/>
  <c r="DC55" i="36" s="1"/>
  <c r="DE51" i="36" l="1"/>
  <c r="DE52" i="36" s="1"/>
  <c r="DE44" i="36"/>
  <c r="DE45" i="36" s="1"/>
  <c r="DE42" i="36" s="1"/>
  <c r="DD54" i="36"/>
  <c r="DD55" i="36" s="1"/>
  <c r="DD47" i="36"/>
  <c r="DD48" i="36" s="1"/>
  <c r="DE47" i="36" l="1"/>
  <c r="DE48" i="36" s="1"/>
  <c r="DE54" i="36"/>
  <c r="DE55" i="36" s="1"/>
  <c r="DF44" i="36"/>
  <c r="DF45" i="36" s="1"/>
  <c r="DF47" i="36" s="1"/>
  <c r="DF48" i="36" s="1"/>
  <c r="DG43" i="36"/>
  <c r="DF51" i="36"/>
  <c r="DF52" i="36" s="1"/>
  <c r="DF42" i="36" l="1"/>
  <c r="DF54" i="36"/>
  <c r="DF55" i="36" s="1"/>
  <c r="DH43" i="36" l="1"/>
  <c r="DG51" i="36"/>
  <c r="DG52" i="36" s="1"/>
  <c r="DG44" i="36"/>
  <c r="DG45" i="36" s="1"/>
  <c r="DG47" i="36" s="1"/>
  <c r="DG48" i="36" s="1"/>
  <c r="DG42" i="36" l="1"/>
  <c r="DI43" i="36" s="1"/>
  <c r="DG54" i="36"/>
  <c r="DG55" i="36" s="1"/>
  <c r="DH44" i="36" l="1"/>
  <c r="DH45" i="36" s="1"/>
  <c r="DH51" i="36"/>
  <c r="DH52" i="36" s="1"/>
  <c r="DH47" i="36" l="1"/>
  <c r="DH48" i="36" s="1"/>
  <c r="DH42" i="36"/>
  <c r="DH54" i="36"/>
  <c r="DH55" i="36" s="1"/>
  <c r="DI51" i="36" l="1"/>
  <c r="DI52" i="36" s="1"/>
  <c r="DJ43" i="36"/>
  <c r="DI44" i="36"/>
  <c r="DI45" i="36" s="1"/>
  <c r="DI47" i="36" s="1"/>
  <c r="DI48" i="36" s="1"/>
  <c r="DI42" i="36" l="1"/>
  <c r="DJ51" i="36" s="1"/>
  <c r="DJ52" i="36" s="1"/>
  <c r="DI54" i="36"/>
  <c r="DI55" i="36" s="1"/>
  <c r="DJ44" i="36" l="1"/>
  <c r="DJ45" i="36" s="1"/>
  <c r="DK43" i="36"/>
  <c r="DJ47" i="36" l="1"/>
  <c r="DJ48" i="36" s="1"/>
  <c r="DJ42" i="36"/>
  <c r="DJ54" i="36"/>
  <c r="DJ55" i="36" s="1"/>
  <c r="DL43" i="36" l="1"/>
  <c r="DK44" i="36"/>
  <c r="DK51" i="36"/>
  <c r="DK52" i="36" s="1"/>
  <c r="DK45" i="36" l="1"/>
  <c r="DK47" i="36" s="1"/>
  <c r="DK48" i="36" s="1"/>
  <c r="DK54" i="36" l="1"/>
  <c r="DK55" i="36" s="1"/>
  <c r="DK42" i="36"/>
  <c r="DL51" i="36" l="1"/>
  <c r="DL52" i="36" s="1"/>
  <c r="DM43" i="36"/>
  <c r="DL44" i="36"/>
  <c r="DL45" i="36" l="1"/>
  <c r="DL47" i="36" s="1"/>
  <c r="DL48" i="36" s="1"/>
  <c r="DL54" i="36" l="1"/>
  <c r="DL55" i="36" s="1"/>
  <c r="DL42" i="36"/>
  <c r="DM51" i="36" l="1"/>
  <c r="DM52" i="36" s="1"/>
  <c r="DM44" i="36"/>
  <c r="DM45" i="36" s="1"/>
  <c r="DM47" i="36" s="1"/>
  <c r="DM48" i="36" s="1"/>
  <c r="DN43" i="36"/>
  <c r="DM42" i="36" l="1"/>
  <c r="DM54" i="36"/>
  <c r="DM55" i="36" s="1"/>
  <c r="DN51" i="36" l="1"/>
  <c r="DN52" i="36" s="1"/>
  <c r="DO43" i="36"/>
  <c r="DN44" i="36"/>
  <c r="DN45" i="36" l="1"/>
  <c r="DN47" i="36" s="1"/>
  <c r="DN48" i="36" s="1"/>
  <c r="DN54" i="36" l="1"/>
  <c r="DN55" i="36" s="1"/>
  <c r="DN42" i="36"/>
  <c r="DO51" i="36" l="1"/>
  <c r="DO52" i="36" s="1"/>
  <c r="DP43" i="36"/>
  <c r="DO44" i="36"/>
  <c r="DO45" i="36" s="1"/>
  <c r="DO47" i="36" s="1"/>
  <c r="DO48" i="36" s="1"/>
  <c r="DO42" i="36" l="1"/>
  <c r="DQ43" i="36" s="1"/>
  <c r="DO54" i="36"/>
  <c r="DO55" i="36" s="1"/>
  <c r="DP44" i="36" l="1"/>
  <c r="DP45" i="36" s="1"/>
  <c r="DP47" i="36" s="1"/>
  <c r="DP48" i="36" s="1"/>
  <c r="DP51" i="36"/>
  <c r="DP52" i="36" s="1"/>
  <c r="DP42" i="36" l="1"/>
  <c r="DQ51" i="36" s="1"/>
  <c r="DQ52" i="36" s="1"/>
  <c r="DP54" i="36"/>
  <c r="DP55" i="36" s="1"/>
  <c r="DQ44" i="36" l="1"/>
  <c r="DQ45" i="36" s="1"/>
  <c r="DQ47" i="36" s="1"/>
  <c r="DQ48" i="36" s="1"/>
  <c r="DR43" i="36"/>
  <c r="DQ42" i="36" l="1"/>
  <c r="DS43" i="36" s="1"/>
  <c r="DQ54" i="36"/>
  <c r="DQ55" i="36" s="1"/>
  <c r="DR44" i="36" l="1"/>
  <c r="DR45" i="36" s="1"/>
  <c r="DR47" i="36" s="1"/>
  <c r="DR48" i="36" s="1"/>
  <c r="DR51" i="36"/>
  <c r="DR52" i="36" s="1"/>
  <c r="DR42" i="36" l="1"/>
  <c r="DS51" i="36" s="1"/>
  <c r="DS52" i="36" s="1"/>
  <c r="C52" i="36" s="1"/>
  <c r="C53" i="36" s="1"/>
  <c r="C62" i="36" s="1"/>
  <c r="DR54" i="36"/>
  <c r="DR55" i="36" s="1"/>
  <c r="DS44" i="36" l="1"/>
  <c r="DS54" i="36" s="1"/>
  <c r="DS55" i="36" s="1"/>
  <c r="C55" i="36" s="1"/>
  <c r="C59" i="36"/>
  <c r="DS47" i="36" l="1"/>
  <c r="DS48" i="36" s="1"/>
  <c r="C48" i="36" s="1"/>
  <c r="C49" i="36" s="1"/>
  <c r="C61" i="36" s="1"/>
  <c r="C60" i="36"/>
  <c r="C56" i="36"/>
  <c r="C63" i="36" s="1"/>
  <c r="C58" i="36" l="1"/>
</calcChain>
</file>

<file path=xl/sharedStrings.xml><?xml version="1.0" encoding="utf-8"?>
<sst xmlns="http://schemas.openxmlformats.org/spreadsheetml/2006/main" count="87" uniqueCount="74">
  <si>
    <t>h</t>
  </si>
  <si>
    <t>i==&gt;</t>
  </si>
  <si>
    <t>time ==&gt;</t>
  </si>
  <si>
    <t>BDT BINOMIAL TREE MODEL</t>
  </si>
  <si>
    <t>Principal</t>
  </si>
  <si>
    <t>Coupon</t>
  </si>
  <si>
    <t>Mortgage Rate</t>
  </si>
  <si>
    <t>Optimal Exercise</t>
  </si>
  <si>
    <t>Z-Factors</t>
  </si>
  <si>
    <t>Interest Rates</t>
  </si>
  <si>
    <t>Rand()</t>
  </si>
  <si>
    <t>time</t>
  </si>
  <si>
    <t>i</t>
  </si>
  <si>
    <t>IR Tree Node Indicators</t>
  </si>
  <si>
    <t>Do the following:</t>
  </si>
  <si>
    <t>Copy Values of "IR Tree" in Cells B12:DR132 below from cells B14:DR134 of "IR Tree" tab in "2-35130_HW7_2017_Solution - IR TREE+MORTGAGE+PATH THROUGH (Quart).xls"</t>
  </si>
  <si>
    <t>Copy Values of "Optimal Exercise" in Cells B140:DR260 below from cells B289:DR409 of "MortgageValue" tab in "2-35130_HW7_2017_Solution - IR TREE+MORTGAGE+PATH THROUGH (Quart).xls"</t>
  </si>
  <si>
    <t>rm</t>
  </si>
  <si>
    <t>sp</t>
  </si>
  <si>
    <t>Prepayment Function</t>
  </si>
  <si>
    <t>c1</t>
  </si>
  <si>
    <t>c2</t>
  </si>
  <si>
    <t>Mortgage Value (No Option)</t>
  </si>
  <si>
    <t>A</t>
  </si>
  <si>
    <t>Refinancing Option</t>
  </si>
  <si>
    <t>Maturity ( less than T)</t>
  </si>
  <si>
    <t>Mortgage Value</t>
  </si>
  <si>
    <t>Mortgage Inputs</t>
  </si>
  <si>
    <t>PT r</t>
  </si>
  <si>
    <t>Path-Through Inputs</t>
  </si>
  <si>
    <t>Interest Paid</t>
  </si>
  <si>
    <t>Principal Paid</t>
  </si>
  <si>
    <t>Outstanding Principal</t>
  </si>
  <si>
    <t>Pre-Payment Inputs</t>
  </si>
  <si>
    <t>Simulations here</t>
  </si>
  <si>
    <t>Path-Through</t>
  </si>
  <si>
    <t>Principal Scheduled</t>
  </si>
  <si>
    <t>Principal PRE Pay</t>
  </si>
  <si>
    <t>PT Cash Flow</t>
  </si>
  <si>
    <t>PV of PT Cash Flow</t>
  </si>
  <si>
    <t>PT - Sum</t>
  </si>
  <si>
    <t>PT - Cum</t>
  </si>
  <si>
    <t>PT - Average</t>
  </si>
  <si>
    <t>Mortgage Values</t>
  </si>
  <si>
    <t>Input</t>
  </si>
  <si>
    <t>Output</t>
  </si>
  <si>
    <t>Sim Number</t>
  </si>
  <si>
    <t>IO - PO MBS</t>
  </si>
  <si>
    <t xml:space="preserve">   IO Cash Flow</t>
  </si>
  <si>
    <t xml:space="preserve">   PV of IO Cash Flow</t>
  </si>
  <si>
    <t xml:space="preserve">   PO Cash Flow</t>
  </si>
  <si>
    <t xml:space="preserve">   PV of PO Cash Flow</t>
  </si>
  <si>
    <t>IO - Sum</t>
  </si>
  <si>
    <t>PO - Sum</t>
  </si>
  <si>
    <t>IO - Cum</t>
  </si>
  <si>
    <t>PO - Cum</t>
  </si>
  <si>
    <t>IO- Average</t>
  </si>
  <si>
    <t xml:space="preserve">   PO- Average</t>
  </si>
  <si>
    <t>(square for st.errors)</t>
  </si>
  <si>
    <t>(PT square for st.errors)</t>
  </si>
  <si>
    <t>(IO square for st.errors)</t>
  </si>
  <si>
    <t>(PO square for st.errors)</t>
  </si>
  <si>
    <t xml:space="preserve">   PT St.Errors</t>
  </si>
  <si>
    <t xml:space="preserve">   IO St.Errors</t>
  </si>
  <si>
    <t xml:space="preserve">   PO St.Errors</t>
  </si>
  <si>
    <t>St. Errors</t>
  </si>
  <si>
    <t>Value</t>
  </si>
  <si>
    <t>Conf Up</t>
  </si>
  <si>
    <t>Conf Do</t>
  </si>
  <si>
    <t>PT</t>
  </si>
  <si>
    <t>IO</t>
  </si>
  <si>
    <t>PO</t>
  </si>
  <si>
    <t>MC Simulations</t>
  </si>
  <si>
    <t xml:space="preserve">       Insert the parameters of prepayment function. Code already does all of the other calculations for Pass Through, Interest Only, and Principal Only securities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</si>
</sst>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* #,##0.00000_);_(* \(#,##0.00000\);_(* &quot;-&quot;??_);_(@_)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u val="singleAccounting"/>
      <sz val="10"/>
      <name val="Arial"/>
      <family val="2"/>
    </font>
    <font>
      <sz val="10"/>
      <color rgb="FF0000FF"/>
      <name val="Arial"/>
      <family val="2"/>
    </font>
    <font>
      <sz val="16"/>
      <color rgb="FFFF0000"/>
      <name val="Arial"/>
      <family val="2"/>
    </font>
    <font>
      <b/>
      <sz val="1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FF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43" fontId="6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5" fillId="0" borderId="0"/>
    <xf numFmtId="9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0" fontId="4" fillId="0" borderId="0" xfId="0" applyFont="1"/>
    <xf numFmtId="1" fontId="0" fillId="0" borderId="3" xfId="0" applyNumberFormat="1" applyBorder="1"/>
    <xf numFmtId="15" fontId="0" fillId="0" borderId="0" xfId="0" applyNumberFormat="1"/>
    <xf numFmtId="43" fontId="0" fillId="0" borderId="0" xfId="1" applyFont="1"/>
    <xf numFmtId="164" fontId="0" fillId="0" borderId="0" xfId="1" applyNumberFormat="1" applyFont="1"/>
    <xf numFmtId="164" fontId="0" fillId="0" borderId="0" xfId="1" applyNumberFormat="1" applyFont="1" applyFill="1"/>
    <xf numFmtId="0" fontId="0" fillId="0" borderId="0" xfId="0" applyFill="1"/>
    <xf numFmtId="165" fontId="5" fillId="0" borderId="1" xfId="1" applyNumberFormat="1" applyFont="1" applyBorder="1"/>
    <xf numFmtId="165" fontId="0" fillId="0" borderId="2" xfId="1" applyNumberFormat="1" applyFont="1" applyBorder="1"/>
    <xf numFmtId="13" fontId="0" fillId="0" borderId="0" xfId="1" applyNumberFormat="1" applyFont="1"/>
    <xf numFmtId="165" fontId="0" fillId="0" borderId="0" xfId="1" applyNumberFormat="1" applyFont="1" applyFill="1"/>
    <xf numFmtId="0" fontId="5" fillId="0" borderId="0" xfId="4"/>
    <xf numFmtId="165" fontId="5" fillId="0" borderId="0" xfId="1" applyNumberFormat="1" applyFont="1"/>
    <xf numFmtId="165" fontId="0" fillId="0" borderId="3" xfId="1" applyNumberFormat="1" applyFont="1" applyBorder="1"/>
    <xf numFmtId="165" fontId="0" fillId="0" borderId="0" xfId="1" applyNumberFormat="1" applyFont="1"/>
    <xf numFmtId="43" fontId="4" fillId="0" borderId="0" xfId="1" applyFont="1"/>
    <xf numFmtId="0" fontId="5" fillId="0" borderId="0" xfId="0" applyFont="1"/>
    <xf numFmtId="43" fontId="8" fillId="0" borderId="0" xfId="1" applyFont="1"/>
    <xf numFmtId="0" fontId="0" fillId="2" borderId="0" xfId="0" applyFill="1"/>
    <xf numFmtId="165" fontId="0" fillId="0" borderId="0" xfId="0" applyNumberFormat="1"/>
    <xf numFmtId="0" fontId="10" fillId="0" borderId="0" xfId="0" applyFont="1"/>
    <xf numFmtId="43" fontId="11" fillId="0" borderId="0" xfId="1" applyFont="1" applyAlignment="1">
      <alignment vertical="center"/>
    </xf>
    <xf numFmtId="0" fontId="10" fillId="0" borderId="0" xfId="0" applyFont="1" applyFill="1" applyBorder="1" applyAlignment="1">
      <alignment horizontal="left"/>
    </xf>
    <xf numFmtId="0" fontId="10" fillId="0" borderId="0" xfId="0" applyFont="1" applyBorder="1"/>
    <xf numFmtId="0" fontId="12" fillId="0" borderId="0" xfId="0" applyFont="1" applyBorder="1"/>
    <xf numFmtId="0" fontId="10" fillId="0" borderId="0" xfId="0" applyFont="1" applyFill="1" applyBorder="1"/>
    <xf numFmtId="0" fontId="10" fillId="0" borderId="0" xfId="0" applyFont="1" applyAlignment="1">
      <alignment horizontal="left"/>
    </xf>
    <xf numFmtId="43" fontId="11" fillId="0" borderId="0" xfId="1" applyFont="1" applyAlignment="1">
      <alignment horizontal="left" vertical="center" indent="2"/>
    </xf>
    <xf numFmtId="164" fontId="0" fillId="2" borderId="0" xfId="1" applyNumberFormat="1" applyFont="1" applyFill="1"/>
    <xf numFmtId="0" fontId="10" fillId="2" borderId="0" xfId="0" applyFont="1" applyFill="1"/>
    <xf numFmtId="0" fontId="0" fillId="2" borderId="0" xfId="0" applyFill="1" applyBorder="1" applyAlignment="1">
      <alignment horizontal="left"/>
    </xf>
    <xf numFmtId="0" fontId="0" fillId="2" borderId="0" xfId="0" applyFill="1" applyBorder="1"/>
    <xf numFmtId="10" fontId="0" fillId="3" borderId="0" xfId="5" applyNumberFormat="1" applyFont="1" applyFill="1"/>
    <xf numFmtId="165" fontId="5" fillId="3" borderId="0" xfId="1" applyNumberFormat="1" applyFont="1" applyFill="1"/>
    <xf numFmtId="43" fontId="0" fillId="0" borderId="0" xfId="0" applyNumberFormat="1"/>
    <xf numFmtId="43" fontId="5" fillId="0" borderId="0" xfId="6" applyFont="1"/>
    <xf numFmtId="0" fontId="5" fillId="0" borderId="0" xfId="4"/>
    <xf numFmtId="165" fontId="5" fillId="0" borderId="0" xfId="6" applyNumberFormat="1" applyFont="1"/>
    <xf numFmtId="166" fontId="5" fillId="0" borderId="0" xfId="6" applyNumberFormat="1" applyFont="1"/>
    <xf numFmtId="165" fontId="5" fillId="0" borderId="0" xfId="1" applyNumberFormat="1" applyFont="1" applyBorder="1"/>
    <xf numFmtId="165" fontId="0" fillId="0" borderId="0" xfId="1" applyNumberFormat="1" applyFont="1" applyBorder="1"/>
    <xf numFmtId="43" fontId="7" fillId="0" borderId="0" xfId="1" applyFont="1"/>
    <xf numFmtId="164" fontId="5" fillId="0" borderId="0" xfId="1" applyNumberFormat="1" applyFont="1"/>
    <xf numFmtId="165" fontId="5" fillId="0" borderId="0" xfId="6" applyNumberFormat="1" applyFont="1" applyAlignment="1">
      <alignment horizontal="left" indent="1"/>
    </xf>
    <xf numFmtId="43" fontId="5" fillId="0" borderId="0" xfId="1" applyFont="1" applyAlignment="1">
      <alignment horizontal="left" indent="1"/>
    </xf>
    <xf numFmtId="165" fontId="7" fillId="2" borderId="0" xfId="1" applyNumberFormat="1" applyFont="1" applyFill="1"/>
    <xf numFmtId="43" fontId="0" fillId="0" borderId="0" xfId="1" applyFont="1" applyFill="1"/>
    <xf numFmtId="0" fontId="7" fillId="0" borderId="0" xfId="0" applyFont="1"/>
    <xf numFmtId="165" fontId="7" fillId="4" borderId="0" xfId="1" applyNumberFormat="1" applyFont="1" applyFill="1"/>
    <xf numFmtId="165" fontId="7" fillId="0" borderId="0" xfId="1" applyNumberFormat="1" applyFont="1" applyFill="1"/>
    <xf numFmtId="43" fontId="5" fillId="0" borderId="0" xfId="6" applyFont="1" applyFill="1" applyAlignment="1">
      <alignment horizontal="left"/>
    </xf>
    <xf numFmtId="43" fontId="7" fillId="2" borderId="0" xfId="1" applyFont="1" applyFill="1" applyBorder="1"/>
    <xf numFmtId="0" fontId="7" fillId="0" borderId="0" xfId="0" applyFont="1" applyBorder="1"/>
    <xf numFmtId="165" fontId="7" fillId="2" borderId="0" xfId="1" applyNumberFormat="1" applyFont="1" applyFill="1" applyBorder="1"/>
    <xf numFmtId="43" fontId="13" fillId="0" borderId="0" xfId="1" applyFont="1" applyAlignment="1">
      <alignment horizontal="center"/>
    </xf>
    <xf numFmtId="0" fontId="5" fillId="0" borderId="0" xfId="0" applyFont="1" applyFill="1"/>
    <xf numFmtId="43" fontId="5" fillId="0" borderId="0" xfId="1" applyFont="1" applyFill="1"/>
    <xf numFmtId="165" fontId="5" fillId="0" borderId="0" xfId="6" applyNumberFormat="1" applyFont="1" applyFill="1"/>
    <xf numFmtId="165" fontId="5" fillId="0" borderId="0" xfId="0" applyNumberFormat="1" applyFont="1" applyFill="1"/>
    <xf numFmtId="43" fontId="5" fillId="0" borderId="0" xfId="1" applyFont="1"/>
    <xf numFmtId="164" fontId="0" fillId="5" borderId="0" xfId="1" applyNumberFormat="1" applyFont="1" applyFill="1"/>
    <xf numFmtId="165" fontId="5" fillId="0" borderId="0" xfId="1" applyNumberFormat="1" applyFont="1" applyFill="1"/>
    <xf numFmtId="43" fontId="5" fillId="0" borderId="0" xfId="4" applyNumberFormat="1"/>
    <xf numFmtId="165" fontId="5" fillId="0" borderId="0" xfId="6" applyNumberFormat="1" applyFont="1" applyFill="1" applyAlignment="1">
      <alignment horizontal="left" indent="1"/>
    </xf>
    <xf numFmtId="0" fontId="14" fillId="0" borderId="0" xfId="0" applyFont="1" applyAlignment="1">
      <alignment horizontal="right"/>
    </xf>
    <xf numFmtId="43" fontId="15" fillId="0" borderId="0" xfId="1" applyFont="1"/>
    <xf numFmtId="43" fontId="16" fillId="0" borderId="0" xfId="1" applyFont="1"/>
    <xf numFmtId="165" fontId="0" fillId="0" borderId="0" xfId="0" applyNumberFormat="1" applyFill="1"/>
    <xf numFmtId="43" fontId="0" fillId="0" borderId="0" xfId="0" applyNumberFormat="1" applyFill="1"/>
  </cellXfs>
  <cellStyles count="9">
    <cellStyle name="Comma" xfId="1" builtinId="3"/>
    <cellStyle name="Comma 2" xfId="3"/>
    <cellStyle name="Comma 2 2" xfId="8"/>
    <cellStyle name="Comma 3" xfId="6"/>
    <cellStyle name="Normal" xfId="0" builtinId="0"/>
    <cellStyle name="Normal 2" xfId="2"/>
    <cellStyle name="Normal 2 2" xfId="7"/>
    <cellStyle name="Normal 3" xfId="4"/>
    <cellStyle name="Percent" xfId="5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20</xdr:row>
          <xdr:rowOff>28575</xdr:rowOff>
        </xdr:from>
        <xdr:to>
          <xdr:col>5</xdr:col>
          <xdr:colOff>581025</xdr:colOff>
          <xdr:row>22</xdr:row>
          <xdr:rowOff>90488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sydyak/Documents/MBA-BOOTH/24-Winter%202017/35130%20-%20Fixed%20Income%20Asset%20Pricing%20-%20TA/NEW%20HOMEWORKS/HW7/original/Ch12_BDTBinomialTree_MBS_Fitting_Mac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Tree"/>
      <sheetName val="BondPrice"/>
      <sheetName val="MortgageTree_NoCall"/>
      <sheetName val="MortgageValue"/>
      <sheetName val="PassThroughSecurity"/>
      <sheetName val="PrincipalOnly"/>
      <sheetName val="InterestOnly"/>
      <sheetName val="Sheet3"/>
      <sheetName val="Data"/>
    </sheetNames>
    <sheetDataSet>
      <sheetData sheetId="0">
        <row r="5">
          <cell r="C5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DR259"/>
  <sheetViews>
    <sheetView tabSelected="1" zoomScaleNormal="100" workbookViewId="0"/>
  </sheetViews>
  <sheetFormatPr defaultColWidth="9.1328125" defaultRowHeight="12.75" outlineLevelRow="1" outlineLevelCol="1" x14ac:dyDescent="0.35"/>
  <cols>
    <col min="1" max="1" width="9.265625" bestFit="1" customWidth="1"/>
    <col min="2" max="5" width="6.265625" bestFit="1" customWidth="1"/>
    <col min="6" max="9" width="7.1328125" bestFit="1" customWidth="1"/>
    <col min="10" max="20" width="7.265625" bestFit="1" customWidth="1"/>
    <col min="21" max="21" width="7.265625" bestFit="1" customWidth="1" collapsed="1"/>
    <col min="22" max="23" width="7.265625" hidden="1" customWidth="1" outlineLevel="1"/>
    <col min="24" max="26" width="8.265625" hidden="1" customWidth="1" outlineLevel="1"/>
    <col min="27" max="27" width="9.265625" hidden="1" customWidth="1" outlineLevel="1"/>
    <col min="28" max="29" width="8.265625" hidden="1" customWidth="1" outlineLevel="1"/>
    <col min="30" max="30" width="7.265625" hidden="1" customWidth="1" outlineLevel="1"/>
    <col min="31" max="32" width="7.1328125" hidden="1" customWidth="1" outlineLevel="1"/>
    <col min="33" max="33" width="7.265625" hidden="1" customWidth="1" outlineLevel="1"/>
    <col min="34" max="35" width="8.265625" hidden="1" customWidth="1" outlineLevel="1"/>
    <col min="36" max="36" width="9.265625" hidden="1" customWidth="1" outlineLevel="1"/>
    <col min="37" max="40" width="10.265625" hidden="1" customWidth="1" outlineLevel="1"/>
    <col min="41" max="42" width="9.265625" hidden="1" customWidth="1" outlineLevel="1"/>
    <col min="43" max="43" width="8.265625" hidden="1" customWidth="1" outlineLevel="1"/>
    <col min="44" max="50" width="8.1328125" hidden="1" customWidth="1" outlineLevel="1"/>
    <col min="51" max="53" width="8.265625" hidden="1" customWidth="1" outlineLevel="1"/>
    <col min="54" max="58" width="9.265625" hidden="1" customWidth="1" outlineLevel="1"/>
    <col min="59" max="61" width="10.265625" hidden="1" customWidth="1" outlineLevel="1"/>
    <col min="62" max="89" width="9.265625" hidden="1" customWidth="1" outlineLevel="1"/>
    <col min="90" max="118" width="10.265625" hidden="1" customWidth="1" outlineLevel="1"/>
    <col min="119" max="121" width="10.265625" bestFit="1" customWidth="1"/>
    <col min="122" max="122" width="8.1328125" bestFit="1" customWidth="1"/>
    <col min="123" max="16384" width="9.1328125" style="7"/>
  </cols>
  <sheetData>
    <row r="1" spans="1:122" s="21" customFormat="1" ht="14.25" x14ac:dyDescent="0.45">
      <c r="B1" s="22" t="s">
        <v>14</v>
      </c>
      <c r="O1" s="23"/>
      <c r="P1" s="24"/>
      <c r="Q1" s="25"/>
      <c r="R1" s="26"/>
      <c r="S1" s="24"/>
      <c r="T1" s="24"/>
      <c r="U1" s="24"/>
      <c r="V1" s="24"/>
      <c r="W1" s="24"/>
      <c r="X1" s="24"/>
      <c r="Y1" s="24"/>
      <c r="Z1" s="24"/>
      <c r="AA1" s="24"/>
      <c r="AB1" s="24"/>
      <c r="AD1" s="27"/>
    </row>
    <row r="2" spans="1:122" customFormat="1" ht="14.25" x14ac:dyDescent="0.35">
      <c r="B2" s="28" t="s">
        <v>15</v>
      </c>
    </row>
    <row r="3" spans="1:122" s="21" customFormat="1" ht="14.25" x14ac:dyDescent="0.45">
      <c r="B3" s="28" t="s">
        <v>16</v>
      </c>
      <c r="O3" s="23"/>
      <c r="P3" s="24"/>
      <c r="Q3" s="25"/>
      <c r="R3" s="26"/>
      <c r="S3" s="24"/>
      <c r="T3" s="24"/>
      <c r="U3" s="24"/>
      <c r="V3" s="24"/>
      <c r="W3" s="24"/>
      <c r="X3" s="24"/>
      <c r="Y3" s="24"/>
      <c r="Z3" s="24"/>
      <c r="AA3" s="24"/>
      <c r="AB3" s="24"/>
      <c r="AD3" s="27"/>
    </row>
    <row r="4" spans="1:122" customFormat="1" x14ac:dyDescent="0.35"/>
    <row r="5" spans="1:122" s="19" customFormat="1" ht="14.25" x14ac:dyDescent="0.45">
      <c r="D5" s="29"/>
      <c r="E5" s="29"/>
      <c r="F5" s="29"/>
      <c r="G5" s="29"/>
      <c r="I5" s="29"/>
      <c r="J5" s="29"/>
      <c r="K5" s="30"/>
      <c r="L5" s="31"/>
      <c r="M5" s="31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0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</row>
    <row r="6" spans="1:122" customFormat="1" x14ac:dyDescent="0.35"/>
    <row r="7" spans="1:122" ht="13.15" x14ac:dyDescent="0.4">
      <c r="A7" s="1" t="s">
        <v>3</v>
      </c>
      <c r="E7" s="3"/>
      <c r="F7" s="3"/>
      <c r="G7" s="3"/>
      <c r="H7" s="3"/>
      <c r="I7" s="3"/>
      <c r="N7" s="1"/>
      <c r="O7" s="1"/>
    </row>
    <row r="8" spans="1:122" x14ac:dyDescent="0.35">
      <c r="BJ8" s="4"/>
    </row>
    <row r="9" spans="1:122" s="6" customFormat="1" x14ac:dyDescent="0.35">
      <c r="A9" s="5" t="s">
        <v>2</v>
      </c>
      <c r="B9" s="5">
        <v>0</v>
      </c>
      <c r="C9" s="10">
        <v>0.25</v>
      </c>
      <c r="D9" s="10">
        <v>0.5</v>
      </c>
      <c r="E9" s="10">
        <v>0.75</v>
      </c>
      <c r="F9" s="10">
        <v>1</v>
      </c>
      <c r="G9" s="10">
        <v>1.25</v>
      </c>
      <c r="H9" s="10">
        <v>1.5</v>
      </c>
      <c r="I9" s="10">
        <v>1.75</v>
      </c>
      <c r="J9" s="10">
        <v>2</v>
      </c>
      <c r="K9" s="10">
        <v>2.25</v>
      </c>
      <c r="L9" s="10">
        <v>2.5</v>
      </c>
      <c r="M9" s="10">
        <v>2.75</v>
      </c>
      <c r="N9" s="10">
        <v>3</v>
      </c>
      <c r="O9" s="10">
        <v>3.25</v>
      </c>
      <c r="P9" s="10">
        <v>3.5</v>
      </c>
      <c r="Q9" s="10">
        <v>3.75</v>
      </c>
      <c r="R9" s="10">
        <v>4</v>
      </c>
      <c r="S9" s="10">
        <v>4.25</v>
      </c>
      <c r="T9" s="10">
        <v>4.5</v>
      </c>
      <c r="U9" s="10">
        <v>4.75</v>
      </c>
      <c r="V9" s="10">
        <v>5</v>
      </c>
      <c r="W9" s="10">
        <v>5.25</v>
      </c>
      <c r="X9" s="10">
        <v>5.5</v>
      </c>
      <c r="Y9" s="10">
        <v>5.75</v>
      </c>
      <c r="Z9" s="10">
        <v>6</v>
      </c>
      <c r="AA9" s="10">
        <v>6.25</v>
      </c>
      <c r="AB9" s="10">
        <v>6.5</v>
      </c>
      <c r="AC9" s="10">
        <v>6.75</v>
      </c>
      <c r="AD9" s="10">
        <v>7</v>
      </c>
      <c r="AE9" s="10">
        <v>7.25</v>
      </c>
      <c r="AF9" s="10">
        <v>7.5</v>
      </c>
      <c r="AG9" s="10">
        <v>7.75</v>
      </c>
      <c r="AH9" s="10">
        <v>8</v>
      </c>
      <c r="AI9" s="10">
        <v>8.25</v>
      </c>
      <c r="AJ9" s="10">
        <v>8.5</v>
      </c>
      <c r="AK9" s="10">
        <v>8.75</v>
      </c>
      <c r="AL9" s="10">
        <v>9</v>
      </c>
      <c r="AM9" s="10">
        <v>9.25</v>
      </c>
      <c r="AN9" s="10">
        <v>9.5</v>
      </c>
      <c r="AO9" s="10">
        <v>9.75</v>
      </c>
      <c r="AP9" s="10">
        <v>10</v>
      </c>
      <c r="AQ9" s="10">
        <v>10.25</v>
      </c>
      <c r="AR9" s="10">
        <v>10.5</v>
      </c>
      <c r="AS9" s="10">
        <v>10.75</v>
      </c>
      <c r="AT9" s="10">
        <v>11</v>
      </c>
      <c r="AU9" s="10">
        <v>11.25</v>
      </c>
      <c r="AV9" s="10">
        <v>11.5</v>
      </c>
      <c r="AW9" s="10">
        <v>11.75</v>
      </c>
      <c r="AX9" s="10">
        <v>12</v>
      </c>
      <c r="AY9" s="10">
        <v>12.25</v>
      </c>
      <c r="AZ9" s="10">
        <v>12.5</v>
      </c>
      <c r="BA9" s="10">
        <v>12.75</v>
      </c>
      <c r="BB9" s="10">
        <v>13</v>
      </c>
      <c r="BC9" s="10">
        <v>13.25</v>
      </c>
      <c r="BD9" s="10">
        <v>13.5</v>
      </c>
      <c r="BE9" s="10">
        <v>13.75</v>
      </c>
      <c r="BF9" s="10">
        <v>14</v>
      </c>
      <c r="BG9" s="10">
        <v>14.25</v>
      </c>
      <c r="BH9" s="10">
        <v>14.5</v>
      </c>
      <c r="BI9" s="10">
        <v>14.75</v>
      </c>
      <c r="BJ9" s="10">
        <v>15</v>
      </c>
      <c r="BK9" s="10">
        <v>15.25</v>
      </c>
      <c r="BL9" s="10">
        <v>15.5</v>
      </c>
      <c r="BM9" s="10">
        <v>15.75</v>
      </c>
      <c r="BN9" s="10">
        <v>16</v>
      </c>
      <c r="BO9" s="10">
        <v>16.25</v>
      </c>
      <c r="BP9" s="10">
        <v>16.5</v>
      </c>
      <c r="BQ9" s="10">
        <v>16.75</v>
      </c>
      <c r="BR9" s="10">
        <v>17</v>
      </c>
      <c r="BS9" s="10">
        <v>17.25</v>
      </c>
      <c r="BT9" s="10">
        <v>17.5</v>
      </c>
      <c r="BU9" s="10">
        <v>17.75</v>
      </c>
      <c r="BV9" s="10">
        <v>18</v>
      </c>
      <c r="BW9" s="10">
        <v>18.25</v>
      </c>
      <c r="BX9" s="10">
        <v>18.5</v>
      </c>
      <c r="BY9" s="10">
        <v>18.75</v>
      </c>
      <c r="BZ9" s="10">
        <v>19</v>
      </c>
      <c r="CA9" s="10">
        <v>19.25</v>
      </c>
      <c r="CB9" s="10">
        <v>19.5</v>
      </c>
      <c r="CC9" s="10">
        <v>19.75</v>
      </c>
      <c r="CD9" s="10">
        <v>20</v>
      </c>
      <c r="CE9" s="10">
        <v>20.25</v>
      </c>
      <c r="CF9" s="10">
        <v>20.5</v>
      </c>
      <c r="CG9" s="10">
        <v>20.75</v>
      </c>
      <c r="CH9" s="10">
        <v>21</v>
      </c>
      <c r="CI9" s="10">
        <v>21.25</v>
      </c>
      <c r="CJ9" s="10">
        <v>21.5</v>
      </c>
      <c r="CK9" s="10">
        <v>21.75</v>
      </c>
      <c r="CL9" s="10">
        <v>22</v>
      </c>
      <c r="CM9" s="10">
        <v>22.25</v>
      </c>
      <c r="CN9" s="10">
        <v>22.5</v>
      </c>
      <c r="CO9" s="10">
        <v>22.75</v>
      </c>
      <c r="CP9" s="10">
        <v>23</v>
      </c>
      <c r="CQ9" s="10">
        <v>23.25</v>
      </c>
      <c r="CR9" s="10">
        <v>23.5</v>
      </c>
      <c r="CS9" s="10">
        <v>23.75</v>
      </c>
      <c r="CT9" s="10">
        <v>24</v>
      </c>
      <c r="CU9" s="10">
        <v>24.25</v>
      </c>
      <c r="CV9" s="10">
        <v>24.5</v>
      </c>
      <c r="CW9" s="10">
        <v>24.75</v>
      </c>
      <c r="CX9" s="10">
        <v>25</v>
      </c>
      <c r="CY9" s="10">
        <v>25.25</v>
      </c>
      <c r="CZ9" s="10">
        <v>25.5</v>
      </c>
      <c r="DA9" s="10">
        <v>25.75</v>
      </c>
      <c r="DB9" s="10">
        <v>26</v>
      </c>
      <c r="DC9" s="10">
        <v>26.25</v>
      </c>
      <c r="DD9" s="10">
        <v>26.5</v>
      </c>
      <c r="DE9" s="10">
        <v>26.75</v>
      </c>
      <c r="DF9" s="10">
        <v>27</v>
      </c>
      <c r="DG9" s="10">
        <v>27.25</v>
      </c>
      <c r="DH9" s="10">
        <v>27.5</v>
      </c>
      <c r="DI9" s="10">
        <v>27.75</v>
      </c>
      <c r="DJ9" s="10">
        <v>28</v>
      </c>
      <c r="DK9" s="10">
        <v>28.25</v>
      </c>
      <c r="DL9" s="10">
        <v>28.5</v>
      </c>
      <c r="DM9" s="10">
        <v>28.75</v>
      </c>
      <c r="DN9" s="10">
        <v>29</v>
      </c>
      <c r="DO9" s="10">
        <v>29.25</v>
      </c>
      <c r="DP9" s="10">
        <v>29.5</v>
      </c>
      <c r="DQ9" s="10">
        <v>29.75</v>
      </c>
      <c r="DR9" s="10">
        <v>30</v>
      </c>
    </row>
    <row r="10" spans="1:122" s="11" customFormat="1" x14ac:dyDescent="0.35">
      <c r="A10" s="8" t="s">
        <v>1</v>
      </c>
      <c r="B10" s="9">
        <v>0</v>
      </c>
      <c r="C10" s="9">
        <v>1</v>
      </c>
      <c r="D10" s="9">
        <v>2</v>
      </c>
      <c r="E10" s="9">
        <v>3</v>
      </c>
      <c r="F10" s="9">
        <v>4</v>
      </c>
      <c r="G10" s="9">
        <v>5</v>
      </c>
      <c r="H10" s="9">
        <v>6</v>
      </c>
      <c r="I10" s="9">
        <v>7</v>
      </c>
      <c r="J10" s="9">
        <v>8</v>
      </c>
      <c r="K10" s="9">
        <v>9</v>
      </c>
      <c r="L10" s="9">
        <v>10</v>
      </c>
      <c r="M10" s="9">
        <v>11</v>
      </c>
      <c r="N10" s="9">
        <v>12</v>
      </c>
      <c r="O10" s="9">
        <v>13</v>
      </c>
      <c r="P10" s="9">
        <v>14</v>
      </c>
      <c r="Q10" s="9">
        <v>15</v>
      </c>
      <c r="R10" s="9">
        <v>16</v>
      </c>
      <c r="S10" s="9">
        <v>17</v>
      </c>
      <c r="T10" s="9">
        <v>18</v>
      </c>
      <c r="U10" s="9">
        <v>19</v>
      </c>
      <c r="V10" s="9">
        <v>20</v>
      </c>
      <c r="W10" s="9">
        <v>21</v>
      </c>
      <c r="X10" s="9">
        <v>22</v>
      </c>
      <c r="Y10" s="9">
        <v>23</v>
      </c>
      <c r="Z10" s="9">
        <v>24</v>
      </c>
      <c r="AA10" s="9">
        <v>25</v>
      </c>
      <c r="AB10" s="9">
        <v>26</v>
      </c>
      <c r="AC10" s="9">
        <v>27</v>
      </c>
      <c r="AD10" s="9">
        <v>28</v>
      </c>
      <c r="AE10" s="9">
        <v>29</v>
      </c>
      <c r="AF10" s="9">
        <v>30</v>
      </c>
      <c r="AG10" s="9">
        <v>31</v>
      </c>
      <c r="AH10" s="9">
        <v>32</v>
      </c>
      <c r="AI10" s="9">
        <v>33</v>
      </c>
      <c r="AJ10" s="9">
        <v>34</v>
      </c>
      <c r="AK10" s="9">
        <v>35</v>
      </c>
      <c r="AL10" s="9">
        <v>36</v>
      </c>
      <c r="AM10" s="9">
        <v>37</v>
      </c>
      <c r="AN10" s="9">
        <v>38</v>
      </c>
      <c r="AO10" s="9">
        <v>39</v>
      </c>
      <c r="AP10" s="9">
        <v>40</v>
      </c>
      <c r="AQ10" s="9">
        <v>41</v>
      </c>
      <c r="AR10" s="9">
        <v>42</v>
      </c>
      <c r="AS10" s="9">
        <v>43</v>
      </c>
      <c r="AT10" s="9">
        <v>44</v>
      </c>
      <c r="AU10" s="9">
        <v>45</v>
      </c>
      <c r="AV10" s="9">
        <v>46</v>
      </c>
      <c r="AW10" s="9">
        <v>47</v>
      </c>
      <c r="AX10" s="9">
        <v>48</v>
      </c>
      <c r="AY10" s="9">
        <v>49</v>
      </c>
      <c r="AZ10" s="9">
        <v>50</v>
      </c>
      <c r="BA10" s="9">
        <v>51</v>
      </c>
      <c r="BB10" s="9">
        <v>52</v>
      </c>
      <c r="BC10" s="9">
        <v>53</v>
      </c>
      <c r="BD10" s="9">
        <v>54</v>
      </c>
      <c r="BE10" s="9">
        <v>55</v>
      </c>
      <c r="BF10" s="9">
        <v>56</v>
      </c>
      <c r="BG10" s="9">
        <v>57</v>
      </c>
      <c r="BH10" s="9">
        <v>58</v>
      </c>
      <c r="BI10" s="9">
        <v>59</v>
      </c>
      <c r="BJ10" s="9">
        <v>60</v>
      </c>
      <c r="BK10" s="9">
        <v>61</v>
      </c>
      <c r="BL10" s="9">
        <v>62</v>
      </c>
      <c r="BM10" s="9">
        <v>63</v>
      </c>
      <c r="BN10" s="9">
        <v>64</v>
      </c>
      <c r="BO10" s="9">
        <v>65</v>
      </c>
      <c r="BP10" s="9">
        <v>66</v>
      </c>
      <c r="BQ10" s="9">
        <v>67</v>
      </c>
      <c r="BR10" s="9">
        <v>68</v>
      </c>
      <c r="BS10" s="9">
        <v>69</v>
      </c>
      <c r="BT10" s="9">
        <v>70</v>
      </c>
      <c r="BU10" s="9">
        <v>71</v>
      </c>
      <c r="BV10" s="9">
        <v>72</v>
      </c>
      <c r="BW10" s="9">
        <v>73</v>
      </c>
      <c r="BX10" s="9">
        <v>74</v>
      </c>
      <c r="BY10" s="9">
        <v>75</v>
      </c>
      <c r="BZ10" s="9">
        <v>76</v>
      </c>
      <c r="CA10" s="9">
        <v>77</v>
      </c>
      <c r="CB10" s="9">
        <v>78</v>
      </c>
      <c r="CC10" s="9">
        <v>79</v>
      </c>
      <c r="CD10" s="9">
        <v>80</v>
      </c>
      <c r="CE10" s="9">
        <v>81</v>
      </c>
      <c r="CF10" s="9">
        <v>82</v>
      </c>
      <c r="CG10" s="9">
        <v>83</v>
      </c>
      <c r="CH10" s="9">
        <v>84</v>
      </c>
      <c r="CI10" s="9">
        <v>85</v>
      </c>
      <c r="CJ10" s="9">
        <v>86</v>
      </c>
      <c r="CK10" s="9">
        <v>87</v>
      </c>
      <c r="CL10" s="9">
        <v>88</v>
      </c>
      <c r="CM10" s="9">
        <v>89</v>
      </c>
      <c r="CN10" s="9">
        <v>90</v>
      </c>
      <c r="CO10" s="9">
        <v>91</v>
      </c>
      <c r="CP10" s="9">
        <v>92</v>
      </c>
      <c r="CQ10" s="9">
        <v>93</v>
      </c>
      <c r="CR10" s="9">
        <v>94</v>
      </c>
      <c r="CS10" s="9">
        <v>95</v>
      </c>
      <c r="CT10" s="9">
        <v>96</v>
      </c>
      <c r="CU10" s="9">
        <v>97</v>
      </c>
      <c r="CV10" s="9">
        <v>98</v>
      </c>
      <c r="CW10" s="9">
        <v>99</v>
      </c>
      <c r="CX10" s="9">
        <v>100</v>
      </c>
      <c r="CY10" s="9">
        <v>101</v>
      </c>
      <c r="CZ10" s="9">
        <v>102</v>
      </c>
      <c r="DA10" s="9">
        <v>103</v>
      </c>
      <c r="DB10" s="9">
        <v>104</v>
      </c>
      <c r="DC10" s="9">
        <v>105</v>
      </c>
      <c r="DD10" s="9">
        <v>106</v>
      </c>
      <c r="DE10" s="9">
        <v>107</v>
      </c>
      <c r="DF10" s="9">
        <v>108</v>
      </c>
      <c r="DG10" s="9">
        <v>109</v>
      </c>
      <c r="DH10" s="9">
        <v>110</v>
      </c>
      <c r="DI10" s="9">
        <v>111</v>
      </c>
      <c r="DJ10" s="9">
        <v>112</v>
      </c>
      <c r="DK10" s="9">
        <v>113</v>
      </c>
      <c r="DL10" s="9">
        <v>114</v>
      </c>
      <c r="DM10" s="9">
        <v>115</v>
      </c>
      <c r="DN10" s="9">
        <v>116</v>
      </c>
      <c r="DO10" s="9">
        <v>117</v>
      </c>
      <c r="DP10" s="9">
        <v>118</v>
      </c>
      <c r="DQ10" s="9">
        <v>119</v>
      </c>
      <c r="DR10" s="9">
        <v>120</v>
      </c>
    </row>
    <row r="11" spans="1:122" x14ac:dyDescent="0.35">
      <c r="A11" s="2">
        <v>0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</row>
    <row r="12" spans="1:122" x14ac:dyDescent="0.35">
      <c r="A12" s="2">
        <v>1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</row>
    <row r="13" spans="1:122" x14ac:dyDescent="0.35">
      <c r="A13" s="2">
        <v>2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</row>
    <row r="14" spans="1:122" x14ac:dyDescent="0.35">
      <c r="A14" s="2">
        <v>3</v>
      </c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</row>
    <row r="15" spans="1:122" x14ac:dyDescent="0.35">
      <c r="A15" s="2">
        <v>4</v>
      </c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</row>
    <row r="16" spans="1:122" x14ac:dyDescent="0.35">
      <c r="A16" s="2">
        <v>5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</row>
    <row r="17" spans="1:122" x14ac:dyDescent="0.35">
      <c r="A17" s="2">
        <v>6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</row>
    <row r="18" spans="1:122" x14ac:dyDescent="0.35">
      <c r="A18" s="2">
        <v>7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</row>
    <row r="19" spans="1:122" x14ac:dyDescent="0.35">
      <c r="A19" s="2">
        <v>8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</row>
    <row r="20" spans="1:122" x14ac:dyDescent="0.35">
      <c r="A20" s="2">
        <v>9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</row>
    <row r="21" spans="1:122" collapsed="1" x14ac:dyDescent="0.35">
      <c r="A21" s="2">
        <v>10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</row>
    <row r="22" spans="1:122" hidden="1" outlineLevel="1" x14ac:dyDescent="0.35">
      <c r="A22" s="2">
        <v>11</v>
      </c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</row>
    <row r="23" spans="1:122" hidden="1" outlineLevel="1" x14ac:dyDescent="0.35">
      <c r="A23" s="2">
        <v>12</v>
      </c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</row>
    <row r="24" spans="1:122" hidden="1" outlineLevel="1" x14ac:dyDescent="0.35">
      <c r="A24" s="2">
        <v>13</v>
      </c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</row>
    <row r="25" spans="1:122" hidden="1" outlineLevel="1" x14ac:dyDescent="0.35">
      <c r="A25" s="2">
        <v>14</v>
      </c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3"/>
      <c r="CP25" s="33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</row>
    <row r="26" spans="1:122" hidden="1" outlineLevel="1" x14ac:dyDescent="0.35">
      <c r="A26" s="2">
        <v>15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3"/>
      <c r="CP26" s="33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</row>
    <row r="27" spans="1:122" hidden="1" outlineLevel="1" x14ac:dyDescent="0.35">
      <c r="A27" s="2">
        <v>16</v>
      </c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  <c r="CE27" s="33"/>
      <c r="CF27" s="33"/>
      <c r="CG27" s="33"/>
      <c r="CH27" s="33"/>
      <c r="CI27" s="33"/>
      <c r="CJ27" s="33"/>
      <c r="CK27" s="33"/>
      <c r="CL27" s="33"/>
      <c r="CM27" s="33"/>
      <c r="CN27" s="33"/>
      <c r="CO27" s="33"/>
      <c r="CP27" s="33"/>
      <c r="CQ27" s="33"/>
      <c r="CR27" s="33"/>
      <c r="CS27" s="33"/>
      <c r="CT27" s="33"/>
      <c r="CU27" s="33"/>
      <c r="CV27" s="33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</row>
    <row r="28" spans="1:122" hidden="1" outlineLevel="1" x14ac:dyDescent="0.35">
      <c r="A28" s="2">
        <v>17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</row>
    <row r="29" spans="1:122" hidden="1" outlineLevel="1" x14ac:dyDescent="0.35">
      <c r="A29" s="2">
        <v>18</v>
      </c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3"/>
      <c r="CH29" s="33"/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3"/>
      <c r="CV29" s="33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</row>
    <row r="30" spans="1:122" hidden="1" outlineLevel="1" x14ac:dyDescent="0.35">
      <c r="A30" s="2">
        <v>19</v>
      </c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</row>
    <row r="31" spans="1:122" hidden="1" outlineLevel="1" x14ac:dyDescent="0.35">
      <c r="A31" s="2">
        <v>20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</row>
    <row r="32" spans="1:122" hidden="1" outlineLevel="1" x14ac:dyDescent="0.35">
      <c r="A32" s="2">
        <v>21</v>
      </c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3"/>
      <c r="CV32" s="33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</row>
    <row r="33" spans="1:122" hidden="1" outlineLevel="1" x14ac:dyDescent="0.35">
      <c r="A33" s="2">
        <v>22</v>
      </c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s="33"/>
      <c r="CE33" s="33"/>
      <c r="CF33" s="33"/>
      <c r="CG33" s="33"/>
      <c r="CH33" s="33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3"/>
      <c r="CV33" s="33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</row>
    <row r="34" spans="1:122" hidden="1" outlineLevel="1" x14ac:dyDescent="0.35">
      <c r="A34" s="2">
        <v>23</v>
      </c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  <c r="CD34" s="33"/>
      <c r="CE34" s="33"/>
      <c r="CF34" s="33"/>
      <c r="CG34" s="33"/>
      <c r="CH34" s="33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3"/>
      <c r="CV34" s="33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</row>
    <row r="35" spans="1:122" hidden="1" outlineLevel="1" x14ac:dyDescent="0.35">
      <c r="A35" s="2">
        <v>24</v>
      </c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  <c r="CD35" s="33"/>
      <c r="CE35" s="33"/>
      <c r="CF35" s="33"/>
      <c r="CG35" s="33"/>
      <c r="CH35" s="33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3"/>
      <c r="CV35" s="33"/>
      <c r="CW35" s="33"/>
      <c r="CX35" s="33"/>
      <c r="CY35" s="33"/>
      <c r="CZ35" s="33"/>
      <c r="DA35" s="33"/>
      <c r="DB35" s="33"/>
      <c r="DC35" s="33"/>
      <c r="DD35" s="33"/>
      <c r="DE35" s="33"/>
      <c r="DF35" s="33"/>
      <c r="DG35" s="33"/>
      <c r="DH35" s="33"/>
      <c r="DI35" s="33"/>
      <c r="DJ35" s="33"/>
      <c r="DK35" s="33"/>
      <c r="DL35" s="33"/>
      <c r="DM35" s="33"/>
      <c r="DN35" s="33"/>
      <c r="DO35" s="33"/>
      <c r="DP35" s="33"/>
      <c r="DQ35" s="33"/>
      <c r="DR35" s="33"/>
    </row>
    <row r="36" spans="1:122" hidden="1" outlineLevel="1" x14ac:dyDescent="0.35">
      <c r="A36" s="2">
        <v>25</v>
      </c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s="33"/>
      <c r="CE36" s="33"/>
      <c r="CF36" s="33"/>
      <c r="CG36" s="33"/>
      <c r="CH36" s="33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3"/>
      <c r="CV36" s="33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</row>
    <row r="37" spans="1:122" hidden="1" outlineLevel="1" x14ac:dyDescent="0.35">
      <c r="A37" s="2">
        <v>26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  <c r="CD37" s="33"/>
      <c r="CE37" s="33"/>
      <c r="CF37" s="33"/>
      <c r="CG37" s="33"/>
      <c r="CH37" s="33"/>
      <c r="CI37" s="33"/>
      <c r="CJ37" s="33"/>
      <c r="CK37" s="33"/>
      <c r="CL37" s="33"/>
      <c r="CM37" s="33"/>
      <c r="CN37" s="33"/>
      <c r="CO37" s="33"/>
      <c r="CP37" s="33"/>
      <c r="CQ37" s="33"/>
      <c r="CR37" s="33"/>
      <c r="CS37" s="33"/>
      <c r="CT37" s="33"/>
      <c r="CU37" s="33"/>
      <c r="CV37" s="33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</row>
    <row r="38" spans="1:122" hidden="1" outlineLevel="1" x14ac:dyDescent="0.35">
      <c r="A38" s="2">
        <v>27</v>
      </c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s="33"/>
      <c r="CE38" s="33"/>
      <c r="CF38" s="33"/>
      <c r="CG38" s="33"/>
      <c r="CH38" s="33"/>
      <c r="CI38" s="33"/>
      <c r="CJ38" s="33"/>
      <c r="CK38" s="33"/>
      <c r="CL38" s="33"/>
      <c r="CM38" s="33"/>
      <c r="CN38" s="33"/>
      <c r="CO38" s="33"/>
      <c r="CP38" s="33"/>
      <c r="CQ38" s="33"/>
      <c r="CR38" s="33"/>
      <c r="CS38" s="33"/>
      <c r="CT38" s="33"/>
      <c r="CU38" s="33"/>
      <c r="CV38" s="33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</row>
    <row r="39" spans="1:122" hidden="1" outlineLevel="1" x14ac:dyDescent="0.35">
      <c r="A39" s="2">
        <v>28</v>
      </c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  <c r="CO39" s="33"/>
      <c r="CP39" s="33"/>
      <c r="CQ39" s="33"/>
      <c r="CR39" s="33"/>
      <c r="CS39" s="33"/>
      <c r="CT39" s="33"/>
      <c r="CU39" s="33"/>
      <c r="CV39" s="33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</row>
    <row r="40" spans="1:122" hidden="1" outlineLevel="1" x14ac:dyDescent="0.35">
      <c r="A40" s="2">
        <v>29</v>
      </c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</row>
    <row r="41" spans="1:122" hidden="1" outlineLevel="1" x14ac:dyDescent="0.35">
      <c r="A41" s="2">
        <v>30</v>
      </c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</row>
    <row r="42" spans="1:122" hidden="1" outlineLevel="1" x14ac:dyDescent="0.35">
      <c r="A42" s="2">
        <v>31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</row>
    <row r="43" spans="1:122" hidden="1" outlineLevel="1" x14ac:dyDescent="0.35">
      <c r="A43" s="2">
        <v>32</v>
      </c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</row>
    <row r="44" spans="1:122" hidden="1" outlineLevel="1" x14ac:dyDescent="0.35">
      <c r="A44" s="2">
        <v>33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</row>
    <row r="45" spans="1:122" hidden="1" outlineLevel="1" x14ac:dyDescent="0.35">
      <c r="A45" s="2">
        <v>34</v>
      </c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</row>
    <row r="46" spans="1:122" hidden="1" outlineLevel="1" x14ac:dyDescent="0.35">
      <c r="A46" s="2">
        <v>35</v>
      </c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3"/>
      <c r="CV46" s="33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</row>
    <row r="47" spans="1:122" hidden="1" outlineLevel="1" x14ac:dyDescent="0.35">
      <c r="A47" s="2">
        <v>36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</row>
    <row r="48" spans="1:122" hidden="1" outlineLevel="1" x14ac:dyDescent="0.35">
      <c r="A48" s="2">
        <v>37</v>
      </c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</row>
    <row r="49" spans="1:122" hidden="1" outlineLevel="1" x14ac:dyDescent="0.35">
      <c r="A49" s="2">
        <v>38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3"/>
      <c r="CV49" s="33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</row>
    <row r="50" spans="1:122" hidden="1" outlineLevel="1" x14ac:dyDescent="0.35">
      <c r="A50" s="2">
        <v>39</v>
      </c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3"/>
      <c r="CV50" s="33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</row>
    <row r="51" spans="1:122" hidden="1" outlineLevel="1" x14ac:dyDescent="0.35">
      <c r="A51" s="2">
        <v>40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  <c r="CD51" s="33"/>
      <c r="CE51" s="33"/>
      <c r="CF51" s="33"/>
      <c r="CG51" s="33"/>
      <c r="CH51" s="33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3"/>
      <c r="CV51" s="33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</row>
    <row r="52" spans="1:122" hidden="1" outlineLevel="1" x14ac:dyDescent="0.35">
      <c r="A52" s="2">
        <v>41</v>
      </c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3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3"/>
      <c r="CV52" s="33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</row>
    <row r="53" spans="1:122" hidden="1" outlineLevel="1" x14ac:dyDescent="0.35">
      <c r="A53" s="2">
        <v>42</v>
      </c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3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3"/>
      <c r="CV53" s="33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</row>
    <row r="54" spans="1:122" hidden="1" outlineLevel="1" x14ac:dyDescent="0.35">
      <c r="A54" s="2">
        <v>43</v>
      </c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</row>
    <row r="55" spans="1:122" hidden="1" outlineLevel="1" x14ac:dyDescent="0.35">
      <c r="A55" s="2">
        <v>44</v>
      </c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  <c r="CD55" s="33"/>
      <c r="CE55" s="33"/>
      <c r="CF55" s="33"/>
      <c r="CG55" s="33"/>
      <c r="CH55" s="33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3"/>
      <c r="CV55" s="33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</row>
    <row r="56" spans="1:122" hidden="1" outlineLevel="1" x14ac:dyDescent="0.35">
      <c r="A56" s="2">
        <v>45</v>
      </c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  <c r="CD56" s="33"/>
      <c r="CE56" s="33"/>
      <c r="CF56" s="33"/>
      <c r="CG56" s="33"/>
      <c r="CH56" s="33"/>
      <c r="CI56" s="33"/>
      <c r="CJ56" s="33"/>
      <c r="CK56" s="33"/>
      <c r="CL56" s="33"/>
      <c r="CM56" s="33"/>
      <c r="CN56" s="33"/>
      <c r="CO56" s="33"/>
      <c r="CP56" s="33"/>
      <c r="CQ56" s="33"/>
      <c r="CR56" s="33"/>
      <c r="CS56" s="33"/>
      <c r="CT56" s="33"/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</row>
    <row r="57" spans="1:122" hidden="1" outlineLevel="1" x14ac:dyDescent="0.35">
      <c r="A57" s="2">
        <v>46</v>
      </c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3"/>
      <c r="CF57" s="33"/>
      <c r="CG57" s="33"/>
      <c r="CH57" s="33"/>
      <c r="CI57" s="33"/>
      <c r="CJ57" s="33"/>
      <c r="CK57" s="33"/>
      <c r="CL57" s="33"/>
      <c r="CM57" s="33"/>
      <c r="CN57" s="33"/>
      <c r="CO57" s="33"/>
      <c r="CP57" s="33"/>
      <c r="CQ57" s="33"/>
      <c r="CR57" s="33"/>
      <c r="CS57" s="33"/>
      <c r="CT57" s="33"/>
      <c r="CU57" s="33"/>
      <c r="CV57" s="33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</row>
    <row r="58" spans="1:122" hidden="1" outlineLevel="1" x14ac:dyDescent="0.35">
      <c r="A58" s="2">
        <v>47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3"/>
      <c r="CJ58" s="33"/>
      <c r="CK58" s="33"/>
      <c r="CL58" s="33"/>
      <c r="CM58" s="33"/>
      <c r="CN58" s="33"/>
      <c r="CO58" s="33"/>
      <c r="CP58" s="33"/>
      <c r="CQ58" s="33"/>
      <c r="CR58" s="33"/>
      <c r="CS58" s="33"/>
      <c r="CT58" s="33"/>
      <c r="CU58" s="33"/>
      <c r="CV58" s="33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</row>
    <row r="59" spans="1:122" hidden="1" outlineLevel="1" x14ac:dyDescent="0.35">
      <c r="A59" s="2">
        <v>48</v>
      </c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  <c r="CJ59" s="33"/>
      <c r="CK59" s="33"/>
      <c r="CL59" s="33"/>
      <c r="CM59" s="33"/>
      <c r="CN59" s="33"/>
      <c r="CO59" s="33"/>
      <c r="CP59" s="33"/>
      <c r="CQ59" s="33"/>
      <c r="CR59" s="33"/>
      <c r="CS59" s="33"/>
      <c r="CT59" s="33"/>
      <c r="CU59" s="33"/>
      <c r="CV59" s="33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</row>
    <row r="60" spans="1:122" hidden="1" outlineLevel="1" x14ac:dyDescent="0.35">
      <c r="A60" s="2">
        <v>49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3"/>
      <c r="CK60" s="33"/>
      <c r="CL60" s="33"/>
      <c r="CM60" s="33"/>
      <c r="CN60" s="33"/>
      <c r="CO60" s="33"/>
      <c r="CP60" s="33"/>
      <c r="CQ60" s="33"/>
      <c r="CR60" s="33"/>
      <c r="CS60" s="33"/>
      <c r="CT60" s="33"/>
      <c r="CU60" s="33"/>
      <c r="CV60" s="33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</row>
    <row r="61" spans="1:122" hidden="1" outlineLevel="1" x14ac:dyDescent="0.35">
      <c r="A61" s="2">
        <v>50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3"/>
      <c r="CG61" s="33"/>
      <c r="CH61" s="33"/>
      <c r="CI61" s="33"/>
      <c r="CJ61" s="33"/>
      <c r="CK61" s="33"/>
      <c r="CL61" s="33"/>
      <c r="CM61" s="33"/>
      <c r="CN61" s="33"/>
      <c r="CO61" s="33"/>
      <c r="CP61" s="33"/>
      <c r="CQ61" s="33"/>
      <c r="CR61" s="33"/>
      <c r="CS61" s="33"/>
      <c r="CT61" s="33"/>
      <c r="CU61" s="33"/>
      <c r="CV61" s="33"/>
      <c r="CW61" s="33"/>
      <c r="CX61" s="33"/>
      <c r="CY61" s="33"/>
      <c r="CZ61" s="33"/>
      <c r="DA61" s="33"/>
      <c r="DB61" s="33"/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</row>
    <row r="62" spans="1:122" hidden="1" outlineLevel="1" x14ac:dyDescent="0.35">
      <c r="A62" s="2">
        <v>51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3"/>
      <c r="CK62" s="33"/>
      <c r="CL62" s="33"/>
      <c r="CM62" s="33"/>
      <c r="CN62" s="33"/>
      <c r="CO62" s="33"/>
      <c r="CP62" s="33"/>
      <c r="CQ62" s="33"/>
      <c r="CR62" s="33"/>
      <c r="CS62" s="33"/>
      <c r="CT62" s="33"/>
      <c r="CU62" s="33"/>
      <c r="CV62" s="33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</row>
    <row r="63" spans="1:122" hidden="1" outlineLevel="1" x14ac:dyDescent="0.35">
      <c r="A63" s="2">
        <v>52</v>
      </c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</row>
    <row r="64" spans="1:122" hidden="1" outlineLevel="1" x14ac:dyDescent="0.35">
      <c r="A64" s="2">
        <v>53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s="33"/>
      <c r="CE64" s="33"/>
      <c r="CF64" s="33"/>
      <c r="CG64" s="33"/>
      <c r="CH64" s="33"/>
      <c r="CI64" s="33"/>
      <c r="CJ64" s="33"/>
      <c r="CK64" s="33"/>
      <c r="CL64" s="33"/>
      <c r="CM64" s="33"/>
      <c r="CN64" s="33"/>
      <c r="CO64" s="33"/>
      <c r="CP64" s="33"/>
      <c r="CQ64" s="33"/>
      <c r="CR64" s="33"/>
      <c r="CS64" s="33"/>
      <c r="CT64" s="33"/>
      <c r="CU64" s="33"/>
      <c r="CV64" s="33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</row>
    <row r="65" spans="1:122" hidden="1" outlineLevel="1" x14ac:dyDescent="0.35">
      <c r="A65" s="2">
        <v>54</v>
      </c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3"/>
      <c r="CV65" s="33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</row>
    <row r="66" spans="1:122" hidden="1" outlineLevel="1" x14ac:dyDescent="0.35">
      <c r="A66" s="2">
        <v>55</v>
      </c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  <c r="CJ66" s="33"/>
      <c r="CK66" s="33"/>
      <c r="CL66" s="33"/>
      <c r="CM66" s="33"/>
      <c r="CN66" s="33"/>
      <c r="CO66" s="33"/>
      <c r="CP66" s="33"/>
      <c r="CQ66" s="33"/>
      <c r="CR66" s="33"/>
      <c r="CS66" s="33"/>
      <c r="CT66" s="33"/>
      <c r="CU66" s="33"/>
      <c r="CV66" s="33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</row>
    <row r="67" spans="1:122" hidden="1" outlineLevel="1" x14ac:dyDescent="0.35">
      <c r="A67" s="2">
        <v>56</v>
      </c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3"/>
      <c r="CV67" s="33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</row>
    <row r="68" spans="1:122" hidden="1" outlineLevel="1" x14ac:dyDescent="0.35">
      <c r="A68" s="2">
        <v>57</v>
      </c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  <c r="CD68" s="33"/>
      <c r="CE68" s="33"/>
      <c r="CF68" s="33"/>
      <c r="CG68" s="33"/>
      <c r="CH68" s="33"/>
      <c r="CI68" s="33"/>
      <c r="CJ68" s="33"/>
      <c r="CK68" s="33"/>
      <c r="CL68" s="33"/>
      <c r="CM68" s="33"/>
      <c r="CN68" s="33"/>
      <c r="CO68" s="33"/>
      <c r="CP68" s="33"/>
      <c r="CQ68" s="33"/>
      <c r="CR68" s="33"/>
      <c r="CS68" s="33"/>
      <c r="CT68" s="33"/>
      <c r="CU68" s="33"/>
      <c r="CV68" s="33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</row>
    <row r="69" spans="1:122" hidden="1" outlineLevel="1" x14ac:dyDescent="0.35">
      <c r="A69" s="2">
        <v>58</v>
      </c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  <c r="CD69" s="33"/>
      <c r="CE69" s="33"/>
      <c r="CF69" s="33"/>
      <c r="CG69" s="33"/>
      <c r="CH69" s="33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3"/>
      <c r="CV69" s="33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</row>
    <row r="70" spans="1:122" hidden="1" outlineLevel="1" x14ac:dyDescent="0.35">
      <c r="A70" s="2">
        <v>59</v>
      </c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s="33"/>
      <c r="CE70" s="33"/>
      <c r="CF70" s="33"/>
      <c r="CG70" s="33"/>
      <c r="CH70" s="33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3"/>
      <c r="CV70" s="33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</row>
    <row r="71" spans="1:122" hidden="1" outlineLevel="1" x14ac:dyDescent="0.35">
      <c r="A71" s="2">
        <v>60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3"/>
      <c r="CG71" s="33"/>
      <c r="CH71" s="33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3"/>
      <c r="CV71" s="33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</row>
    <row r="72" spans="1:122" hidden="1" outlineLevel="1" x14ac:dyDescent="0.35">
      <c r="A72" s="2">
        <v>61</v>
      </c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3"/>
      <c r="CV72" s="33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</row>
    <row r="73" spans="1:122" hidden="1" outlineLevel="1" x14ac:dyDescent="0.35">
      <c r="A73" s="2">
        <v>62</v>
      </c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3"/>
      <c r="CG73" s="33"/>
      <c r="CH73" s="33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3"/>
      <c r="CV73" s="33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</row>
    <row r="74" spans="1:122" hidden="1" outlineLevel="1" x14ac:dyDescent="0.35">
      <c r="A74" s="2">
        <v>63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3"/>
      <c r="CG74" s="33"/>
      <c r="CH74" s="33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3"/>
      <c r="CV74" s="33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</row>
    <row r="75" spans="1:122" hidden="1" outlineLevel="1" x14ac:dyDescent="0.35">
      <c r="A75" s="2">
        <v>64</v>
      </c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</row>
    <row r="76" spans="1:122" hidden="1" outlineLevel="1" x14ac:dyDescent="0.35">
      <c r="A76" s="2">
        <v>65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s="33"/>
      <c r="CE76" s="33"/>
      <c r="CF76" s="33"/>
      <c r="CG76" s="33"/>
      <c r="CH76" s="33"/>
      <c r="CI76" s="33"/>
      <c r="CJ76" s="33"/>
      <c r="CK76" s="33"/>
      <c r="CL76" s="33"/>
      <c r="CM76" s="33"/>
      <c r="CN76" s="33"/>
      <c r="CO76" s="33"/>
      <c r="CP76" s="33"/>
      <c r="CQ76" s="33"/>
      <c r="CR76" s="33"/>
      <c r="CS76" s="33"/>
      <c r="CT76" s="33"/>
      <c r="CU76" s="33"/>
      <c r="CV76" s="33"/>
      <c r="CW76" s="33"/>
      <c r="CX76" s="33"/>
      <c r="CY76" s="33"/>
      <c r="CZ76" s="33"/>
      <c r="DA76" s="33"/>
      <c r="DB76" s="33"/>
      <c r="DC76" s="33"/>
      <c r="DD76" s="33"/>
      <c r="DE76" s="33"/>
      <c r="DF76" s="33"/>
      <c r="DG76" s="33"/>
      <c r="DH76" s="33"/>
      <c r="DI76" s="33"/>
      <c r="DJ76" s="33"/>
      <c r="DK76" s="33"/>
      <c r="DL76" s="33"/>
      <c r="DM76" s="33"/>
      <c r="DN76" s="33"/>
      <c r="DO76" s="33"/>
      <c r="DP76" s="33"/>
      <c r="DQ76" s="33"/>
      <c r="DR76" s="33"/>
    </row>
    <row r="77" spans="1:122" hidden="1" outlineLevel="1" x14ac:dyDescent="0.35">
      <c r="A77" s="2">
        <v>66</v>
      </c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s="33"/>
      <c r="CE77" s="33"/>
      <c r="CF77" s="33"/>
      <c r="CG77" s="33"/>
      <c r="CH77" s="33"/>
      <c r="CI77" s="33"/>
      <c r="CJ77" s="33"/>
      <c r="CK77" s="33"/>
      <c r="CL77" s="33"/>
      <c r="CM77" s="33"/>
      <c r="CN77" s="33"/>
      <c r="CO77" s="33"/>
      <c r="CP77" s="33"/>
      <c r="CQ77" s="33"/>
      <c r="CR77" s="33"/>
      <c r="CS77" s="33"/>
      <c r="CT77" s="33"/>
      <c r="CU77" s="33"/>
      <c r="CV77" s="33"/>
      <c r="CW77" s="33"/>
      <c r="CX77" s="33"/>
      <c r="CY77" s="33"/>
      <c r="CZ77" s="33"/>
      <c r="DA77" s="33"/>
      <c r="DB77" s="33"/>
      <c r="DC77" s="33"/>
      <c r="DD77" s="33"/>
      <c r="DE77" s="33"/>
      <c r="DF77" s="33"/>
      <c r="DG77" s="33"/>
      <c r="DH77" s="33"/>
      <c r="DI77" s="33"/>
      <c r="DJ77" s="33"/>
      <c r="DK77" s="33"/>
      <c r="DL77" s="33"/>
      <c r="DM77" s="33"/>
      <c r="DN77" s="33"/>
      <c r="DO77" s="33"/>
      <c r="DP77" s="33"/>
      <c r="DQ77" s="33"/>
      <c r="DR77" s="33"/>
    </row>
    <row r="78" spans="1:122" hidden="1" outlineLevel="1" x14ac:dyDescent="0.35">
      <c r="A78" s="2">
        <v>67</v>
      </c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  <c r="CD78" s="33"/>
      <c r="CE78" s="33"/>
      <c r="CF78" s="33"/>
      <c r="CG78" s="33"/>
      <c r="CH78" s="33"/>
      <c r="CI78" s="33"/>
      <c r="CJ78" s="33"/>
      <c r="CK78" s="33"/>
      <c r="CL78" s="33"/>
      <c r="CM78" s="33"/>
      <c r="CN78" s="33"/>
      <c r="CO78" s="33"/>
      <c r="CP78" s="33"/>
      <c r="CQ78" s="33"/>
      <c r="CR78" s="33"/>
      <c r="CS78" s="33"/>
      <c r="CT78" s="33"/>
      <c r="CU78" s="33"/>
      <c r="CV78" s="33"/>
      <c r="CW78" s="33"/>
      <c r="CX78" s="33"/>
      <c r="CY78" s="33"/>
      <c r="CZ78" s="33"/>
      <c r="DA78" s="33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</row>
    <row r="79" spans="1:122" hidden="1" outlineLevel="1" x14ac:dyDescent="0.35">
      <c r="A79" s="2">
        <v>68</v>
      </c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s="33"/>
      <c r="CE79" s="33"/>
      <c r="CF79" s="33"/>
      <c r="CG79" s="33"/>
      <c r="CH79" s="33"/>
      <c r="CI79" s="33"/>
      <c r="CJ79" s="33"/>
      <c r="CK79" s="33"/>
      <c r="CL79" s="33"/>
      <c r="CM79" s="33"/>
      <c r="CN79" s="33"/>
      <c r="CO79" s="33"/>
      <c r="CP79" s="33"/>
      <c r="CQ79" s="33"/>
      <c r="CR79" s="33"/>
      <c r="CS79" s="33"/>
      <c r="CT79" s="33"/>
      <c r="CU79" s="33"/>
      <c r="CV79" s="33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</row>
    <row r="80" spans="1:122" hidden="1" outlineLevel="1" x14ac:dyDescent="0.35">
      <c r="A80" s="2">
        <v>69</v>
      </c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  <c r="CJ80" s="33"/>
      <c r="CK80" s="33"/>
      <c r="CL80" s="33"/>
      <c r="CM80" s="33"/>
      <c r="CN80" s="33"/>
      <c r="CO80" s="33"/>
      <c r="CP80" s="33"/>
      <c r="CQ80" s="33"/>
      <c r="CR80" s="33"/>
      <c r="CS80" s="33"/>
      <c r="CT80" s="33"/>
      <c r="CU80" s="33"/>
      <c r="CV80" s="33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</row>
    <row r="81" spans="1:122" hidden="1" outlineLevel="1" x14ac:dyDescent="0.35">
      <c r="A81" s="2">
        <v>70</v>
      </c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3"/>
      <c r="CR81" s="33"/>
      <c r="CS81" s="33"/>
      <c r="CT81" s="33"/>
      <c r="CU81" s="33"/>
      <c r="CV81" s="33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</row>
    <row r="82" spans="1:122" hidden="1" outlineLevel="1" x14ac:dyDescent="0.35">
      <c r="A82" s="2">
        <v>71</v>
      </c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s="33"/>
      <c r="CE82" s="33"/>
      <c r="CF82" s="33"/>
      <c r="CG82" s="33"/>
      <c r="CH82" s="33"/>
      <c r="CI82" s="33"/>
      <c r="CJ82" s="33"/>
      <c r="CK82" s="33"/>
      <c r="CL82" s="33"/>
      <c r="CM82" s="33"/>
      <c r="CN82" s="33"/>
      <c r="CO82" s="33"/>
      <c r="CP82" s="33"/>
      <c r="CQ82" s="33"/>
      <c r="CR82" s="33"/>
      <c r="CS82" s="33"/>
      <c r="CT82" s="33"/>
      <c r="CU82" s="33"/>
      <c r="CV82" s="33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</row>
    <row r="83" spans="1:122" hidden="1" outlineLevel="1" x14ac:dyDescent="0.35">
      <c r="A83" s="2">
        <v>72</v>
      </c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3"/>
      <c r="CG83" s="33"/>
      <c r="CH83" s="33"/>
      <c r="CI83" s="33"/>
      <c r="CJ83" s="33"/>
      <c r="CK83" s="33"/>
      <c r="CL83" s="33"/>
      <c r="CM83" s="33"/>
      <c r="CN83" s="33"/>
      <c r="CO83" s="33"/>
      <c r="CP83" s="33"/>
      <c r="CQ83" s="33"/>
      <c r="CR83" s="33"/>
      <c r="CS83" s="33"/>
      <c r="CT83" s="33"/>
      <c r="CU83" s="33"/>
      <c r="CV83" s="33"/>
      <c r="CW83" s="33"/>
      <c r="CX83" s="33"/>
      <c r="CY83" s="33"/>
      <c r="CZ83" s="33"/>
      <c r="DA83" s="33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</row>
    <row r="84" spans="1:122" hidden="1" outlineLevel="1" x14ac:dyDescent="0.35">
      <c r="A84" s="2">
        <v>73</v>
      </c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  <c r="CD84" s="33"/>
      <c r="CE84" s="33"/>
      <c r="CF84" s="33"/>
      <c r="CG84" s="33"/>
      <c r="CH84" s="33"/>
      <c r="CI84" s="33"/>
      <c r="CJ84" s="33"/>
      <c r="CK84" s="33"/>
      <c r="CL84" s="33"/>
      <c r="CM84" s="33"/>
      <c r="CN84" s="33"/>
      <c r="CO84" s="33"/>
      <c r="CP84" s="33"/>
      <c r="CQ84" s="33"/>
      <c r="CR84" s="33"/>
      <c r="CS84" s="33"/>
      <c r="CT84" s="33"/>
      <c r="CU84" s="33"/>
      <c r="CV84" s="33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</row>
    <row r="85" spans="1:122" hidden="1" outlineLevel="1" x14ac:dyDescent="0.35">
      <c r="A85" s="2">
        <v>74</v>
      </c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  <c r="CD85" s="33"/>
      <c r="CE85" s="33"/>
      <c r="CF85" s="33"/>
      <c r="CG85" s="33"/>
      <c r="CH85" s="33"/>
      <c r="CI85" s="33"/>
      <c r="CJ85" s="33"/>
      <c r="CK85" s="33"/>
      <c r="CL85" s="33"/>
      <c r="CM85" s="33"/>
      <c r="CN85" s="33"/>
      <c r="CO85" s="33"/>
      <c r="CP85" s="33"/>
      <c r="CQ85" s="33"/>
      <c r="CR85" s="33"/>
      <c r="CS85" s="33"/>
      <c r="CT85" s="33"/>
      <c r="CU85" s="33"/>
      <c r="CV85" s="33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</row>
    <row r="86" spans="1:122" hidden="1" outlineLevel="1" x14ac:dyDescent="0.35">
      <c r="A86" s="2">
        <v>75</v>
      </c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  <c r="CD86" s="33"/>
      <c r="CE86" s="33"/>
      <c r="CF86" s="33"/>
      <c r="CG86" s="33"/>
      <c r="CH86" s="33"/>
      <c r="CI86" s="33"/>
      <c r="CJ86" s="33"/>
      <c r="CK86" s="33"/>
      <c r="CL86" s="33"/>
      <c r="CM86" s="33"/>
      <c r="CN86" s="33"/>
      <c r="CO86" s="33"/>
      <c r="CP86" s="33"/>
      <c r="CQ86" s="33"/>
      <c r="CR86" s="33"/>
      <c r="CS86" s="33"/>
      <c r="CT86" s="33"/>
      <c r="CU86" s="33"/>
      <c r="CV86" s="33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</row>
    <row r="87" spans="1:122" hidden="1" outlineLevel="1" x14ac:dyDescent="0.35">
      <c r="A87" s="2">
        <v>76</v>
      </c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3"/>
      <c r="CG87" s="33"/>
      <c r="CH87" s="33"/>
      <c r="CI87" s="33"/>
      <c r="CJ87" s="33"/>
      <c r="CK87" s="33"/>
      <c r="CL87" s="33"/>
      <c r="CM87" s="33"/>
      <c r="CN87" s="33"/>
      <c r="CO87" s="33"/>
      <c r="CP87" s="33"/>
      <c r="CQ87" s="33"/>
      <c r="CR87" s="33"/>
      <c r="CS87" s="33"/>
      <c r="CT87" s="33"/>
      <c r="CU87" s="33"/>
      <c r="CV87" s="33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</row>
    <row r="88" spans="1:122" hidden="1" outlineLevel="1" x14ac:dyDescent="0.35">
      <c r="A88" s="2">
        <v>77</v>
      </c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  <c r="CD88" s="33"/>
      <c r="CE88" s="33"/>
      <c r="CF88" s="33"/>
      <c r="CG88" s="33"/>
      <c r="CH88" s="33"/>
      <c r="CI88" s="33"/>
      <c r="CJ88" s="33"/>
      <c r="CK88" s="33"/>
      <c r="CL88" s="33"/>
      <c r="CM88" s="33"/>
      <c r="CN88" s="33"/>
      <c r="CO88" s="33"/>
      <c r="CP88" s="33"/>
      <c r="CQ88" s="33"/>
      <c r="CR88" s="33"/>
      <c r="CS88" s="33"/>
      <c r="CT88" s="33"/>
      <c r="CU88" s="33"/>
      <c r="CV88" s="33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</row>
    <row r="89" spans="1:122" hidden="1" outlineLevel="1" x14ac:dyDescent="0.35">
      <c r="A89" s="2">
        <v>78</v>
      </c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  <c r="CD89" s="33"/>
      <c r="CE89" s="33"/>
      <c r="CF89" s="33"/>
      <c r="CG89" s="33"/>
      <c r="CH89" s="33"/>
      <c r="CI89" s="33"/>
      <c r="CJ89" s="33"/>
      <c r="CK89" s="33"/>
      <c r="CL89" s="33"/>
      <c r="CM89" s="33"/>
      <c r="CN89" s="33"/>
      <c r="CO89" s="33"/>
      <c r="CP89" s="33"/>
      <c r="CQ89" s="33"/>
      <c r="CR89" s="33"/>
      <c r="CS89" s="33"/>
      <c r="CT89" s="33"/>
      <c r="CU89" s="33"/>
      <c r="CV89" s="33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</row>
    <row r="90" spans="1:122" hidden="1" outlineLevel="1" x14ac:dyDescent="0.35">
      <c r="A90" s="2">
        <v>79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3"/>
      <c r="CR90" s="33"/>
      <c r="CS90" s="33"/>
      <c r="CT90" s="33"/>
      <c r="CU90" s="33"/>
      <c r="CV90" s="33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</row>
    <row r="91" spans="1:122" hidden="1" outlineLevel="1" x14ac:dyDescent="0.35">
      <c r="A91" s="2">
        <v>80</v>
      </c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  <c r="CD91" s="33"/>
      <c r="CE91" s="33"/>
      <c r="CF91" s="33"/>
      <c r="CG91" s="33"/>
      <c r="CH91" s="33"/>
      <c r="CI91" s="33"/>
      <c r="CJ91" s="33"/>
      <c r="CK91" s="33"/>
      <c r="CL91" s="33"/>
      <c r="CM91" s="33"/>
      <c r="CN91" s="33"/>
      <c r="CO91" s="33"/>
      <c r="CP91" s="33"/>
      <c r="CQ91" s="33"/>
      <c r="CR91" s="33"/>
      <c r="CS91" s="33"/>
      <c r="CT91" s="33"/>
      <c r="CU91" s="33"/>
      <c r="CV91" s="33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</row>
    <row r="92" spans="1:122" hidden="1" outlineLevel="1" x14ac:dyDescent="0.35">
      <c r="A92" s="2">
        <v>81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  <c r="CD92" s="33"/>
      <c r="CE92" s="33"/>
      <c r="CF92" s="33"/>
      <c r="CG92" s="33"/>
      <c r="CH92" s="33"/>
      <c r="CI92" s="33"/>
      <c r="CJ92" s="33"/>
      <c r="CK92" s="33"/>
      <c r="CL92" s="33"/>
      <c r="CM92" s="33"/>
      <c r="CN92" s="33"/>
      <c r="CO92" s="33"/>
      <c r="CP92" s="33"/>
      <c r="CQ92" s="33"/>
      <c r="CR92" s="33"/>
      <c r="CS92" s="33"/>
      <c r="CT92" s="33"/>
      <c r="CU92" s="33"/>
      <c r="CV92" s="33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</row>
    <row r="93" spans="1:122" hidden="1" outlineLevel="1" x14ac:dyDescent="0.35">
      <c r="A93" s="2">
        <v>82</v>
      </c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  <c r="CJ93" s="33"/>
      <c r="CK93" s="33"/>
      <c r="CL93" s="33"/>
      <c r="CM93" s="33"/>
      <c r="CN93" s="33"/>
      <c r="CO93" s="33"/>
      <c r="CP93" s="33"/>
      <c r="CQ93" s="33"/>
      <c r="CR93" s="33"/>
      <c r="CS93" s="33"/>
      <c r="CT93" s="33"/>
      <c r="CU93" s="33"/>
      <c r="CV93" s="33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</row>
    <row r="94" spans="1:122" hidden="1" outlineLevel="1" x14ac:dyDescent="0.35">
      <c r="A94" s="2">
        <v>83</v>
      </c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3"/>
      <c r="CG94" s="33"/>
      <c r="CH94" s="33"/>
      <c r="CI94" s="33"/>
      <c r="CJ94" s="33"/>
      <c r="CK94" s="33"/>
      <c r="CL94" s="33"/>
      <c r="CM94" s="33"/>
      <c r="CN94" s="33"/>
      <c r="CO94" s="33"/>
      <c r="CP94" s="33"/>
      <c r="CQ94" s="33"/>
      <c r="CR94" s="33"/>
      <c r="CS94" s="33"/>
      <c r="CT94" s="33"/>
      <c r="CU94" s="33"/>
      <c r="CV94" s="33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</row>
    <row r="95" spans="1:122" hidden="1" outlineLevel="1" x14ac:dyDescent="0.35">
      <c r="A95" s="2">
        <v>84</v>
      </c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3"/>
      <c r="CF95" s="33"/>
      <c r="CG95" s="33"/>
      <c r="CH95" s="33"/>
      <c r="CI95" s="33"/>
      <c r="CJ95" s="33"/>
      <c r="CK95" s="33"/>
      <c r="CL95" s="33"/>
      <c r="CM95" s="33"/>
      <c r="CN95" s="33"/>
      <c r="CO95" s="33"/>
      <c r="CP95" s="33"/>
      <c r="CQ95" s="33"/>
      <c r="CR95" s="33"/>
      <c r="CS95" s="33"/>
      <c r="CT95" s="33"/>
      <c r="CU95" s="33"/>
      <c r="CV95" s="33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</row>
    <row r="96" spans="1:122" hidden="1" outlineLevel="1" x14ac:dyDescent="0.35">
      <c r="A96" s="2">
        <v>85</v>
      </c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s="33"/>
      <c r="CE96" s="33"/>
      <c r="CF96" s="33"/>
      <c r="CG96" s="33"/>
      <c r="CH96" s="33"/>
      <c r="CI96" s="33"/>
      <c r="CJ96" s="33"/>
      <c r="CK96" s="33"/>
      <c r="CL96" s="33"/>
      <c r="CM96" s="33"/>
      <c r="CN96" s="33"/>
      <c r="CO96" s="33"/>
      <c r="CP96" s="33"/>
      <c r="CQ96" s="33"/>
      <c r="CR96" s="33"/>
      <c r="CS96" s="33"/>
      <c r="CT96" s="33"/>
      <c r="CU96" s="33"/>
      <c r="CV96" s="33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</row>
    <row r="97" spans="1:122" hidden="1" outlineLevel="1" x14ac:dyDescent="0.35">
      <c r="A97" s="2">
        <v>86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  <c r="CD97" s="33"/>
      <c r="CE97" s="33"/>
      <c r="CF97" s="33"/>
      <c r="CG97" s="33"/>
      <c r="CH97" s="33"/>
      <c r="CI97" s="33"/>
      <c r="CJ97" s="33"/>
      <c r="CK97" s="33"/>
      <c r="CL97" s="33"/>
      <c r="CM97" s="33"/>
      <c r="CN97" s="33"/>
      <c r="CO97" s="33"/>
      <c r="CP97" s="33"/>
      <c r="CQ97" s="33"/>
      <c r="CR97" s="33"/>
      <c r="CS97" s="33"/>
      <c r="CT97" s="33"/>
      <c r="CU97" s="33"/>
      <c r="CV97" s="33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</row>
    <row r="98" spans="1:122" hidden="1" outlineLevel="1" x14ac:dyDescent="0.35">
      <c r="A98" s="2">
        <v>87</v>
      </c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s="33"/>
      <c r="CE98" s="33"/>
      <c r="CF98" s="33"/>
      <c r="CG98" s="33"/>
      <c r="CH98" s="33"/>
      <c r="CI98" s="33"/>
      <c r="CJ98" s="33"/>
      <c r="CK98" s="33"/>
      <c r="CL98" s="33"/>
      <c r="CM98" s="33"/>
      <c r="CN98" s="33"/>
      <c r="CO98" s="33"/>
      <c r="CP98" s="33"/>
      <c r="CQ98" s="33"/>
      <c r="CR98" s="33"/>
      <c r="CS98" s="33"/>
      <c r="CT98" s="33"/>
      <c r="CU98" s="33"/>
      <c r="CV98" s="33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</row>
    <row r="99" spans="1:122" hidden="1" outlineLevel="1" x14ac:dyDescent="0.35">
      <c r="A99" s="2">
        <v>88</v>
      </c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  <c r="CD99" s="33"/>
      <c r="CE99" s="33"/>
      <c r="CF99" s="33"/>
      <c r="CG99" s="33"/>
      <c r="CH99" s="33"/>
      <c r="CI99" s="33"/>
      <c r="CJ99" s="33"/>
      <c r="CK99" s="33"/>
      <c r="CL99" s="33"/>
      <c r="CM99" s="33"/>
      <c r="CN99" s="33"/>
      <c r="CO99" s="33"/>
      <c r="CP99" s="33"/>
      <c r="CQ99" s="33"/>
      <c r="CR99" s="33"/>
      <c r="CS99" s="33"/>
      <c r="CT99" s="33"/>
      <c r="CU99" s="33"/>
      <c r="CV99" s="33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</row>
    <row r="100" spans="1:122" hidden="1" outlineLevel="1" x14ac:dyDescent="0.35">
      <c r="A100" s="2">
        <v>89</v>
      </c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33"/>
      <c r="CM100" s="33"/>
      <c r="CN100" s="33"/>
      <c r="CO100" s="33"/>
      <c r="CP100" s="33"/>
      <c r="CQ100" s="33"/>
      <c r="CR100" s="33"/>
      <c r="CS100" s="33"/>
      <c r="CT100" s="33"/>
      <c r="CU100" s="33"/>
      <c r="CV100" s="33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</row>
    <row r="101" spans="1:122" hidden="1" outlineLevel="1" x14ac:dyDescent="0.35">
      <c r="A101" s="2">
        <v>90</v>
      </c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3"/>
      <c r="CG101" s="33"/>
      <c r="CH101" s="33"/>
      <c r="CI101" s="33"/>
      <c r="CJ101" s="33"/>
      <c r="CK101" s="33"/>
      <c r="CL101" s="33"/>
      <c r="CM101" s="33"/>
      <c r="CN101" s="33"/>
      <c r="CO101" s="33"/>
      <c r="CP101" s="33"/>
      <c r="CQ101" s="33"/>
      <c r="CR101" s="33"/>
      <c r="CS101" s="33"/>
      <c r="CT101" s="33"/>
      <c r="CU101" s="33"/>
      <c r="CV101" s="33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</row>
    <row r="102" spans="1:122" hidden="1" outlineLevel="1" x14ac:dyDescent="0.35">
      <c r="A102" s="2">
        <v>91</v>
      </c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3"/>
      <c r="CQ102" s="33"/>
      <c r="CR102" s="33"/>
      <c r="CS102" s="33"/>
      <c r="CT102" s="33"/>
      <c r="CU102" s="33"/>
      <c r="CV102" s="33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</row>
    <row r="103" spans="1:122" hidden="1" outlineLevel="1" x14ac:dyDescent="0.35">
      <c r="A103" s="2">
        <v>92</v>
      </c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3"/>
      <c r="CG103" s="33"/>
      <c r="CH103" s="33"/>
      <c r="CI103" s="33"/>
      <c r="CJ103" s="33"/>
      <c r="CK103" s="33"/>
      <c r="CL103" s="33"/>
      <c r="CM103" s="33"/>
      <c r="CN103" s="33"/>
      <c r="CO103" s="33"/>
      <c r="CP103" s="33"/>
      <c r="CQ103" s="33"/>
      <c r="CR103" s="33"/>
      <c r="CS103" s="33"/>
      <c r="CT103" s="33"/>
      <c r="CU103" s="33"/>
      <c r="CV103" s="33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</row>
    <row r="104" spans="1:122" hidden="1" outlineLevel="1" x14ac:dyDescent="0.35">
      <c r="A104" s="2">
        <v>93</v>
      </c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3"/>
      <c r="CG104" s="33"/>
      <c r="CH104" s="33"/>
      <c r="CI104" s="33"/>
      <c r="CJ104" s="33"/>
      <c r="CK104" s="33"/>
      <c r="CL104" s="33"/>
      <c r="CM104" s="33"/>
      <c r="CN104" s="33"/>
      <c r="CO104" s="33"/>
      <c r="CP104" s="33"/>
      <c r="CQ104" s="33"/>
      <c r="CR104" s="33"/>
      <c r="CS104" s="33"/>
      <c r="CT104" s="33"/>
      <c r="CU104" s="33"/>
      <c r="CV104" s="33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</row>
    <row r="105" spans="1:122" hidden="1" outlineLevel="1" x14ac:dyDescent="0.35">
      <c r="A105" s="2">
        <v>94</v>
      </c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3"/>
      <c r="CG105" s="33"/>
      <c r="CH105" s="33"/>
      <c r="CI105" s="33"/>
      <c r="CJ105" s="33"/>
      <c r="CK105" s="33"/>
      <c r="CL105" s="33"/>
      <c r="CM105" s="33"/>
      <c r="CN105" s="33"/>
      <c r="CO105" s="33"/>
      <c r="CP105" s="33"/>
      <c r="CQ105" s="33"/>
      <c r="CR105" s="33"/>
      <c r="CS105" s="33"/>
      <c r="CT105" s="33"/>
      <c r="CU105" s="33"/>
      <c r="CV105" s="33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</row>
    <row r="106" spans="1:122" hidden="1" outlineLevel="1" x14ac:dyDescent="0.35">
      <c r="A106" s="2">
        <v>95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  <c r="CJ106" s="33"/>
      <c r="CK106" s="33"/>
      <c r="CL106" s="33"/>
      <c r="CM106" s="33"/>
      <c r="CN106" s="33"/>
      <c r="CO106" s="33"/>
      <c r="CP106" s="33"/>
      <c r="CQ106" s="33"/>
      <c r="CR106" s="33"/>
      <c r="CS106" s="33"/>
      <c r="CT106" s="33"/>
      <c r="CU106" s="33"/>
      <c r="CV106" s="33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</row>
    <row r="107" spans="1:122" hidden="1" outlineLevel="1" x14ac:dyDescent="0.35">
      <c r="A107" s="2">
        <v>96</v>
      </c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  <c r="CD107" s="33"/>
      <c r="CE107" s="33"/>
      <c r="CF107" s="33"/>
      <c r="CG107" s="33"/>
      <c r="CH107" s="33"/>
      <c r="CI107" s="33"/>
      <c r="CJ107" s="33"/>
      <c r="CK107" s="33"/>
      <c r="CL107" s="33"/>
      <c r="CM107" s="33"/>
      <c r="CN107" s="33"/>
      <c r="CO107" s="33"/>
      <c r="CP107" s="33"/>
      <c r="CQ107" s="33"/>
      <c r="CR107" s="33"/>
      <c r="CS107" s="33"/>
      <c r="CT107" s="33"/>
      <c r="CU107" s="33"/>
      <c r="CV107" s="33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</row>
    <row r="108" spans="1:122" hidden="1" outlineLevel="1" x14ac:dyDescent="0.35">
      <c r="A108" s="2">
        <v>97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  <c r="CJ108" s="33"/>
      <c r="CK108" s="33"/>
      <c r="CL108" s="33"/>
      <c r="CM108" s="33"/>
      <c r="CN108" s="33"/>
      <c r="CO108" s="33"/>
      <c r="CP108" s="33"/>
      <c r="CQ108" s="33"/>
      <c r="CR108" s="33"/>
      <c r="CS108" s="33"/>
      <c r="CT108" s="33"/>
      <c r="CU108" s="33"/>
      <c r="CV108" s="33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</row>
    <row r="109" spans="1:122" hidden="1" outlineLevel="1" x14ac:dyDescent="0.35">
      <c r="A109" s="2">
        <v>98</v>
      </c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s="33"/>
      <c r="CE109" s="33"/>
      <c r="CF109" s="33"/>
      <c r="CG109" s="33"/>
      <c r="CH109" s="33"/>
      <c r="CI109" s="33"/>
      <c r="CJ109" s="33"/>
      <c r="CK109" s="33"/>
      <c r="CL109" s="33"/>
      <c r="CM109" s="33"/>
      <c r="CN109" s="33"/>
      <c r="CO109" s="33"/>
      <c r="CP109" s="33"/>
      <c r="CQ109" s="33"/>
      <c r="CR109" s="33"/>
      <c r="CS109" s="33"/>
      <c r="CT109" s="33"/>
      <c r="CU109" s="33"/>
      <c r="CV109" s="33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</row>
    <row r="110" spans="1:122" hidden="1" outlineLevel="1" x14ac:dyDescent="0.35">
      <c r="A110" s="2">
        <v>99</v>
      </c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s="33"/>
      <c r="CE110" s="33"/>
      <c r="CF110" s="33"/>
      <c r="CG110" s="33"/>
      <c r="CH110" s="33"/>
      <c r="CI110" s="33"/>
      <c r="CJ110" s="33"/>
      <c r="CK110" s="33"/>
      <c r="CL110" s="33"/>
      <c r="CM110" s="33"/>
      <c r="CN110" s="33"/>
      <c r="CO110" s="33"/>
      <c r="CP110" s="33"/>
      <c r="CQ110" s="33"/>
      <c r="CR110" s="33"/>
      <c r="CS110" s="33"/>
      <c r="CT110" s="33"/>
      <c r="CU110" s="33"/>
      <c r="CV110" s="33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</row>
    <row r="111" spans="1:122" hidden="1" outlineLevel="1" x14ac:dyDescent="0.35">
      <c r="A111" s="2">
        <v>100</v>
      </c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3"/>
      <c r="CL111" s="33"/>
      <c r="CM111" s="33"/>
      <c r="CN111" s="33"/>
      <c r="CO111" s="33"/>
      <c r="CP111" s="33"/>
      <c r="CQ111" s="33"/>
      <c r="CR111" s="33"/>
      <c r="CS111" s="33"/>
      <c r="CT111" s="33"/>
      <c r="CU111" s="33"/>
      <c r="CV111" s="33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</row>
    <row r="112" spans="1:122" hidden="1" outlineLevel="1" x14ac:dyDescent="0.35">
      <c r="A112" s="2">
        <v>101</v>
      </c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  <c r="CD112" s="33"/>
      <c r="CE112" s="33"/>
      <c r="CF112" s="33"/>
      <c r="CG112" s="33"/>
      <c r="CH112" s="33"/>
      <c r="CI112" s="33"/>
      <c r="CJ112" s="33"/>
      <c r="CK112" s="33"/>
      <c r="CL112" s="33"/>
      <c r="CM112" s="33"/>
      <c r="CN112" s="33"/>
      <c r="CO112" s="33"/>
      <c r="CP112" s="33"/>
      <c r="CQ112" s="33"/>
      <c r="CR112" s="33"/>
      <c r="CS112" s="33"/>
      <c r="CT112" s="33"/>
      <c r="CU112" s="33"/>
      <c r="CV112" s="33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</row>
    <row r="113" spans="1:122" hidden="1" outlineLevel="1" x14ac:dyDescent="0.35">
      <c r="A113" s="2">
        <v>102</v>
      </c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  <c r="CD113" s="33"/>
      <c r="CE113" s="33"/>
      <c r="CF113" s="33"/>
      <c r="CG113" s="33"/>
      <c r="CH113" s="33"/>
      <c r="CI113" s="33"/>
      <c r="CJ113" s="33"/>
      <c r="CK113" s="33"/>
      <c r="CL113" s="33"/>
      <c r="CM113" s="33"/>
      <c r="CN113" s="33"/>
      <c r="CO113" s="33"/>
      <c r="CP113" s="33"/>
      <c r="CQ113" s="33"/>
      <c r="CR113" s="33"/>
      <c r="CS113" s="33"/>
      <c r="CT113" s="33"/>
      <c r="CU113" s="33"/>
      <c r="CV113" s="33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</row>
    <row r="114" spans="1:122" hidden="1" outlineLevel="1" x14ac:dyDescent="0.35">
      <c r="A114" s="2">
        <v>103</v>
      </c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3"/>
      <c r="CR114" s="33"/>
      <c r="CS114" s="33"/>
      <c r="CT114" s="33"/>
      <c r="CU114" s="33"/>
      <c r="CV114" s="33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</row>
    <row r="115" spans="1:122" hidden="1" outlineLevel="1" x14ac:dyDescent="0.35">
      <c r="A115" s="2">
        <v>104</v>
      </c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  <c r="CD115" s="33"/>
      <c r="CE115" s="33"/>
      <c r="CF115" s="33"/>
      <c r="CG115" s="33"/>
      <c r="CH115" s="33"/>
      <c r="CI115" s="33"/>
      <c r="CJ115" s="33"/>
      <c r="CK115" s="33"/>
      <c r="CL115" s="33"/>
      <c r="CM115" s="33"/>
      <c r="CN115" s="33"/>
      <c r="CO115" s="33"/>
      <c r="CP115" s="33"/>
      <c r="CQ115" s="33"/>
      <c r="CR115" s="33"/>
      <c r="CS115" s="33"/>
      <c r="CT115" s="33"/>
      <c r="CU115" s="33"/>
      <c r="CV115" s="33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</row>
    <row r="116" spans="1:122" hidden="1" outlineLevel="1" x14ac:dyDescent="0.35">
      <c r="A116" s="2">
        <v>105</v>
      </c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s="33"/>
      <c r="CE116" s="33"/>
      <c r="CF116" s="33"/>
      <c r="CG116" s="33"/>
      <c r="CH116" s="33"/>
      <c r="CI116" s="33"/>
      <c r="CJ116" s="33"/>
      <c r="CK116" s="33"/>
      <c r="CL116" s="33"/>
      <c r="CM116" s="33"/>
      <c r="CN116" s="33"/>
      <c r="CO116" s="33"/>
      <c r="CP116" s="33"/>
      <c r="CQ116" s="33"/>
      <c r="CR116" s="33"/>
      <c r="CS116" s="33"/>
      <c r="CT116" s="33"/>
      <c r="CU116" s="33"/>
      <c r="CV116" s="33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</row>
    <row r="117" spans="1:122" hidden="1" outlineLevel="1" x14ac:dyDescent="0.35">
      <c r="A117" s="2">
        <v>106</v>
      </c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  <c r="CD117" s="33"/>
      <c r="CE117" s="33"/>
      <c r="CF117" s="33"/>
      <c r="CG117" s="33"/>
      <c r="CH117" s="33"/>
      <c r="CI117" s="33"/>
      <c r="CJ117" s="33"/>
      <c r="CK117" s="33"/>
      <c r="CL117" s="33"/>
      <c r="CM117" s="33"/>
      <c r="CN117" s="33"/>
      <c r="CO117" s="33"/>
      <c r="CP117" s="33"/>
      <c r="CQ117" s="33"/>
      <c r="CR117" s="33"/>
      <c r="CS117" s="33"/>
      <c r="CT117" s="33"/>
      <c r="CU117" s="33"/>
      <c r="CV117" s="33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</row>
    <row r="118" spans="1:122" hidden="1" outlineLevel="1" x14ac:dyDescent="0.35">
      <c r="A118" s="2">
        <v>107</v>
      </c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  <c r="CD118" s="33"/>
      <c r="CE118" s="33"/>
      <c r="CF118" s="33"/>
      <c r="CG118" s="33"/>
      <c r="CH118" s="33"/>
      <c r="CI118" s="33"/>
      <c r="CJ118" s="33"/>
      <c r="CK118" s="33"/>
      <c r="CL118" s="33"/>
      <c r="CM118" s="33"/>
      <c r="CN118" s="33"/>
      <c r="CO118" s="33"/>
      <c r="CP118" s="33"/>
      <c r="CQ118" s="33"/>
      <c r="CR118" s="33"/>
      <c r="CS118" s="33"/>
      <c r="CT118" s="33"/>
      <c r="CU118" s="33"/>
      <c r="CV118" s="33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</row>
    <row r="119" spans="1:122" hidden="1" outlineLevel="1" x14ac:dyDescent="0.35">
      <c r="A119" s="2">
        <v>108</v>
      </c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  <c r="CJ119" s="33"/>
      <c r="CK119" s="33"/>
      <c r="CL119" s="33"/>
      <c r="CM119" s="33"/>
      <c r="CN119" s="33"/>
      <c r="CO119" s="33"/>
      <c r="CP119" s="33"/>
      <c r="CQ119" s="33"/>
      <c r="CR119" s="33"/>
      <c r="CS119" s="33"/>
      <c r="CT119" s="33"/>
      <c r="CU119" s="33"/>
      <c r="CV119" s="33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</row>
    <row r="120" spans="1:122" hidden="1" outlineLevel="1" x14ac:dyDescent="0.35">
      <c r="A120" s="2">
        <v>109</v>
      </c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  <c r="CD120" s="33"/>
      <c r="CE120" s="33"/>
      <c r="CF120" s="33"/>
      <c r="CG120" s="33"/>
      <c r="CH120" s="33"/>
      <c r="CI120" s="33"/>
      <c r="CJ120" s="33"/>
      <c r="CK120" s="33"/>
      <c r="CL120" s="33"/>
      <c r="CM120" s="33"/>
      <c r="CN120" s="33"/>
      <c r="CO120" s="33"/>
      <c r="CP120" s="33"/>
      <c r="CQ120" s="33"/>
      <c r="CR120" s="33"/>
      <c r="CS120" s="33"/>
      <c r="CT120" s="33"/>
      <c r="CU120" s="33"/>
      <c r="CV120" s="33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</row>
    <row r="121" spans="1:122" hidden="1" outlineLevel="1" x14ac:dyDescent="0.35">
      <c r="A121" s="2">
        <v>110</v>
      </c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  <c r="CD121" s="33"/>
      <c r="CE121" s="33"/>
      <c r="CF121" s="33"/>
      <c r="CG121" s="33"/>
      <c r="CH121" s="33"/>
      <c r="CI121" s="33"/>
      <c r="CJ121" s="33"/>
      <c r="CK121" s="33"/>
      <c r="CL121" s="33"/>
      <c r="CM121" s="33"/>
      <c r="CN121" s="33"/>
      <c r="CO121" s="33"/>
      <c r="CP121" s="33"/>
      <c r="CQ121" s="33"/>
      <c r="CR121" s="33"/>
      <c r="CS121" s="33"/>
      <c r="CT121" s="33"/>
      <c r="CU121" s="33"/>
      <c r="CV121" s="33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</row>
    <row r="122" spans="1:122" hidden="1" outlineLevel="1" x14ac:dyDescent="0.35">
      <c r="A122" s="2">
        <v>111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  <c r="CD122" s="33"/>
      <c r="CE122" s="33"/>
      <c r="CF122" s="33"/>
      <c r="CG122" s="33"/>
      <c r="CH122" s="33"/>
      <c r="CI122" s="33"/>
      <c r="CJ122" s="33"/>
      <c r="CK122" s="33"/>
      <c r="CL122" s="33"/>
      <c r="CM122" s="33"/>
      <c r="CN122" s="33"/>
      <c r="CO122" s="33"/>
      <c r="CP122" s="33"/>
      <c r="CQ122" s="33"/>
      <c r="CR122" s="33"/>
      <c r="CS122" s="33"/>
      <c r="CT122" s="33"/>
      <c r="CU122" s="33"/>
      <c r="CV122" s="33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</row>
    <row r="123" spans="1:122" hidden="1" outlineLevel="1" x14ac:dyDescent="0.35">
      <c r="A123" s="2">
        <v>112</v>
      </c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  <c r="CN123" s="33"/>
      <c r="CO123" s="33"/>
      <c r="CP123" s="33"/>
      <c r="CQ123" s="33"/>
      <c r="CR123" s="33"/>
      <c r="CS123" s="33"/>
      <c r="CT123" s="33"/>
      <c r="CU123" s="33"/>
      <c r="CV123" s="33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</row>
    <row r="124" spans="1:122" hidden="1" outlineLevel="1" x14ac:dyDescent="0.35">
      <c r="A124" s="2">
        <v>113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  <c r="CN124" s="33"/>
      <c r="CO124" s="33"/>
      <c r="CP124" s="33"/>
      <c r="CQ124" s="33"/>
      <c r="CR124" s="33"/>
      <c r="CS124" s="33"/>
      <c r="CT124" s="33"/>
      <c r="CU124" s="33"/>
      <c r="CV124" s="33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</row>
    <row r="125" spans="1:122" hidden="1" outlineLevel="1" x14ac:dyDescent="0.35">
      <c r="A125" s="2">
        <v>114</v>
      </c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</row>
    <row r="126" spans="1:122" hidden="1" outlineLevel="1" x14ac:dyDescent="0.35">
      <c r="A126" s="2">
        <v>115</v>
      </c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</row>
    <row r="127" spans="1:122" hidden="1" outlineLevel="1" x14ac:dyDescent="0.35">
      <c r="A127" s="2">
        <v>116</v>
      </c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</row>
    <row r="128" spans="1:122" x14ac:dyDescent="0.35">
      <c r="A128" s="2">
        <v>117</v>
      </c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</row>
    <row r="129" spans="1:122" x14ac:dyDescent="0.35">
      <c r="A129" s="2">
        <v>118</v>
      </c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</row>
    <row r="130" spans="1:122" x14ac:dyDescent="0.35">
      <c r="A130" s="2">
        <v>119</v>
      </c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</row>
    <row r="131" spans="1:122" x14ac:dyDescent="0.35">
      <c r="A131" s="2">
        <v>120</v>
      </c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</row>
    <row r="135" spans="1:122" s="12" customFormat="1" ht="13.15" x14ac:dyDescent="0.4">
      <c r="A135" s="16" t="s">
        <v>7</v>
      </c>
    </row>
    <row r="136" spans="1:122" s="12" customFormat="1" x14ac:dyDescent="0.35"/>
    <row r="137" spans="1:122" s="6" customFormat="1" x14ac:dyDescent="0.35">
      <c r="A137" s="5" t="s">
        <v>2</v>
      </c>
      <c r="B137" s="5">
        <v>0</v>
      </c>
      <c r="C137" s="10">
        <v>0.25</v>
      </c>
      <c r="D137" s="10">
        <v>0.5</v>
      </c>
      <c r="E137" s="10">
        <v>0.75</v>
      </c>
      <c r="F137" s="10">
        <v>1</v>
      </c>
      <c r="G137" s="10">
        <v>1.25</v>
      </c>
      <c r="H137" s="10">
        <v>1.5</v>
      </c>
      <c r="I137" s="10">
        <v>1.75</v>
      </c>
      <c r="J137" s="10">
        <v>2</v>
      </c>
      <c r="K137" s="10">
        <v>2.25</v>
      </c>
      <c r="L137" s="10">
        <v>2.5</v>
      </c>
      <c r="M137" s="10">
        <v>2.75</v>
      </c>
      <c r="N137" s="10">
        <v>3</v>
      </c>
      <c r="O137" s="10">
        <v>3.25</v>
      </c>
      <c r="P137" s="10">
        <v>3.5</v>
      </c>
      <c r="Q137" s="10">
        <v>3.75</v>
      </c>
      <c r="R137" s="10">
        <v>4</v>
      </c>
      <c r="S137" s="10">
        <v>4.25</v>
      </c>
      <c r="T137" s="10">
        <v>4.5</v>
      </c>
      <c r="U137" s="10">
        <v>4.75</v>
      </c>
      <c r="V137" s="10">
        <v>5</v>
      </c>
      <c r="W137" s="10">
        <v>5.25</v>
      </c>
      <c r="X137" s="10">
        <v>5.5</v>
      </c>
      <c r="Y137" s="10">
        <v>5.75</v>
      </c>
      <c r="Z137" s="10">
        <v>6</v>
      </c>
      <c r="AA137" s="10">
        <v>6.25</v>
      </c>
      <c r="AB137" s="10">
        <v>6.5</v>
      </c>
      <c r="AC137" s="10">
        <v>6.75</v>
      </c>
      <c r="AD137" s="10">
        <v>7</v>
      </c>
      <c r="AE137" s="10">
        <v>7.25</v>
      </c>
      <c r="AF137" s="10">
        <v>7.5</v>
      </c>
      <c r="AG137" s="10">
        <v>7.75</v>
      </c>
      <c r="AH137" s="10">
        <v>8</v>
      </c>
      <c r="AI137" s="10">
        <v>8.25</v>
      </c>
      <c r="AJ137" s="10">
        <v>8.5</v>
      </c>
      <c r="AK137" s="10">
        <v>8.75</v>
      </c>
      <c r="AL137" s="10">
        <v>9</v>
      </c>
      <c r="AM137" s="10">
        <v>9.25</v>
      </c>
      <c r="AN137" s="10">
        <v>9.5</v>
      </c>
      <c r="AO137" s="10">
        <v>9.75</v>
      </c>
      <c r="AP137" s="10">
        <v>10</v>
      </c>
      <c r="AQ137" s="10">
        <v>10.25</v>
      </c>
      <c r="AR137" s="10">
        <v>10.5</v>
      </c>
      <c r="AS137" s="10">
        <v>10.75</v>
      </c>
      <c r="AT137" s="10">
        <v>11</v>
      </c>
      <c r="AU137" s="10">
        <v>11.25</v>
      </c>
      <c r="AV137" s="10">
        <v>11.5</v>
      </c>
      <c r="AW137" s="10">
        <v>11.75</v>
      </c>
      <c r="AX137" s="10">
        <v>12</v>
      </c>
      <c r="AY137" s="10">
        <v>12.25</v>
      </c>
      <c r="AZ137" s="10">
        <v>12.5</v>
      </c>
      <c r="BA137" s="10">
        <v>12.75</v>
      </c>
      <c r="BB137" s="10">
        <v>13</v>
      </c>
      <c r="BC137" s="10">
        <v>13.25</v>
      </c>
      <c r="BD137" s="10">
        <v>13.5</v>
      </c>
      <c r="BE137" s="10">
        <v>13.75</v>
      </c>
      <c r="BF137" s="10">
        <v>14</v>
      </c>
      <c r="BG137" s="10">
        <v>14.25</v>
      </c>
      <c r="BH137" s="10">
        <v>14.5</v>
      </c>
      <c r="BI137" s="10">
        <v>14.75</v>
      </c>
      <c r="BJ137" s="10">
        <v>15</v>
      </c>
      <c r="BK137" s="10">
        <v>15.25</v>
      </c>
      <c r="BL137" s="10">
        <v>15.5</v>
      </c>
      <c r="BM137" s="10">
        <v>15.75</v>
      </c>
      <c r="BN137" s="10">
        <v>16</v>
      </c>
      <c r="BO137" s="10">
        <v>16.25</v>
      </c>
      <c r="BP137" s="10">
        <v>16.5</v>
      </c>
      <c r="BQ137" s="10">
        <v>16.75</v>
      </c>
      <c r="BR137" s="10">
        <v>17</v>
      </c>
      <c r="BS137" s="10">
        <v>17.25</v>
      </c>
      <c r="BT137" s="10">
        <v>17.5</v>
      </c>
      <c r="BU137" s="10">
        <v>17.75</v>
      </c>
      <c r="BV137" s="10">
        <v>18</v>
      </c>
      <c r="BW137" s="10">
        <v>18.25</v>
      </c>
      <c r="BX137" s="10">
        <v>18.5</v>
      </c>
      <c r="BY137" s="10">
        <v>18.75</v>
      </c>
      <c r="BZ137" s="10">
        <v>19</v>
      </c>
      <c r="CA137" s="10">
        <v>19.25</v>
      </c>
      <c r="CB137" s="10">
        <v>19.5</v>
      </c>
      <c r="CC137" s="10">
        <v>19.75</v>
      </c>
      <c r="CD137" s="10">
        <v>20</v>
      </c>
      <c r="CE137" s="10">
        <v>20.25</v>
      </c>
      <c r="CF137" s="10">
        <v>20.5</v>
      </c>
      <c r="CG137" s="10">
        <v>20.75</v>
      </c>
      <c r="CH137" s="10">
        <v>21</v>
      </c>
      <c r="CI137" s="10">
        <v>21.25</v>
      </c>
      <c r="CJ137" s="10">
        <v>21.5</v>
      </c>
      <c r="CK137" s="10">
        <v>21.75</v>
      </c>
      <c r="CL137" s="10">
        <v>22</v>
      </c>
      <c r="CM137" s="10">
        <v>22.25</v>
      </c>
      <c r="CN137" s="10">
        <v>22.5</v>
      </c>
      <c r="CO137" s="10">
        <v>22.75</v>
      </c>
      <c r="CP137" s="10">
        <v>23</v>
      </c>
      <c r="CQ137" s="10">
        <v>23.25</v>
      </c>
      <c r="CR137" s="10">
        <v>23.5</v>
      </c>
      <c r="CS137" s="10">
        <v>23.75</v>
      </c>
      <c r="CT137" s="10">
        <v>24</v>
      </c>
      <c r="CU137" s="10">
        <v>24.25</v>
      </c>
      <c r="CV137" s="10">
        <v>24.5</v>
      </c>
      <c r="CW137" s="10">
        <v>24.75</v>
      </c>
      <c r="CX137" s="10">
        <v>25</v>
      </c>
      <c r="CY137" s="10">
        <v>25.25</v>
      </c>
      <c r="CZ137" s="10">
        <v>25.5</v>
      </c>
      <c r="DA137" s="10">
        <v>25.75</v>
      </c>
      <c r="DB137" s="10">
        <v>26</v>
      </c>
      <c r="DC137" s="10">
        <v>26.25</v>
      </c>
      <c r="DD137" s="10">
        <v>26.5</v>
      </c>
      <c r="DE137" s="10">
        <v>26.75</v>
      </c>
      <c r="DF137" s="10">
        <v>27</v>
      </c>
      <c r="DG137" s="10">
        <v>27.25</v>
      </c>
      <c r="DH137" s="10">
        <v>27.5</v>
      </c>
      <c r="DI137" s="10">
        <v>27.75</v>
      </c>
      <c r="DJ137" s="10">
        <v>28</v>
      </c>
      <c r="DK137" s="10">
        <v>28.25</v>
      </c>
      <c r="DL137" s="10">
        <v>28.5</v>
      </c>
      <c r="DM137" s="10">
        <v>28.75</v>
      </c>
      <c r="DN137" s="10">
        <v>29</v>
      </c>
      <c r="DO137" s="10">
        <v>29.25</v>
      </c>
      <c r="DP137" s="10">
        <v>29.5</v>
      </c>
      <c r="DQ137" s="10">
        <v>29.75</v>
      </c>
      <c r="DR137" s="10">
        <v>30</v>
      </c>
    </row>
    <row r="138" spans="1:122" s="11" customFormat="1" x14ac:dyDescent="0.35">
      <c r="A138" s="8" t="s">
        <v>1</v>
      </c>
      <c r="B138" s="9">
        <v>0</v>
      </c>
      <c r="C138" s="9">
        <v>1</v>
      </c>
      <c r="D138" s="9">
        <v>2</v>
      </c>
      <c r="E138" s="9">
        <v>3</v>
      </c>
      <c r="F138" s="9">
        <v>4</v>
      </c>
      <c r="G138" s="9">
        <v>5</v>
      </c>
      <c r="H138" s="9">
        <v>6</v>
      </c>
      <c r="I138" s="9">
        <v>7</v>
      </c>
      <c r="J138" s="9">
        <v>8</v>
      </c>
      <c r="K138" s="9">
        <v>9</v>
      </c>
      <c r="L138" s="9">
        <v>10</v>
      </c>
      <c r="M138" s="9">
        <v>11</v>
      </c>
      <c r="N138" s="9">
        <v>12</v>
      </c>
      <c r="O138" s="9">
        <v>13</v>
      </c>
      <c r="P138" s="9">
        <v>14</v>
      </c>
      <c r="Q138" s="9">
        <v>15</v>
      </c>
      <c r="R138" s="9">
        <v>16</v>
      </c>
      <c r="S138" s="9">
        <v>17</v>
      </c>
      <c r="T138" s="9">
        <v>18</v>
      </c>
      <c r="U138" s="9">
        <v>19</v>
      </c>
      <c r="V138" s="9">
        <v>20</v>
      </c>
      <c r="W138" s="9">
        <v>21</v>
      </c>
      <c r="X138" s="9">
        <v>22</v>
      </c>
      <c r="Y138" s="9">
        <v>23</v>
      </c>
      <c r="Z138" s="9">
        <v>24</v>
      </c>
      <c r="AA138" s="9">
        <v>25</v>
      </c>
      <c r="AB138" s="9">
        <v>26</v>
      </c>
      <c r="AC138" s="9">
        <v>27</v>
      </c>
      <c r="AD138" s="9">
        <v>28</v>
      </c>
      <c r="AE138" s="9">
        <v>29</v>
      </c>
      <c r="AF138" s="9">
        <v>30</v>
      </c>
      <c r="AG138" s="9">
        <v>31</v>
      </c>
      <c r="AH138" s="9">
        <v>32</v>
      </c>
      <c r="AI138" s="9">
        <v>33</v>
      </c>
      <c r="AJ138" s="9">
        <v>34</v>
      </c>
      <c r="AK138" s="9">
        <v>35</v>
      </c>
      <c r="AL138" s="9">
        <v>36</v>
      </c>
      <c r="AM138" s="9">
        <v>37</v>
      </c>
      <c r="AN138" s="9">
        <v>38</v>
      </c>
      <c r="AO138" s="9">
        <v>39</v>
      </c>
      <c r="AP138" s="9">
        <v>40</v>
      </c>
      <c r="AQ138" s="9">
        <v>41</v>
      </c>
      <c r="AR138" s="9">
        <v>42</v>
      </c>
      <c r="AS138" s="9">
        <v>43</v>
      </c>
      <c r="AT138" s="9">
        <v>44</v>
      </c>
      <c r="AU138" s="9">
        <v>45</v>
      </c>
      <c r="AV138" s="9">
        <v>46</v>
      </c>
      <c r="AW138" s="9">
        <v>47</v>
      </c>
      <c r="AX138" s="9">
        <v>48</v>
      </c>
      <c r="AY138" s="9">
        <v>49</v>
      </c>
      <c r="AZ138" s="9">
        <v>50</v>
      </c>
      <c r="BA138" s="9">
        <v>51</v>
      </c>
      <c r="BB138" s="9">
        <v>52</v>
      </c>
      <c r="BC138" s="9">
        <v>53</v>
      </c>
      <c r="BD138" s="9">
        <v>54</v>
      </c>
      <c r="BE138" s="9">
        <v>55</v>
      </c>
      <c r="BF138" s="9">
        <v>56</v>
      </c>
      <c r="BG138" s="9">
        <v>57</v>
      </c>
      <c r="BH138" s="9">
        <v>58</v>
      </c>
      <c r="BI138" s="9">
        <v>59</v>
      </c>
      <c r="BJ138" s="9">
        <v>60</v>
      </c>
      <c r="BK138" s="9">
        <v>61</v>
      </c>
      <c r="BL138" s="9">
        <v>62</v>
      </c>
      <c r="BM138" s="9">
        <v>63</v>
      </c>
      <c r="BN138" s="9">
        <v>64</v>
      </c>
      <c r="BO138" s="9">
        <v>65</v>
      </c>
      <c r="BP138" s="9">
        <v>66</v>
      </c>
      <c r="BQ138" s="9">
        <v>67</v>
      </c>
      <c r="BR138" s="9">
        <v>68</v>
      </c>
      <c r="BS138" s="9">
        <v>69</v>
      </c>
      <c r="BT138" s="9">
        <v>70</v>
      </c>
      <c r="BU138" s="9">
        <v>71</v>
      </c>
      <c r="BV138" s="9">
        <v>72</v>
      </c>
      <c r="BW138" s="9">
        <v>73</v>
      </c>
      <c r="BX138" s="9">
        <v>74</v>
      </c>
      <c r="BY138" s="9">
        <v>75</v>
      </c>
      <c r="BZ138" s="9">
        <v>76</v>
      </c>
      <c r="CA138" s="9">
        <v>77</v>
      </c>
      <c r="CB138" s="9">
        <v>78</v>
      </c>
      <c r="CC138" s="9">
        <v>79</v>
      </c>
      <c r="CD138" s="9">
        <v>80</v>
      </c>
      <c r="CE138" s="9">
        <v>81</v>
      </c>
      <c r="CF138" s="9">
        <v>82</v>
      </c>
      <c r="CG138" s="9">
        <v>83</v>
      </c>
      <c r="CH138" s="9">
        <v>84</v>
      </c>
      <c r="CI138" s="9">
        <v>85</v>
      </c>
      <c r="CJ138" s="9">
        <v>86</v>
      </c>
      <c r="CK138" s="9">
        <v>87</v>
      </c>
      <c r="CL138" s="9">
        <v>88</v>
      </c>
      <c r="CM138" s="9">
        <v>89</v>
      </c>
      <c r="CN138" s="9">
        <v>90</v>
      </c>
      <c r="CO138" s="9">
        <v>91</v>
      </c>
      <c r="CP138" s="9">
        <v>92</v>
      </c>
      <c r="CQ138" s="9">
        <v>93</v>
      </c>
      <c r="CR138" s="9">
        <v>94</v>
      </c>
      <c r="CS138" s="9">
        <v>95</v>
      </c>
      <c r="CT138" s="9">
        <v>96</v>
      </c>
      <c r="CU138" s="9">
        <v>97</v>
      </c>
      <c r="CV138" s="9">
        <v>98</v>
      </c>
      <c r="CW138" s="9">
        <v>99</v>
      </c>
      <c r="CX138" s="9">
        <v>100</v>
      </c>
      <c r="CY138" s="9">
        <v>101</v>
      </c>
      <c r="CZ138" s="9">
        <v>102</v>
      </c>
      <c r="DA138" s="9">
        <v>103</v>
      </c>
      <c r="DB138" s="9">
        <v>104</v>
      </c>
      <c r="DC138" s="9">
        <v>105</v>
      </c>
      <c r="DD138" s="9">
        <v>106</v>
      </c>
      <c r="DE138" s="9">
        <v>107</v>
      </c>
      <c r="DF138" s="9">
        <v>108</v>
      </c>
      <c r="DG138" s="9">
        <v>109</v>
      </c>
      <c r="DH138" s="9">
        <v>110</v>
      </c>
      <c r="DI138" s="9">
        <v>111</v>
      </c>
      <c r="DJ138" s="9">
        <v>112</v>
      </c>
      <c r="DK138" s="9">
        <v>113</v>
      </c>
      <c r="DL138" s="9">
        <v>114</v>
      </c>
      <c r="DM138" s="9">
        <v>115</v>
      </c>
      <c r="DN138" s="9">
        <v>116</v>
      </c>
      <c r="DO138" s="9">
        <v>117</v>
      </c>
      <c r="DP138" s="9">
        <v>118</v>
      </c>
      <c r="DQ138" s="9">
        <v>119</v>
      </c>
      <c r="DR138" s="9">
        <v>120</v>
      </c>
    </row>
    <row r="139" spans="1:122" s="13" customFormat="1" x14ac:dyDescent="0.35">
      <c r="A139" s="14">
        <v>0</v>
      </c>
      <c r="B139" s="34">
        <v>0</v>
      </c>
      <c r="C139" s="34">
        <v>0</v>
      </c>
      <c r="D139" s="34">
        <v>0</v>
      </c>
      <c r="E139" s="34">
        <v>0</v>
      </c>
      <c r="F139" s="34">
        <v>0</v>
      </c>
      <c r="G139" s="34">
        <v>0</v>
      </c>
      <c r="H139" s="34">
        <v>0</v>
      </c>
      <c r="I139" s="34">
        <v>0</v>
      </c>
      <c r="J139" s="34">
        <v>0</v>
      </c>
      <c r="K139" s="34">
        <v>0</v>
      </c>
      <c r="L139" s="34">
        <v>0</v>
      </c>
      <c r="M139" s="34">
        <v>0</v>
      </c>
      <c r="N139" s="34">
        <v>0</v>
      </c>
      <c r="O139" s="34">
        <v>0</v>
      </c>
      <c r="P139" s="34">
        <v>0</v>
      </c>
      <c r="Q139" s="34">
        <v>0</v>
      </c>
      <c r="R139" s="34">
        <v>0</v>
      </c>
      <c r="S139" s="34">
        <v>0</v>
      </c>
      <c r="T139" s="34">
        <v>0</v>
      </c>
      <c r="U139" s="34">
        <v>0</v>
      </c>
      <c r="V139" s="34">
        <v>0</v>
      </c>
      <c r="W139" s="34">
        <v>0</v>
      </c>
      <c r="X139" s="34">
        <v>0</v>
      </c>
      <c r="Y139" s="34">
        <v>0</v>
      </c>
      <c r="Z139" s="34">
        <v>0</v>
      </c>
      <c r="AA139" s="34">
        <v>0</v>
      </c>
      <c r="AB139" s="34">
        <v>0</v>
      </c>
      <c r="AC139" s="34">
        <v>0</v>
      </c>
      <c r="AD139" s="34">
        <v>0</v>
      </c>
      <c r="AE139" s="34">
        <v>0</v>
      </c>
      <c r="AF139" s="34">
        <v>0</v>
      </c>
      <c r="AG139" s="34">
        <v>0</v>
      </c>
      <c r="AH139" s="34">
        <v>0</v>
      </c>
      <c r="AI139" s="34">
        <v>0</v>
      </c>
      <c r="AJ139" s="34">
        <v>0</v>
      </c>
      <c r="AK139" s="34">
        <v>0</v>
      </c>
      <c r="AL139" s="34">
        <v>0</v>
      </c>
      <c r="AM139" s="34">
        <v>0</v>
      </c>
      <c r="AN139" s="34">
        <v>0</v>
      </c>
      <c r="AO139" s="34">
        <v>0</v>
      </c>
      <c r="AP139" s="34">
        <v>0</v>
      </c>
      <c r="AQ139" s="34">
        <v>0</v>
      </c>
      <c r="AR139" s="34">
        <v>0</v>
      </c>
      <c r="AS139" s="34">
        <v>0</v>
      </c>
      <c r="AT139" s="34">
        <v>0</v>
      </c>
      <c r="AU139" s="34">
        <v>0</v>
      </c>
      <c r="AV139" s="34">
        <v>0</v>
      </c>
      <c r="AW139" s="34">
        <v>0</v>
      </c>
      <c r="AX139" s="34">
        <v>0</v>
      </c>
      <c r="AY139" s="34">
        <v>0</v>
      </c>
      <c r="AZ139" s="34">
        <v>0</v>
      </c>
      <c r="BA139" s="34">
        <v>0</v>
      </c>
      <c r="BB139" s="34">
        <v>0</v>
      </c>
      <c r="BC139" s="34">
        <v>0</v>
      </c>
      <c r="BD139" s="34">
        <v>0</v>
      </c>
      <c r="BE139" s="34">
        <v>0</v>
      </c>
      <c r="BF139" s="34">
        <v>0</v>
      </c>
      <c r="BG139" s="34">
        <v>0</v>
      </c>
      <c r="BH139" s="34">
        <v>0</v>
      </c>
      <c r="BI139" s="34">
        <v>0</v>
      </c>
      <c r="BJ139" s="34">
        <v>0</v>
      </c>
      <c r="BK139" s="34">
        <v>0</v>
      </c>
      <c r="BL139" s="34">
        <v>0</v>
      </c>
      <c r="BM139" s="34">
        <v>0</v>
      </c>
      <c r="BN139" s="34">
        <v>0</v>
      </c>
      <c r="BO139" s="34">
        <v>0</v>
      </c>
      <c r="BP139" s="34">
        <v>0</v>
      </c>
      <c r="BQ139" s="34">
        <v>0</v>
      </c>
      <c r="BR139" s="34">
        <v>0</v>
      </c>
      <c r="BS139" s="34">
        <v>0</v>
      </c>
      <c r="BT139" s="34">
        <v>0</v>
      </c>
      <c r="BU139" s="34">
        <v>0</v>
      </c>
      <c r="BV139" s="34">
        <v>0</v>
      </c>
      <c r="BW139" s="34">
        <v>0</v>
      </c>
      <c r="BX139" s="34">
        <v>0</v>
      </c>
      <c r="BY139" s="34">
        <v>0</v>
      </c>
      <c r="BZ139" s="34">
        <v>0</v>
      </c>
      <c r="CA139" s="34">
        <v>0</v>
      </c>
      <c r="CB139" s="34">
        <v>0</v>
      </c>
      <c r="CC139" s="34">
        <v>0</v>
      </c>
      <c r="CD139" s="34">
        <v>0</v>
      </c>
      <c r="CE139" s="34">
        <v>0</v>
      </c>
      <c r="CF139" s="34">
        <v>0</v>
      </c>
      <c r="CG139" s="34">
        <v>0</v>
      </c>
      <c r="CH139" s="34">
        <v>0</v>
      </c>
      <c r="CI139" s="34">
        <v>0</v>
      </c>
      <c r="CJ139" s="34">
        <v>0</v>
      </c>
      <c r="CK139" s="34">
        <v>0</v>
      </c>
      <c r="CL139" s="34">
        <v>0</v>
      </c>
      <c r="CM139" s="34">
        <v>0</v>
      </c>
      <c r="CN139" s="34">
        <v>0</v>
      </c>
      <c r="CO139" s="34">
        <v>0</v>
      </c>
      <c r="CP139" s="34">
        <v>0</v>
      </c>
      <c r="CQ139" s="34">
        <v>0</v>
      </c>
      <c r="CR139" s="34">
        <v>0</v>
      </c>
      <c r="CS139" s="34">
        <v>0</v>
      </c>
      <c r="CT139" s="34">
        <v>0</v>
      </c>
      <c r="CU139" s="34">
        <v>0</v>
      </c>
      <c r="CV139" s="34">
        <v>0</v>
      </c>
      <c r="CW139" s="34">
        <v>0</v>
      </c>
      <c r="CX139" s="34">
        <v>0</v>
      </c>
      <c r="CY139" s="34">
        <v>0</v>
      </c>
      <c r="CZ139" s="34">
        <v>0</v>
      </c>
      <c r="DA139" s="34">
        <v>0</v>
      </c>
      <c r="DB139" s="34">
        <v>0</v>
      </c>
      <c r="DC139" s="34">
        <v>0</v>
      </c>
      <c r="DD139" s="34">
        <v>0</v>
      </c>
      <c r="DE139" s="34">
        <v>0</v>
      </c>
      <c r="DF139" s="34">
        <v>0</v>
      </c>
      <c r="DG139" s="34">
        <v>0</v>
      </c>
      <c r="DH139" s="34">
        <v>0</v>
      </c>
      <c r="DI139" s="34">
        <v>0</v>
      </c>
      <c r="DJ139" s="34">
        <v>0</v>
      </c>
      <c r="DK139" s="34">
        <v>0</v>
      </c>
      <c r="DL139" s="34">
        <v>0</v>
      </c>
      <c r="DM139" s="34">
        <v>0</v>
      </c>
      <c r="DN139" s="34">
        <v>0</v>
      </c>
      <c r="DO139" s="34">
        <v>0</v>
      </c>
      <c r="DP139" s="34">
        <v>0</v>
      </c>
      <c r="DQ139" s="34">
        <v>0</v>
      </c>
      <c r="DR139" s="34">
        <v>0</v>
      </c>
    </row>
    <row r="140" spans="1:122" s="13" customFormat="1" x14ac:dyDescent="0.35">
      <c r="A140" s="14">
        <v>1</v>
      </c>
      <c r="B140" s="34">
        <v>0</v>
      </c>
      <c r="C140" s="34">
        <v>1</v>
      </c>
      <c r="D140" s="34">
        <v>1</v>
      </c>
      <c r="E140" s="34">
        <v>0</v>
      </c>
      <c r="F140" s="34">
        <v>0</v>
      </c>
      <c r="G140" s="34">
        <v>0</v>
      </c>
      <c r="H140" s="34">
        <v>0</v>
      </c>
      <c r="I140" s="34">
        <v>0</v>
      </c>
      <c r="J140" s="34">
        <v>0</v>
      </c>
      <c r="K140" s="34">
        <v>0</v>
      </c>
      <c r="L140" s="34">
        <v>0</v>
      </c>
      <c r="M140" s="34">
        <v>0</v>
      </c>
      <c r="N140" s="34">
        <v>0</v>
      </c>
      <c r="O140" s="34">
        <v>0</v>
      </c>
      <c r="P140" s="34">
        <v>0</v>
      </c>
      <c r="Q140" s="34">
        <v>0</v>
      </c>
      <c r="R140" s="34">
        <v>0</v>
      </c>
      <c r="S140" s="34">
        <v>0</v>
      </c>
      <c r="T140" s="34">
        <v>0</v>
      </c>
      <c r="U140" s="34">
        <v>0</v>
      </c>
      <c r="V140" s="34">
        <v>0</v>
      </c>
      <c r="W140" s="34">
        <v>0</v>
      </c>
      <c r="X140" s="34">
        <v>0</v>
      </c>
      <c r="Y140" s="34">
        <v>0</v>
      </c>
      <c r="Z140" s="34">
        <v>0</v>
      </c>
      <c r="AA140" s="34">
        <v>0</v>
      </c>
      <c r="AB140" s="34">
        <v>0</v>
      </c>
      <c r="AC140" s="34">
        <v>0</v>
      </c>
      <c r="AD140" s="34">
        <v>0</v>
      </c>
      <c r="AE140" s="34">
        <v>0</v>
      </c>
      <c r="AF140" s="34">
        <v>0</v>
      </c>
      <c r="AG140" s="34">
        <v>0</v>
      </c>
      <c r="AH140" s="34">
        <v>0</v>
      </c>
      <c r="AI140" s="34">
        <v>0</v>
      </c>
      <c r="AJ140" s="34">
        <v>0</v>
      </c>
      <c r="AK140" s="34">
        <v>0</v>
      </c>
      <c r="AL140" s="34">
        <v>0</v>
      </c>
      <c r="AM140" s="34">
        <v>0</v>
      </c>
      <c r="AN140" s="34">
        <v>0</v>
      </c>
      <c r="AO140" s="34">
        <v>0</v>
      </c>
      <c r="AP140" s="34">
        <v>0</v>
      </c>
      <c r="AQ140" s="34">
        <v>0</v>
      </c>
      <c r="AR140" s="34">
        <v>0</v>
      </c>
      <c r="AS140" s="34">
        <v>0</v>
      </c>
      <c r="AT140" s="34">
        <v>0</v>
      </c>
      <c r="AU140" s="34">
        <v>0</v>
      </c>
      <c r="AV140" s="34">
        <v>0</v>
      </c>
      <c r="AW140" s="34">
        <v>0</v>
      </c>
      <c r="AX140" s="34">
        <v>0</v>
      </c>
      <c r="AY140" s="34">
        <v>0</v>
      </c>
      <c r="AZ140" s="34">
        <v>0</v>
      </c>
      <c r="BA140" s="34">
        <v>0</v>
      </c>
      <c r="BB140" s="34">
        <v>0</v>
      </c>
      <c r="BC140" s="34">
        <v>0</v>
      </c>
      <c r="BD140" s="34">
        <v>0</v>
      </c>
      <c r="BE140" s="34">
        <v>0</v>
      </c>
      <c r="BF140" s="34">
        <v>0</v>
      </c>
      <c r="BG140" s="34">
        <v>0</v>
      </c>
      <c r="BH140" s="34">
        <v>0</v>
      </c>
      <c r="BI140" s="34">
        <v>0</v>
      </c>
      <c r="BJ140" s="34">
        <v>0</v>
      </c>
      <c r="BK140" s="34">
        <v>0</v>
      </c>
      <c r="BL140" s="34">
        <v>0</v>
      </c>
      <c r="BM140" s="34">
        <v>0</v>
      </c>
      <c r="BN140" s="34">
        <v>0</v>
      </c>
      <c r="BO140" s="34">
        <v>0</v>
      </c>
      <c r="BP140" s="34">
        <v>0</v>
      </c>
      <c r="BQ140" s="34">
        <v>0</v>
      </c>
      <c r="BR140" s="34">
        <v>0</v>
      </c>
      <c r="BS140" s="34">
        <v>0</v>
      </c>
      <c r="BT140" s="34">
        <v>0</v>
      </c>
      <c r="BU140" s="34">
        <v>0</v>
      </c>
      <c r="BV140" s="34">
        <v>0</v>
      </c>
      <c r="BW140" s="34">
        <v>0</v>
      </c>
      <c r="BX140" s="34">
        <v>0</v>
      </c>
      <c r="BY140" s="34">
        <v>0</v>
      </c>
      <c r="BZ140" s="34">
        <v>0</v>
      </c>
      <c r="CA140" s="34">
        <v>0</v>
      </c>
      <c r="CB140" s="34">
        <v>0</v>
      </c>
      <c r="CC140" s="34">
        <v>0</v>
      </c>
      <c r="CD140" s="34">
        <v>0</v>
      </c>
      <c r="CE140" s="34">
        <v>0</v>
      </c>
      <c r="CF140" s="34">
        <v>0</v>
      </c>
      <c r="CG140" s="34">
        <v>0</v>
      </c>
      <c r="CH140" s="34">
        <v>0</v>
      </c>
      <c r="CI140" s="34">
        <v>0</v>
      </c>
      <c r="CJ140" s="34">
        <v>0</v>
      </c>
      <c r="CK140" s="34">
        <v>0</v>
      </c>
      <c r="CL140" s="34">
        <v>0</v>
      </c>
      <c r="CM140" s="34">
        <v>0</v>
      </c>
      <c r="CN140" s="34">
        <v>0</v>
      </c>
      <c r="CO140" s="34">
        <v>0</v>
      </c>
      <c r="CP140" s="34">
        <v>0</v>
      </c>
      <c r="CQ140" s="34">
        <v>0</v>
      </c>
      <c r="CR140" s="34">
        <v>0</v>
      </c>
      <c r="CS140" s="34">
        <v>0</v>
      </c>
      <c r="CT140" s="34">
        <v>0</v>
      </c>
      <c r="CU140" s="34">
        <v>0</v>
      </c>
      <c r="CV140" s="34">
        <v>0</v>
      </c>
      <c r="CW140" s="34">
        <v>0</v>
      </c>
      <c r="CX140" s="34">
        <v>0</v>
      </c>
      <c r="CY140" s="34">
        <v>0</v>
      </c>
      <c r="CZ140" s="34">
        <v>0</v>
      </c>
      <c r="DA140" s="34">
        <v>0</v>
      </c>
      <c r="DB140" s="34">
        <v>0</v>
      </c>
      <c r="DC140" s="34">
        <v>0</v>
      </c>
      <c r="DD140" s="34">
        <v>0</v>
      </c>
      <c r="DE140" s="34">
        <v>0</v>
      </c>
      <c r="DF140" s="34">
        <v>0</v>
      </c>
      <c r="DG140" s="34">
        <v>0</v>
      </c>
      <c r="DH140" s="34">
        <v>0</v>
      </c>
      <c r="DI140" s="34">
        <v>0</v>
      </c>
      <c r="DJ140" s="34">
        <v>0</v>
      </c>
      <c r="DK140" s="34">
        <v>0</v>
      </c>
      <c r="DL140" s="34">
        <v>0</v>
      </c>
      <c r="DM140" s="34">
        <v>0</v>
      </c>
      <c r="DN140" s="34">
        <v>0</v>
      </c>
      <c r="DO140" s="34">
        <v>0</v>
      </c>
      <c r="DP140" s="34">
        <v>0</v>
      </c>
      <c r="DQ140" s="34">
        <v>0</v>
      </c>
      <c r="DR140" s="34">
        <v>0</v>
      </c>
    </row>
    <row r="141" spans="1:122" s="13" customFormat="1" x14ac:dyDescent="0.35">
      <c r="A141" s="14">
        <v>2</v>
      </c>
      <c r="B141" s="34">
        <v>0</v>
      </c>
      <c r="C141" s="34">
        <v>0</v>
      </c>
      <c r="D141" s="34">
        <v>1</v>
      </c>
      <c r="E141" s="34">
        <v>1</v>
      </c>
      <c r="F141" s="34">
        <v>1</v>
      </c>
      <c r="G141" s="34">
        <v>0</v>
      </c>
      <c r="H141" s="34">
        <v>0</v>
      </c>
      <c r="I141" s="34">
        <v>0</v>
      </c>
      <c r="J141" s="34">
        <v>0</v>
      </c>
      <c r="K141" s="34">
        <v>0</v>
      </c>
      <c r="L141" s="34">
        <v>0</v>
      </c>
      <c r="M141" s="34">
        <v>0</v>
      </c>
      <c r="N141" s="34">
        <v>0</v>
      </c>
      <c r="O141" s="34">
        <v>0</v>
      </c>
      <c r="P141" s="34">
        <v>0</v>
      </c>
      <c r="Q141" s="34">
        <v>0</v>
      </c>
      <c r="R141" s="34">
        <v>0</v>
      </c>
      <c r="S141" s="34">
        <v>0</v>
      </c>
      <c r="T141" s="34">
        <v>0</v>
      </c>
      <c r="U141" s="34">
        <v>0</v>
      </c>
      <c r="V141" s="34">
        <v>0</v>
      </c>
      <c r="W141" s="34">
        <v>0</v>
      </c>
      <c r="X141" s="34">
        <v>0</v>
      </c>
      <c r="Y141" s="34">
        <v>0</v>
      </c>
      <c r="Z141" s="34">
        <v>0</v>
      </c>
      <c r="AA141" s="34">
        <v>0</v>
      </c>
      <c r="AB141" s="34">
        <v>0</v>
      </c>
      <c r="AC141" s="34">
        <v>0</v>
      </c>
      <c r="AD141" s="34">
        <v>0</v>
      </c>
      <c r="AE141" s="34">
        <v>0</v>
      </c>
      <c r="AF141" s="34">
        <v>0</v>
      </c>
      <c r="AG141" s="34">
        <v>0</v>
      </c>
      <c r="AH141" s="34">
        <v>0</v>
      </c>
      <c r="AI141" s="34">
        <v>0</v>
      </c>
      <c r="AJ141" s="34">
        <v>0</v>
      </c>
      <c r="AK141" s="34">
        <v>0</v>
      </c>
      <c r="AL141" s="34">
        <v>0</v>
      </c>
      <c r="AM141" s="34">
        <v>0</v>
      </c>
      <c r="AN141" s="34">
        <v>0</v>
      </c>
      <c r="AO141" s="34">
        <v>0</v>
      </c>
      <c r="AP141" s="34">
        <v>0</v>
      </c>
      <c r="AQ141" s="34">
        <v>0</v>
      </c>
      <c r="AR141" s="34">
        <v>0</v>
      </c>
      <c r="AS141" s="34">
        <v>0</v>
      </c>
      <c r="AT141" s="34">
        <v>0</v>
      </c>
      <c r="AU141" s="34">
        <v>0</v>
      </c>
      <c r="AV141" s="34">
        <v>0</v>
      </c>
      <c r="AW141" s="34">
        <v>0</v>
      </c>
      <c r="AX141" s="34">
        <v>0</v>
      </c>
      <c r="AY141" s="34">
        <v>0</v>
      </c>
      <c r="AZ141" s="34">
        <v>0</v>
      </c>
      <c r="BA141" s="34">
        <v>0</v>
      </c>
      <c r="BB141" s="34">
        <v>0</v>
      </c>
      <c r="BC141" s="34">
        <v>0</v>
      </c>
      <c r="BD141" s="34">
        <v>0</v>
      </c>
      <c r="BE141" s="34">
        <v>0</v>
      </c>
      <c r="BF141" s="34">
        <v>0</v>
      </c>
      <c r="BG141" s="34">
        <v>0</v>
      </c>
      <c r="BH141" s="34">
        <v>0</v>
      </c>
      <c r="BI141" s="34">
        <v>0</v>
      </c>
      <c r="BJ141" s="34">
        <v>0</v>
      </c>
      <c r="BK141" s="34">
        <v>0</v>
      </c>
      <c r="BL141" s="34">
        <v>0</v>
      </c>
      <c r="BM141" s="34">
        <v>0</v>
      </c>
      <c r="BN141" s="34">
        <v>0</v>
      </c>
      <c r="BO141" s="34">
        <v>0</v>
      </c>
      <c r="BP141" s="34">
        <v>0</v>
      </c>
      <c r="BQ141" s="34">
        <v>0</v>
      </c>
      <c r="BR141" s="34">
        <v>0</v>
      </c>
      <c r="BS141" s="34">
        <v>0</v>
      </c>
      <c r="BT141" s="34">
        <v>0</v>
      </c>
      <c r="BU141" s="34">
        <v>0</v>
      </c>
      <c r="BV141" s="34">
        <v>0</v>
      </c>
      <c r="BW141" s="34">
        <v>0</v>
      </c>
      <c r="BX141" s="34">
        <v>0</v>
      </c>
      <c r="BY141" s="34">
        <v>0</v>
      </c>
      <c r="BZ141" s="34">
        <v>0</v>
      </c>
      <c r="CA141" s="34">
        <v>0</v>
      </c>
      <c r="CB141" s="34">
        <v>0</v>
      </c>
      <c r="CC141" s="34">
        <v>0</v>
      </c>
      <c r="CD141" s="34">
        <v>0</v>
      </c>
      <c r="CE141" s="34">
        <v>0</v>
      </c>
      <c r="CF141" s="34">
        <v>0</v>
      </c>
      <c r="CG141" s="34">
        <v>0</v>
      </c>
      <c r="CH141" s="34">
        <v>0</v>
      </c>
      <c r="CI141" s="34">
        <v>0</v>
      </c>
      <c r="CJ141" s="34">
        <v>0</v>
      </c>
      <c r="CK141" s="34">
        <v>0</v>
      </c>
      <c r="CL141" s="34">
        <v>0</v>
      </c>
      <c r="CM141" s="34">
        <v>0</v>
      </c>
      <c r="CN141" s="34">
        <v>0</v>
      </c>
      <c r="CO141" s="34">
        <v>0</v>
      </c>
      <c r="CP141" s="34">
        <v>0</v>
      </c>
      <c r="CQ141" s="34">
        <v>0</v>
      </c>
      <c r="CR141" s="34">
        <v>0</v>
      </c>
      <c r="CS141" s="34">
        <v>0</v>
      </c>
      <c r="CT141" s="34">
        <v>0</v>
      </c>
      <c r="CU141" s="34">
        <v>0</v>
      </c>
      <c r="CV141" s="34">
        <v>0</v>
      </c>
      <c r="CW141" s="34">
        <v>0</v>
      </c>
      <c r="CX141" s="34">
        <v>0</v>
      </c>
      <c r="CY141" s="34">
        <v>0</v>
      </c>
      <c r="CZ141" s="34">
        <v>0</v>
      </c>
      <c r="DA141" s="34">
        <v>0</v>
      </c>
      <c r="DB141" s="34">
        <v>0</v>
      </c>
      <c r="DC141" s="34">
        <v>0</v>
      </c>
      <c r="DD141" s="34">
        <v>0</v>
      </c>
      <c r="DE141" s="34">
        <v>0</v>
      </c>
      <c r="DF141" s="34">
        <v>0</v>
      </c>
      <c r="DG141" s="34">
        <v>0</v>
      </c>
      <c r="DH141" s="34">
        <v>0</v>
      </c>
      <c r="DI141" s="34">
        <v>0</v>
      </c>
      <c r="DJ141" s="34">
        <v>0</v>
      </c>
      <c r="DK141" s="34">
        <v>0</v>
      </c>
      <c r="DL141" s="34">
        <v>0</v>
      </c>
      <c r="DM141" s="34">
        <v>0</v>
      </c>
      <c r="DN141" s="34">
        <v>0</v>
      </c>
      <c r="DO141" s="34">
        <v>0</v>
      </c>
      <c r="DP141" s="34">
        <v>0</v>
      </c>
      <c r="DQ141" s="34">
        <v>0</v>
      </c>
      <c r="DR141" s="34">
        <v>0</v>
      </c>
    </row>
    <row r="142" spans="1:122" s="13" customFormat="1" x14ac:dyDescent="0.35">
      <c r="A142" s="14">
        <v>3</v>
      </c>
      <c r="B142" s="34">
        <v>0</v>
      </c>
      <c r="C142" s="34">
        <v>0</v>
      </c>
      <c r="D142" s="34">
        <v>0</v>
      </c>
      <c r="E142" s="34">
        <v>1</v>
      </c>
      <c r="F142" s="34">
        <v>1</v>
      </c>
      <c r="G142" s="34">
        <v>1</v>
      </c>
      <c r="H142" s="34">
        <v>1</v>
      </c>
      <c r="I142" s="34">
        <v>0</v>
      </c>
      <c r="J142" s="34">
        <v>0</v>
      </c>
      <c r="K142" s="34">
        <v>0</v>
      </c>
      <c r="L142" s="34">
        <v>0</v>
      </c>
      <c r="M142" s="34">
        <v>0</v>
      </c>
      <c r="N142" s="34">
        <v>0</v>
      </c>
      <c r="O142" s="34">
        <v>0</v>
      </c>
      <c r="P142" s="34">
        <v>0</v>
      </c>
      <c r="Q142" s="34">
        <v>0</v>
      </c>
      <c r="R142" s="34">
        <v>0</v>
      </c>
      <c r="S142" s="34">
        <v>0</v>
      </c>
      <c r="T142" s="34">
        <v>0</v>
      </c>
      <c r="U142" s="34">
        <v>0</v>
      </c>
      <c r="V142" s="34">
        <v>0</v>
      </c>
      <c r="W142" s="34">
        <v>0</v>
      </c>
      <c r="X142" s="34">
        <v>0</v>
      </c>
      <c r="Y142" s="34">
        <v>0</v>
      </c>
      <c r="Z142" s="34">
        <v>0</v>
      </c>
      <c r="AA142" s="34">
        <v>0</v>
      </c>
      <c r="AB142" s="34">
        <v>0</v>
      </c>
      <c r="AC142" s="34">
        <v>0</v>
      </c>
      <c r="AD142" s="34">
        <v>0</v>
      </c>
      <c r="AE142" s="34">
        <v>0</v>
      </c>
      <c r="AF142" s="34">
        <v>0</v>
      </c>
      <c r="AG142" s="34">
        <v>0</v>
      </c>
      <c r="AH142" s="34">
        <v>0</v>
      </c>
      <c r="AI142" s="34">
        <v>0</v>
      </c>
      <c r="AJ142" s="34">
        <v>0</v>
      </c>
      <c r="AK142" s="34">
        <v>0</v>
      </c>
      <c r="AL142" s="34">
        <v>0</v>
      </c>
      <c r="AM142" s="34">
        <v>0</v>
      </c>
      <c r="AN142" s="34">
        <v>0</v>
      </c>
      <c r="AO142" s="34">
        <v>0</v>
      </c>
      <c r="AP142" s="34">
        <v>0</v>
      </c>
      <c r="AQ142" s="34">
        <v>0</v>
      </c>
      <c r="AR142" s="34">
        <v>0</v>
      </c>
      <c r="AS142" s="34">
        <v>0</v>
      </c>
      <c r="AT142" s="34">
        <v>0</v>
      </c>
      <c r="AU142" s="34">
        <v>0</v>
      </c>
      <c r="AV142" s="34">
        <v>0</v>
      </c>
      <c r="AW142" s="34">
        <v>0</v>
      </c>
      <c r="AX142" s="34">
        <v>0</v>
      </c>
      <c r="AY142" s="34">
        <v>0</v>
      </c>
      <c r="AZ142" s="34">
        <v>0</v>
      </c>
      <c r="BA142" s="34">
        <v>0</v>
      </c>
      <c r="BB142" s="34">
        <v>0</v>
      </c>
      <c r="BC142" s="34">
        <v>0</v>
      </c>
      <c r="BD142" s="34">
        <v>0</v>
      </c>
      <c r="BE142" s="34">
        <v>0</v>
      </c>
      <c r="BF142" s="34">
        <v>0</v>
      </c>
      <c r="BG142" s="34">
        <v>0</v>
      </c>
      <c r="BH142" s="34">
        <v>0</v>
      </c>
      <c r="BI142" s="34">
        <v>0</v>
      </c>
      <c r="BJ142" s="34">
        <v>0</v>
      </c>
      <c r="BK142" s="34">
        <v>0</v>
      </c>
      <c r="BL142" s="34">
        <v>0</v>
      </c>
      <c r="BM142" s="34">
        <v>0</v>
      </c>
      <c r="BN142" s="34">
        <v>0</v>
      </c>
      <c r="BO142" s="34">
        <v>0</v>
      </c>
      <c r="BP142" s="34">
        <v>0</v>
      </c>
      <c r="BQ142" s="34">
        <v>0</v>
      </c>
      <c r="BR142" s="34">
        <v>0</v>
      </c>
      <c r="BS142" s="34">
        <v>0</v>
      </c>
      <c r="BT142" s="34">
        <v>0</v>
      </c>
      <c r="BU142" s="34">
        <v>0</v>
      </c>
      <c r="BV142" s="34">
        <v>0</v>
      </c>
      <c r="BW142" s="34">
        <v>0</v>
      </c>
      <c r="BX142" s="34">
        <v>0</v>
      </c>
      <c r="BY142" s="34">
        <v>0</v>
      </c>
      <c r="BZ142" s="34">
        <v>0</v>
      </c>
      <c r="CA142" s="34">
        <v>0</v>
      </c>
      <c r="CB142" s="34">
        <v>0</v>
      </c>
      <c r="CC142" s="34">
        <v>0</v>
      </c>
      <c r="CD142" s="34">
        <v>0</v>
      </c>
      <c r="CE142" s="34">
        <v>0</v>
      </c>
      <c r="CF142" s="34">
        <v>0</v>
      </c>
      <c r="CG142" s="34">
        <v>0</v>
      </c>
      <c r="CH142" s="34">
        <v>0</v>
      </c>
      <c r="CI142" s="34">
        <v>0</v>
      </c>
      <c r="CJ142" s="34">
        <v>0</v>
      </c>
      <c r="CK142" s="34">
        <v>0</v>
      </c>
      <c r="CL142" s="34">
        <v>0</v>
      </c>
      <c r="CM142" s="34">
        <v>0</v>
      </c>
      <c r="CN142" s="34">
        <v>0</v>
      </c>
      <c r="CO142" s="34">
        <v>0</v>
      </c>
      <c r="CP142" s="34">
        <v>0</v>
      </c>
      <c r="CQ142" s="34">
        <v>0</v>
      </c>
      <c r="CR142" s="34">
        <v>0</v>
      </c>
      <c r="CS142" s="34">
        <v>0</v>
      </c>
      <c r="CT142" s="34">
        <v>0</v>
      </c>
      <c r="CU142" s="34">
        <v>0</v>
      </c>
      <c r="CV142" s="34">
        <v>0</v>
      </c>
      <c r="CW142" s="34">
        <v>0</v>
      </c>
      <c r="CX142" s="34">
        <v>0</v>
      </c>
      <c r="CY142" s="34">
        <v>0</v>
      </c>
      <c r="CZ142" s="34">
        <v>0</v>
      </c>
      <c r="DA142" s="34">
        <v>0</v>
      </c>
      <c r="DB142" s="34">
        <v>0</v>
      </c>
      <c r="DC142" s="34">
        <v>0</v>
      </c>
      <c r="DD142" s="34">
        <v>0</v>
      </c>
      <c r="DE142" s="34">
        <v>0</v>
      </c>
      <c r="DF142" s="34">
        <v>0</v>
      </c>
      <c r="DG142" s="34">
        <v>0</v>
      </c>
      <c r="DH142" s="34">
        <v>0</v>
      </c>
      <c r="DI142" s="34">
        <v>0</v>
      </c>
      <c r="DJ142" s="34">
        <v>0</v>
      </c>
      <c r="DK142" s="34">
        <v>0</v>
      </c>
      <c r="DL142" s="34">
        <v>0</v>
      </c>
      <c r="DM142" s="34">
        <v>0</v>
      </c>
      <c r="DN142" s="34">
        <v>0</v>
      </c>
      <c r="DO142" s="34">
        <v>0</v>
      </c>
      <c r="DP142" s="34">
        <v>0</v>
      </c>
      <c r="DQ142" s="34">
        <v>0</v>
      </c>
      <c r="DR142" s="34">
        <v>0</v>
      </c>
    </row>
    <row r="143" spans="1:122" s="13" customFormat="1" x14ac:dyDescent="0.35">
      <c r="A143" s="14">
        <v>4</v>
      </c>
      <c r="B143" s="34">
        <v>0</v>
      </c>
      <c r="C143" s="34">
        <v>0</v>
      </c>
      <c r="D143" s="34">
        <v>0</v>
      </c>
      <c r="E143" s="34">
        <v>0</v>
      </c>
      <c r="F143" s="34">
        <v>1</v>
      </c>
      <c r="G143" s="34">
        <v>1</v>
      </c>
      <c r="H143" s="34">
        <v>1</v>
      </c>
      <c r="I143" s="34">
        <v>1</v>
      </c>
      <c r="J143" s="34">
        <v>0</v>
      </c>
      <c r="K143" s="34">
        <v>0</v>
      </c>
      <c r="L143" s="34">
        <v>0</v>
      </c>
      <c r="M143" s="34">
        <v>0</v>
      </c>
      <c r="N143" s="34">
        <v>0</v>
      </c>
      <c r="O143" s="34">
        <v>0</v>
      </c>
      <c r="P143" s="34">
        <v>0</v>
      </c>
      <c r="Q143" s="34">
        <v>0</v>
      </c>
      <c r="R143" s="34">
        <v>0</v>
      </c>
      <c r="S143" s="34">
        <v>0</v>
      </c>
      <c r="T143" s="34">
        <v>0</v>
      </c>
      <c r="U143" s="34">
        <v>0</v>
      </c>
      <c r="V143" s="34">
        <v>0</v>
      </c>
      <c r="W143" s="34">
        <v>0</v>
      </c>
      <c r="X143" s="34">
        <v>0</v>
      </c>
      <c r="Y143" s="34">
        <v>0</v>
      </c>
      <c r="Z143" s="34">
        <v>0</v>
      </c>
      <c r="AA143" s="34">
        <v>0</v>
      </c>
      <c r="AB143" s="34">
        <v>0</v>
      </c>
      <c r="AC143" s="34">
        <v>0</v>
      </c>
      <c r="AD143" s="34">
        <v>0</v>
      </c>
      <c r="AE143" s="34">
        <v>0</v>
      </c>
      <c r="AF143" s="34">
        <v>0</v>
      </c>
      <c r="AG143" s="34">
        <v>0</v>
      </c>
      <c r="AH143" s="34">
        <v>0</v>
      </c>
      <c r="AI143" s="34">
        <v>0</v>
      </c>
      <c r="AJ143" s="34">
        <v>0</v>
      </c>
      <c r="AK143" s="34">
        <v>0</v>
      </c>
      <c r="AL143" s="34">
        <v>0</v>
      </c>
      <c r="AM143" s="34">
        <v>0</v>
      </c>
      <c r="AN143" s="34">
        <v>0</v>
      </c>
      <c r="AO143" s="34">
        <v>0</v>
      </c>
      <c r="AP143" s="34">
        <v>0</v>
      </c>
      <c r="AQ143" s="34">
        <v>0</v>
      </c>
      <c r="AR143" s="34">
        <v>0</v>
      </c>
      <c r="AS143" s="34">
        <v>0</v>
      </c>
      <c r="AT143" s="34">
        <v>0</v>
      </c>
      <c r="AU143" s="34">
        <v>0</v>
      </c>
      <c r="AV143" s="34">
        <v>0</v>
      </c>
      <c r="AW143" s="34">
        <v>0</v>
      </c>
      <c r="AX143" s="34">
        <v>0</v>
      </c>
      <c r="AY143" s="34">
        <v>0</v>
      </c>
      <c r="AZ143" s="34">
        <v>0</v>
      </c>
      <c r="BA143" s="34">
        <v>0</v>
      </c>
      <c r="BB143" s="34">
        <v>0</v>
      </c>
      <c r="BC143" s="34">
        <v>0</v>
      </c>
      <c r="BD143" s="34">
        <v>0</v>
      </c>
      <c r="BE143" s="34">
        <v>0</v>
      </c>
      <c r="BF143" s="34">
        <v>0</v>
      </c>
      <c r="BG143" s="34">
        <v>0</v>
      </c>
      <c r="BH143" s="34">
        <v>0</v>
      </c>
      <c r="BI143" s="34">
        <v>0</v>
      </c>
      <c r="BJ143" s="34">
        <v>0</v>
      </c>
      <c r="BK143" s="34">
        <v>0</v>
      </c>
      <c r="BL143" s="34">
        <v>0</v>
      </c>
      <c r="BM143" s="34">
        <v>0</v>
      </c>
      <c r="BN143" s="34">
        <v>0</v>
      </c>
      <c r="BO143" s="34">
        <v>0</v>
      </c>
      <c r="BP143" s="34">
        <v>0</v>
      </c>
      <c r="BQ143" s="34">
        <v>0</v>
      </c>
      <c r="BR143" s="34">
        <v>0</v>
      </c>
      <c r="BS143" s="34">
        <v>0</v>
      </c>
      <c r="BT143" s="34">
        <v>0</v>
      </c>
      <c r="BU143" s="34">
        <v>0</v>
      </c>
      <c r="BV143" s="34">
        <v>0</v>
      </c>
      <c r="BW143" s="34">
        <v>0</v>
      </c>
      <c r="BX143" s="34">
        <v>0</v>
      </c>
      <c r="BY143" s="34">
        <v>0</v>
      </c>
      <c r="BZ143" s="34">
        <v>0</v>
      </c>
      <c r="CA143" s="34">
        <v>0</v>
      </c>
      <c r="CB143" s="34">
        <v>0</v>
      </c>
      <c r="CC143" s="34">
        <v>0</v>
      </c>
      <c r="CD143" s="34">
        <v>0</v>
      </c>
      <c r="CE143" s="34">
        <v>0</v>
      </c>
      <c r="CF143" s="34">
        <v>0</v>
      </c>
      <c r="CG143" s="34">
        <v>0</v>
      </c>
      <c r="CH143" s="34">
        <v>0</v>
      </c>
      <c r="CI143" s="34">
        <v>0</v>
      </c>
      <c r="CJ143" s="34">
        <v>0</v>
      </c>
      <c r="CK143" s="34">
        <v>0</v>
      </c>
      <c r="CL143" s="34">
        <v>0</v>
      </c>
      <c r="CM143" s="34">
        <v>0</v>
      </c>
      <c r="CN143" s="34">
        <v>0</v>
      </c>
      <c r="CO143" s="34">
        <v>0</v>
      </c>
      <c r="CP143" s="34">
        <v>0</v>
      </c>
      <c r="CQ143" s="34">
        <v>0</v>
      </c>
      <c r="CR143" s="34">
        <v>0</v>
      </c>
      <c r="CS143" s="34">
        <v>0</v>
      </c>
      <c r="CT143" s="34">
        <v>0</v>
      </c>
      <c r="CU143" s="34">
        <v>0</v>
      </c>
      <c r="CV143" s="34">
        <v>0</v>
      </c>
      <c r="CW143" s="34">
        <v>0</v>
      </c>
      <c r="CX143" s="34">
        <v>0</v>
      </c>
      <c r="CY143" s="34">
        <v>0</v>
      </c>
      <c r="CZ143" s="34">
        <v>0</v>
      </c>
      <c r="DA143" s="34">
        <v>0</v>
      </c>
      <c r="DB143" s="34">
        <v>0</v>
      </c>
      <c r="DC143" s="34">
        <v>0</v>
      </c>
      <c r="DD143" s="34">
        <v>0</v>
      </c>
      <c r="DE143" s="34">
        <v>0</v>
      </c>
      <c r="DF143" s="34">
        <v>0</v>
      </c>
      <c r="DG143" s="34">
        <v>0</v>
      </c>
      <c r="DH143" s="34">
        <v>0</v>
      </c>
      <c r="DI143" s="34">
        <v>0</v>
      </c>
      <c r="DJ143" s="34">
        <v>0</v>
      </c>
      <c r="DK143" s="34">
        <v>0</v>
      </c>
      <c r="DL143" s="34">
        <v>0</v>
      </c>
      <c r="DM143" s="34">
        <v>0</v>
      </c>
      <c r="DN143" s="34">
        <v>0</v>
      </c>
      <c r="DO143" s="34">
        <v>0</v>
      </c>
      <c r="DP143" s="34">
        <v>0</v>
      </c>
      <c r="DQ143" s="34">
        <v>0</v>
      </c>
      <c r="DR143" s="34">
        <v>0</v>
      </c>
    </row>
    <row r="144" spans="1:122" s="13" customFormat="1" x14ac:dyDescent="0.35">
      <c r="A144" s="14">
        <v>5</v>
      </c>
      <c r="B144" s="34">
        <v>0</v>
      </c>
      <c r="C144" s="34">
        <v>0</v>
      </c>
      <c r="D144" s="34">
        <v>0</v>
      </c>
      <c r="E144" s="34">
        <v>0</v>
      </c>
      <c r="F144" s="34">
        <v>0</v>
      </c>
      <c r="G144" s="34">
        <v>1</v>
      </c>
      <c r="H144" s="34">
        <v>1</v>
      </c>
      <c r="I144" s="34">
        <v>1</v>
      </c>
      <c r="J144" s="34">
        <v>1</v>
      </c>
      <c r="K144" s="34">
        <v>1</v>
      </c>
      <c r="L144" s="34">
        <v>0</v>
      </c>
      <c r="M144" s="34">
        <v>0</v>
      </c>
      <c r="N144" s="34">
        <v>0</v>
      </c>
      <c r="O144" s="34">
        <v>0</v>
      </c>
      <c r="P144" s="34">
        <v>0</v>
      </c>
      <c r="Q144" s="34">
        <v>0</v>
      </c>
      <c r="R144" s="34">
        <v>0</v>
      </c>
      <c r="S144" s="34">
        <v>0</v>
      </c>
      <c r="T144" s="34">
        <v>0</v>
      </c>
      <c r="U144" s="34">
        <v>0</v>
      </c>
      <c r="V144" s="34">
        <v>0</v>
      </c>
      <c r="W144" s="34">
        <v>0</v>
      </c>
      <c r="X144" s="34">
        <v>0</v>
      </c>
      <c r="Y144" s="34">
        <v>0</v>
      </c>
      <c r="Z144" s="34">
        <v>0</v>
      </c>
      <c r="AA144" s="34">
        <v>0</v>
      </c>
      <c r="AB144" s="34">
        <v>0</v>
      </c>
      <c r="AC144" s="34">
        <v>0</v>
      </c>
      <c r="AD144" s="34">
        <v>0</v>
      </c>
      <c r="AE144" s="34">
        <v>0</v>
      </c>
      <c r="AF144" s="34">
        <v>0</v>
      </c>
      <c r="AG144" s="34">
        <v>0</v>
      </c>
      <c r="AH144" s="34">
        <v>0</v>
      </c>
      <c r="AI144" s="34">
        <v>0</v>
      </c>
      <c r="AJ144" s="34">
        <v>0</v>
      </c>
      <c r="AK144" s="34">
        <v>0</v>
      </c>
      <c r="AL144" s="34">
        <v>0</v>
      </c>
      <c r="AM144" s="34">
        <v>0</v>
      </c>
      <c r="AN144" s="34">
        <v>0</v>
      </c>
      <c r="AO144" s="34">
        <v>0</v>
      </c>
      <c r="AP144" s="34">
        <v>0</v>
      </c>
      <c r="AQ144" s="34">
        <v>0</v>
      </c>
      <c r="AR144" s="34">
        <v>0</v>
      </c>
      <c r="AS144" s="34">
        <v>0</v>
      </c>
      <c r="AT144" s="34">
        <v>0</v>
      </c>
      <c r="AU144" s="34">
        <v>0</v>
      </c>
      <c r="AV144" s="34">
        <v>0</v>
      </c>
      <c r="AW144" s="34">
        <v>0</v>
      </c>
      <c r="AX144" s="34">
        <v>0</v>
      </c>
      <c r="AY144" s="34">
        <v>0</v>
      </c>
      <c r="AZ144" s="34">
        <v>0</v>
      </c>
      <c r="BA144" s="34">
        <v>0</v>
      </c>
      <c r="BB144" s="34">
        <v>0</v>
      </c>
      <c r="BC144" s="34">
        <v>0</v>
      </c>
      <c r="BD144" s="34">
        <v>0</v>
      </c>
      <c r="BE144" s="34">
        <v>0</v>
      </c>
      <c r="BF144" s="34">
        <v>0</v>
      </c>
      <c r="BG144" s="34">
        <v>0</v>
      </c>
      <c r="BH144" s="34">
        <v>0</v>
      </c>
      <c r="BI144" s="34">
        <v>0</v>
      </c>
      <c r="BJ144" s="34">
        <v>0</v>
      </c>
      <c r="BK144" s="34">
        <v>0</v>
      </c>
      <c r="BL144" s="34">
        <v>0</v>
      </c>
      <c r="BM144" s="34">
        <v>0</v>
      </c>
      <c r="BN144" s="34">
        <v>0</v>
      </c>
      <c r="BO144" s="34">
        <v>0</v>
      </c>
      <c r="BP144" s="34">
        <v>0</v>
      </c>
      <c r="BQ144" s="34">
        <v>0</v>
      </c>
      <c r="BR144" s="34">
        <v>0</v>
      </c>
      <c r="BS144" s="34">
        <v>0</v>
      </c>
      <c r="BT144" s="34">
        <v>0</v>
      </c>
      <c r="BU144" s="34">
        <v>0</v>
      </c>
      <c r="BV144" s="34">
        <v>0</v>
      </c>
      <c r="BW144" s="34">
        <v>0</v>
      </c>
      <c r="BX144" s="34">
        <v>0</v>
      </c>
      <c r="BY144" s="34">
        <v>0</v>
      </c>
      <c r="BZ144" s="34">
        <v>0</v>
      </c>
      <c r="CA144" s="34">
        <v>0</v>
      </c>
      <c r="CB144" s="34">
        <v>0</v>
      </c>
      <c r="CC144" s="34">
        <v>0</v>
      </c>
      <c r="CD144" s="34">
        <v>0</v>
      </c>
      <c r="CE144" s="34">
        <v>0</v>
      </c>
      <c r="CF144" s="34">
        <v>0</v>
      </c>
      <c r="CG144" s="34">
        <v>0</v>
      </c>
      <c r="CH144" s="34">
        <v>0</v>
      </c>
      <c r="CI144" s="34">
        <v>0</v>
      </c>
      <c r="CJ144" s="34">
        <v>0</v>
      </c>
      <c r="CK144" s="34">
        <v>0</v>
      </c>
      <c r="CL144" s="34">
        <v>0</v>
      </c>
      <c r="CM144" s="34">
        <v>0</v>
      </c>
      <c r="CN144" s="34">
        <v>0</v>
      </c>
      <c r="CO144" s="34">
        <v>0</v>
      </c>
      <c r="CP144" s="34">
        <v>0</v>
      </c>
      <c r="CQ144" s="34">
        <v>0</v>
      </c>
      <c r="CR144" s="34">
        <v>0</v>
      </c>
      <c r="CS144" s="34">
        <v>0</v>
      </c>
      <c r="CT144" s="34">
        <v>0</v>
      </c>
      <c r="CU144" s="34">
        <v>0</v>
      </c>
      <c r="CV144" s="34">
        <v>0</v>
      </c>
      <c r="CW144" s="34">
        <v>0</v>
      </c>
      <c r="CX144" s="34">
        <v>0</v>
      </c>
      <c r="CY144" s="34">
        <v>0</v>
      </c>
      <c r="CZ144" s="34">
        <v>0</v>
      </c>
      <c r="DA144" s="34">
        <v>0</v>
      </c>
      <c r="DB144" s="34">
        <v>0</v>
      </c>
      <c r="DC144" s="34">
        <v>0</v>
      </c>
      <c r="DD144" s="34">
        <v>0</v>
      </c>
      <c r="DE144" s="34">
        <v>0</v>
      </c>
      <c r="DF144" s="34">
        <v>0</v>
      </c>
      <c r="DG144" s="34">
        <v>0</v>
      </c>
      <c r="DH144" s="34">
        <v>0</v>
      </c>
      <c r="DI144" s="34">
        <v>0</v>
      </c>
      <c r="DJ144" s="34">
        <v>0</v>
      </c>
      <c r="DK144" s="34">
        <v>0</v>
      </c>
      <c r="DL144" s="34">
        <v>0</v>
      </c>
      <c r="DM144" s="34">
        <v>0</v>
      </c>
      <c r="DN144" s="34">
        <v>0</v>
      </c>
      <c r="DO144" s="34">
        <v>0</v>
      </c>
      <c r="DP144" s="34">
        <v>0</v>
      </c>
      <c r="DQ144" s="34">
        <v>0</v>
      </c>
      <c r="DR144" s="34">
        <v>0</v>
      </c>
    </row>
    <row r="145" spans="1:122" s="13" customFormat="1" x14ac:dyDescent="0.35">
      <c r="A145" s="14">
        <v>6</v>
      </c>
      <c r="B145" s="34">
        <v>0</v>
      </c>
      <c r="C145" s="34">
        <v>0</v>
      </c>
      <c r="D145" s="34">
        <v>0</v>
      </c>
      <c r="E145" s="34">
        <v>0</v>
      </c>
      <c r="F145" s="34">
        <v>0</v>
      </c>
      <c r="G145" s="34">
        <v>0</v>
      </c>
      <c r="H145" s="34">
        <v>1</v>
      </c>
      <c r="I145" s="34">
        <v>1</v>
      </c>
      <c r="J145" s="34">
        <v>1</v>
      </c>
      <c r="K145" s="34">
        <v>1</v>
      </c>
      <c r="L145" s="34">
        <v>1</v>
      </c>
      <c r="M145" s="34">
        <v>1</v>
      </c>
      <c r="N145" s="34">
        <v>0</v>
      </c>
      <c r="O145" s="34">
        <v>0</v>
      </c>
      <c r="P145" s="34">
        <v>0</v>
      </c>
      <c r="Q145" s="34">
        <v>0</v>
      </c>
      <c r="R145" s="34">
        <v>0</v>
      </c>
      <c r="S145" s="34">
        <v>0</v>
      </c>
      <c r="T145" s="34">
        <v>0</v>
      </c>
      <c r="U145" s="34">
        <v>0</v>
      </c>
      <c r="V145" s="34">
        <v>0</v>
      </c>
      <c r="W145" s="34">
        <v>0</v>
      </c>
      <c r="X145" s="34">
        <v>0</v>
      </c>
      <c r="Y145" s="34">
        <v>0</v>
      </c>
      <c r="Z145" s="34">
        <v>0</v>
      </c>
      <c r="AA145" s="34">
        <v>0</v>
      </c>
      <c r="AB145" s="34">
        <v>0</v>
      </c>
      <c r="AC145" s="34">
        <v>0</v>
      </c>
      <c r="AD145" s="34">
        <v>0</v>
      </c>
      <c r="AE145" s="34">
        <v>0</v>
      </c>
      <c r="AF145" s="34">
        <v>0</v>
      </c>
      <c r="AG145" s="34">
        <v>0</v>
      </c>
      <c r="AH145" s="34">
        <v>0</v>
      </c>
      <c r="AI145" s="34">
        <v>0</v>
      </c>
      <c r="AJ145" s="34">
        <v>0</v>
      </c>
      <c r="AK145" s="34">
        <v>0</v>
      </c>
      <c r="AL145" s="34">
        <v>0</v>
      </c>
      <c r="AM145" s="34">
        <v>0</v>
      </c>
      <c r="AN145" s="34">
        <v>0</v>
      </c>
      <c r="AO145" s="34">
        <v>0</v>
      </c>
      <c r="AP145" s="34">
        <v>0</v>
      </c>
      <c r="AQ145" s="34">
        <v>0</v>
      </c>
      <c r="AR145" s="34">
        <v>0</v>
      </c>
      <c r="AS145" s="34">
        <v>0</v>
      </c>
      <c r="AT145" s="34">
        <v>0</v>
      </c>
      <c r="AU145" s="34">
        <v>0</v>
      </c>
      <c r="AV145" s="34">
        <v>0</v>
      </c>
      <c r="AW145" s="34">
        <v>0</v>
      </c>
      <c r="AX145" s="34">
        <v>0</v>
      </c>
      <c r="AY145" s="34">
        <v>0</v>
      </c>
      <c r="AZ145" s="34">
        <v>0</v>
      </c>
      <c r="BA145" s="34">
        <v>0</v>
      </c>
      <c r="BB145" s="34">
        <v>0</v>
      </c>
      <c r="BC145" s="34">
        <v>0</v>
      </c>
      <c r="BD145" s="34">
        <v>0</v>
      </c>
      <c r="BE145" s="34">
        <v>0</v>
      </c>
      <c r="BF145" s="34">
        <v>0</v>
      </c>
      <c r="BG145" s="34">
        <v>0</v>
      </c>
      <c r="BH145" s="34">
        <v>0</v>
      </c>
      <c r="BI145" s="34">
        <v>0</v>
      </c>
      <c r="BJ145" s="34">
        <v>0</v>
      </c>
      <c r="BK145" s="34">
        <v>0</v>
      </c>
      <c r="BL145" s="34">
        <v>0</v>
      </c>
      <c r="BM145" s="34">
        <v>0</v>
      </c>
      <c r="BN145" s="34">
        <v>0</v>
      </c>
      <c r="BO145" s="34">
        <v>0</v>
      </c>
      <c r="BP145" s="34">
        <v>0</v>
      </c>
      <c r="BQ145" s="34">
        <v>0</v>
      </c>
      <c r="BR145" s="34">
        <v>0</v>
      </c>
      <c r="BS145" s="34">
        <v>0</v>
      </c>
      <c r="BT145" s="34">
        <v>0</v>
      </c>
      <c r="BU145" s="34">
        <v>0</v>
      </c>
      <c r="BV145" s="34">
        <v>0</v>
      </c>
      <c r="BW145" s="34">
        <v>0</v>
      </c>
      <c r="BX145" s="34">
        <v>0</v>
      </c>
      <c r="BY145" s="34">
        <v>0</v>
      </c>
      <c r="BZ145" s="34">
        <v>0</v>
      </c>
      <c r="CA145" s="34">
        <v>0</v>
      </c>
      <c r="CB145" s="34">
        <v>0</v>
      </c>
      <c r="CC145" s="34">
        <v>0</v>
      </c>
      <c r="CD145" s="34">
        <v>0</v>
      </c>
      <c r="CE145" s="34">
        <v>0</v>
      </c>
      <c r="CF145" s="34">
        <v>0</v>
      </c>
      <c r="CG145" s="34">
        <v>0</v>
      </c>
      <c r="CH145" s="34">
        <v>0</v>
      </c>
      <c r="CI145" s="34">
        <v>0</v>
      </c>
      <c r="CJ145" s="34">
        <v>0</v>
      </c>
      <c r="CK145" s="34">
        <v>0</v>
      </c>
      <c r="CL145" s="34">
        <v>0</v>
      </c>
      <c r="CM145" s="34">
        <v>0</v>
      </c>
      <c r="CN145" s="34">
        <v>0</v>
      </c>
      <c r="CO145" s="34">
        <v>0</v>
      </c>
      <c r="CP145" s="34">
        <v>0</v>
      </c>
      <c r="CQ145" s="34">
        <v>0</v>
      </c>
      <c r="CR145" s="34">
        <v>0</v>
      </c>
      <c r="CS145" s="34">
        <v>0</v>
      </c>
      <c r="CT145" s="34">
        <v>0</v>
      </c>
      <c r="CU145" s="34">
        <v>0</v>
      </c>
      <c r="CV145" s="34">
        <v>0</v>
      </c>
      <c r="CW145" s="34">
        <v>0</v>
      </c>
      <c r="CX145" s="34">
        <v>0</v>
      </c>
      <c r="CY145" s="34">
        <v>0</v>
      </c>
      <c r="CZ145" s="34">
        <v>0</v>
      </c>
      <c r="DA145" s="34">
        <v>0</v>
      </c>
      <c r="DB145" s="34">
        <v>0</v>
      </c>
      <c r="DC145" s="34">
        <v>0</v>
      </c>
      <c r="DD145" s="34">
        <v>0</v>
      </c>
      <c r="DE145" s="34">
        <v>0</v>
      </c>
      <c r="DF145" s="34">
        <v>0</v>
      </c>
      <c r="DG145" s="34">
        <v>0</v>
      </c>
      <c r="DH145" s="34">
        <v>0</v>
      </c>
      <c r="DI145" s="34">
        <v>0</v>
      </c>
      <c r="DJ145" s="34">
        <v>0</v>
      </c>
      <c r="DK145" s="34">
        <v>0</v>
      </c>
      <c r="DL145" s="34">
        <v>0</v>
      </c>
      <c r="DM145" s="34">
        <v>0</v>
      </c>
      <c r="DN145" s="34">
        <v>0</v>
      </c>
      <c r="DO145" s="34">
        <v>0</v>
      </c>
      <c r="DP145" s="34">
        <v>0</v>
      </c>
      <c r="DQ145" s="34">
        <v>0</v>
      </c>
      <c r="DR145" s="34">
        <v>0</v>
      </c>
    </row>
    <row r="146" spans="1:122" s="13" customFormat="1" x14ac:dyDescent="0.35">
      <c r="A146" s="14">
        <v>7</v>
      </c>
      <c r="B146" s="34">
        <v>0</v>
      </c>
      <c r="C146" s="34">
        <v>0</v>
      </c>
      <c r="D146" s="34">
        <v>0</v>
      </c>
      <c r="E146" s="34">
        <v>0</v>
      </c>
      <c r="F146" s="34">
        <v>0</v>
      </c>
      <c r="G146" s="34">
        <v>0</v>
      </c>
      <c r="H146" s="34">
        <v>0</v>
      </c>
      <c r="I146" s="34">
        <v>1</v>
      </c>
      <c r="J146" s="34">
        <v>1</v>
      </c>
      <c r="K146" s="34">
        <v>1</v>
      </c>
      <c r="L146" s="34">
        <v>1</v>
      </c>
      <c r="M146" s="34">
        <v>1</v>
      </c>
      <c r="N146" s="34">
        <v>1</v>
      </c>
      <c r="O146" s="34">
        <v>1</v>
      </c>
      <c r="P146" s="34">
        <v>0</v>
      </c>
      <c r="Q146" s="34">
        <v>0</v>
      </c>
      <c r="R146" s="34">
        <v>0</v>
      </c>
      <c r="S146" s="34">
        <v>0</v>
      </c>
      <c r="T146" s="34">
        <v>0</v>
      </c>
      <c r="U146" s="34">
        <v>0</v>
      </c>
      <c r="V146" s="34">
        <v>0</v>
      </c>
      <c r="W146" s="34">
        <v>0</v>
      </c>
      <c r="X146" s="34">
        <v>0</v>
      </c>
      <c r="Y146" s="34">
        <v>0</v>
      </c>
      <c r="Z146" s="34">
        <v>0</v>
      </c>
      <c r="AA146" s="34">
        <v>0</v>
      </c>
      <c r="AB146" s="34">
        <v>0</v>
      </c>
      <c r="AC146" s="34">
        <v>0</v>
      </c>
      <c r="AD146" s="34">
        <v>0</v>
      </c>
      <c r="AE146" s="34">
        <v>0</v>
      </c>
      <c r="AF146" s="34">
        <v>0</v>
      </c>
      <c r="AG146" s="34">
        <v>0</v>
      </c>
      <c r="AH146" s="34">
        <v>0</v>
      </c>
      <c r="AI146" s="34">
        <v>0</v>
      </c>
      <c r="AJ146" s="34">
        <v>0</v>
      </c>
      <c r="AK146" s="34">
        <v>0</v>
      </c>
      <c r="AL146" s="34">
        <v>0</v>
      </c>
      <c r="AM146" s="34">
        <v>0</v>
      </c>
      <c r="AN146" s="34">
        <v>0</v>
      </c>
      <c r="AO146" s="34">
        <v>0</v>
      </c>
      <c r="AP146" s="34">
        <v>0</v>
      </c>
      <c r="AQ146" s="34">
        <v>0</v>
      </c>
      <c r="AR146" s="34">
        <v>0</v>
      </c>
      <c r="AS146" s="34">
        <v>0</v>
      </c>
      <c r="AT146" s="34">
        <v>0</v>
      </c>
      <c r="AU146" s="34">
        <v>0</v>
      </c>
      <c r="AV146" s="34">
        <v>0</v>
      </c>
      <c r="AW146" s="34">
        <v>0</v>
      </c>
      <c r="AX146" s="34">
        <v>0</v>
      </c>
      <c r="AY146" s="34">
        <v>0</v>
      </c>
      <c r="AZ146" s="34">
        <v>0</v>
      </c>
      <c r="BA146" s="34">
        <v>0</v>
      </c>
      <c r="BB146" s="34">
        <v>0</v>
      </c>
      <c r="BC146" s="34">
        <v>0</v>
      </c>
      <c r="BD146" s="34">
        <v>0</v>
      </c>
      <c r="BE146" s="34">
        <v>0</v>
      </c>
      <c r="BF146" s="34">
        <v>0</v>
      </c>
      <c r="BG146" s="34">
        <v>0</v>
      </c>
      <c r="BH146" s="34">
        <v>0</v>
      </c>
      <c r="BI146" s="34">
        <v>0</v>
      </c>
      <c r="BJ146" s="34">
        <v>0</v>
      </c>
      <c r="BK146" s="34">
        <v>0</v>
      </c>
      <c r="BL146" s="34">
        <v>0</v>
      </c>
      <c r="BM146" s="34">
        <v>0</v>
      </c>
      <c r="BN146" s="34">
        <v>0</v>
      </c>
      <c r="BO146" s="34">
        <v>0</v>
      </c>
      <c r="BP146" s="34">
        <v>0</v>
      </c>
      <c r="BQ146" s="34">
        <v>0</v>
      </c>
      <c r="BR146" s="34">
        <v>0</v>
      </c>
      <c r="BS146" s="34">
        <v>0</v>
      </c>
      <c r="BT146" s="34">
        <v>0</v>
      </c>
      <c r="BU146" s="34">
        <v>0</v>
      </c>
      <c r="BV146" s="34">
        <v>0</v>
      </c>
      <c r="BW146" s="34">
        <v>0</v>
      </c>
      <c r="BX146" s="34">
        <v>0</v>
      </c>
      <c r="BY146" s="34">
        <v>0</v>
      </c>
      <c r="BZ146" s="34">
        <v>0</v>
      </c>
      <c r="CA146" s="34">
        <v>0</v>
      </c>
      <c r="CB146" s="34">
        <v>0</v>
      </c>
      <c r="CC146" s="34">
        <v>0</v>
      </c>
      <c r="CD146" s="34">
        <v>0</v>
      </c>
      <c r="CE146" s="34">
        <v>0</v>
      </c>
      <c r="CF146" s="34">
        <v>0</v>
      </c>
      <c r="CG146" s="34">
        <v>0</v>
      </c>
      <c r="CH146" s="34">
        <v>0</v>
      </c>
      <c r="CI146" s="34">
        <v>0</v>
      </c>
      <c r="CJ146" s="34">
        <v>0</v>
      </c>
      <c r="CK146" s="34">
        <v>0</v>
      </c>
      <c r="CL146" s="34">
        <v>0</v>
      </c>
      <c r="CM146" s="34">
        <v>0</v>
      </c>
      <c r="CN146" s="34">
        <v>0</v>
      </c>
      <c r="CO146" s="34">
        <v>0</v>
      </c>
      <c r="CP146" s="34">
        <v>0</v>
      </c>
      <c r="CQ146" s="34">
        <v>0</v>
      </c>
      <c r="CR146" s="34">
        <v>0</v>
      </c>
      <c r="CS146" s="34">
        <v>0</v>
      </c>
      <c r="CT146" s="34">
        <v>0</v>
      </c>
      <c r="CU146" s="34">
        <v>0</v>
      </c>
      <c r="CV146" s="34">
        <v>0</v>
      </c>
      <c r="CW146" s="34">
        <v>0</v>
      </c>
      <c r="CX146" s="34">
        <v>0</v>
      </c>
      <c r="CY146" s="34">
        <v>0</v>
      </c>
      <c r="CZ146" s="34">
        <v>0</v>
      </c>
      <c r="DA146" s="34">
        <v>0</v>
      </c>
      <c r="DB146" s="34">
        <v>0</v>
      </c>
      <c r="DC146" s="34">
        <v>0</v>
      </c>
      <c r="DD146" s="34">
        <v>0</v>
      </c>
      <c r="DE146" s="34">
        <v>0</v>
      </c>
      <c r="DF146" s="34">
        <v>0</v>
      </c>
      <c r="DG146" s="34">
        <v>0</v>
      </c>
      <c r="DH146" s="34">
        <v>0</v>
      </c>
      <c r="DI146" s="34">
        <v>0</v>
      </c>
      <c r="DJ146" s="34">
        <v>0</v>
      </c>
      <c r="DK146" s="34">
        <v>0</v>
      </c>
      <c r="DL146" s="34">
        <v>0</v>
      </c>
      <c r="DM146" s="34">
        <v>0</v>
      </c>
      <c r="DN146" s="34">
        <v>0</v>
      </c>
      <c r="DO146" s="34">
        <v>0</v>
      </c>
      <c r="DP146" s="34">
        <v>0</v>
      </c>
      <c r="DQ146" s="34">
        <v>0</v>
      </c>
      <c r="DR146" s="34">
        <v>0</v>
      </c>
    </row>
    <row r="147" spans="1:122" s="13" customFormat="1" x14ac:dyDescent="0.35">
      <c r="A147" s="14">
        <v>8</v>
      </c>
      <c r="B147" s="34">
        <v>0</v>
      </c>
      <c r="C147" s="34">
        <v>0</v>
      </c>
      <c r="D147" s="34">
        <v>0</v>
      </c>
      <c r="E147" s="34">
        <v>0</v>
      </c>
      <c r="F147" s="34">
        <v>0</v>
      </c>
      <c r="G147" s="34">
        <v>0</v>
      </c>
      <c r="H147" s="34">
        <v>0</v>
      </c>
      <c r="I147" s="34">
        <v>0</v>
      </c>
      <c r="J147" s="34">
        <v>1</v>
      </c>
      <c r="K147" s="34">
        <v>1</v>
      </c>
      <c r="L147" s="34">
        <v>1</v>
      </c>
      <c r="M147" s="34">
        <v>1</v>
      </c>
      <c r="N147" s="34">
        <v>1</v>
      </c>
      <c r="O147" s="34">
        <v>1</v>
      </c>
      <c r="P147" s="34">
        <v>1</v>
      </c>
      <c r="Q147" s="34">
        <v>1</v>
      </c>
      <c r="R147" s="34">
        <v>0</v>
      </c>
      <c r="S147" s="34">
        <v>0</v>
      </c>
      <c r="T147" s="34">
        <v>0</v>
      </c>
      <c r="U147" s="34">
        <v>0</v>
      </c>
      <c r="V147" s="34">
        <v>0</v>
      </c>
      <c r="W147" s="34">
        <v>0</v>
      </c>
      <c r="X147" s="34">
        <v>0</v>
      </c>
      <c r="Y147" s="34">
        <v>0</v>
      </c>
      <c r="Z147" s="34">
        <v>0</v>
      </c>
      <c r="AA147" s="34">
        <v>0</v>
      </c>
      <c r="AB147" s="34">
        <v>0</v>
      </c>
      <c r="AC147" s="34">
        <v>0</v>
      </c>
      <c r="AD147" s="34">
        <v>0</v>
      </c>
      <c r="AE147" s="34">
        <v>0</v>
      </c>
      <c r="AF147" s="34">
        <v>0</v>
      </c>
      <c r="AG147" s="34">
        <v>0</v>
      </c>
      <c r="AH147" s="34">
        <v>0</v>
      </c>
      <c r="AI147" s="34">
        <v>0</v>
      </c>
      <c r="AJ147" s="34">
        <v>0</v>
      </c>
      <c r="AK147" s="34">
        <v>0</v>
      </c>
      <c r="AL147" s="34">
        <v>0</v>
      </c>
      <c r="AM147" s="34">
        <v>0</v>
      </c>
      <c r="AN147" s="34">
        <v>0</v>
      </c>
      <c r="AO147" s="34">
        <v>0</v>
      </c>
      <c r="AP147" s="34">
        <v>0</v>
      </c>
      <c r="AQ147" s="34">
        <v>0</v>
      </c>
      <c r="AR147" s="34">
        <v>0</v>
      </c>
      <c r="AS147" s="34">
        <v>0</v>
      </c>
      <c r="AT147" s="34">
        <v>0</v>
      </c>
      <c r="AU147" s="34">
        <v>0</v>
      </c>
      <c r="AV147" s="34">
        <v>0</v>
      </c>
      <c r="AW147" s="34">
        <v>0</v>
      </c>
      <c r="AX147" s="34">
        <v>0</v>
      </c>
      <c r="AY147" s="34">
        <v>0</v>
      </c>
      <c r="AZ147" s="34">
        <v>0</v>
      </c>
      <c r="BA147" s="34">
        <v>0</v>
      </c>
      <c r="BB147" s="34">
        <v>0</v>
      </c>
      <c r="BC147" s="34">
        <v>0</v>
      </c>
      <c r="BD147" s="34">
        <v>0</v>
      </c>
      <c r="BE147" s="34">
        <v>0</v>
      </c>
      <c r="BF147" s="34">
        <v>0</v>
      </c>
      <c r="BG147" s="34">
        <v>0</v>
      </c>
      <c r="BH147" s="34">
        <v>0</v>
      </c>
      <c r="BI147" s="34">
        <v>0</v>
      </c>
      <c r="BJ147" s="34">
        <v>0</v>
      </c>
      <c r="BK147" s="34">
        <v>0</v>
      </c>
      <c r="BL147" s="34">
        <v>0</v>
      </c>
      <c r="BM147" s="34">
        <v>0</v>
      </c>
      <c r="BN147" s="34">
        <v>0</v>
      </c>
      <c r="BO147" s="34">
        <v>0</v>
      </c>
      <c r="BP147" s="34">
        <v>0</v>
      </c>
      <c r="BQ147" s="34">
        <v>0</v>
      </c>
      <c r="BR147" s="34">
        <v>0</v>
      </c>
      <c r="BS147" s="34">
        <v>0</v>
      </c>
      <c r="BT147" s="34">
        <v>0</v>
      </c>
      <c r="BU147" s="34">
        <v>0</v>
      </c>
      <c r="BV147" s="34">
        <v>0</v>
      </c>
      <c r="BW147" s="34">
        <v>0</v>
      </c>
      <c r="BX147" s="34">
        <v>0</v>
      </c>
      <c r="BY147" s="34">
        <v>0</v>
      </c>
      <c r="BZ147" s="34">
        <v>0</v>
      </c>
      <c r="CA147" s="34">
        <v>0</v>
      </c>
      <c r="CB147" s="34">
        <v>0</v>
      </c>
      <c r="CC147" s="34">
        <v>0</v>
      </c>
      <c r="CD147" s="34">
        <v>0</v>
      </c>
      <c r="CE147" s="34">
        <v>0</v>
      </c>
      <c r="CF147" s="34">
        <v>0</v>
      </c>
      <c r="CG147" s="34">
        <v>0</v>
      </c>
      <c r="CH147" s="34">
        <v>0</v>
      </c>
      <c r="CI147" s="34">
        <v>0</v>
      </c>
      <c r="CJ147" s="34">
        <v>0</v>
      </c>
      <c r="CK147" s="34">
        <v>0</v>
      </c>
      <c r="CL147" s="34">
        <v>0</v>
      </c>
      <c r="CM147" s="34">
        <v>0</v>
      </c>
      <c r="CN147" s="34">
        <v>0</v>
      </c>
      <c r="CO147" s="34">
        <v>0</v>
      </c>
      <c r="CP147" s="34">
        <v>0</v>
      </c>
      <c r="CQ147" s="34">
        <v>0</v>
      </c>
      <c r="CR147" s="34">
        <v>0</v>
      </c>
      <c r="CS147" s="34">
        <v>0</v>
      </c>
      <c r="CT147" s="34">
        <v>0</v>
      </c>
      <c r="CU147" s="34">
        <v>0</v>
      </c>
      <c r="CV147" s="34">
        <v>0</v>
      </c>
      <c r="CW147" s="34">
        <v>0</v>
      </c>
      <c r="CX147" s="34">
        <v>0</v>
      </c>
      <c r="CY147" s="34">
        <v>0</v>
      </c>
      <c r="CZ147" s="34">
        <v>0</v>
      </c>
      <c r="DA147" s="34">
        <v>0</v>
      </c>
      <c r="DB147" s="34">
        <v>0</v>
      </c>
      <c r="DC147" s="34">
        <v>0</v>
      </c>
      <c r="DD147" s="34">
        <v>0</v>
      </c>
      <c r="DE147" s="34">
        <v>0</v>
      </c>
      <c r="DF147" s="34">
        <v>0</v>
      </c>
      <c r="DG147" s="34">
        <v>0</v>
      </c>
      <c r="DH147" s="34">
        <v>0</v>
      </c>
      <c r="DI147" s="34">
        <v>0</v>
      </c>
      <c r="DJ147" s="34">
        <v>0</v>
      </c>
      <c r="DK147" s="34">
        <v>0</v>
      </c>
      <c r="DL147" s="34">
        <v>0</v>
      </c>
      <c r="DM147" s="34">
        <v>0</v>
      </c>
      <c r="DN147" s="34">
        <v>0</v>
      </c>
      <c r="DO147" s="34">
        <v>0</v>
      </c>
      <c r="DP147" s="34">
        <v>0</v>
      </c>
      <c r="DQ147" s="34">
        <v>0</v>
      </c>
      <c r="DR147" s="34">
        <v>0</v>
      </c>
    </row>
    <row r="148" spans="1:122" s="13" customFormat="1" x14ac:dyDescent="0.35">
      <c r="A148" s="14">
        <v>9</v>
      </c>
      <c r="B148" s="34">
        <v>0</v>
      </c>
      <c r="C148" s="34">
        <v>0</v>
      </c>
      <c r="D148" s="34">
        <v>0</v>
      </c>
      <c r="E148" s="34">
        <v>0</v>
      </c>
      <c r="F148" s="34">
        <v>0</v>
      </c>
      <c r="G148" s="34">
        <v>0</v>
      </c>
      <c r="H148" s="34">
        <v>0</v>
      </c>
      <c r="I148" s="34">
        <v>0</v>
      </c>
      <c r="J148" s="34">
        <v>0</v>
      </c>
      <c r="K148" s="34">
        <v>1</v>
      </c>
      <c r="L148" s="34">
        <v>1</v>
      </c>
      <c r="M148" s="34">
        <v>1</v>
      </c>
      <c r="N148" s="34">
        <v>1</v>
      </c>
      <c r="O148" s="34">
        <v>1</v>
      </c>
      <c r="P148" s="34">
        <v>1</v>
      </c>
      <c r="Q148" s="34">
        <v>1</v>
      </c>
      <c r="R148" s="34">
        <v>1</v>
      </c>
      <c r="S148" s="34">
        <v>1</v>
      </c>
      <c r="T148" s="34">
        <v>0</v>
      </c>
      <c r="U148" s="34">
        <v>0</v>
      </c>
      <c r="V148" s="34">
        <v>0</v>
      </c>
      <c r="W148" s="34">
        <v>0</v>
      </c>
      <c r="X148" s="34">
        <v>0</v>
      </c>
      <c r="Y148" s="34">
        <v>0</v>
      </c>
      <c r="Z148" s="34">
        <v>0</v>
      </c>
      <c r="AA148" s="34">
        <v>0</v>
      </c>
      <c r="AB148" s="34">
        <v>0</v>
      </c>
      <c r="AC148" s="34">
        <v>0</v>
      </c>
      <c r="AD148" s="34">
        <v>0</v>
      </c>
      <c r="AE148" s="34">
        <v>0</v>
      </c>
      <c r="AF148" s="34">
        <v>0</v>
      </c>
      <c r="AG148" s="34">
        <v>0</v>
      </c>
      <c r="AH148" s="34">
        <v>0</v>
      </c>
      <c r="AI148" s="34">
        <v>0</v>
      </c>
      <c r="AJ148" s="34">
        <v>0</v>
      </c>
      <c r="AK148" s="34">
        <v>0</v>
      </c>
      <c r="AL148" s="34">
        <v>0</v>
      </c>
      <c r="AM148" s="34">
        <v>0</v>
      </c>
      <c r="AN148" s="34">
        <v>0</v>
      </c>
      <c r="AO148" s="34">
        <v>0</v>
      </c>
      <c r="AP148" s="34">
        <v>0</v>
      </c>
      <c r="AQ148" s="34">
        <v>0</v>
      </c>
      <c r="AR148" s="34">
        <v>0</v>
      </c>
      <c r="AS148" s="34">
        <v>0</v>
      </c>
      <c r="AT148" s="34">
        <v>0</v>
      </c>
      <c r="AU148" s="34">
        <v>0</v>
      </c>
      <c r="AV148" s="34">
        <v>0</v>
      </c>
      <c r="AW148" s="34">
        <v>0</v>
      </c>
      <c r="AX148" s="34">
        <v>0</v>
      </c>
      <c r="AY148" s="34">
        <v>0</v>
      </c>
      <c r="AZ148" s="34">
        <v>0</v>
      </c>
      <c r="BA148" s="34">
        <v>0</v>
      </c>
      <c r="BB148" s="34">
        <v>0</v>
      </c>
      <c r="BC148" s="34">
        <v>0</v>
      </c>
      <c r="BD148" s="34">
        <v>0</v>
      </c>
      <c r="BE148" s="34">
        <v>0</v>
      </c>
      <c r="BF148" s="34">
        <v>0</v>
      </c>
      <c r="BG148" s="34">
        <v>0</v>
      </c>
      <c r="BH148" s="34">
        <v>0</v>
      </c>
      <c r="BI148" s="34">
        <v>0</v>
      </c>
      <c r="BJ148" s="34">
        <v>0</v>
      </c>
      <c r="BK148" s="34">
        <v>0</v>
      </c>
      <c r="BL148" s="34">
        <v>0</v>
      </c>
      <c r="BM148" s="34">
        <v>0</v>
      </c>
      <c r="BN148" s="34">
        <v>0</v>
      </c>
      <c r="BO148" s="34">
        <v>0</v>
      </c>
      <c r="BP148" s="34">
        <v>0</v>
      </c>
      <c r="BQ148" s="34">
        <v>0</v>
      </c>
      <c r="BR148" s="34">
        <v>0</v>
      </c>
      <c r="BS148" s="34">
        <v>0</v>
      </c>
      <c r="BT148" s="34">
        <v>0</v>
      </c>
      <c r="BU148" s="34">
        <v>0</v>
      </c>
      <c r="BV148" s="34">
        <v>0</v>
      </c>
      <c r="BW148" s="34">
        <v>0</v>
      </c>
      <c r="BX148" s="34">
        <v>0</v>
      </c>
      <c r="BY148" s="34">
        <v>0</v>
      </c>
      <c r="BZ148" s="34">
        <v>0</v>
      </c>
      <c r="CA148" s="34">
        <v>0</v>
      </c>
      <c r="CB148" s="34">
        <v>0</v>
      </c>
      <c r="CC148" s="34">
        <v>0</v>
      </c>
      <c r="CD148" s="34">
        <v>0</v>
      </c>
      <c r="CE148" s="34">
        <v>0</v>
      </c>
      <c r="CF148" s="34">
        <v>0</v>
      </c>
      <c r="CG148" s="34">
        <v>0</v>
      </c>
      <c r="CH148" s="34">
        <v>0</v>
      </c>
      <c r="CI148" s="34">
        <v>0</v>
      </c>
      <c r="CJ148" s="34">
        <v>0</v>
      </c>
      <c r="CK148" s="34">
        <v>0</v>
      </c>
      <c r="CL148" s="34">
        <v>0</v>
      </c>
      <c r="CM148" s="34">
        <v>0</v>
      </c>
      <c r="CN148" s="34">
        <v>0</v>
      </c>
      <c r="CO148" s="34">
        <v>0</v>
      </c>
      <c r="CP148" s="34">
        <v>0</v>
      </c>
      <c r="CQ148" s="34">
        <v>0</v>
      </c>
      <c r="CR148" s="34">
        <v>0</v>
      </c>
      <c r="CS148" s="34">
        <v>0</v>
      </c>
      <c r="CT148" s="34">
        <v>0</v>
      </c>
      <c r="CU148" s="34">
        <v>0</v>
      </c>
      <c r="CV148" s="34">
        <v>0</v>
      </c>
      <c r="CW148" s="34">
        <v>0</v>
      </c>
      <c r="CX148" s="34">
        <v>0</v>
      </c>
      <c r="CY148" s="34">
        <v>0</v>
      </c>
      <c r="CZ148" s="34">
        <v>0</v>
      </c>
      <c r="DA148" s="34">
        <v>0</v>
      </c>
      <c r="DB148" s="34">
        <v>0</v>
      </c>
      <c r="DC148" s="34">
        <v>0</v>
      </c>
      <c r="DD148" s="34">
        <v>0</v>
      </c>
      <c r="DE148" s="34">
        <v>0</v>
      </c>
      <c r="DF148" s="34">
        <v>0</v>
      </c>
      <c r="DG148" s="34">
        <v>0</v>
      </c>
      <c r="DH148" s="34">
        <v>0</v>
      </c>
      <c r="DI148" s="34">
        <v>0</v>
      </c>
      <c r="DJ148" s="34">
        <v>0</v>
      </c>
      <c r="DK148" s="34">
        <v>0</v>
      </c>
      <c r="DL148" s="34">
        <v>0</v>
      </c>
      <c r="DM148" s="34">
        <v>0</v>
      </c>
      <c r="DN148" s="34">
        <v>0</v>
      </c>
      <c r="DO148" s="34">
        <v>0</v>
      </c>
      <c r="DP148" s="34">
        <v>0</v>
      </c>
      <c r="DQ148" s="34">
        <v>0</v>
      </c>
      <c r="DR148" s="34">
        <v>0</v>
      </c>
    </row>
    <row r="149" spans="1:122" s="13" customFormat="1" collapsed="1" x14ac:dyDescent="0.35">
      <c r="A149" s="14">
        <v>10</v>
      </c>
      <c r="B149" s="34">
        <v>0</v>
      </c>
      <c r="C149" s="34">
        <v>0</v>
      </c>
      <c r="D149" s="34">
        <v>0</v>
      </c>
      <c r="E149" s="34">
        <v>0</v>
      </c>
      <c r="F149" s="34">
        <v>0</v>
      </c>
      <c r="G149" s="34">
        <v>0</v>
      </c>
      <c r="H149" s="34">
        <v>0</v>
      </c>
      <c r="I149" s="34">
        <v>0</v>
      </c>
      <c r="J149" s="34">
        <v>0</v>
      </c>
      <c r="K149" s="34">
        <v>0</v>
      </c>
      <c r="L149" s="34">
        <v>1</v>
      </c>
      <c r="M149" s="34">
        <v>1</v>
      </c>
      <c r="N149" s="34">
        <v>1</v>
      </c>
      <c r="O149" s="34">
        <v>1</v>
      </c>
      <c r="P149" s="34">
        <v>1</v>
      </c>
      <c r="Q149" s="34">
        <v>1</v>
      </c>
      <c r="R149" s="34">
        <v>1</v>
      </c>
      <c r="S149" s="34">
        <v>1</v>
      </c>
      <c r="T149" s="34">
        <v>1</v>
      </c>
      <c r="U149" s="34">
        <v>1</v>
      </c>
      <c r="V149" s="34">
        <v>1</v>
      </c>
      <c r="W149" s="34">
        <v>0</v>
      </c>
      <c r="X149" s="34">
        <v>0</v>
      </c>
      <c r="Y149" s="34">
        <v>0</v>
      </c>
      <c r="Z149" s="34">
        <v>0</v>
      </c>
      <c r="AA149" s="34">
        <v>0</v>
      </c>
      <c r="AB149" s="34">
        <v>0</v>
      </c>
      <c r="AC149" s="34">
        <v>0</v>
      </c>
      <c r="AD149" s="34">
        <v>0</v>
      </c>
      <c r="AE149" s="34">
        <v>0</v>
      </c>
      <c r="AF149" s="34">
        <v>0</v>
      </c>
      <c r="AG149" s="34">
        <v>0</v>
      </c>
      <c r="AH149" s="34">
        <v>0</v>
      </c>
      <c r="AI149" s="34">
        <v>0</v>
      </c>
      <c r="AJ149" s="34">
        <v>0</v>
      </c>
      <c r="AK149" s="34">
        <v>0</v>
      </c>
      <c r="AL149" s="34">
        <v>0</v>
      </c>
      <c r="AM149" s="34">
        <v>0</v>
      </c>
      <c r="AN149" s="34">
        <v>0</v>
      </c>
      <c r="AO149" s="34">
        <v>0</v>
      </c>
      <c r="AP149" s="34">
        <v>0</v>
      </c>
      <c r="AQ149" s="34">
        <v>0</v>
      </c>
      <c r="AR149" s="34">
        <v>0</v>
      </c>
      <c r="AS149" s="34">
        <v>0</v>
      </c>
      <c r="AT149" s="34">
        <v>0</v>
      </c>
      <c r="AU149" s="34">
        <v>0</v>
      </c>
      <c r="AV149" s="34">
        <v>0</v>
      </c>
      <c r="AW149" s="34">
        <v>0</v>
      </c>
      <c r="AX149" s="34">
        <v>0</v>
      </c>
      <c r="AY149" s="34">
        <v>0</v>
      </c>
      <c r="AZ149" s="34">
        <v>0</v>
      </c>
      <c r="BA149" s="34">
        <v>0</v>
      </c>
      <c r="BB149" s="34">
        <v>0</v>
      </c>
      <c r="BC149" s="34">
        <v>0</v>
      </c>
      <c r="BD149" s="34">
        <v>0</v>
      </c>
      <c r="BE149" s="34">
        <v>0</v>
      </c>
      <c r="BF149" s="34">
        <v>0</v>
      </c>
      <c r="BG149" s="34">
        <v>0</v>
      </c>
      <c r="BH149" s="34">
        <v>0</v>
      </c>
      <c r="BI149" s="34">
        <v>0</v>
      </c>
      <c r="BJ149" s="34">
        <v>0</v>
      </c>
      <c r="BK149" s="34">
        <v>0</v>
      </c>
      <c r="BL149" s="34">
        <v>0</v>
      </c>
      <c r="BM149" s="34">
        <v>0</v>
      </c>
      <c r="BN149" s="34">
        <v>0</v>
      </c>
      <c r="BO149" s="34">
        <v>0</v>
      </c>
      <c r="BP149" s="34">
        <v>0</v>
      </c>
      <c r="BQ149" s="34">
        <v>0</v>
      </c>
      <c r="BR149" s="34">
        <v>0</v>
      </c>
      <c r="BS149" s="34">
        <v>0</v>
      </c>
      <c r="BT149" s="34">
        <v>0</v>
      </c>
      <c r="BU149" s="34">
        <v>0</v>
      </c>
      <c r="BV149" s="34">
        <v>0</v>
      </c>
      <c r="BW149" s="34">
        <v>0</v>
      </c>
      <c r="BX149" s="34">
        <v>0</v>
      </c>
      <c r="BY149" s="34">
        <v>0</v>
      </c>
      <c r="BZ149" s="34">
        <v>0</v>
      </c>
      <c r="CA149" s="34">
        <v>0</v>
      </c>
      <c r="CB149" s="34">
        <v>0</v>
      </c>
      <c r="CC149" s="34">
        <v>0</v>
      </c>
      <c r="CD149" s="34">
        <v>0</v>
      </c>
      <c r="CE149" s="34">
        <v>0</v>
      </c>
      <c r="CF149" s="34">
        <v>0</v>
      </c>
      <c r="CG149" s="34">
        <v>0</v>
      </c>
      <c r="CH149" s="34">
        <v>0</v>
      </c>
      <c r="CI149" s="34">
        <v>0</v>
      </c>
      <c r="CJ149" s="34">
        <v>0</v>
      </c>
      <c r="CK149" s="34">
        <v>0</v>
      </c>
      <c r="CL149" s="34">
        <v>0</v>
      </c>
      <c r="CM149" s="34">
        <v>0</v>
      </c>
      <c r="CN149" s="34">
        <v>0</v>
      </c>
      <c r="CO149" s="34">
        <v>0</v>
      </c>
      <c r="CP149" s="34">
        <v>0</v>
      </c>
      <c r="CQ149" s="34">
        <v>0</v>
      </c>
      <c r="CR149" s="34">
        <v>0</v>
      </c>
      <c r="CS149" s="34">
        <v>0</v>
      </c>
      <c r="CT149" s="34">
        <v>0</v>
      </c>
      <c r="CU149" s="34">
        <v>0</v>
      </c>
      <c r="CV149" s="34">
        <v>0</v>
      </c>
      <c r="CW149" s="34">
        <v>0</v>
      </c>
      <c r="CX149" s="34">
        <v>0</v>
      </c>
      <c r="CY149" s="34">
        <v>0</v>
      </c>
      <c r="CZ149" s="34">
        <v>0</v>
      </c>
      <c r="DA149" s="34">
        <v>0</v>
      </c>
      <c r="DB149" s="34">
        <v>0</v>
      </c>
      <c r="DC149" s="34">
        <v>0</v>
      </c>
      <c r="DD149" s="34">
        <v>0</v>
      </c>
      <c r="DE149" s="34">
        <v>0</v>
      </c>
      <c r="DF149" s="34">
        <v>0</v>
      </c>
      <c r="DG149" s="34">
        <v>0</v>
      </c>
      <c r="DH149" s="34">
        <v>0</v>
      </c>
      <c r="DI149" s="34">
        <v>0</v>
      </c>
      <c r="DJ149" s="34">
        <v>0</v>
      </c>
      <c r="DK149" s="34">
        <v>0</v>
      </c>
      <c r="DL149" s="34">
        <v>0</v>
      </c>
      <c r="DM149" s="34">
        <v>0</v>
      </c>
      <c r="DN149" s="34">
        <v>0</v>
      </c>
      <c r="DO149" s="34">
        <v>0</v>
      </c>
      <c r="DP149" s="34">
        <v>0</v>
      </c>
      <c r="DQ149" s="34">
        <v>0</v>
      </c>
      <c r="DR149" s="34">
        <v>0</v>
      </c>
    </row>
    <row r="150" spans="1:122" s="13" customFormat="1" hidden="1" outlineLevel="1" x14ac:dyDescent="0.35">
      <c r="A150" s="14">
        <v>11</v>
      </c>
      <c r="B150" s="34">
        <v>0</v>
      </c>
      <c r="C150" s="34">
        <v>0</v>
      </c>
      <c r="D150" s="34">
        <v>0</v>
      </c>
      <c r="E150" s="34">
        <v>0</v>
      </c>
      <c r="F150" s="34">
        <v>0</v>
      </c>
      <c r="G150" s="34">
        <v>0</v>
      </c>
      <c r="H150" s="34">
        <v>0</v>
      </c>
      <c r="I150" s="34">
        <v>0</v>
      </c>
      <c r="J150" s="34">
        <v>0</v>
      </c>
      <c r="K150" s="34">
        <v>0</v>
      </c>
      <c r="L150" s="34">
        <v>0</v>
      </c>
      <c r="M150" s="34">
        <v>1</v>
      </c>
      <c r="N150" s="34">
        <v>1</v>
      </c>
      <c r="O150" s="34">
        <v>1</v>
      </c>
      <c r="P150" s="34">
        <v>1</v>
      </c>
      <c r="Q150" s="34">
        <v>1</v>
      </c>
      <c r="R150" s="34">
        <v>1</v>
      </c>
      <c r="S150" s="34">
        <v>1</v>
      </c>
      <c r="T150" s="34">
        <v>1</v>
      </c>
      <c r="U150" s="34">
        <v>1</v>
      </c>
      <c r="V150" s="34">
        <v>1</v>
      </c>
      <c r="W150" s="34">
        <v>1</v>
      </c>
      <c r="X150" s="34">
        <v>1</v>
      </c>
      <c r="Y150" s="34">
        <v>0</v>
      </c>
      <c r="Z150" s="34">
        <v>0</v>
      </c>
      <c r="AA150" s="34">
        <v>0</v>
      </c>
      <c r="AB150" s="34">
        <v>0</v>
      </c>
      <c r="AC150" s="34">
        <v>0</v>
      </c>
      <c r="AD150" s="34">
        <v>0</v>
      </c>
      <c r="AE150" s="34">
        <v>0</v>
      </c>
      <c r="AF150" s="34">
        <v>0</v>
      </c>
      <c r="AG150" s="34">
        <v>0</v>
      </c>
      <c r="AH150" s="34">
        <v>0</v>
      </c>
      <c r="AI150" s="34">
        <v>0</v>
      </c>
      <c r="AJ150" s="34">
        <v>0</v>
      </c>
      <c r="AK150" s="34">
        <v>0</v>
      </c>
      <c r="AL150" s="34">
        <v>0</v>
      </c>
      <c r="AM150" s="34">
        <v>0</v>
      </c>
      <c r="AN150" s="34">
        <v>0</v>
      </c>
      <c r="AO150" s="34">
        <v>0</v>
      </c>
      <c r="AP150" s="34">
        <v>0</v>
      </c>
      <c r="AQ150" s="34">
        <v>0</v>
      </c>
      <c r="AR150" s="34">
        <v>0</v>
      </c>
      <c r="AS150" s="34">
        <v>0</v>
      </c>
      <c r="AT150" s="34">
        <v>0</v>
      </c>
      <c r="AU150" s="34">
        <v>0</v>
      </c>
      <c r="AV150" s="34">
        <v>0</v>
      </c>
      <c r="AW150" s="34">
        <v>0</v>
      </c>
      <c r="AX150" s="34">
        <v>0</v>
      </c>
      <c r="AY150" s="34">
        <v>0</v>
      </c>
      <c r="AZ150" s="34">
        <v>0</v>
      </c>
      <c r="BA150" s="34">
        <v>0</v>
      </c>
      <c r="BB150" s="34">
        <v>0</v>
      </c>
      <c r="BC150" s="34">
        <v>0</v>
      </c>
      <c r="BD150" s="34">
        <v>0</v>
      </c>
      <c r="BE150" s="34">
        <v>0</v>
      </c>
      <c r="BF150" s="34">
        <v>0</v>
      </c>
      <c r="BG150" s="34">
        <v>0</v>
      </c>
      <c r="BH150" s="34">
        <v>0</v>
      </c>
      <c r="BI150" s="34">
        <v>0</v>
      </c>
      <c r="BJ150" s="34">
        <v>0</v>
      </c>
      <c r="BK150" s="34">
        <v>0</v>
      </c>
      <c r="BL150" s="34">
        <v>0</v>
      </c>
      <c r="BM150" s="34">
        <v>0</v>
      </c>
      <c r="BN150" s="34">
        <v>0</v>
      </c>
      <c r="BO150" s="34">
        <v>0</v>
      </c>
      <c r="BP150" s="34">
        <v>0</v>
      </c>
      <c r="BQ150" s="34">
        <v>0</v>
      </c>
      <c r="BR150" s="34">
        <v>0</v>
      </c>
      <c r="BS150" s="34">
        <v>0</v>
      </c>
      <c r="BT150" s="34">
        <v>0</v>
      </c>
      <c r="BU150" s="34">
        <v>0</v>
      </c>
      <c r="BV150" s="34">
        <v>0</v>
      </c>
      <c r="BW150" s="34">
        <v>0</v>
      </c>
      <c r="BX150" s="34">
        <v>0</v>
      </c>
      <c r="BY150" s="34">
        <v>0</v>
      </c>
      <c r="BZ150" s="34">
        <v>0</v>
      </c>
      <c r="CA150" s="34">
        <v>0</v>
      </c>
      <c r="CB150" s="34">
        <v>0</v>
      </c>
      <c r="CC150" s="34">
        <v>0</v>
      </c>
      <c r="CD150" s="34">
        <v>0</v>
      </c>
      <c r="CE150" s="34">
        <v>0</v>
      </c>
      <c r="CF150" s="34">
        <v>0</v>
      </c>
      <c r="CG150" s="34">
        <v>0</v>
      </c>
      <c r="CH150" s="34">
        <v>0</v>
      </c>
      <c r="CI150" s="34">
        <v>0</v>
      </c>
      <c r="CJ150" s="34">
        <v>0</v>
      </c>
      <c r="CK150" s="34">
        <v>0</v>
      </c>
      <c r="CL150" s="34">
        <v>0</v>
      </c>
      <c r="CM150" s="34">
        <v>0</v>
      </c>
      <c r="CN150" s="34">
        <v>0</v>
      </c>
      <c r="CO150" s="34">
        <v>0</v>
      </c>
      <c r="CP150" s="34">
        <v>0</v>
      </c>
      <c r="CQ150" s="34">
        <v>0</v>
      </c>
      <c r="CR150" s="34">
        <v>0</v>
      </c>
      <c r="CS150" s="34">
        <v>0</v>
      </c>
      <c r="CT150" s="34">
        <v>0</v>
      </c>
      <c r="CU150" s="34">
        <v>0</v>
      </c>
      <c r="CV150" s="34">
        <v>0</v>
      </c>
      <c r="CW150" s="34">
        <v>0</v>
      </c>
      <c r="CX150" s="34">
        <v>0</v>
      </c>
      <c r="CY150" s="34">
        <v>0</v>
      </c>
      <c r="CZ150" s="34">
        <v>0</v>
      </c>
      <c r="DA150" s="34">
        <v>0</v>
      </c>
      <c r="DB150" s="34">
        <v>0</v>
      </c>
      <c r="DC150" s="34">
        <v>0</v>
      </c>
      <c r="DD150" s="34">
        <v>0</v>
      </c>
      <c r="DE150" s="34">
        <v>0</v>
      </c>
      <c r="DF150" s="34">
        <v>0</v>
      </c>
      <c r="DG150" s="34">
        <v>0</v>
      </c>
      <c r="DH150" s="34">
        <v>0</v>
      </c>
      <c r="DI150" s="34">
        <v>0</v>
      </c>
      <c r="DJ150" s="34">
        <v>0</v>
      </c>
      <c r="DK150" s="34">
        <v>0</v>
      </c>
      <c r="DL150" s="34">
        <v>0</v>
      </c>
      <c r="DM150" s="34">
        <v>0</v>
      </c>
      <c r="DN150" s="34">
        <v>0</v>
      </c>
      <c r="DO150" s="34">
        <v>0</v>
      </c>
      <c r="DP150" s="34">
        <v>0</v>
      </c>
      <c r="DQ150" s="34">
        <v>0</v>
      </c>
      <c r="DR150" s="34">
        <v>0</v>
      </c>
    </row>
    <row r="151" spans="1:122" s="13" customFormat="1" hidden="1" outlineLevel="1" x14ac:dyDescent="0.35">
      <c r="A151" s="14">
        <v>12</v>
      </c>
      <c r="B151" s="34">
        <v>0</v>
      </c>
      <c r="C151" s="34">
        <v>0</v>
      </c>
      <c r="D151" s="34">
        <v>0</v>
      </c>
      <c r="E151" s="34">
        <v>0</v>
      </c>
      <c r="F151" s="34">
        <v>0</v>
      </c>
      <c r="G151" s="34">
        <v>0</v>
      </c>
      <c r="H151" s="34">
        <v>0</v>
      </c>
      <c r="I151" s="34">
        <v>0</v>
      </c>
      <c r="J151" s="34">
        <v>0</v>
      </c>
      <c r="K151" s="34">
        <v>0</v>
      </c>
      <c r="L151" s="34">
        <v>0</v>
      </c>
      <c r="M151" s="34">
        <v>0</v>
      </c>
      <c r="N151" s="34">
        <v>1</v>
      </c>
      <c r="O151" s="34">
        <v>1</v>
      </c>
      <c r="P151" s="34">
        <v>1</v>
      </c>
      <c r="Q151" s="34">
        <v>1</v>
      </c>
      <c r="R151" s="34">
        <v>1</v>
      </c>
      <c r="S151" s="34">
        <v>1</v>
      </c>
      <c r="T151" s="34">
        <v>1</v>
      </c>
      <c r="U151" s="34">
        <v>1</v>
      </c>
      <c r="V151" s="34">
        <v>1</v>
      </c>
      <c r="W151" s="34">
        <v>1</v>
      </c>
      <c r="X151" s="34">
        <v>1</v>
      </c>
      <c r="Y151" s="34">
        <v>1</v>
      </c>
      <c r="Z151" s="34">
        <v>1</v>
      </c>
      <c r="AA151" s="34">
        <v>0</v>
      </c>
      <c r="AB151" s="34">
        <v>0</v>
      </c>
      <c r="AC151" s="34">
        <v>0</v>
      </c>
      <c r="AD151" s="34">
        <v>0</v>
      </c>
      <c r="AE151" s="34">
        <v>0</v>
      </c>
      <c r="AF151" s="34">
        <v>0</v>
      </c>
      <c r="AG151" s="34">
        <v>0</v>
      </c>
      <c r="AH151" s="34">
        <v>0</v>
      </c>
      <c r="AI151" s="34">
        <v>0</v>
      </c>
      <c r="AJ151" s="34">
        <v>0</v>
      </c>
      <c r="AK151" s="34">
        <v>0</v>
      </c>
      <c r="AL151" s="34">
        <v>0</v>
      </c>
      <c r="AM151" s="34">
        <v>0</v>
      </c>
      <c r="AN151" s="34">
        <v>0</v>
      </c>
      <c r="AO151" s="34">
        <v>0</v>
      </c>
      <c r="AP151" s="34">
        <v>0</v>
      </c>
      <c r="AQ151" s="34">
        <v>0</v>
      </c>
      <c r="AR151" s="34">
        <v>0</v>
      </c>
      <c r="AS151" s="34">
        <v>0</v>
      </c>
      <c r="AT151" s="34">
        <v>0</v>
      </c>
      <c r="AU151" s="34">
        <v>0</v>
      </c>
      <c r="AV151" s="34">
        <v>0</v>
      </c>
      <c r="AW151" s="34">
        <v>0</v>
      </c>
      <c r="AX151" s="34">
        <v>0</v>
      </c>
      <c r="AY151" s="34">
        <v>0</v>
      </c>
      <c r="AZ151" s="34">
        <v>0</v>
      </c>
      <c r="BA151" s="34">
        <v>0</v>
      </c>
      <c r="BB151" s="34">
        <v>0</v>
      </c>
      <c r="BC151" s="34">
        <v>0</v>
      </c>
      <c r="BD151" s="34">
        <v>0</v>
      </c>
      <c r="BE151" s="34">
        <v>0</v>
      </c>
      <c r="BF151" s="34">
        <v>0</v>
      </c>
      <c r="BG151" s="34">
        <v>0</v>
      </c>
      <c r="BH151" s="34">
        <v>0</v>
      </c>
      <c r="BI151" s="34">
        <v>0</v>
      </c>
      <c r="BJ151" s="34">
        <v>0</v>
      </c>
      <c r="BK151" s="34">
        <v>0</v>
      </c>
      <c r="BL151" s="34">
        <v>0</v>
      </c>
      <c r="BM151" s="34">
        <v>0</v>
      </c>
      <c r="BN151" s="34">
        <v>0</v>
      </c>
      <c r="BO151" s="34">
        <v>0</v>
      </c>
      <c r="BP151" s="34">
        <v>0</v>
      </c>
      <c r="BQ151" s="34">
        <v>0</v>
      </c>
      <c r="BR151" s="34">
        <v>0</v>
      </c>
      <c r="BS151" s="34">
        <v>0</v>
      </c>
      <c r="BT151" s="34">
        <v>0</v>
      </c>
      <c r="BU151" s="34">
        <v>0</v>
      </c>
      <c r="BV151" s="34">
        <v>0</v>
      </c>
      <c r="BW151" s="34">
        <v>0</v>
      </c>
      <c r="BX151" s="34">
        <v>0</v>
      </c>
      <c r="BY151" s="34">
        <v>0</v>
      </c>
      <c r="BZ151" s="34">
        <v>0</v>
      </c>
      <c r="CA151" s="34">
        <v>0</v>
      </c>
      <c r="CB151" s="34">
        <v>0</v>
      </c>
      <c r="CC151" s="34">
        <v>0</v>
      </c>
      <c r="CD151" s="34">
        <v>0</v>
      </c>
      <c r="CE151" s="34">
        <v>0</v>
      </c>
      <c r="CF151" s="34">
        <v>0</v>
      </c>
      <c r="CG151" s="34">
        <v>0</v>
      </c>
      <c r="CH151" s="34">
        <v>0</v>
      </c>
      <c r="CI151" s="34">
        <v>0</v>
      </c>
      <c r="CJ151" s="34">
        <v>0</v>
      </c>
      <c r="CK151" s="34">
        <v>0</v>
      </c>
      <c r="CL151" s="34">
        <v>0</v>
      </c>
      <c r="CM151" s="34">
        <v>0</v>
      </c>
      <c r="CN151" s="34">
        <v>0</v>
      </c>
      <c r="CO151" s="34">
        <v>0</v>
      </c>
      <c r="CP151" s="34">
        <v>0</v>
      </c>
      <c r="CQ151" s="34">
        <v>0</v>
      </c>
      <c r="CR151" s="34">
        <v>0</v>
      </c>
      <c r="CS151" s="34">
        <v>0</v>
      </c>
      <c r="CT151" s="34">
        <v>0</v>
      </c>
      <c r="CU151" s="34">
        <v>0</v>
      </c>
      <c r="CV151" s="34">
        <v>0</v>
      </c>
      <c r="CW151" s="34">
        <v>0</v>
      </c>
      <c r="CX151" s="34">
        <v>0</v>
      </c>
      <c r="CY151" s="34">
        <v>0</v>
      </c>
      <c r="CZ151" s="34">
        <v>0</v>
      </c>
      <c r="DA151" s="34">
        <v>0</v>
      </c>
      <c r="DB151" s="34">
        <v>0</v>
      </c>
      <c r="DC151" s="34">
        <v>0</v>
      </c>
      <c r="DD151" s="34">
        <v>0</v>
      </c>
      <c r="DE151" s="34">
        <v>0</v>
      </c>
      <c r="DF151" s="34">
        <v>0</v>
      </c>
      <c r="DG151" s="34">
        <v>0</v>
      </c>
      <c r="DH151" s="34">
        <v>0</v>
      </c>
      <c r="DI151" s="34">
        <v>0</v>
      </c>
      <c r="DJ151" s="34">
        <v>0</v>
      </c>
      <c r="DK151" s="34">
        <v>0</v>
      </c>
      <c r="DL151" s="34">
        <v>0</v>
      </c>
      <c r="DM151" s="34">
        <v>0</v>
      </c>
      <c r="DN151" s="34">
        <v>0</v>
      </c>
      <c r="DO151" s="34">
        <v>0</v>
      </c>
      <c r="DP151" s="34">
        <v>0</v>
      </c>
      <c r="DQ151" s="34">
        <v>0</v>
      </c>
      <c r="DR151" s="34">
        <v>0</v>
      </c>
    </row>
    <row r="152" spans="1:122" s="13" customFormat="1" hidden="1" outlineLevel="1" x14ac:dyDescent="0.35">
      <c r="A152" s="14">
        <v>13</v>
      </c>
      <c r="B152" s="34">
        <v>0</v>
      </c>
      <c r="C152" s="34">
        <v>0</v>
      </c>
      <c r="D152" s="34">
        <v>0</v>
      </c>
      <c r="E152" s="34">
        <v>0</v>
      </c>
      <c r="F152" s="34">
        <v>0</v>
      </c>
      <c r="G152" s="34">
        <v>0</v>
      </c>
      <c r="H152" s="34">
        <v>0</v>
      </c>
      <c r="I152" s="34">
        <v>0</v>
      </c>
      <c r="J152" s="34">
        <v>0</v>
      </c>
      <c r="K152" s="34">
        <v>0</v>
      </c>
      <c r="L152" s="34">
        <v>0</v>
      </c>
      <c r="M152" s="34">
        <v>0</v>
      </c>
      <c r="N152" s="34">
        <v>0</v>
      </c>
      <c r="O152" s="34">
        <v>1</v>
      </c>
      <c r="P152" s="34">
        <v>1</v>
      </c>
      <c r="Q152" s="34">
        <v>1</v>
      </c>
      <c r="R152" s="34">
        <v>1</v>
      </c>
      <c r="S152" s="34">
        <v>1</v>
      </c>
      <c r="T152" s="34">
        <v>1</v>
      </c>
      <c r="U152" s="34">
        <v>1</v>
      </c>
      <c r="V152" s="34">
        <v>1</v>
      </c>
      <c r="W152" s="34">
        <v>1</v>
      </c>
      <c r="X152" s="34">
        <v>1</v>
      </c>
      <c r="Y152" s="34">
        <v>1</v>
      </c>
      <c r="Z152" s="34">
        <v>1</v>
      </c>
      <c r="AA152" s="34">
        <v>1</v>
      </c>
      <c r="AB152" s="34">
        <v>1</v>
      </c>
      <c r="AC152" s="34">
        <v>0</v>
      </c>
      <c r="AD152" s="34">
        <v>0</v>
      </c>
      <c r="AE152" s="34">
        <v>0</v>
      </c>
      <c r="AF152" s="34">
        <v>0</v>
      </c>
      <c r="AG152" s="34">
        <v>0</v>
      </c>
      <c r="AH152" s="34">
        <v>0</v>
      </c>
      <c r="AI152" s="34">
        <v>0</v>
      </c>
      <c r="AJ152" s="34">
        <v>0</v>
      </c>
      <c r="AK152" s="34">
        <v>0</v>
      </c>
      <c r="AL152" s="34">
        <v>0</v>
      </c>
      <c r="AM152" s="34">
        <v>0</v>
      </c>
      <c r="AN152" s="34">
        <v>0</v>
      </c>
      <c r="AO152" s="34">
        <v>0</v>
      </c>
      <c r="AP152" s="34">
        <v>0</v>
      </c>
      <c r="AQ152" s="34">
        <v>0</v>
      </c>
      <c r="AR152" s="34">
        <v>0</v>
      </c>
      <c r="AS152" s="34">
        <v>0</v>
      </c>
      <c r="AT152" s="34">
        <v>0</v>
      </c>
      <c r="AU152" s="34">
        <v>0</v>
      </c>
      <c r="AV152" s="34">
        <v>0</v>
      </c>
      <c r="AW152" s="34">
        <v>0</v>
      </c>
      <c r="AX152" s="34">
        <v>0</v>
      </c>
      <c r="AY152" s="34">
        <v>0</v>
      </c>
      <c r="AZ152" s="34">
        <v>0</v>
      </c>
      <c r="BA152" s="34">
        <v>0</v>
      </c>
      <c r="BB152" s="34">
        <v>0</v>
      </c>
      <c r="BC152" s="34">
        <v>0</v>
      </c>
      <c r="BD152" s="34">
        <v>0</v>
      </c>
      <c r="BE152" s="34">
        <v>0</v>
      </c>
      <c r="BF152" s="34">
        <v>0</v>
      </c>
      <c r="BG152" s="34">
        <v>0</v>
      </c>
      <c r="BH152" s="34">
        <v>0</v>
      </c>
      <c r="BI152" s="34">
        <v>0</v>
      </c>
      <c r="BJ152" s="34">
        <v>0</v>
      </c>
      <c r="BK152" s="34">
        <v>0</v>
      </c>
      <c r="BL152" s="34">
        <v>0</v>
      </c>
      <c r="BM152" s="34">
        <v>0</v>
      </c>
      <c r="BN152" s="34">
        <v>0</v>
      </c>
      <c r="BO152" s="34">
        <v>0</v>
      </c>
      <c r="BP152" s="34">
        <v>0</v>
      </c>
      <c r="BQ152" s="34">
        <v>0</v>
      </c>
      <c r="BR152" s="34">
        <v>0</v>
      </c>
      <c r="BS152" s="34">
        <v>0</v>
      </c>
      <c r="BT152" s="34">
        <v>0</v>
      </c>
      <c r="BU152" s="34">
        <v>0</v>
      </c>
      <c r="BV152" s="34">
        <v>0</v>
      </c>
      <c r="BW152" s="34">
        <v>0</v>
      </c>
      <c r="BX152" s="34">
        <v>0</v>
      </c>
      <c r="BY152" s="34">
        <v>0</v>
      </c>
      <c r="BZ152" s="34">
        <v>0</v>
      </c>
      <c r="CA152" s="34">
        <v>0</v>
      </c>
      <c r="CB152" s="34">
        <v>0</v>
      </c>
      <c r="CC152" s="34">
        <v>0</v>
      </c>
      <c r="CD152" s="34">
        <v>0</v>
      </c>
      <c r="CE152" s="34">
        <v>0</v>
      </c>
      <c r="CF152" s="34">
        <v>0</v>
      </c>
      <c r="CG152" s="34">
        <v>0</v>
      </c>
      <c r="CH152" s="34">
        <v>0</v>
      </c>
      <c r="CI152" s="34">
        <v>0</v>
      </c>
      <c r="CJ152" s="34">
        <v>0</v>
      </c>
      <c r="CK152" s="34">
        <v>0</v>
      </c>
      <c r="CL152" s="34">
        <v>0</v>
      </c>
      <c r="CM152" s="34">
        <v>0</v>
      </c>
      <c r="CN152" s="34">
        <v>0</v>
      </c>
      <c r="CO152" s="34">
        <v>0</v>
      </c>
      <c r="CP152" s="34">
        <v>0</v>
      </c>
      <c r="CQ152" s="34">
        <v>0</v>
      </c>
      <c r="CR152" s="34">
        <v>0</v>
      </c>
      <c r="CS152" s="34">
        <v>0</v>
      </c>
      <c r="CT152" s="34">
        <v>0</v>
      </c>
      <c r="CU152" s="34">
        <v>0</v>
      </c>
      <c r="CV152" s="34">
        <v>0</v>
      </c>
      <c r="CW152" s="34">
        <v>0</v>
      </c>
      <c r="CX152" s="34">
        <v>0</v>
      </c>
      <c r="CY152" s="34">
        <v>0</v>
      </c>
      <c r="CZ152" s="34">
        <v>0</v>
      </c>
      <c r="DA152" s="34">
        <v>0</v>
      </c>
      <c r="DB152" s="34">
        <v>0</v>
      </c>
      <c r="DC152" s="34">
        <v>0</v>
      </c>
      <c r="DD152" s="34">
        <v>0</v>
      </c>
      <c r="DE152" s="34">
        <v>0</v>
      </c>
      <c r="DF152" s="34">
        <v>0</v>
      </c>
      <c r="DG152" s="34">
        <v>0</v>
      </c>
      <c r="DH152" s="34">
        <v>0</v>
      </c>
      <c r="DI152" s="34">
        <v>0</v>
      </c>
      <c r="DJ152" s="34">
        <v>0</v>
      </c>
      <c r="DK152" s="34">
        <v>0</v>
      </c>
      <c r="DL152" s="34">
        <v>0</v>
      </c>
      <c r="DM152" s="34">
        <v>0</v>
      </c>
      <c r="DN152" s="34">
        <v>0</v>
      </c>
      <c r="DO152" s="34">
        <v>0</v>
      </c>
      <c r="DP152" s="34">
        <v>0</v>
      </c>
      <c r="DQ152" s="34">
        <v>0</v>
      </c>
      <c r="DR152" s="34">
        <v>0</v>
      </c>
    </row>
    <row r="153" spans="1:122" s="13" customFormat="1" hidden="1" outlineLevel="1" x14ac:dyDescent="0.35">
      <c r="A153" s="14">
        <v>14</v>
      </c>
      <c r="B153" s="34">
        <v>0</v>
      </c>
      <c r="C153" s="34">
        <v>0</v>
      </c>
      <c r="D153" s="34">
        <v>0</v>
      </c>
      <c r="E153" s="34">
        <v>0</v>
      </c>
      <c r="F153" s="34">
        <v>0</v>
      </c>
      <c r="G153" s="34">
        <v>0</v>
      </c>
      <c r="H153" s="34">
        <v>0</v>
      </c>
      <c r="I153" s="34">
        <v>0</v>
      </c>
      <c r="J153" s="34">
        <v>0</v>
      </c>
      <c r="K153" s="34">
        <v>0</v>
      </c>
      <c r="L153" s="34">
        <v>0</v>
      </c>
      <c r="M153" s="34">
        <v>0</v>
      </c>
      <c r="N153" s="34">
        <v>0</v>
      </c>
      <c r="O153" s="34">
        <v>0</v>
      </c>
      <c r="P153" s="34">
        <v>1</v>
      </c>
      <c r="Q153" s="34">
        <v>1</v>
      </c>
      <c r="R153" s="34">
        <v>1</v>
      </c>
      <c r="S153" s="34">
        <v>1</v>
      </c>
      <c r="T153" s="34">
        <v>1</v>
      </c>
      <c r="U153" s="34">
        <v>1</v>
      </c>
      <c r="V153" s="34">
        <v>1</v>
      </c>
      <c r="W153" s="34">
        <v>1</v>
      </c>
      <c r="X153" s="34">
        <v>1</v>
      </c>
      <c r="Y153" s="34">
        <v>1</v>
      </c>
      <c r="Z153" s="34">
        <v>1</v>
      </c>
      <c r="AA153" s="34">
        <v>1</v>
      </c>
      <c r="AB153" s="34">
        <v>1</v>
      </c>
      <c r="AC153" s="34">
        <v>1</v>
      </c>
      <c r="AD153" s="34">
        <v>0</v>
      </c>
      <c r="AE153" s="34">
        <v>0</v>
      </c>
      <c r="AF153" s="34">
        <v>0</v>
      </c>
      <c r="AG153" s="34">
        <v>0</v>
      </c>
      <c r="AH153" s="34">
        <v>0</v>
      </c>
      <c r="AI153" s="34">
        <v>0</v>
      </c>
      <c r="AJ153" s="34">
        <v>0</v>
      </c>
      <c r="AK153" s="34">
        <v>0</v>
      </c>
      <c r="AL153" s="34">
        <v>0</v>
      </c>
      <c r="AM153" s="34">
        <v>0</v>
      </c>
      <c r="AN153" s="34">
        <v>0</v>
      </c>
      <c r="AO153" s="34">
        <v>0</v>
      </c>
      <c r="AP153" s="34">
        <v>0</v>
      </c>
      <c r="AQ153" s="34">
        <v>0</v>
      </c>
      <c r="AR153" s="34">
        <v>0</v>
      </c>
      <c r="AS153" s="34">
        <v>0</v>
      </c>
      <c r="AT153" s="34">
        <v>0</v>
      </c>
      <c r="AU153" s="34">
        <v>0</v>
      </c>
      <c r="AV153" s="34">
        <v>0</v>
      </c>
      <c r="AW153" s="34">
        <v>0</v>
      </c>
      <c r="AX153" s="34">
        <v>0</v>
      </c>
      <c r="AY153" s="34">
        <v>0</v>
      </c>
      <c r="AZ153" s="34">
        <v>0</v>
      </c>
      <c r="BA153" s="34">
        <v>0</v>
      </c>
      <c r="BB153" s="34">
        <v>0</v>
      </c>
      <c r="BC153" s="34">
        <v>0</v>
      </c>
      <c r="BD153" s="34">
        <v>0</v>
      </c>
      <c r="BE153" s="34">
        <v>0</v>
      </c>
      <c r="BF153" s="34">
        <v>0</v>
      </c>
      <c r="BG153" s="34">
        <v>0</v>
      </c>
      <c r="BH153" s="34">
        <v>0</v>
      </c>
      <c r="BI153" s="34">
        <v>0</v>
      </c>
      <c r="BJ153" s="34">
        <v>0</v>
      </c>
      <c r="BK153" s="34">
        <v>0</v>
      </c>
      <c r="BL153" s="34">
        <v>0</v>
      </c>
      <c r="BM153" s="34">
        <v>0</v>
      </c>
      <c r="BN153" s="34">
        <v>0</v>
      </c>
      <c r="BO153" s="34">
        <v>0</v>
      </c>
      <c r="BP153" s="34">
        <v>0</v>
      </c>
      <c r="BQ153" s="34">
        <v>0</v>
      </c>
      <c r="BR153" s="34">
        <v>0</v>
      </c>
      <c r="BS153" s="34">
        <v>0</v>
      </c>
      <c r="BT153" s="34">
        <v>0</v>
      </c>
      <c r="BU153" s="34">
        <v>0</v>
      </c>
      <c r="BV153" s="34">
        <v>0</v>
      </c>
      <c r="BW153" s="34">
        <v>0</v>
      </c>
      <c r="BX153" s="34">
        <v>0</v>
      </c>
      <c r="BY153" s="34">
        <v>0</v>
      </c>
      <c r="BZ153" s="34">
        <v>0</v>
      </c>
      <c r="CA153" s="34">
        <v>0</v>
      </c>
      <c r="CB153" s="34">
        <v>0</v>
      </c>
      <c r="CC153" s="34">
        <v>0</v>
      </c>
      <c r="CD153" s="34">
        <v>0</v>
      </c>
      <c r="CE153" s="34">
        <v>0</v>
      </c>
      <c r="CF153" s="34">
        <v>0</v>
      </c>
      <c r="CG153" s="34">
        <v>0</v>
      </c>
      <c r="CH153" s="34">
        <v>0</v>
      </c>
      <c r="CI153" s="34">
        <v>0</v>
      </c>
      <c r="CJ153" s="34">
        <v>0</v>
      </c>
      <c r="CK153" s="34">
        <v>0</v>
      </c>
      <c r="CL153" s="34">
        <v>0</v>
      </c>
      <c r="CM153" s="34">
        <v>0</v>
      </c>
      <c r="CN153" s="34">
        <v>0</v>
      </c>
      <c r="CO153" s="34">
        <v>0</v>
      </c>
      <c r="CP153" s="34">
        <v>0</v>
      </c>
      <c r="CQ153" s="34">
        <v>0</v>
      </c>
      <c r="CR153" s="34">
        <v>0</v>
      </c>
      <c r="CS153" s="34">
        <v>0</v>
      </c>
      <c r="CT153" s="34">
        <v>0</v>
      </c>
      <c r="CU153" s="34">
        <v>0</v>
      </c>
      <c r="CV153" s="34">
        <v>0</v>
      </c>
      <c r="CW153" s="34">
        <v>0</v>
      </c>
      <c r="CX153" s="34">
        <v>0</v>
      </c>
      <c r="CY153" s="34">
        <v>0</v>
      </c>
      <c r="CZ153" s="34">
        <v>0</v>
      </c>
      <c r="DA153" s="34">
        <v>0</v>
      </c>
      <c r="DB153" s="34">
        <v>0</v>
      </c>
      <c r="DC153" s="34">
        <v>0</v>
      </c>
      <c r="DD153" s="34">
        <v>0</v>
      </c>
      <c r="DE153" s="34">
        <v>0</v>
      </c>
      <c r="DF153" s="34">
        <v>0</v>
      </c>
      <c r="DG153" s="34">
        <v>0</v>
      </c>
      <c r="DH153" s="34">
        <v>0</v>
      </c>
      <c r="DI153" s="34">
        <v>0</v>
      </c>
      <c r="DJ153" s="34">
        <v>0</v>
      </c>
      <c r="DK153" s="34">
        <v>0</v>
      </c>
      <c r="DL153" s="34">
        <v>0</v>
      </c>
      <c r="DM153" s="34">
        <v>0</v>
      </c>
      <c r="DN153" s="34">
        <v>0</v>
      </c>
      <c r="DO153" s="34">
        <v>0</v>
      </c>
      <c r="DP153" s="34">
        <v>0</v>
      </c>
      <c r="DQ153" s="34">
        <v>0</v>
      </c>
      <c r="DR153" s="34">
        <v>0</v>
      </c>
    </row>
    <row r="154" spans="1:122" s="13" customFormat="1" hidden="1" outlineLevel="1" x14ac:dyDescent="0.35">
      <c r="A154" s="14">
        <v>15</v>
      </c>
      <c r="B154" s="34">
        <v>0</v>
      </c>
      <c r="C154" s="34">
        <v>0</v>
      </c>
      <c r="D154" s="34">
        <v>0</v>
      </c>
      <c r="E154" s="34">
        <v>0</v>
      </c>
      <c r="F154" s="34">
        <v>0</v>
      </c>
      <c r="G154" s="34">
        <v>0</v>
      </c>
      <c r="H154" s="34">
        <v>0</v>
      </c>
      <c r="I154" s="34">
        <v>0</v>
      </c>
      <c r="J154" s="34">
        <v>0</v>
      </c>
      <c r="K154" s="34">
        <v>0</v>
      </c>
      <c r="L154" s="34">
        <v>0</v>
      </c>
      <c r="M154" s="34">
        <v>0</v>
      </c>
      <c r="N154" s="34">
        <v>0</v>
      </c>
      <c r="O154" s="34">
        <v>0</v>
      </c>
      <c r="P154" s="34">
        <v>0</v>
      </c>
      <c r="Q154" s="34">
        <v>1</v>
      </c>
      <c r="R154" s="34">
        <v>1</v>
      </c>
      <c r="S154" s="34">
        <v>1</v>
      </c>
      <c r="T154" s="34">
        <v>1</v>
      </c>
      <c r="U154" s="34">
        <v>1</v>
      </c>
      <c r="V154" s="34">
        <v>1</v>
      </c>
      <c r="W154" s="34">
        <v>1</v>
      </c>
      <c r="X154" s="34">
        <v>1</v>
      </c>
      <c r="Y154" s="34">
        <v>1</v>
      </c>
      <c r="Z154" s="34">
        <v>1</v>
      </c>
      <c r="AA154" s="34">
        <v>1</v>
      </c>
      <c r="AB154" s="34">
        <v>1</v>
      </c>
      <c r="AC154" s="34">
        <v>1</v>
      </c>
      <c r="AD154" s="34">
        <v>1</v>
      </c>
      <c r="AE154" s="34">
        <v>1</v>
      </c>
      <c r="AF154" s="34">
        <v>0</v>
      </c>
      <c r="AG154" s="34">
        <v>0</v>
      </c>
      <c r="AH154" s="34">
        <v>0</v>
      </c>
      <c r="AI154" s="34">
        <v>0</v>
      </c>
      <c r="AJ154" s="34">
        <v>0</v>
      </c>
      <c r="AK154" s="34">
        <v>0</v>
      </c>
      <c r="AL154" s="34">
        <v>0</v>
      </c>
      <c r="AM154" s="34">
        <v>0</v>
      </c>
      <c r="AN154" s="34">
        <v>0</v>
      </c>
      <c r="AO154" s="34">
        <v>0</v>
      </c>
      <c r="AP154" s="34">
        <v>0</v>
      </c>
      <c r="AQ154" s="34">
        <v>0</v>
      </c>
      <c r="AR154" s="34">
        <v>0</v>
      </c>
      <c r="AS154" s="34">
        <v>0</v>
      </c>
      <c r="AT154" s="34">
        <v>0</v>
      </c>
      <c r="AU154" s="34">
        <v>0</v>
      </c>
      <c r="AV154" s="34">
        <v>0</v>
      </c>
      <c r="AW154" s="34">
        <v>0</v>
      </c>
      <c r="AX154" s="34">
        <v>0</v>
      </c>
      <c r="AY154" s="34">
        <v>0</v>
      </c>
      <c r="AZ154" s="34">
        <v>0</v>
      </c>
      <c r="BA154" s="34">
        <v>0</v>
      </c>
      <c r="BB154" s="34">
        <v>0</v>
      </c>
      <c r="BC154" s="34">
        <v>0</v>
      </c>
      <c r="BD154" s="34">
        <v>0</v>
      </c>
      <c r="BE154" s="34">
        <v>0</v>
      </c>
      <c r="BF154" s="34">
        <v>0</v>
      </c>
      <c r="BG154" s="34">
        <v>0</v>
      </c>
      <c r="BH154" s="34">
        <v>0</v>
      </c>
      <c r="BI154" s="34">
        <v>0</v>
      </c>
      <c r="BJ154" s="34">
        <v>0</v>
      </c>
      <c r="BK154" s="34">
        <v>0</v>
      </c>
      <c r="BL154" s="34">
        <v>0</v>
      </c>
      <c r="BM154" s="34">
        <v>0</v>
      </c>
      <c r="BN154" s="34">
        <v>0</v>
      </c>
      <c r="BO154" s="34">
        <v>0</v>
      </c>
      <c r="BP154" s="34">
        <v>0</v>
      </c>
      <c r="BQ154" s="34">
        <v>0</v>
      </c>
      <c r="BR154" s="34">
        <v>0</v>
      </c>
      <c r="BS154" s="34">
        <v>0</v>
      </c>
      <c r="BT154" s="34">
        <v>0</v>
      </c>
      <c r="BU154" s="34">
        <v>0</v>
      </c>
      <c r="BV154" s="34">
        <v>0</v>
      </c>
      <c r="BW154" s="34">
        <v>0</v>
      </c>
      <c r="BX154" s="34">
        <v>0</v>
      </c>
      <c r="BY154" s="34">
        <v>0</v>
      </c>
      <c r="BZ154" s="34">
        <v>0</v>
      </c>
      <c r="CA154" s="34">
        <v>0</v>
      </c>
      <c r="CB154" s="34">
        <v>0</v>
      </c>
      <c r="CC154" s="34">
        <v>0</v>
      </c>
      <c r="CD154" s="34">
        <v>0</v>
      </c>
      <c r="CE154" s="34">
        <v>0</v>
      </c>
      <c r="CF154" s="34">
        <v>0</v>
      </c>
      <c r="CG154" s="34">
        <v>0</v>
      </c>
      <c r="CH154" s="34">
        <v>0</v>
      </c>
      <c r="CI154" s="34">
        <v>0</v>
      </c>
      <c r="CJ154" s="34">
        <v>0</v>
      </c>
      <c r="CK154" s="34">
        <v>0</v>
      </c>
      <c r="CL154" s="34">
        <v>0</v>
      </c>
      <c r="CM154" s="34">
        <v>0</v>
      </c>
      <c r="CN154" s="34">
        <v>0</v>
      </c>
      <c r="CO154" s="34">
        <v>0</v>
      </c>
      <c r="CP154" s="34">
        <v>0</v>
      </c>
      <c r="CQ154" s="34">
        <v>0</v>
      </c>
      <c r="CR154" s="34">
        <v>0</v>
      </c>
      <c r="CS154" s="34">
        <v>0</v>
      </c>
      <c r="CT154" s="34">
        <v>0</v>
      </c>
      <c r="CU154" s="34">
        <v>0</v>
      </c>
      <c r="CV154" s="34">
        <v>0</v>
      </c>
      <c r="CW154" s="34">
        <v>0</v>
      </c>
      <c r="CX154" s="34">
        <v>0</v>
      </c>
      <c r="CY154" s="34">
        <v>0</v>
      </c>
      <c r="CZ154" s="34">
        <v>0</v>
      </c>
      <c r="DA154" s="34">
        <v>0</v>
      </c>
      <c r="DB154" s="34">
        <v>0</v>
      </c>
      <c r="DC154" s="34">
        <v>0</v>
      </c>
      <c r="DD154" s="34">
        <v>0</v>
      </c>
      <c r="DE154" s="34">
        <v>0</v>
      </c>
      <c r="DF154" s="34">
        <v>0</v>
      </c>
      <c r="DG154" s="34">
        <v>0</v>
      </c>
      <c r="DH154" s="34">
        <v>0</v>
      </c>
      <c r="DI154" s="34">
        <v>0</v>
      </c>
      <c r="DJ154" s="34">
        <v>0</v>
      </c>
      <c r="DK154" s="34">
        <v>0</v>
      </c>
      <c r="DL154" s="34">
        <v>0</v>
      </c>
      <c r="DM154" s="34">
        <v>0</v>
      </c>
      <c r="DN154" s="34">
        <v>0</v>
      </c>
      <c r="DO154" s="34">
        <v>0</v>
      </c>
      <c r="DP154" s="34">
        <v>0</v>
      </c>
      <c r="DQ154" s="34">
        <v>0</v>
      </c>
      <c r="DR154" s="34">
        <v>0</v>
      </c>
    </row>
    <row r="155" spans="1:122" s="13" customFormat="1" hidden="1" outlineLevel="1" x14ac:dyDescent="0.35">
      <c r="A155" s="14">
        <v>16</v>
      </c>
      <c r="B155" s="34">
        <v>0</v>
      </c>
      <c r="C155" s="34">
        <v>0</v>
      </c>
      <c r="D155" s="34">
        <v>0</v>
      </c>
      <c r="E155" s="34">
        <v>0</v>
      </c>
      <c r="F155" s="34">
        <v>0</v>
      </c>
      <c r="G155" s="34">
        <v>0</v>
      </c>
      <c r="H155" s="34">
        <v>0</v>
      </c>
      <c r="I155" s="34">
        <v>0</v>
      </c>
      <c r="J155" s="34">
        <v>0</v>
      </c>
      <c r="K155" s="34">
        <v>0</v>
      </c>
      <c r="L155" s="34">
        <v>0</v>
      </c>
      <c r="M155" s="34">
        <v>0</v>
      </c>
      <c r="N155" s="34">
        <v>0</v>
      </c>
      <c r="O155" s="34">
        <v>0</v>
      </c>
      <c r="P155" s="34">
        <v>0</v>
      </c>
      <c r="Q155" s="34">
        <v>0</v>
      </c>
      <c r="R155" s="34">
        <v>1</v>
      </c>
      <c r="S155" s="34">
        <v>1</v>
      </c>
      <c r="T155" s="34">
        <v>1</v>
      </c>
      <c r="U155" s="34">
        <v>1</v>
      </c>
      <c r="V155" s="34">
        <v>1</v>
      </c>
      <c r="W155" s="34">
        <v>1</v>
      </c>
      <c r="X155" s="34">
        <v>1</v>
      </c>
      <c r="Y155" s="34">
        <v>1</v>
      </c>
      <c r="Z155" s="34">
        <v>1</v>
      </c>
      <c r="AA155" s="34">
        <v>1</v>
      </c>
      <c r="AB155" s="34">
        <v>1</v>
      </c>
      <c r="AC155" s="34">
        <v>1</v>
      </c>
      <c r="AD155" s="34">
        <v>1</v>
      </c>
      <c r="AE155" s="34">
        <v>1</v>
      </c>
      <c r="AF155" s="34">
        <v>1</v>
      </c>
      <c r="AG155" s="34">
        <v>1</v>
      </c>
      <c r="AH155" s="34">
        <v>1</v>
      </c>
      <c r="AI155" s="34">
        <v>0</v>
      </c>
      <c r="AJ155" s="34">
        <v>0</v>
      </c>
      <c r="AK155" s="34">
        <v>0</v>
      </c>
      <c r="AL155" s="34">
        <v>0</v>
      </c>
      <c r="AM155" s="34">
        <v>0</v>
      </c>
      <c r="AN155" s="34">
        <v>0</v>
      </c>
      <c r="AO155" s="34">
        <v>0</v>
      </c>
      <c r="AP155" s="34">
        <v>0</v>
      </c>
      <c r="AQ155" s="34">
        <v>0</v>
      </c>
      <c r="AR155" s="34">
        <v>0</v>
      </c>
      <c r="AS155" s="34">
        <v>0</v>
      </c>
      <c r="AT155" s="34">
        <v>0</v>
      </c>
      <c r="AU155" s="34">
        <v>0</v>
      </c>
      <c r="AV155" s="34">
        <v>0</v>
      </c>
      <c r="AW155" s="34">
        <v>0</v>
      </c>
      <c r="AX155" s="34">
        <v>0</v>
      </c>
      <c r="AY155" s="34">
        <v>0</v>
      </c>
      <c r="AZ155" s="34">
        <v>0</v>
      </c>
      <c r="BA155" s="34">
        <v>0</v>
      </c>
      <c r="BB155" s="34">
        <v>0</v>
      </c>
      <c r="BC155" s="34">
        <v>0</v>
      </c>
      <c r="BD155" s="34">
        <v>0</v>
      </c>
      <c r="BE155" s="34">
        <v>0</v>
      </c>
      <c r="BF155" s="34">
        <v>0</v>
      </c>
      <c r="BG155" s="34">
        <v>0</v>
      </c>
      <c r="BH155" s="34">
        <v>0</v>
      </c>
      <c r="BI155" s="34">
        <v>0</v>
      </c>
      <c r="BJ155" s="34">
        <v>0</v>
      </c>
      <c r="BK155" s="34">
        <v>0</v>
      </c>
      <c r="BL155" s="34">
        <v>0</v>
      </c>
      <c r="BM155" s="34">
        <v>0</v>
      </c>
      <c r="BN155" s="34">
        <v>0</v>
      </c>
      <c r="BO155" s="34">
        <v>0</v>
      </c>
      <c r="BP155" s="34">
        <v>0</v>
      </c>
      <c r="BQ155" s="34">
        <v>0</v>
      </c>
      <c r="BR155" s="34">
        <v>0</v>
      </c>
      <c r="BS155" s="34">
        <v>0</v>
      </c>
      <c r="BT155" s="34">
        <v>0</v>
      </c>
      <c r="BU155" s="34">
        <v>0</v>
      </c>
      <c r="BV155" s="34">
        <v>0</v>
      </c>
      <c r="BW155" s="34">
        <v>0</v>
      </c>
      <c r="BX155" s="34">
        <v>0</v>
      </c>
      <c r="BY155" s="34">
        <v>0</v>
      </c>
      <c r="BZ155" s="34">
        <v>0</v>
      </c>
      <c r="CA155" s="34">
        <v>0</v>
      </c>
      <c r="CB155" s="34">
        <v>0</v>
      </c>
      <c r="CC155" s="34">
        <v>0</v>
      </c>
      <c r="CD155" s="34">
        <v>0</v>
      </c>
      <c r="CE155" s="34">
        <v>0</v>
      </c>
      <c r="CF155" s="34">
        <v>0</v>
      </c>
      <c r="CG155" s="34">
        <v>0</v>
      </c>
      <c r="CH155" s="34">
        <v>0</v>
      </c>
      <c r="CI155" s="34">
        <v>0</v>
      </c>
      <c r="CJ155" s="34">
        <v>0</v>
      </c>
      <c r="CK155" s="34">
        <v>0</v>
      </c>
      <c r="CL155" s="34">
        <v>0</v>
      </c>
      <c r="CM155" s="34">
        <v>0</v>
      </c>
      <c r="CN155" s="34">
        <v>0</v>
      </c>
      <c r="CO155" s="34">
        <v>0</v>
      </c>
      <c r="CP155" s="34">
        <v>0</v>
      </c>
      <c r="CQ155" s="34">
        <v>0</v>
      </c>
      <c r="CR155" s="34">
        <v>0</v>
      </c>
      <c r="CS155" s="34">
        <v>0</v>
      </c>
      <c r="CT155" s="34">
        <v>0</v>
      </c>
      <c r="CU155" s="34">
        <v>0</v>
      </c>
      <c r="CV155" s="34">
        <v>0</v>
      </c>
      <c r="CW155" s="34">
        <v>0</v>
      </c>
      <c r="CX155" s="34">
        <v>0</v>
      </c>
      <c r="CY155" s="34">
        <v>0</v>
      </c>
      <c r="CZ155" s="34">
        <v>0</v>
      </c>
      <c r="DA155" s="34">
        <v>0</v>
      </c>
      <c r="DB155" s="34">
        <v>0</v>
      </c>
      <c r="DC155" s="34">
        <v>0</v>
      </c>
      <c r="DD155" s="34">
        <v>0</v>
      </c>
      <c r="DE155" s="34">
        <v>0</v>
      </c>
      <c r="DF155" s="34">
        <v>0</v>
      </c>
      <c r="DG155" s="34">
        <v>0</v>
      </c>
      <c r="DH155" s="34">
        <v>0</v>
      </c>
      <c r="DI155" s="34">
        <v>0</v>
      </c>
      <c r="DJ155" s="34">
        <v>0</v>
      </c>
      <c r="DK155" s="34">
        <v>0</v>
      </c>
      <c r="DL155" s="34">
        <v>0</v>
      </c>
      <c r="DM155" s="34">
        <v>0</v>
      </c>
      <c r="DN155" s="34">
        <v>0</v>
      </c>
      <c r="DO155" s="34">
        <v>0</v>
      </c>
      <c r="DP155" s="34">
        <v>0</v>
      </c>
      <c r="DQ155" s="34">
        <v>0</v>
      </c>
      <c r="DR155" s="34">
        <v>0</v>
      </c>
    </row>
    <row r="156" spans="1:122" s="13" customFormat="1" hidden="1" outlineLevel="1" x14ac:dyDescent="0.35">
      <c r="A156" s="14">
        <v>17</v>
      </c>
      <c r="B156" s="34">
        <v>0</v>
      </c>
      <c r="C156" s="34">
        <v>0</v>
      </c>
      <c r="D156" s="34">
        <v>0</v>
      </c>
      <c r="E156" s="34">
        <v>0</v>
      </c>
      <c r="F156" s="34">
        <v>0</v>
      </c>
      <c r="G156" s="34">
        <v>0</v>
      </c>
      <c r="H156" s="34">
        <v>0</v>
      </c>
      <c r="I156" s="34">
        <v>0</v>
      </c>
      <c r="J156" s="34">
        <v>0</v>
      </c>
      <c r="K156" s="34">
        <v>0</v>
      </c>
      <c r="L156" s="34">
        <v>0</v>
      </c>
      <c r="M156" s="34">
        <v>0</v>
      </c>
      <c r="N156" s="34">
        <v>0</v>
      </c>
      <c r="O156" s="34">
        <v>0</v>
      </c>
      <c r="P156" s="34">
        <v>0</v>
      </c>
      <c r="Q156" s="34">
        <v>0</v>
      </c>
      <c r="R156" s="34">
        <v>0</v>
      </c>
      <c r="S156" s="34">
        <v>1</v>
      </c>
      <c r="T156" s="34">
        <v>1</v>
      </c>
      <c r="U156" s="34">
        <v>1</v>
      </c>
      <c r="V156" s="34">
        <v>1</v>
      </c>
      <c r="W156" s="34">
        <v>1</v>
      </c>
      <c r="X156" s="34">
        <v>1</v>
      </c>
      <c r="Y156" s="34">
        <v>1</v>
      </c>
      <c r="Z156" s="34">
        <v>1</v>
      </c>
      <c r="AA156" s="34">
        <v>1</v>
      </c>
      <c r="AB156" s="34">
        <v>1</v>
      </c>
      <c r="AC156" s="34">
        <v>1</v>
      </c>
      <c r="AD156" s="34">
        <v>1</v>
      </c>
      <c r="AE156" s="34">
        <v>1</v>
      </c>
      <c r="AF156" s="34">
        <v>1</v>
      </c>
      <c r="AG156" s="34">
        <v>1</v>
      </c>
      <c r="AH156" s="34">
        <v>1</v>
      </c>
      <c r="AI156" s="34">
        <v>1</v>
      </c>
      <c r="AJ156" s="34">
        <v>1</v>
      </c>
      <c r="AK156" s="34">
        <v>0</v>
      </c>
      <c r="AL156" s="34">
        <v>0</v>
      </c>
      <c r="AM156" s="34">
        <v>0</v>
      </c>
      <c r="AN156" s="34">
        <v>0</v>
      </c>
      <c r="AO156" s="34">
        <v>0</v>
      </c>
      <c r="AP156" s="34">
        <v>0</v>
      </c>
      <c r="AQ156" s="34">
        <v>0</v>
      </c>
      <c r="AR156" s="34">
        <v>0</v>
      </c>
      <c r="AS156" s="34">
        <v>0</v>
      </c>
      <c r="AT156" s="34">
        <v>0</v>
      </c>
      <c r="AU156" s="34">
        <v>0</v>
      </c>
      <c r="AV156" s="34">
        <v>0</v>
      </c>
      <c r="AW156" s="34">
        <v>0</v>
      </c>
      <c r="AX156" s="34">
        <v>0</v>
      </c>
      <c r="AY156" s="34">
        <v>0</v>
      </c>
      <c r="AZ156" s="34">
        <v>0</v>
      </c>
      <c r="BA156" s="34">
        <v>0</v>
      </c>
      <c r="BB156" s="34">
        <v>0</v>
      </c>
      <c r="BC156" s="34">
        <v>0</v>
      </c>
      <c r="BD156" s="34">
        <v>0</v>
      </c>
      <c r="BE156" s="34">
        <v>0</v>
      </c>
      <c r="BF156" s="34">
        <v>0</v>
      </c>
      <c r="BG156" s="34">
        <v>0</v>
      </c>
      <c r="BH156" s="34">
        <v>0</v>
      </c>
      <c r="BI156" s="34">
        <v>0</v>
      </c>
      <c r="BJ156" s="34">
        <v>0</v>
      </c>
      <c r="BK156" s="34">
        <v>0</v>
      </c>
      <c r="BL156" s="34">
        <v>0</v>
      </c>
      <c r="BM156" s="34">
        <v>0</v>
      </c>
      <c r="BN156" s="34">
        <v>0</v>
      </c>
      <c r="BO156" s="34">
        <v>0</v>
      </c>
      <c r="BP156" s="34">
        <v>0</v>
      </c>
      <c r="BQ156" s="34">
        <v>0</v>
      </c>
      <c r="BR156" s="34">
        <v>0</v>
      </c>
      <c r="BS156" s="34">
        <v>0</v>
      </c>
      <c r="BT156" s="34">
        <v>0</v>
      </c>
      <c r="BU156" s="34">
        <v>0</v>
      </c>
      <c r="BV156" s="34">
        <v>0</v>
      </c>
      <c r="BW156" s="34">
        <v>0</v>
      </c>
      <c r="BX156" s="34">
        <v>0</v>
      </c>
      <c r="BY156" s="34">
        <v>0</v>
      </c>
      <c r="BZ156" s="34">
        <v>0</v>
      </c>
      <c r="CA156" s="34">
        <v>0</v>
      </c>
      <c r="CB156" s="34">
        <v>0</v>
      </c>
      <c r="CC156" s="34">
        <v>0</v>
      </c>
      <c r="CD156" s="34">
        <v>0</v>
      </c>
      <c r="CE156" s="34">
        <v>0</v>
      </c>
      <c r="CF156" s="34">
        <v>0</v>
      </c>
      <c r="CG156" s="34">
        <v>0</v>
      </c>
      <c r="CH156" s="34">
        <v>0</v>
      </c>
      <c r="CI156" s="34">
        <v>0</v>
      </c>
      <c r="CJ156" s="34">
        <v>0</v>
      </c>
      <c r="CK156" s="34">
        <v>0</v>
      </c>
      <c r="CL156" s="34">
        <v>0</v>
      </c>
      <c r="CM156" s="34">
        <v>0</v>
      </c>
      <c r="CN156" s="34">
        <v>0</v>
      </c>
      <c r="CO156" s="34">
        <v>0</v>
      </c>
      <c r="CP156" s="34">
        <v>0</v>
      </c>
      <c r="CQ156" s="34">
        <v>0</v>
      </c>
      <c r="CR156" s="34">
        <v>0</v>
      </c>
      <c r="CS156" s="34">
        <v>0</v>
      </c>
      <c r="CT156" s="34">
        <v>0</v>
      </c>
      <c r="CU156" s="34">
        <v>0</v>
      </c>
      <c r="CV156" s="34">
        <v>0</v>
      </c>
      <c r="CW156" s="34">
        <v>0</v>
      </c>
      <c r="CX156" s="34">
        <v>0</v>
      </c>
      <c r="CY156" s="34">
        <v>0</v>
      </c>
      <c r="CZ156" s="34">
        <v>0</v>
      </c>
      <c r="DA156" s="34">
        <v>0</v>
      </c>
      <c r="DB156" s="34">
        <v>0</v>
      </c>
      <c r="DC156" s="34">
        <v>0</v>
      </c>
      <c r="DD156" s="34">
        <v>0</v>
      </c>
      <c r="DE156" s="34">
        <v>0</v>
      </c>
      <c r="DF156" s="34">
        <v>0</v>
      </c>
      <c r="DG156" s="34">
        <v>0</v>
      </c>
      <c r="DH156" s="34">
        <v>0</v>
      </c>
      <c r="DI156" s="34">
        <v>0</v>
      </c>
      <c r="DJ156" s="34">
        <v>0</v>
      </c>
      <c r="DK156" s="34">
        <v>0</v>
      </c>
      <c r="DL156" s="34">
        <v>0</v>
      </c>
      <c r="DM156" s="34">
        <v>0</v>
      </c>
      <c r="DN156" s="34">
        <v>0</v>
      </c>
      <c r="DO156" s="34">
        <v>0</v>
      </c>
      <c r="DP156" s="34">
        <v>0</v>
      </c>
      <c r="DQ156" s="34">
        <v>0</v>
      </c>
      <c r="DR156" s="34">
        <v>0</v>
      </c>
    </row>
    <row r="157" spans="1:122" s="13" customFormat="1" hidden="1" outlineLevel="1" x14ac:dyDescent="0.35">
      <c r="A157" s="14">
        <v>18</v>
      </c>
      <c r="B157" s="34">
        <v>0</v>
      </c>
      <c r="C157" s="34">
        <v>0</v>
      </c>
      <c r="D157" s="34">
        <v>0</v>
      </c>
      <c r="E157" s="34">
        <v>0</v>
      </c>
      <c r="F157" s="34">
        <v>0</v>
      </c>
      <c r="G157" s="34">
        <v>0</v>
      </c>
      <c r="H157" s="34">
        <v>0</v>
      </c>
      <c r="I157" s="34">
        <v>0</v>
      </c>
      <c r="J157" s="34">
        <v>0</v>
      </c>
      <c r="K157" s="34">
        <v>0</v>
      </c>
      <c r="L157" s="34">
        <v>0</v>
      </c>
      <c r="M157" s="34">
        <v>0</v>
      </c>
      <c r="N157" s="34">
        <v>0</v>
      </c>
      <c r="O157" s="34">
        <v>0</v>
      </c>
      <c r="P157" s="34">
        <v>0</v>
      </c>
      <c r="Q157" s="34">
        <v>0</v>
      </c>
      <c r="R157" s="34">
        <v>0</v>
      </c>
      <c r="S157" s="34">
        <v>0</v>
      </c>
      <c r="T157" s="34">
        <v>1</v>
      </c>
      <c r="U157" s="34">
        <v>1</v>
      </c>
      <c r="V157" s="34">
        <v>1</v>
      </c>
      <c r="W157" s="34">
        <v>1</v>
      </c>
      <c r="X157" s="34">
        <v>1</v>
      </c>
      <c r="Y157" s="34">
        <v>1</v>
      </c>
      <c r="Z157" s="34">
        <v>1</v>
      </c>
      <c r="AA157" s="34">
        <v>1</v>
      </c>
      <c r="AB157" s="34">
        <v>1</v>
      </c>
      <c r="AC157" s="34">
        <v>1</v>
      </c>
      <c r="AD157" s="34">
        <v>1</v>
      </c>
      <c r="AE157" s="34">
        <v>1</v>
      </c>
      <c r="AF157" s="34">
        <v>1</v>
      </c>
      <c r="AG157" s="34">
        <v>1</v>
      </c>
      <c r="AH157" s="34">
        <v>1</v>
      </c>
      <c r="AI157" s="34">
        <v>1</v>
      </c>
      <c r="AJ157" s="34">
        <v>1</v>
      </c>
      <c r="AK157" s="34">
        <v>1</v>
      </c>
      <c r="AL157" s="34">
        <v>1</v>
      </c>
      <c r="AM157" s="34">
        <v>0</v>
      </c>
      <c r="AN157" s="34">
        <v>0</v>
      </c>
      <c r="AO157" s="34">
        <v>0</v>
      </c>
      <c r="AP157" s="34">
        <v>0</v>
      </c>
      <c r="AQ157" s="34">
        <v>0</v>
      </c>
      <c r="AR157" s="34">
        <v>0</v>
      </c>
      <c r="AS157" s="34">
        <v>0</v>
      </c>
      <c r="AT157" s="34">
        <v>0</v>
      </c>
      <c r="AU157" s="34">
        <v>0</v>
      </c>
      <c r="AV157" s="34">
        <v>0</v>
      </c>
      <c r="AW157" s="34">
        <v>0</v>
      </c>
      <c r="AX157" s="34">
        <v>0</v>
      </c>
      <c r="AY157" s="34">
        <v>0</v>
      </c>
      <c r="AZ157" s="34">
        <v>0</v>
      </c>
      <c r="BA157" s="34">
        <v>0</v>
      </c>
      <c r="BB157" s="34">
        <v>0</v>
      </c>
      <c r="BC157" s="34">
        <v>0</v>
      </c>
      <c r="BD157" s="34">
        <v>0</v>
      </c>
      <c r="BE157" s="34">
        <v>0</v>
      </c>
      <c r="BF157" s="34">
        <v>0</v>
      </c>
      <c r="BG157" s="34">
        <v>0</v>
      </c>
      <c r="BH157" s="34">
        <v>0</v>
      </c>
      <c r="BI157" s="34">
        <v>0</v>
      </c>
      <c r="BJ157" s="34">
        <v>0</v>
      </c>
      <c r="BK157" s="34">
        <v>0</v>
      </c>
      <c r="BL157" s="34">
        <v>0</v>
      </c>
      <c r="BM157" s="34">
        <v>0</v>
      </c>
      <c r="BN157" s="34">
        <v>0</v>
      </c>
      <c r="BO157" s="34">
        <v>0</v>
      </c>
      <c r="BP157" s="34">
        <v>0</v>
      </c>
      <c r="BQ157" s="34">
        <v>0</v>
      </c>
      <c r="BR157" s="34">
        <v>0</v>
      </c>
      <c r="BS157" s="34">
        <v>0</v>
      </c>
      <c r="BT157" s="34">
        <v>0</v>
      </c>
      <c r="BU157" s="34">
        <v>0</v>
      </c>
      <c r="BV157" s="34">
        <v>0</v>
      </c>
      <c r="BW157" s="34">
        <v>0</v>
      </c>
      <c r="BX157" s="34">
        <v>0</v>
      </c>
      <c r="BY157" s="34">
        <v>0</v>
      </c>
      <c r="BZ157" s="34">
        <v>0</v>
      </c>
      <c r="CA157" s="34">
        <v>0</v>
      </c>
      <c r="CB157" s="34">
        <v>0</v>
      </c>
      <c r="CC157" s="34">
        <v>0</v>
      </c>
      <c r="CD157" s="34">
        <v>0</v>
      </c>
      <c r="CE157" s="34">
        <v>0</v>
      </c>
      <c r="CF157" s="34">
        <v>0</v>
      </c>
      <c r="CG157" s="34">
        <v>0</v>
      </c>
      <c r="CH157" s="34">
        <v>0</v>
      </c>
      <c r="CI157" s="34">
        <v>0</v>
      </c>
      <c r="CJ157" s="34">
        <v>0</v>
      </c>
      <c r="CK157" s="34">
        <v>0</v>
      </c>
      <c r="CL157" s="34">
        <v>0</v>
      </c>
      <c r="CM157" s="34">
        <v>0</v>
      </c>
      <c r="CN157" s="34">
        <v>0</v>
      </c>
      <c r="CO157" s="34">
        <v>0</v>
      </c>
      <c r="CP157" s="34">
        <v>0</v>
      </c>
      <c r="CQ157" s="34">
        <v>0</v>
      </c>
      <c r="CR157" s="34">
        <v>0</v>
      </c>
      <c r="CS157" s="34">
        <v>0</v>
      </c>
      <c r="CT157" s="34">
        <v>0</v>
      </c>
      <c r="CU157" s="34">
        <v>0</v>
      </c>
      <c r="CV157" s="34">
        <v>0</v>
      </c>
      <c r="CW157" s="34">
        <v>0</v>
      </c>
      <c r="CX157" s="34">
        <v>0</v>
      </c>
      <c r="CY157" s="34">
        <v>0</v>
      </c>
      <c r="CZ157" s="34">
        <v>0</v>
      </c>
      <c r="DA157" s="34">
        <v>0</v>
      </c>
      <c r="DB157" s="34">
        <v>0</v>
      </c>
      <c r="DC157" s="34">
        <v>0</v>
      </c>
      <c r="DD157" s="34">
        <v>0</v>
      </c>
      <c r="DE157" s="34">
        <v>0</v>
      </c>
      <c r="DF157" s="34">
        <v>0</v>
      </c>
      <c r="DG157" s="34">
        <v>0</v>
      </c>
      <c r="DH157" s="34">
        <v>0</v>
      </c>
      <c r="DI157" s="34">
        <v>0</v>
      </c>
      <c r="DJ157" s="34">
        <v>0</v>
      </c>
      <c r="DK157" s="34">
        <v>0</v>
      </c>
      <c r="DL157" s="34">
        <v>0</v>
      </c>
      <c r="DM157" s="34">
        <v>0</v>
      </c>
      <c r="DN157" s="34">
        <v>0</v>
      </c>
      <c r="DO157" s="34">
        <v>0</v>
      </c>
      <c r="DP157" s="34">
        <v>0</v>
      </c>
      <c r="DQ157" s="34">
        <v>0</v>
      </c>
      <c r="DR157" s="34">
        <v>0</v>
      </c>
    </row>
    <row r="158" spans="1:122" s="13" customFormat="1" hidden="1" outlineLevel="1" x14ac:dyDescent="0.35">
      <c r="A158" s="14">
        <v>19</v>
      </c>
      <c r="B158" s="34">
        <v>0</v>
      </c>
      <c r="C158" s="34">
        <v>0</v>
      </c>
      <c r="D158" s="34">
        <v>0</v>
      </c>
      <c r="E158" s="34">
        <v>0</v>
      </c>
      <c r="F158" s="34">
        <v>0</v>
      </c>
      <c r="G158" s="34">
        <v>0</v>
      </c>
      <c r="H158" s="34">
        <v>0</v>
      </c>
      <c r="I158" s="34">
        <v>0</v>
      </c>
      <c r="J158" s="34">
        <v>0</v>
      </c>
      <c r="K158" s="34">
        <v>0</v>
      </c>
      <c r="L158" s="34">
        <v>0</v>
      </c>
      <c r="M158" s="34">
        <v>0</v>
      </c>
      <c r="N158" s="34">
        <v>0</v>
      </c>
      <c r="O158" s="34">
        <v>0</v>
      </c>
      <c r="P158" s="34">
        <v>0</v>
      </c>
      <c r="Q158" s="34">
        <v>0</v>
      </c>
      <c r="R158" s="34">
        <v>0</v>
      </c>
      <c r="S158" s="34">
        <v>0</v>
      </c>
      <c r="T158" s="34">
        <v>0</v>
      </c>
      <c r="U158" s="34">
        <v>1</v>
      </c>
      <c r="V158" s="34">
        <v>1</v>
      </c>
      <c r="W158" s="34">
        <v>1</v>
      </c>
      <c r="X158" s="34">
        <v>1</v>
      </c>
      <c r="Y158" s="34">
        <v>1</v>
      </c>
      <c r="Z158" s="34">
        <v>1</v>
      </c>
      <c r="AA158" s="34">
        <v>1</v>
      </c>
      <c r="AB158" s="34">
        <v>1</v>
      </c>
      <c r="AC158" s="34">
        <v>1</v>
      </c>
      <c r="AD158" s="34">
        <v>1</v>
      </c>
      <c r="AE158" s="34">
        <v>1</v>
      </c>
      <c r="AF158" s="34">
        <v>1</v>
      </c>
      <c r="AG158" s="34">
        <v>1</v>
      </c>
      <c r="AH158" s="34">
        <v>1</v>
      </c>
      <c r="AI158" s="34">
        <v>1</v>
      </c>
      <c r="AJ158" s="34">
        <v>1</v>
      </c>
      <c r="AK158" s="34">
        <v>1</v>
      </c>
      <c r="AL158" s="34">
        <v>1</v>
      </c>
      <c r="AM158" s="34">
        <v>1</v>
      </c>
      <c r="AN158" s="34">
        <v>1</v>
      </c>
      <c r="AO158" s="34">
        <v>0</v>
      </c>
      <c r="AP158" s="34">
        <v>0</v>
      </c>
      <c r="AQ158" s="34">
        <v>0</v>
      </c>
      <c r="AR158" s="34">
        <v>0</v>
      </c>
      <c r="AS158" s="34">
        <v>0</v>
      </c>
      <c r="AT158" s="34">
        <v>0</v>
      </c>
      <c r="AU158" s="34">
        <v>0</v>
      </c>
      <c r="AV158" s="34">
        <v>0</v>
      </c>
      <c r="AW158" s="34">
        <v>0</v>
      </c>
      <c r="AX158" s="34">
        <v>0</v>
      </c>
      <c r="AY158" s="34">
        <v>0</v>
      </c>
      <c r="AZ158" s="34">
        <v>0</v>
      </c>
      <c r="BA158" s="34">
        <v>0</v>
      </c>
      <c r="BB158" s="34">
        <v>0</v>
      </c>
      <c r="BC158" s="34">
        <v>0</v>
      </c>
      <c r="BD158" s="34">
        <v>0</v>
      </c>
      <c r="BE158" s="34">
        <v>0</v>
      </c>
      <c r="BF158" s="34">
        <v>0</v>
      </c>
      <c r="BG158" s="34">
        <v>0</v>
      </c>
      <c r="BH158" s="34">
        <v>0</v>
      </c>
      <c r="BI158" s="34">
        <v>0</v>
      </c>
      <c r="BJ158" s="34">
        <v>0</v>
      </c>
      <c r="BK158" s="34">
        <v>0</v>
      </c>
      <c r="BL158" s="34">
        <v>0</v>
      </c>
      <c r="BM158" s="34">
        <v>0</v>
      </c>
      <c r="BN158" s="34">
        <v>0</v>
      </c>
      <c r="BO158" s="34">
        <v>0</v>
      </c>
      <c r="BP158" s="34">
        <v>0</v>
      </c>
      <c r="BQ158" s="34">
        <v>0</v>
      </c>
      <c r="BR158" s="34">
        <v>0</v>
      </c>
      <c r="BS158" s="34">
        <v>0</v>
      </c>
      <c r="BT158" s="34">
        <v>0</v>
      </c>
      <c r="BU158" s="34">
        <v>0</v>
      </c>
      <c r="BV158" s="34">
        <v>0</v>
      </c>
      <c r="BW158" s="34">
        <v>0</v>
      </c>
      <c r="BX158" s="34">
        <v>0</v>
      </c>
      <c r="BY158" s="34">
        <v>0</v>
      </c>
      <c r="BZ158" s="34">
        <v>0</v>
      </c>
      <c r="CA158" s="34">
        <v>0</v>
      </c>
      <c r="CB158" s="34">
        <v>0</v>
      </c>
      <c r="CC158" s="34">
        <v>0</v>
      </c>
      <c r="CD158" s="34">
        <v>0</v>
      </c>
      <c r="CE158" s="34">
        <v>0</v>
      </c>
      <c r="CF158" s="34">
        <v>0</v>
      </c>
      <c r="CG158" s="34">
        <v>0</v>
      </c>
      <c r="CH158" s="34">
        <v>0</v>
      </c>
      <c r="CI158" s="34">
        <v>0</v>
      </c>
      <c r="CJ158" s="34">
        <v>0</v>
      </c>
      <c r="CK158" s="34">
        <v>0</v>
      </c>
      <c r="CL158" s="34">
        <v>0</v>
      </c>
      <c r="CM158" s="34">
        <v>0</v>
      </c>
      <c r="CN158" s="34">
        <v>0</v>
      </c>
      <c r="CO158" s="34">
        <v>0</v>
      </c>
      <c r="CP158" s="34">
        <v>0</v>
      </c>
      <c r="CQ158" s="34">
        <v>0</v>
      </c>
      <c r="CR158" s="34">
        <v>0</v>
      </c>
      <c r="CS158" s="34">
        <v>0</v>
      </c>
      <c r="CT158" s="34">
        <v>0</v>
      </c>
      <c r="CU158" s="34">
        <v>0</v>
      </c>
      <c r="CV158" s="34">
        <v>0</v>
      </c>
      <c r="CW158" s="34">
        <v>0</v>
      </c>
      <c r="CX158" s="34">
        <v>0</v>
      </c>
      <c r="CY158" s="34">
        <v>0</v>
      </c>
      <c r="CZ158" s="34">
        <v>0</v>
      </c>
      <c r="DA158" s="34">
        <v>0</v>
      </c>
      <c r="DB158" s="34">
        <v>0</v>
      </c>
      <c r="DC158" s="34">
        <v>0</v>
      </c>
      <c r="DD158" s="34">
        <v>0</v>
      </c>
      <c r="DE158" s="34">
        <v>0</v>
      </c>
      <c r="DF158" s="34">
        <v>0</v>
      </c>
      <c r="DG158" s="34">
        <v>0</v>
      </c>
      <c r="DH158" s="34">
        <v>0</v>
      </c>
      <c r="DI158" s="34">
        <v>0</v>
      </c>
      <c r="DJ158" s="34">
        <v>0</v>
      </c>
      <c r="DK158" s="34">
        <v>0</v>
      </c>
      <c r="DL158" s="34">
        <v>0</v>
      </c>
      <c r="DM158" s="34">
        <v>0</v>
      </c>
      <c r="DN158" s="34">
        <v>0</v>
      </c>
      <c r="DO158" s="34">
        <v>0</v>
      </c>
      <c r="DP158" s="34">
        <v>0</v>
      </c>
      <c r="DQ158" s="34">
        <v>0</v>
      </c>
      <c r="DR158" s="34">
        <v>0</v>
      </c>
    </row>
    <row r="159" spans="1:122" s="13" customFormat="1" hidden="1" outlineLevel="1" x14ac:dyDescent="0.35">
      <c r="A159" s="14">
        <v>20</v>
      </c>
      <c r="B159" s="34">
        <v>0</v>
      </c>
      <c r="C159" s="34">
        <v>0</v>
      </c>
      <c r="D159" s="34">
        <v>0</v>
      </c>
      <c r="E159" s="34">
        <v>0</v>
      </c>
      <c r="F159" s="34">
        <v>0</v>
      </c>
      <c r="G159" s="34">
        <v>0</v>
      </c>
      <c r="H159" s="34">
        <v>0</v>
      </c>
      <c r="I159" s="34">
        <v>0</v>
      </c>
      <c r="J159" s="34">
        <v>0</v>
      </c>
      <c r="K159" s="34">
        <v>0</v>
      </c>
      <c r="L159" s="34">
        <v>0</v>
      </c>
      <c r="M159" s="34">
        <v>0</v>
      </c>
      <c r="N159" s="34">
        <v>0</v>
      </c>
      <c r="O159" s="34">
        <v>0</v>
      </c>
      <c r="P159" s="34">
        <v>0</v>
      </c>
      <c r="Q159" s="34">
        <v>0</v>
      </c>
      <c r="R159" s="34">
        <v>0</v>
      </c>
      <c r="S159" s="34">
        <v>0</v>
      </c>
      <c r="T159" s="34">
        <v>0</v>
      </c>
      <c r="U159" s="34">
        <v>0</v>
      </c>
      <c r="V159" s="34">
        <v>1</v>
      </c>
      <c r="W159" s="34">
        <v>1</v>
      </c>
      <c r="X159" s="34">
        <v>1</v>
      </c>
      <c r="Y159" s="34">
        <v>1</v>
      </c>
      <c r="Z159" s="34">
        <v>1</v>
      </c>
      <c r="AA159" s="34">
        <v>1</v>
      </c>
      <c r="AB159" s="34">
        <v>1</v>
      </c>
      <c r="AC159" s="34">
        <v>1</v>
      </c>
      <c r="AD159" s="34">
        <v>1</v>
      </c>
      <c r="AE159" s="34">
        <v>1</v>
      </c>
      <c r="AF159" s="34">
        <v>1</v>
      </c>
      <c r="AG159" s="34">
        <v>1</v>
      </c>
      <c r="AH159" s="34">
        <v>1</v>
      </c>
      <c r="AI159" s="34">
        <v>1</v>
      </c>
      <c r="AJ159" s="34">
        <v>1</v>
      </c>
      <c r="AK159" s="34">
        <v>1</v>
      </c>
      <c r="AL159" s="34">
        <v>1</v>
      </c>
      <c r="AM159" s="34">
        <v>1</v>
      </c>
      <c r="AN159" s="34">
        <v>1</v>
      </c>
      <c r="AO159" s="34">
        <v>1</v>
      </c>
      <c r="AP159" s="34">
        <v>0</v>
      </c>
      <c r="AQ159" s="34">
        <v>0</v>
      </c>
      <c r="AR159" s="34">
        <v>0</v>
      </c>
      <c r="AS159" s="34">
        <v>0</v>
      </c>
      <c r="AT159" s="34">
        <v>0</v>
      </c>
      <c r="AU159" s="34">
        <v>0</v>
      </c>
      <c r="AV159" s="34">
        <v>0</v>
      </c>
      <c r="AW159" s="34">
        <v>0</v>
      </c>
      <c r="AX159" s="34">
        <v>0</v>
      </c>
      <c r="AY159" s="34">
        <v>0</v>
      </c>
      <c r="AZ159" s="34">
        <v>0</v>
      </c>
      <c r="BA159" s="34">
        <v>0</v>
      </c>
      <c r="BB159" s="34">
        <v>0</v>
      </c>
      <c r="BC159" s="34">
        <v>0</v>
      </c>
      <c r="BD159" s="34">
        <v>0</v>
      </c>
      <c r="BE159" s="34">
        <v>0</v>
      </c>
      <c r="BF159" s="34">
        <v>0</v>
      </c>
      <c r="BG159" s="34">
        <v>0</v>
      </c>
      <c r="BH159" s="34">
        <v>0</v>
      </c>
      <c r="BI159" s="34">
        <v>0</v>
      </c>
      <c r="BJ159" s="34">
        <v>0</v>
      </c>
      <c r="BK159" s="34">
        <v>0</v>
      </c>
      <c r="BL159" s="34">
        <v>0</v>
      </c>
      <c r="BM159" s="34">
        <v>0</v>
      </c>
      <c r="BN159" s="34">
        <v>0</v>
      </c>
      <c r="BO159" s="34">
        <v>0</v>
      </c>
      <c r="BP159" s="34">
        <v>0</v>
      </c>
      <c r="BQ159" s="34">
        <v>0</v>
      </c>
      <c r="BR159" s="34">
        <v>0</v>
      </c>
      <c r="BS159" s="34">
        <v>0</v>
      </c>
      <c r="BT159" s="34">
        <v>0</v>
      </c>
      <c r="BU159" s="34">
        <v>0</v>
      </c>
      <c r="BV159" s="34">
        <v>0</v>
      </c>
      <c r="BW159" s="34">
        <v>0</v>
      </c>
      <c r="BX159" s="34">
        <v>0</v>
      </c>
      <c r="BY159" s="34">
        <v>0</v>
      </c>
      <c r="BZ159" s="34">
        <v>0</v>
      </c>
      <c r="CA159" s="34">
        <v>0</v>
      </c>
      <c r="CB159" s="34">
        <v>0</v>
      </c>
      <c r="CC159" s="34">
        <v>0</v>
      </c>
      <c r="CD159" s="34">
        <v>0</v>
      </c>
      <c r="CE159" s="34">
        <v>0</v>
      </c>
      <c r="CF159" s="34">
        <v>0</v>
      </c>
      <c r="CG159" s="34">
        <v>0</v>
      </c>
      <c r="CH159" s="34">
        <v>0</v>
      </c>
      <c r="CI159" s="34">
        <v>0</v>
      </c>
      <c r="CJ159" s="34">
        <v>0</v>
      </c>
      <c r="CK159" s="34">
        <v>0</v>
      </c>
      <c r="CL159" s="34">
        <v>0</v>
      </c>
      <c r="CM159" s="34">
        <v>0</v>
      </c>
      <c r="CN159" s="34">
        <v>0</v>
      </c>
      <c r="CO159" s="34">
        <v>0</v>
      </c>
      <c r="CP159" s="34">
        <v>0</v>
      </c>
      <c r="CQ159" s="34">
        <v>0</v>
      </c>
      <c r="CR159" s="34">
        <v>0</v>
      </c>
      <c r="CS159" s="34">
        <v>0</v>
      </c>
      <c r="CT159" s="34">
        <v>0</v>
      </c>
      <c r="CU159" s="34">
        <v>0</v>
      </c>
      <c r="CV159" s="34">
        <v>0</v>
      </c>
      <c r="CW159" s="34">
        <v>0</v>
      </c>
      <c r="CX159" s="34">
        <v>0</v>
      </c>
      <c r="CY159" s="34">
        <v>0</v>
      </c>
      <c r="CZ159" s="34">
        <v>0</v>
      </c>
      <c r="DA159" s="34">
        <v>0</v>
      </c>
      <c r="DB159" s="34">
        <v>0</v>
      </c>
      <c r="DC159" s="34">
        <v>0</v>
      </c>
      <c r="DD159" s="34">
        <v>0</v>
      </c>
      <c r="DE159" s="34">
        <v>0</v>
      </c>
      <c r="DF159" s="34">
        <v>0</v>
      </c>
      <c r="DG159" s="34">
        <v>0</v>
      </c>
      <c r="DH159" s="34">
        <v>0</v>
      </c>
      <c r="DI159" s="34">
        <v>0</v>
      </c>
      <c r="DJ159" s="34">
        <v>0</v>
      </c>
      <c r="DK159" s="34">
        <v>0</v>
      </c>
      <c r="DL159" s="34">
        <v>0</v>
      </c>
      <c r="DM159" s="34">
        <v>0</v>
      </c>
      <c r="DN159" s="34">
        <v>0</v>
      </c>
      <c r="DO159" s="34">
        <v>0</v>
      </c>
      <c r="DP159" s="34">
        <v>0</v>
      </c>
      <c r="DQ159" s="34">
        <v>0</v>
      </c>
      <c r="DR159" s="34">
        <v>0</v>
      </c>
    </row>
    <row r="160" spans="1:122" s="13" customFormat="1" hidden="1" outlineLevel="1" x14ac:dyDescent="0.35">
      <c r="A160" s="14">
        <v>21</v>
      </c>
      <c r="B160" s="34">
        <v>0</v>
      </c>
      <c r="C160" s="34">
        <v>0</v>
      </c>
      <c r="D160" s="34">
        <v>0</v>
      </c>
      <c r="E160" s="34">
        <v>0</v>
      </c>
      <c r="F160" s="34">
        <v>0</v>
      </c>
      <c r="G160" s="34">
        <v>0</v>
      </c>
      <c r="H160" s="34">
        <v>0</v>
      </c>
      <c r="I160" s="34">
        <v>0</v>
      </c>
      <c r="J160" s="34">
        <v>0</v>
      </c>
      <c r="K160" s="34">
        <v>0</v>
      </c>
      <c r="L160" s="34">
        <v>0</v>
      </c>
      <c r="M160" s="34">
        <v>0</v>
      </c>
      <c r="N160" s="34">
        <v>0</v>
      </c>
      <c r="O160" s="34">
        <v>0</v>
      </c>
      <c r="P160" s="34">
        <v>0</v>
      </c>
      <c r="Q160" s="34">
        <v>0</v>
      </c>
      <c r="R160" s="34">
        <v>0</v>
      </c>
      <c r="S160" s="34">
        <v>0</v>
      </c>
      <c r="T160" s="34">
        <v>0</v>
      </c>
      <c r="U160" s="34">
        <v>0</v>
      </c>
      <c r="V160" s="34">
        <v>0</v>
      </c>
      <c r="W160" s="34">
        <v>1</v>
      </c>
      <c r="X160" s="34">
        <v>1</v>
      </c>
      <c r="Y160" s="34">
        <v>1</v>
      </c>
      <c r="Z160" s="34">
        <v>1</v>
      </c>
      <c r="AA160" s="34">
        <v>1</v>
      </c>
      <c r="AB160" s="34">
        <v>1</v>
      </c>
      <c r="AC160" s="34">
        <v>1</v>
      </c>
      <c r="AD160" s="34">
        <v>1</v>
      </c>
      <c r="AE160" s="34">
        <v>1</v>
      </c>
      <c r="AF160" s="34">
        <v>1</v>
      </c>
      <c r="AG160" s="34">
        <v>1</v>
      </c>
      <c r="AH160" s="34">
        <v>1</v>
      </c>
      <c r="AI160" s="34">
        <v>1</v>
      </c>
      <c r="AJ160" s="34">
        <v>1</v>
      </c>
      <c r="AK160" s="34">
        <v>1</v>
      </c>
      <c r="AL160" s="34">
        <v>1</v>
      </c>
      <c r="AM160" s="34">
        <v>1</v>
      </c>
      <c r="AN160" s="34">
        <v>1</v>
      </c>
      <c r="AO160" s="34">
        <v>1</v>
      </c>
      <c r="AP160" s="34">
        <v>1</v>
      </c>
      <c r="AQ160" s="34">
        <v>1</v>
      </c>
      <c r="AR160" s="34">
        <v>0</v>
      </c>
      <c r="AS160" s="34">
        <v>0</v>
      </c>
      <c r="AT160" s="34">
        <v>0</v>
      </c>
      <c r="AU160" s="34">
        <v>0</v>
      </c>
      <c r="AV160" s="34">
        <v>0</v>
      </c>
      <c r="AW160" s="34">
        <v>0</v>
      </c>
      <c r="AX160" s="34">
        <v>0</v>
      </c>
      <c r="AY160" s="34">
        <v>0</v>
      </c>
      <c r="AZ160" s="34">
        <v>0</v>
      </c>
      <c r="BA160" s="34">
        <v>0</v>
      </c>
      <c r="BB160" s="34">
        <v>0</v>
      </c>
      <c r="BC160" s="34">
        <v>0</v>
      </c>
      <c r="BD160" s="34">
        <v>0</v>
      </c>
      <c r="BE160" s="34">
        <v>0</v>
      </c>
      <c r="BF160" s="34">
        <v>0</v>
      </c>
      <c r="BG160" s="34">
        <v>0</v>
      </c>
      <c r="BH160" s="34">
        <v>0</v>
      </c>
      <c r="BI160" s="34">
        <v>0</v>
      </c>
      <c r="BJ160" s="34">
        <v>0</v>
      </c>
      <c r="BK160" s="34">
        <v>0</v>
      </c>
      <c r="BL160" s="34">
        <v>0</v>
      </c>
      <c r="BM160" s="34">
        <v>0</v>
      </c>
      <c r="BN160" s="34">
        <v>0</v>
      </c>
      <c r="BO160" s="34">
        <v>0</v>
      </c>
      <c r="BP160" s="34">
        <v>0</v>
      </c>
      <c r="BQ160" s="34">
        <v>0</v>
      </c>
      <c r="BR160" s="34">
        <v>0</v>
      </c>
      <c r="BS160" s="34">
        <v>0</v>
      </c>
      <c r="BT160" s="34">
        <v>0</v>
      </c>
      <c r="BU160" s="34">
        <v>0</v>
      </c>
      <c r="BV160" s="34">
        <v>0</v>
      </c>
      <c r="BW160" s="34">
        <v>0</v>
      </c>
      <c r="BX160" s="34">
        <v>0</v>
      </c>
      <c r="BY160" s="34">
        <v>0</v>
      </c>
      <c r="BZ160" s="34">
        <v>0</v>
      </c>
      <c r="CA160" s="34">
        <v>0</v>
      </c>
      <c r="CB160" s="34">
        <v>0</v>
      </c>
      <c r="CC160" s="34">
        <v>0</v>
      </c>
      <c r="CD160" s="34">
        <v>0</v>
      </c>
      <c r="CE160" s="34">
        <v>0</v>
      </c>
      <c r="CF160" s="34">
        <v>0</v>
      </c>
      <c r="CG160" s="34">
        <v>0</v>
      </c>
      <c r="CH160" s="34">
        <v>0</v>
      </c>
      <c r="CI160" s="34">
        <v>0</v>
      </c>
      <c r="CJ160" s="34">
        <v>0</v>
      </c>
      <c r="CK160" s="34">
        <v>0</v>
      </c>
      <c r="CL160" s="34">
        <v>0</v>
      </c>
      <c r="CM160" s="34">
        <v>0</v>
      </c>
      <c r="CN160" s="34">
        <v>0</v>
      </c>
      <c r="CO160" s="34">
        <v>0</v>
      </c>
      <c r="CP160" s="34">
        <v>0</v>
      </c>
      <c r="CQ160" s="34">
        <v>0</v>
      </c>
      <c r="CR160" s="34">
        <v>0</v>
      </c>
      <c r="CS160" s="34">
        <v>0</v>
      </c>
      <c r="CT160" s="34">
        <v>0</v>
      </c>
      <c r="CU160" s="34">
        <v>0</v>
      </c>
      <c r="CV160" s="34">
        <v>0</v>
      </c>
      <c r="CW160" s="34">
        <v>0</v>
      </c>
      <c r="CX160" s="34">
        <v>0</v>
      </c>
      <c r="CY160" s="34">
        <v>0</v>
      </c>
      <c r="CZ160" s="34">
        <v>0</v>
      </c>
      <c r="DA160" s="34">
        <v>0</v>
      </c>
      <c r="DB160" s="34">
        <v>0</v>
      </c>
      <c r="DC160" s="34">
        <v>0</v>
      </c>
      <c r="DD160" s="34">
        <v>0</v>
      </c>
      <c r="DE160" s="34">
        <v>0</v>
      </c>
      <c r="DF160" s="34">
        <v>0</v>
      </c>
      <c r="DG160" s="34">
        <v>0</v>
      </c>
      <c r="DH160" s="34">
        <v>0</v>
      </c>
      <c r="DI160" s="34">
        <v>0</v>
      </c>
      <c r="DJ160" s="34">
        <v>0</v>
      </c>
      <c r="DK160" s="34">
        <v>0</v>
      </c>
      <c r="DL160" s="34">
        <v>0</v>
      </c>
      <c r="DM160" s="34">
        <v>0</v>
      </c>
      <c r="DN160" s="34">
        <v>0</v>
      </c>
      <c r="DO160" s="34">
        <v>0</v>
      </c>
      <c r="DP160" s="34">
        <v>0</v>
      </c>
      <c r="DQ160" s="34">
        <v>0</v>
      </c>
      <c r="DR160" s="34">
        <v>0</v>
      </c>
    </row>
    <row r="161" spans="1:122" s="13" customFormat="1" hidden="1" outlineLevel="1" x14ac:dyDescent="0.35">
      <c r="A161" s="14">
        <v>22</v>
      </c>
      <c r="B161" s="34">
        <v>0</v>
      </c>
      <c r="C161" s="34">
        <v>0</v>
      </c>
      <c r="D161" s="34">
        <v>0</v>
      </c>
      <c r="E161" s="34">
        <v>0</v>
      </c>
      <c r="F161" s="34">
        <v>0</v>
      </c>
      <c r="G161" s="34">
        <v>0</v>
      </c>
      <c r="H161" s="34">
        <v>0</v>
      </c>
      <c r="I161" s="34">
        <v>0</v>
      </c>
      <c r="J161" s="34">
        <v>0</v>
      </c>
      <c r="K161" s="34">
        <v>0</v>
      </c>
      <c r="L161" s="34">
        <v>0</v>
      </c>
      <c r="M161" s="34">
        <v>0</v>
      </c>
      <c r="N161" s="34">
        <v>0</v>
      </c>
      <c r="O161" s="34">
        <v>0</v>
      </c>
      <c r="P161" s="34">
        <v>0</v>
      </c>
      <c r="Q161" s="34">
        <v>0</v>
      </c>
      <c r="R161" s="34">
        <v>0</v>
      </c>
      <c r="S161" s="34">
        <v>0</v>
      </c>
      <c r="T161" s="34">
        <v>0</v>
      </c>
      <c r="U161" s="34">
        <v>0</v>
      </c>
      <c r="V161" s="34">
        <v>0</v>
      </c>
      <c r="W161" s="34">
        <v>0</v>
      </c>
      <c r="X161" s="34">
        <v>1</v>
      </c>
      <c r="Y161" s="34">
        <v>1</v>
      </c>
      <c r="Z161" s="34">
        <v>1</v>
      </c>
      <c r="AA161" s="34">
        <v>1</v>
      </c>
      <c r="AB161" s="34">
        <v>1</v>
      </c>
      <c r="AC161" s="34">
        <v>1</v>
      </c>
      <c r="AD161" s="34">
        <v>1</v>
      </c>
      <c r="AE161" s="34">
        <v>1</v>
      </c>
      <c r="AF161" s="34">
        <v>1</v>
      </c>
      <c r="AG161" s="34">
        <v>1</v>
      </c>
      <c r="AH161" s="34">
        <v>1</v>
      </c>
      <c r="AI161" s="34">
        <v>1</v>
      </c>
      <c r="AJ161" s="34">
        <v>1</v>
      </c>
      <c r="AK161" s="34">
        <v>1</v>
      </c>
      <c r="AL161" s="34">
        <v>1</v>
      </c>
      <c r="AM161" s="34">
        <v>1</v>
      </c>
      <c r="AN161" s="34">
        <v>1</v>
      </c>
      <c r="AO161" s="34">
        <v>1</v>
      </c>
      <c r="AP161" s="34">
        <v>1</v>
      </c>
      <c r="AQ161" s="34">
        <v>1</v>
      </c>
      <c r="AR161" s="34">
        <v>1</v>
      </c>
      <c r="AS161" s="34">
        <v>1</v>
      </c>
      <c r="AT161" s="34">
        <v>0</v>
      </c>
      <c r="AU161" s="34">
        <v>0</v>
      </c>
      <c r="AV161" s="34">
        <v>0</v>
      </c>
      <c r="AW161" s="34">
        <v>0</v>
      </c>
      <c r="AX161" s="34">
        <v>0</v>
      </c>
      <c r="AY161" s="34">
        <v>0</v>
      </c>
      <c r="AZ161" s="34">
        <v>0</v>
      </c>
      <c r="BA161" s="34">
        <v>0</v>
      </c>
      <c r="BB161" s="34">
        <v>0</v>
      </c>
      <c r="BC161" s="34">
        <v>0</v>
      </c>
      <c r="BD161" s="34">
        <v>0</v>
      </c>
      <c r="BE161" s="34">
        <v>0</v>
      </c>
      <c r="BF161" s="34">
        <v>0</v>
      </c>
      <c r="BG161" s="34">
        <v>0</v>
      </c>
      <c r="BH161" s="34">
        <v>0</v>
      </c>
      <c r="BI161" s="34">
        <v>0</v>
      </c>
      <c r="BJ161" s="34">
        <v>0</v>
      </c>
      <c r="BK161" s="34">
        <v>0</v>
      </c>
      <c r="BL161" s="34">
        <v>0</v>
      </c>
      <c r="BM161" s="34">
        <v>0</v>
      </c>
      <c r="BN161" s="34">
        <v>0</v>
      </c>
      <c r="BO161" s="34">
        <v>0</v>
      </c>
      <c r="BP161" s="34">
        <v>0</v>
      </c>
      <c r="BQ161" s="34">
        <v>0</v>
      </c>
      <c r="BR161" s="34">
        <v>0</v>
      </c>
      <c r="BS161" s="34">
        <v>0</v>
      </c>
      <c r="BT161" s="34">
        <v>0</v>
      </c>
      <c r="BU161" s="34">
        <v>0</v>
      </c>
      <c r="BV161" s="34">
        <v>0</v>
      </c>
      <c r="BW161" s="34">
        <v>0</v>
      </c>
      <c r="BX161" s="34">
        <v>0</v>
      </c>
      <c r="BY161" s="34">
        <v>0</v>
      </c>
      <c r="BZ161" s="34">
        <v>0</v>
      </c>
      <c r="CA161" s="34">
        <v>0</v>
      </c>
      <c r="CB161" s="34">
        <v>0</v>
      </c>
      <c r="CC161" s="34">
        <v>0</v>
      </c>
      <c r="CD161" s="34">
        <v>0</v>
      </c>
      <c r="CE161" s="34">
        <v>0</v>
      </c>
      <c r="CF161" s="34">
        <v>0</v>
      </c>
      <c r="CG161" s="34">
        <v>0</v>
      </c>
      <c r="CH161" s="34">
        <v>0</v>
      </c>
      <c r="CI161" s="34">
        <v>0</v>
      </c>
      <c r="CJ161" s="34">
        <v>0</v>
      </c>
      <c r="CK161" s="34">
        <v>0</v>
      </c>
      <c r="CL161" s="34">
        <v>0</v>
      </c>
      <c r="CM161" s="34">
        <v>0</v>
      </c>
      <c r="CN161" s="34">
        <v>0</v>
      </c>
      <c r="CO161" s="34">
        <v>0</v>
      </c>
      <c r="CP161" s="34">
        <v>0</v>
      </c>
      <c r="CQ161" s="34">
        <v>0</v>
      </c>
      <c r="CR161" s="34">
        <v>0</v>
      </c>
      <c r="CS161" s="34">
        <v>0</v>
      </c>
      <c r="CT161" s="34">
        <v>0</v>
      </c>
      <c r="CU161" s="34">
        <v>0</v>
      </c>
      <c r="CV161" s="34">
        <v>0</v>
      </c>
      <c r="CW161" s="34">
        <v>0</v>
      </c>
      <c r="CX161" s="34">
        <v>0</v>
      </c>
      <c r="CY161" s="34">
        <v>0</v>
      </c>
      <c r="CZ161" s="34">
        <v>0</v>
      </c>
      <c r="DA161" s="34">
        <v>0</v>
      </c>
      <c r="DB161" s="34">
        <v>0</v>
      </c>
      <c r="DC161" s="34">
        <v>0</v>
      </c>
      <c r="DD161" s="34">
        <v>0</v>
      </c>
      <c r="DE161" s="34">
        <v>0</v>
      </c>
      <c r="DF161" s="34">
        <v>0</v>
      </c>
      <c r="DG161" s="34">
        <v>0</v>
      </c>
      <c r="DH161" s="34">
        <v>0</v>
      </c>
      <c r="DI161" s="34">
        <v>0</v>
      </c>
      <c r="DJ161" s="34">
        <v>0</v>
      </c>
      <c r="DK161" s="34">
        <v>0</v>
      </c>
      <c r="DL161" s="34">
        <v>0</v>
      </c>
      <c r="DM161" s="34">
        <v>0</v>
      </c>
      <c r="DN161" s="34">
        <v>0</v>
      </c>
      <c r="DO161" s="34">
        <v>0</v>
      </c>
      <c r="DP161" s="34">
        <v>0</v>
      </c>
      <c r="DQ161" s="34">
        <v>0</v>
      </c>
      <c r="DR161" s="34">
        <v>0</v>
      </c>
    </row>
    <row r="162" spans="1:122" s="13" customFormat="1" hidden="1" outlineLevel="1" x14ac:dyDescent="0.35">
      <c r="A162" s="14">
        <v>23</v>
      </c>
      <c r="B162" s="34">
        <v>0</v>
      </c>
      <c r="C162" s="34">
        <v>0</v>
      </c>
      <c r="D162" s="34">
        <v>0</v>
      </c>
      <c r="E162" s="34">
        <v>0</v>
      </c>
      <c r="F162" s="34">
        <v>0</v>
      </c>
      <c r="G162" s="34">
        <v>0</v>
      </c>
      <c r="H162" s="34">
        <v>0</v>
      </c>
      <c r="I162" s="34">
        <v>0</v>
      </c>
      <c r="J162" s="34">
        <v>0</v>
      </c>
      <c r="K162" s="34">
        <v>0</v>
      </c>
      <c r="L162" s="34">
        <v>0</v>
      </c>
      <c r="M162" s="34">
        <v>0</v>
      </c>
      <c r="N162" s="34">
        <v>0</v>
      </c>
      <c r="O162" s="34">
        <v>0</v>
      </c>
      <c r="P162" s="34">
        <v>0</v>
      </c>
      <c r="Q162" s="34">
        <v>0</v>
      </c>
      <c r="R162" s="34">
        <v>0</v>
      </c>
      <c r="S162" s="34">
        <v>0</v>
      </c>
      <c r="T162" s="34">
        <v>0</v>
      </c>
      <c r="U162" s="34">
        <v>0</v>
      </c>
      <c r="V162" s="34">
        <v>0</v>
      </c>
      <c r="W162" s="34">
        <v>0</v>
      </c>
      <c r="X162" s="34">
        <v>0</v>
      </c>
      <c r="Y162" s="34">
        <v>1</v>
      </c>
      <c r="Z162" s="34">
        <v>1</v>
      </c>
      <c r="AA162" s="34">
        <v>1</v>
      </c>
      <c r="AB162" s="34">
        <v>1</v>
      </c>
      <c r="AC162" s="34">
        <v>1</v>
      </c>
      <c r="AD162" s="34">
        <v>1</v>
      </c>
      <c r="AE162" s="34">
        <v>1</v>
      </c>
      <c r="AF162" s="34">
        <v>1</v>
      </c>
      <c r="AG162" s="34">
        <v>1</v>
      </c>
      <c r="AH162" s="34">
        <v>1</v>
      </c>
      <c r="AI162" s="34">
        <v>1</v>
      </c>
      <c r="AJ162" s="34">
        <v>1</v>
      </c>
      <c r="AK162" s="34">
        <v>1</v>
      </c>
      <c r="AL162" s="34">
        <v>1</v>
      </c>
      <c r="AM162" s="34">
        <v>1</v>
      </c>
      <c r="AN162" s="34">
        <v>1</v>
      </c>
      <c r="AO162" s="34">
        <v>1</v>
      </c>
      <c r="AP162" s="34">
        <v>1</v>
      </c>
      <c r="AQ162" s="34">
        <v>1</v>
      </c>
      <c r="AR162" s="34">
        <v>1</v>
      </c>
      <c r="AS162" s="34">
        <v>1</v>
      </c>
      <c r="AT162" s="34">
        <v>1</v>
      </c>
      <c r="AU162" s="34">
        <v>1</v>
      </c>
      <c r="AV162" s="34">
        <v>0</v>
      </c>
      <c r="AW162" s="34">
        <v>0</v>
      </c>
      <c r="AX162" s="34">
        <v>0</v>
      </c>
      <c r="AY162" s="34">
        <v>0</v>
      </c>
      <c r="AZ162" s="34">
        <v>0</v>
      </c>
      <c r="BA162" s="34">
        <v>0</v>
      </c>
      <c r="BB162" s="34">
        <v>0</v>
      </c>
      <c r="BC162" s="34">
        <v>0</v>
      </c>
      <c r="BD162" s="34">
        <v>0</v>
      </c>
      <c r="BE162" s="34">
        <v>0</v>
      </c>
      <c r="BF162" s="34">
        <v>0</v>
      </c>
      <c r="BG162" s="34">
        <v>0</v>
      </c>
      <c r="BH162" s="34">
        <v>0</v>
      </c>
      <c r="BI162" s="34">
        <v>0</v>
      </c>
      <c r="BJ162" s="34">
        <v>0</v>
      </c>
      <c r="BK162" s="34">
        <v>0</v>
      </c>
      <c r="BL162" s="34">
        <v>0</v>
      </c>
      <c r="BM162" s="34">
        <v>0</v>
      </c>
      <c r="BN162" s="34">
        <v>0</v>
      </c>
      <c r="BO162" s="34">
        <v>0</v>
      </c>
      <c r="BP162" s="34">
        <v>0</v>
      </c>
      <c r="BQ162" s="34">
        <v>0</v>
      </c>
      <c r="BR162" s="34">
        <v>0</v>
      </c>
      <c r="BS162" s="34">
        <v>0</v>
      </c>
      <c r="BT162" s="34">
        <v>0</v>
      </c>
      <c r="BU162" s="34">
        <v>0</v>
      </c>
      <c r="BV162" s="34">
        <v>0</v>
      </c>
      <c r="BW162" s="34">
        <v>0</v>
      </c>
      <c r="BX162" s="34">
        <v>0</v>
      </c>
      <c r="BY162" s="34">
        <v>0</v>
      </c>
      <c r="BZ162" s="34">
        <v>0</v>
      </c>
      <c r="CA162" s="34">
        <v>0</v>
      </c>
      <c r="CB162" s="34">
        <v>0</v>
      </c>
      <c r="CC162" s="34">
        <v>0</v>
      </c>
      <c r="CD162" s="34">
        <v>0</v>
      </c>
      <c r="CE162" s="34">
        <v>0</v>
      </c>
      <c r="CF162" s="34">
        <v>0</v>
      </c>
      <c r="CG162" s="34">
        <v>0</v>
      </c>
      <c r="CH162" s="34">
        <v>0</v>
      </c>
      <c r="CI162" s="34">
        <v>0</v>
      </c>
      <c r="CJ162" s="34">
        <v>0</v>
      </c>
      <c r="CK162" s="34">
        <v>0</v>
      </c>
      <c r="CL162" s="34">
        <v>0</v>
      </c>
      <c r="CM162" s="34">
        <v>0</v>
      </c>
      <c r="CN162" s="34">
        <v>0</v>
      </c>
      <c r="CO162" s="34">
        <v>0</v>
      </c>
      <c r="CP162" s="34">
        <v>0</v>
      </c>
      <c r="CQ162" s="34">
        <v>0</v>
      </c>
      <c r="CR162" s="34">
        <v>0</v>
      </c>
      <c r="CS162" s="34">
        <v>0</v>
      </c>
      <c r="CT162" s="34">
        <v>0</v>
      </c>
      <c r="CU162" s="34">
        <v>0</v>
      </c>
      <c r="CV162" s="34">
        <v>0</v>
      </c>
      <c r="CW162" s="34">
        <v>0</v>
      </c>
      <c r="CX162" s="34">
        <v>0</v>
      </c>
      <c r="CY162" s="34">
        <v>0</v>
      </c>
      <c r="CZ162" s="34">
        <v>0</v>
      </c>
      <c r="DA162" s="34">
        <v>0</v>
      </c>
      <c r="DB162" s="34">
        <v>0</v>
      </c>
      <c r="DC162" s="34">
        <v>0</v>
      </c>
      <c r="DD162" s="34">
        <v>0</v>
      </c>
      <c r="DE162" s="34">
        <v>0</v>
      </c>
      <c r="DF162" s="34">
        <v>0</v>
      </c>
      <c r="DG162" s="34">
        <v>0</v>
      </c>
      <c r="DH162" s="34">
        <v>0</v>
      </c>
      <c r="DI162" s="34">
        <v>0</v>
      </c>
      <c r="DJ162" s="34">
        <v>0</v>
      </c>
      <c r="DK162" s="34">
        <v>0</v>
      </c>
      <c r="DL162" s="34">
        <v>0</v>
      </c>
      <c r="DM162" s="34">
        <v>0</v>
      </c>
      <c r="DN162" s="34">
        <v>0</v>
      </c>
      <c r="DO162" s="34">
        <v>0</v>
      </c>
      <c r="DP162" s="34">
        <v>0</v>
      </c>
      <c r="DQ162" s="34">
        <v>0</v>
      </c>
      <c r="DR162" s="34">
        <v>0</v>
      </c>
    </row>
    <row r="163" spans="1:122" s="13" customFormat="1" hidden="1" outlineLevel="1" x14ac:dyDescent="0.35">
      <c r="A163" s="14">
        <v>24</v>
      </c>
      <c r="B163" s="34">
        <v>0</v>
      </c>
      <c r="C163" s="34">
        <v>0</v>
      </c>
      <c r="D163" s="34">
        <v>0</v>
      </c>
      <c r="E163" s="34">
        <v>0</v>
      </c>
      <c r="F163" s="34">
        <v>0</v>
      </c>
      <c r="G163" s="34">
        <v>0</v>
      </c>
      <c r="H163" s="34">
        <v>0</v>
      </c>
      <c r="I163" s="34">
        <v>0</v>
      </c>
      <c r="J163" s="34">
        <v>0</v>
      </c>
      <c r="K163" s="34">
        <v>0</v>
      </c>
      <c r="L163" s="34">
        <v>0</v>
      </c>
      <c r="M163" s="34">
        <v>0</v>
      </c>
      <c r="N163" s="34">
        <v>0</v>
      </c>
      <c r="O163" s="34">
        <v>0</v>
      </c>
      <c r="P163" s="34">
        <v>0</v>
      </c>
      <c r="Q163" s="34">
        <v>0</v>
      </c>
      <c r="R163" s="34">
        <v>0</v>
      </c>
      <c r="S163" s="34">
        <v>0</v>
      </c>
      <c r="T163" s="34">
        <v>0</v>
      </c>
      <c r="U163" s="34">
        <v>0</v>
      </c>
      <c r="V163" s="34">
        <v>0</v>
      </c>
      <c r="W163" s="34">
        <v>0</v>
      </c>
      <c r="X163" s="34">
        <v>0</v>
      </c>
      <c r="Y163" s="34">
        <v>0</v>
      </c>
      <c r="Z163" s="34">
        <v>1</v>
      </c>
      <c r="AA163" s="34">
        <v>1</v>
      </c>
      <c r="AB163" s="34">
        <v>1</v>
      </c>
      <c r="AC163" s="34">
        <v>1</v>
      </c>
      <c r="AD163" s="34">
        <v>1</v>
      </c>
      <c r="AE163" s="34">
        <v>1</v>
      </c>
      <c r="AF163" s="34">
        <v>1</v>
      </c>
      <c r="AG163" s="34">
        <v>1</v>
      </c>
      <c r="AH163" s="34">
        <v>1</v>
      </c>
      <c r="AI163" s="34">
        <v>1</v>
      </c>
      <c r="AJ163" s="34">
        <v>1</v>
      </c>
      <c r="AK163" s="34">
        <v>1</v>
      </c>
      <c r="AL163" s="34">
        <v>1</v>
      </c>
      <c r="AM163" s="34">
        <v>1</v>
      </c>
      <c r="AN163" s="34">
        <v>1</v>
      </c>
      <c r="AO163" s="34">
        <v>1</v>
      </c>
      <c r="AP163" s="34">
        <v>1</v>
      </c>
      <c r="AQ163" s="34">
        <v>1</v>
      </c>
      <c r="AR163" s="34">
        <v>1</v>
      </c>
      <c r="AS163" s="34">
        <v>1</v>
      </c>
      <c r="AT163" s="34">
        <v>1</v>
      </c>
      <c r="AU163" s="34">
        <v>1</v>
      </c>
      <c r="AV163" s="34">
        <v>1</v>
      </c>
      <c r="AW163" s="34">
        <v>1</v>
      </c>
      <c r="AX163" s="34">
        <v>0</v>
      </c>
      <c r="AY163" s="34">
        <v>0</v>
      </c>
      <c r="AZ163" s="34">
        <v>0</v>
      </c>
      <c r="BA163" s="34">
        <v>0</v>
      </c>
      <c r="BB163" s="34">
        <v>0</v>
      </c>
      <c r="BC163" s="34">
        <v>0</v>
      </c>
      <c r="BD163" s="34">
        <v>0</v>
      </c>
      <c r="BE163" s="34">
        <v>0</v>
      </c>
      <c r="BF163" s="34">
        <v>0</v>
      </c>
      <c r="BG163" s="34">
        <v>0</v>
      </c>
      <c r="BH163" s="34">
        <v>0</v>
      </c>
      <c r="BI163" s="34">
        <v>0</v>
      </c>
      <c r="BJ163" s="34">
        <v>0</v>
      </c>
      <c r="BK163" s="34">
        <v>0</v>
      </c>
      <c r="BL163" s="34">
        <v>0</v>
      </c>
      <c r="BM163" s="34">
        <v>0</v>
      </c>
      <c r="BN163" s="34">
        <v>0</v>
      </c>
      <c r="BO163" s="34">
        <v>0</v>
      </c>
      <c r="BP163" s="34">
        <v>0</v>
      </c>
      <c r="BQ163" s="34">
        <v>0</v>
      </c>
      <c r="BR163" s="34">
        <v>0</v>
      </c>
      <c r="BS163" s="34">
        <v>0</v>
      </c>
      <c r="BT163" s="34">
        <v>0</v>
      </c>
      <c r="BU163" s="34">
        <v>0</v>
      </c>
      <c r="BV163" s="34">
        <v>0</v>
      </c>
      <c r="BW163" s="34">
        <v>0</v>
      </c>
      <c r="BX163" s="34">
        <v>0</v>
      </c>
      <c r="BY163" s="34">
        <v>0</v>
      </c>
      <c r="BZ163" s="34">
        <v>0</v>
      </c>
      <c r="CA163" s="34">
        <v>0</v>
      </c>
      <c r="CB163" s="34">
        <v>0</v>
      </c>
      <c r="CC163" s="34">
        <v>0</v>
      </c>
      <c r="CD163" s="34">
        <v>0</v>
      </c>
      <c r="CE163" s="34">
        <v>0</v>
      </c>
      <c r="CF163" s="34">
        <v>0</v>
      </c>
      <c r="CG163" s="34">
        <v>0</v>
      </c>
      <c r="CH163" s="34">
        <v>0</v>
      </c>
      <c r="CI163" s="34">
        <v>0</v>
      </c>
      <c r="CJ163" s="34">
        <v>0</v>
      </c>
      <c r="CK163" s="34">
        <v>0</v>
      </c>
      <c r="CL163" s="34">
        <v>0</v>
      </c>
      <c r="CM163" s="34">
        <v>0</v>
      </c>
      <c r="CN163" s="34">
        <v>0</v>
      </c>
      <c r="CO163" s="34">
        <v>0</v>
      </c>
      <c r="CP163" s="34">
        <v>0</v>
      </c>
      <c r="CQ163" s="34">
        <v>0</v>
      </c>
      <c r="CR163" s="34">
        <v>0</v>
      </c>
      <c r="CS163" s="34">
        <v>0</v>
      </c>
      <c r="CT163" s="34">
        <v>0</v>
      </c>
      <c r="CU163" s="34">
        <v>0</v>
      </c>
      <c r="CV163" s="34">
        <v>0</v>
      </c>
      <c r="CW163" s="34">
        <v>0</v>
      </c>
      <c r="CX163" s="34">
        <v>0</v>
      </c>
      <c r="CY163" s="34">
        <v>0</v>
      </c>
      <c r="CZ163" s="34">
        <v>0</v>
      </c>
      <c r="DA163" s="34">
        <v>0</v>
      </c>
      <c r="DB163" s="34">
        <v>0</v>
      </c>
      <c r="DC163" s="34">
        <v>0</v>
      </c>
      <c r="DD163" s="34">
        <v>0</v>
      </c>
      <c r="DE163" s="34">
        <v>0</v>
      </c>
      <c r="DF163" s="34">
        <v>0</v>
      </c>
      <c r="DG163" s="34">
        <v>0</v>
      </c>
      <c r="DH163" s="34">
        <v>0</v>
      </c>
      <c r="DI163" s="34">
        <v>0</v>
      </c>
      <c r="DJ163" s="34">
        <v>0</v>
      </c>
      <c r="DK163" s="34">
        <v>0</v>
      </c>
      <c r="DL163" s="34">
        <v>0</v>
      </c>
      <c r="DM163" s="34">
        <v>0</v>
      </c>
      <c r="DN163" s="34">
        <v>0</v>
      </c>
      <c r="DO163" s="34">
        <v>0</v>
      </c>
      <c r="DP163" s="34">
        <v>0</v>
      </c>
      <c r="DQ163" s="34">
        <v>0</v>
      </c>
      <c r="DR163" s="34">
        <v>0</v>
      </c>
    </row>
    <row r="164" spans="1:122" s="13" customFormat="1" hidden="1" outlineLevel="1" x14ac:dyDescent="0.35">
      <c r="A164" s="14">
        <v>25</v>
      </c>
      <c r="B164" s="34">
        <v>0</v>
      </c>
      <c r="C164" s="34">
        <v>0</v>
      </c>
      <c r="D164" s="34">
        <v>0</v>
      </c>
      <c r="E164" s="34">
        <v>0</v>
      </c>
      <c r="F164" s="34">
        <v>0</v>
      </c>
      <c r="G164" s="34">
        <v>0</v>
      </c>
      <c r="H164" s="34">
        <v>0</v>
      </c>
      <c r="I164" s="34">
        <v>0</v>
      </c>
      <c r="J164" s="34">
        <v>0</v>
      </c>
      <c r="K164" s="34">
        <v>0</v>
      </c>
      <c r="L164" s="34">
        <v>0</v>
      </c>
      <c r="M164" s="34">
        <v>0</v>
      </c>
      <c r="N164" s="34">
        <v>0</v>
      </c>
      <c r="O164" s="34">
        <v>0</v>
      </c>
      <c r="P164" s="34">
        <v>0</v>
      </c>
      <c r="Q164" s="34">
        <v>0</v>
      </c>
      <c r="R164" s="34">
        <v>0</v>
      </c>
      <c r="S164" s="34">
        <v>0</v>
      </c>
      <c r="T164" s="34">
        <v>0</v>
      </c>
      <c r="U164" s="34">
        <v>0</v>
      </c>
      <c r="V164" s="34">
        <v>0</v>
      </c>
      <c r="W164" s="34">
        <v>0</v>
      </c>
      <c r="X164" s="34">
        <v>0</v>
      </c>
      <c r="Y164" s="34">
        <v>0</v>
      </c>
      <c r="Z164" s="34">
        <v>0</v>
      </c>
      <c r="AA164" s="34">
        <v>1</v>
      </c>
      <c r="AB164" s="34">
        <v>1</v>
      </c>
      <c r="AC164" s="34">
        <v>1</v>
      </c>
      <c r="AD164" s="34">
        <v>1</v>
      </c>
      <c r="AE164" s="34">
        <v>1</v>
      </c>
      <c r="AF164" s="34">
        <v>1</v>
      </c>
      <c r="AG164" s="34">
        <v>1</v>
      </c>
      <c r="AH164" s="34">
        <v>1</v>
      </c>
      <c r="AI164" s="34">
        <v>1</v>
      </c>
      <c r="AJ164" s="34">
        <v>1</v>
      </c>
      <c r="AK164" s="34">
        <v>1</v>
      </c>
      <c r="AL164" s="34">
        <v>1</v>
      </c>
      <c r="AM164" s="34">
        <v>1</v>
      </c>
      <c r="AN164" s="34">
        <v>1</v>
      </c>
      <c r="AO164" s="34">
        <v>1</v>
      </c>
      <c r="AP164" s="34">
        <v>1</v>
      </c>
      <c r="AQ164" s="34">
        <v>1</v>
      </c>
      <c r="AR164" s="34">
        <v>1</v>
      </c>
      <c r="AS164" s="34">
        <v>1</v>
      </c>
      <c r="AT164" s="34">
        <v>1</v>
      </c>
      <c r="AU164" s="34">
        <v>1</v>
      </c>
      <c r="AV164" s="34">
        <v>1</v>
      </c>
      <c r="AW164" s="34">
        <v>1</v>
      </c>
      <c r="AX164" s="34">
        <v>1</v>
      </c>
      <c r="AY164" s="34">
        <v>1</v>
      </c>
      <c r="AZ164" s="34">
        <v>0</v>
      </c>
      <c r="BA164" s="34">
        <v>0</v>
      </c>
      <c r="BB164" s="34">
        <v>0</v>
      </c>
      <c r="BC164" s="34">
        <v>0</v>
      </c>
      <c r="BD164" s="34">
        <v>0</v>
      </c>
      <c r="BE164" s="34">
        <v>0</v>
      </c>
      <c r="BF164" s="34">
        <v>0</v>
      </c>
      <c r="BG164" s="34">
        <v>0</v>
      </c>
      <c r="BH164" s="34">
        <v>0</v>
      </c>
      <c r="BI164" s="34">
        <v>0</v>
      </c>
      <c r="BJ164" s="34">
        <v>0</v>
      </c>
      <c r="BK164" s="34">
        <v>0</v>
      </c>
      <c r="BL164" s="34">
        <v>0</v>
      </c>
      <c r="BM164" s="34">
        <v>0</v>
      </c>
      <c r="BN164" s="34">
        <v>0</v>
      </c>
      <c r="BO164" s="34">
        <v>0</v>
      </c>
      <c r="BP164" s="34">
        <v>0</v>
      </c>
      <c r="BQ164" s="34">
        <v>0</v>
      </c>
      <c r="BR164" s="34">
        <v>0</v>
      </c>
      <c r="BS164" s="34">
        <v>0</v>
      </c>
      <c r="BT164" s="34">
        <v>0</v>
      </c>
      <c r="BU164" s="34">
        <v>0</v>
      </c>
      <c r="BV164" s="34">
        <v>0</v>
      </c>
      <c r="BW164" s="34">
        <v>0</v>
      </c>
      <c r="BX164" s="34">
        <v>0</v>
      </c>
      <c r="BY164" s="34">
        <v>0</v>
      </c>
      <c r="BZ164" s="34">
        <v>0</v>
      </c>
      <c r="CA164" s="34">
        <v>0</v>
      </c>
      <c r="CB164" s="34">
        <v>0</v>
      </c>
      <c r="CC164" s="34">
        <v>0</v>
      </c>
      <c r="CD164" s="34">
        <v>0</v>
      </c>
      <c r="CE164" s="34">
        <v>0</v>
      </c>
      <c r="CF164" s="34">
        <v>0</v>
      </c>
      <c r="CG164" s="34">
        <v>0</v>
      </c>
      <c r="CH164" s="34">
        <v>0</v>
      </c>
      <c r="CI164" s="34">
        <v>0</v>
      </c>
      <c r="CJ164" s="34">
        <v>0</v>
      </c>
      <c r="CK164" s="34">
        <v>0</v>
      </c>
      <c r="CL164" s="34">
        <v>0</v>
      </c>
      <c r="CM164" s="34">
        <v>0</v>
      </c>
      <c r="CN164" s="34">
        <v>0</v>
      </c>
      <c r="CO164" s="34">
        <v>0</v>
      </c>
      <c r="CP164" s="34">
        <v>0</v>
      </c>
      <c r="CQ164" s="34">
        <v>0</v>
      </c>
      <c r="CR164" s="34">
        <v>0</v>
      </c>
      <c r="CS164" s="34">
        <v>0</v>
      </c>
      <c r="CT164" s="34">
        <v>0</v>
      </c>
      <c r="CU164" s="34">
        <v>0</v>
      </c>
      <c r="CV164" s="34">
        <v>0</v>
      </c>
      <c r="CW164" s="34">
        <v>0</v>
      </c>
      <c r="CX164" s="34">
        <v>0</v>
      </c>
      <c r="CY164" s="34">
        <v>0</v>
      </c>
      <c r="CZ164" s="34">
        <v>0</v>
      </c>
      <c r="DA164" s="34">
        <v>0</v>
      </c>
      <c r="DB164" s="34">
        <v>0</v>
      </c>
      <c r="DC164" s="34">
        <v>0</v>
      </c>
      <c r="DD164" s="34">
        <v>0</v>
      </c>
      <c r="DE164" s="34">
        <v>0</v>
      </c>
      <c r="DF164" s="34">
        <v>0</v>
      </c>
      <c r="DG164" s="34">
        <v>0</v>
      </c>
      <c r="DH164" s="34">
        <v>0</v>
      </c>
      <c r="DI164" s="34">
        <v>0</v>
      </c>
      <c r="DJ164" s="34">
        <v>0</v>
      </c>
      <c r="DK164" s="34">
        <v>0</v>
      </c>
      <c r="DL164" s="34">
        <v>0</v>
      </c>
      <c r="DM164" s="34">
        <v>0</v>
      </c>
      <c r="DN164" s="34">
        <v>0</v>
      </c>
      <c r="DO164" s="34">
        <v>0</v>
      </c>
      <c r="DP164" s="34">
        <v>0</v>
      </c>
      <c r="DQ164" s="34">
        <v>0</v>
      </c>
      <c r="DR164" s="34">
        <v>0</v>
      </c>
    </row>
    <row r="165" spans="1:122" s="13" customFormat="1" hidden="1" outlineLevel="1" x14ac:dyDescent="0.35">
      <c r="A165" s="14">
        <v>26</v>
      </c>
      <c r="B165" s="34">
        <v>0</v>
      </c>
      <c r="C165" s="34">
        <v>0</v>
      </c>
      <c r="D165" s="34">
        <v>0</v>
      </c>
      <c r="E165" s="34">
        <v>0</v>
      </c>
      <c r="F165" s="34">
        <v>0</v>
      </c>
      <c r="G165" s="34">
        <v>0</v>
      </c>
      <c r="H165" s="34">
        <v>0</v>
      </c>
      <c r="I165" s="34">
        <v>0</v>
      </c>
      <c r="J165" s="34">
        <v>0</v>
      </c>
      <c r="K165" s="34">
        <v>0</v>
      </c>
      <c r="L165" s="34">
        <v>0</v>
      </c>
      <c r="M165" s="34">
        <v>0</v>
      </c>
      <c r="N165" s="34">
        <v>0</v>
      </c>
      <c r="O165" s="34">
        <v>0</v>
      </c>
      <c r="P165" s="34">
        <v>0</v>
      </c>
      <c r="Q165" s="34">
        <v>0</v>
      </c>
      <c r="R165" s="34">
        <v>0</v>
      </c>
      <c r="S165" s="34">
        <v>0</v>
      </c>
      <c r="T165" s="34">
        <v>0</v>
      </c>
      <c r="U165" s="34">
        <v>0</v>
      </c>
      <c r="V165" s="34">
        <v>0</v>
      </c>
      <c r="W165" s="34">
        <v>0</v>
      </c>
      <c r="X165" s="34">
        <v>0</v>
      </c>
      <c r="Y165" s="34">
        <v>0</v>
      </c>
      <c r="Z165" s="34">
        <v>0</v>
      </c>
      <c r="AA165" s="34">
        <v>0</v>
      </c>
      <c r="AB165" s="34">
        <v>1</v>
      </c>
      <c r="AC165" s="34">
        <v>1</v>
      </c>
      <c r="AD165" s="34">
        <v>1</v>
      </c>
      <c r="AE165" s="34">
        <v>1</v>
      </c>
      <c r="AF165" s="34">
        <v>1</v>
      </c>
      <c r="AG165" s="34">
        <v>1</v>
      </c>
      <c r="AH165" s="34">
        <v>1</v>
      </c>
      <c r="AI165" s="34">
        <v>1</v>
      </c>
      <c r="AJ165" s="34">
        <v>1</v>
      </c>
      <c r="AK165" s="34">
        <v>1</v>
      </c>
      <c r="AL165" s="34">
        <v>1</v>
      </c>
      <c r="AM165" s="34">
        <v>1</v>
      </c>
      <c r="AN165" s="34">
        <v>1</v>
      </c>
      <c r="AO165" s="34">
        <v>1</v>
      </c>
      <c r="AP165" s="34">
        <v>1</v>
      </c>
      <c r="AQ165" s="34">
        <v>1</v>
      </c>
      <c r="AR165" s="34">
        <v>1</v>
      </c>
      <c r="AS165" s="34">
        <v>1</v>
      </c>
      <c r="AT165" s="34">
        <v>1</v>
      </c>
      <c r="AU165" s="34">
        <v>1</v>
      </c>
      <c r="AV165" s="34">
        <v>1</v>
      </c>
      <c r="AW165" s="34">
        <v>1</v>
      </c>
      <c r="AX165" s="34">
        <v>1</v>
      </c>
      <c r="AY165" s="34">
        <v>1</v>
      </c>
      <c r="AZ165" s="34">
        <v>1</v>
      </c>
      <c r="BA165" s="34">
        <v>1</v>
      </c>
      <c r="BB165" s="34">
        <v>0</v>
      </c>
      <c r="BC165" s="34">
        <v>0</v>
      </c>
      <c r="BD165" s="34">
        <v>0</v>
      </c>
      <c r="BE165" s="34">
        <v>0</v>
      </c>
      <c r="BF165" s="34">
        <v>0</v>
      </c>
      <c r="BG165" s="34">
        <v>0</v>
      </c>
      <c r="BH165" s="34">
        <v>0</v>
      </c>
      <c r="BI165" s="34">
        <v>0</v>
      </c>
      <c r="BJ165" s="34">
        <v>0</v>
      </c>
      <c r="BK165" s="34">
        <v>0</v>
      </c>
      <c r="BL165" s="34">
        <v>0</v>
      </c>
      <c r="BM165" s="34">
        <v>0</v>
      </c>
      <c r="BN165" s="34">
        <v>0</v>
      </c>
      <c r="BO165" s="34">
        <v>0</v>
      </c>
      <c r="BP165" s="34">
        <v>0</v>
      </c>
      <c r="BQ165" s="34">
        <v>0</v>
      </c>
      <c r="BR165" s="34">
        <v>0</v>
      </c>
      <c r="BS165" s="34">
        <v>0</v>
      </c>
      <c r="BT165" s="34">
        <v>0</v>
      </c>
      <c r="BU165" s="34">
        <v>0</v>
      </c>
      <c r="BV165" s="34">
        <v>0</v>
      </c>
      <c r="BW165" s="34">
        <v>0</v>
      </c>
      <c r="BX165" s="34">
        <v>0</v>
      </c>
      <c r="BY165" s="34">
        <v>0</v>
      </c>
      <c r="BZ165" s="34">
        <v>0</v>
      </c>
      <c r="CA165" s="34">
        <v>0</v>
      </c>
      <c r="CB165" s="34">
        <v>0</v>
      </c>
      <c r="CC165" s="34">
        <v>0</v>
      </c>
      <c r="CD165" s="34">
        <v>0</v>
      </c>
      <c r="CE165" s="34">
        <v>0</v>
      </c>
      <c r="CF165" s="34">
        <v>0</v>
      </c>
      <c r="CG165" s="34">
        <v>0</v>
      </c>
      <c r="CH165" s="34">
        <v>0</v>
      </c>
      <c r="CI165" s="34">
        <v>0</v>
      </c>
      <c r="CJ165" s="34">
        <v>0</v>
      </c>
      <c r="CK165" s="34">
        <v>0</v>
      </c>
      <c r="CL165" s="34">
        <v>0</v>
      </c>
      <c r="CM165" s="34">
        <v>0</v>
      </c>
      <c r="CN165" s="34">
        <v>0</v>
      </c>
      <c r="CO165" s="34">
        <v>0</v>
      </c>
      <c r="CP165" s="34">
        <v>0</v>
      </c>
      <c r="CQ165" s="34">
        <v>0</v>
      </c>
      <c r="CR165" s="34">
        <v>0</v>
      </c>
      <c r="CS165" s="34">
        <v>0</v>
      </c>
      <c r="CT165" s="34">
        <v>0</v>
      </c>
      <c r="CU165" s="34">
        <v>0</v>
      </c>
      <c r="CV165" s="34">
        <v>0</v>
      </c>
      <c r="CW165" s="34">
        <v>0</v>
      </c>
      <c r="CX165" s="34">
        <v>0</v>
      </c>
      <c r="CY165" s="34">
        <v>0</v>
      </c>
      <c r="CZ165" s="34">
        <v>0</v>
      </c>
      <c r="DA165" s="34">
        <v>0</v>
      </c>
      <c r="DB165" s="34">
        <v>0</v>
      </c>
      <c r="DC165" s="34">
        <v>0</v>
      </c>
      <c r="DD165" s="34">
        <v>0</v>
      </c>
      <c r="DE165" s="34">
        <v>0</v>
      </c>
      <c r="DF165" s="34">
        <v>0</v>
      </c>
      <c r="DG165" s="34">
        <v>0</v>
      </c>
      <c r="DH165" s="34">
        <v>0</v>
      </c>
      <c r="DI165" s="34">
        <v>0</v>
      </c>
      <c r="DJ165" s="34">
        <v>0</v>
      </c>
      <c r="DK165" s="34">
        <v>0</v>
      </c>
      <c r="DL165" s="34">
        <v>0</v>
      </c>
      <c r="DM165" s="34">
        <v>0</v>
      </c>
      <c r="DN165" s="34">
        <v>0</v>
      </c>
      <c r="DO165" s="34">
        <v>0</v>
      </c>
      <c r="DP165" s="34">
        <v>0</v>
      </c>
      <c r="DQ165" s="34">
        <v>0</v>
      </c>
      <c r="DR165" s="34">
        <v>0</v>
      </c>
    </row>
    <row r="166" spans="1:122" s="13" customFormat="1" hidden="1" outlineLevel="1" x14ac:dyDescent="0.35">
      <c r="A166" s="14">
        <v>27</v>
      </c>
      <c r="B166" s="34">
        <v>0</v>
      </c>
      <c r="C166" s="34">
        <v>0</v>
      </c>
      <c r="D166" s="34">
        <v>0</v>
      </c>
      <c r="E166" s="34">
        <v>0</v>
      </c>
      <c r="F166" s="34">
        <v>0</v>
      </c>
      <c r="G166" s="34">
        <v>0</v>
      </c>
      <c r="H166" s="34">
        <v>0</v>
      </c>
      <c r="I166" s="34">
        <v>0</v>
      </c>
      <c r="J166" s="34">
        <v>0</v>
      </c>
      <c r="K166" s="34">
        <v>0</v>
      </c>
      <c r="L166" s="34">
        <v>0</v>
      </c>
      <c r="M166" s="34">
        <v>0</v>
      </c>
      <c r="N166" s="34">
        <v>0</v>
      </c>
      <c r="O166" s="34">
        <v>0</v>
      </c>
      <c r="P166" s="34">
        <v>0</v>
      </c>
      <c r="Q166" s="34">
        <v>0</v>
      </c>
      <c r="R166" s="34">
        <v>0</v>
      </c>
      <c r="S166" s="34">
        <v>0</v>
      </c>
      <c r="T166" s="34">
        <v>0</v>
      </c>
      <c r="U166" s="34">
        <v>0</v>
      </c>
      <c r="V166" s="34">
        <v>0</v>
      </c>
      <c r="W166" s="34">
        <v>0</v>
      </c>
      <c r="X166" s="34">
        <v>0</v>
      </c>
      <c r="Y166" s="34">
        <v>0</v>
      </c>
      <c r="Z166" s="34">
        <v>0</v>
      </c>
      <c r="AA166" s="34">
        <v>0</v>
      </c>
      <c r="AB166" s="34">
        <v>0</v>
      </c>
      <c r="AC166" s="34">
        <v>1</v>
      </c>
      <c r="AD166" s="34">
        <v>1</v>
      </c>
      <c r="AE166" s="34">
        <v>1</v>
      </c>
      <c r="AF166" s="34">
        <v>1</v>
      </c>
      <c r="AG166" s="34">
        <v>1</v>
      </c>
      <c r="AH166" s="34">
        <v>1</v>
      </c>
      <c r="AI166" s="34">
        <v>1</v>
      </c>
      <c r="AJ166" s="34">
        <v>1</v>
      </c>
      <c r="AK166" s="34">
        <v>1</v>
      </c>
      <c r="AL166" s="34">
        <v>1</v>
      </c>
      <c r="AM166" s="34">
        <v>1</v>
      </c>
      <c r="AN166" s="34">
        <v>1</v>
      </c>
      <c r="AO166" s="34">
        <v>1</v>
      </c>
      <c r="AP166" s="34">
        <v>1</v>
      </c>
      <c r="AQ166" s="34">
        <v>1</v>
      </c>
      <c r="AR166" s="34">
        <v>1</v>
      </c>
      <c r="AS166" s="34">
        <v>1</v>
      </c>
      <c r="AT166" s="34">
        <v>1</v>
      </c>
      <c r="AU166" s="34">
        <v>1</v>
      </c>
      <c r="AV166" s="34">
        <v>1</v>
      </c>
      <c r="AW166" s="34">
        <v>1</v>
      </c>
      <c r="AX166" s="34">
        <v>1</v>
      </c>
      <c r="AY166" s="34">
        <v>1</v>
      </c>
      <c r="AZ166" s="34">
        <v>1</v>
      </c>
      <c r="BA166" s="34">
        <v>1</v>
      </c>
      <c r="BB166" s="34">
        <v>1</v>
      </c>
      <c r="BC166" s="34">
        <v>1</v>
      </c>
      <c r="BD166" s="34">
        <v>1</v>
      </c>
      <c r="BE166" s="34">
        <v>0</v>
      </c>
      <c r="BF166" s="34">
        <v>0</v>
      </c>
      <c r="BG166" s="34">
        <v>0</v>
      </c>
      <c r="BH166" s="34">
        <v>0</v>
      </c>
      <c r="BI166" s="34">
        <v>0</v>
      </c>
      <c r="BJ166" s="34">
        <v>0</v>
      </c>
      <c r="BK166" s="34">
        <v>0</v>
      </c>
      <c r="BL166" s="34">
        <v>0</v>
      </c>
      <c r="BM166" s="34">
        <v>0</v>
      </c>
      <c r="BN166" s="34">
        <v>0</v>
      </c>
      <c r="BO166" s="34">
        <v>0</v>
      </c>
      <c r="BP166" s="34">
        <v>0</v>
      </c>
      <c r="BQ166" s="34">
        <v>0</v>
      </c>
      <c r="BR166" s="34">
        <v>0</v>
      </c>
      <c r="BS166" s="34">
        <v>0</v>
      </c>
      <c r="BT166" s="34">
        <v>0</v>
      </c>
      <c r="BU166" s="34">
        <v>0</v>
      </c>
      <c r="BV166" s="34">
        <v>0</v>
      </c>
      <c r="BW166" s="34">
        <v>0</v>
      </c>
      <c r="BX166" s="34">
        <v>0</v>
      </c>
      <c r="BY166" s="34">
        <v>0</v>
      </c>
      <c r="BZ166" s="34">
        <v>0</v>
      </c>
      <c r="CA166" s="34">
        <v>0</v>
      </c>
      <c r="CB166" s="34">
        <v>0</v>
      </c>
      <c r="CC166" s="34">
        <v>0</v>
      </c>
      <c r="CD166" s="34">
        <v>0</v>
      </c>
      <c r="CE166" s="34">
        <v>0</v>
      </c>
      <c r="CF166" s="34">
        <v>0</v>
      </c>
      <c r="CG166" s="34">
        <v>0</v>
      </c>
      <c r="CH166" s="34">
        <v>0</v>
      </c>
      <c r="CI166" s="34">
        <v>0</v>
      </c>
      <c r="CJ166" s="34">
        <v>0</v>
      </c>
      <c r="CK166" s="34">
        <v>0</v>
      </c>
      <c r="CL166" s="34">
        <v>0</v>
      </c>
      <c r="CM166" s="34">
        <v>0</v>
      </c>
      <c r="CN166" s="34">
        <v>0</v>
      </c>
      <c r="CO166" s="34">
        <v>0</v>
      </c>
      <c r="CP166" s="34">
        <v>0</v>
      </c>
      <c r="CQ166" s="34">
        <v>0</v>
      </c>
      <c r="CR166" s="34">
        <v>0</v>
      </c>
      <c r="CS166" s="34">
        <v>0</v>
      </c>
      <c r="CT166" s="34">
        <v>0</v>
      </c>
      <c r="CU166" s="34">
        <v>0</v>
      </c>
      <c r="CV166" s="34">
        <v>0</v>
      </c>
      <c r="CW166" s="34">
        <v>0</v>
      </c>
      <c r="CX166" s="34">
        <v>0</v>
      </c>
      <c r="CY166" s="34">
        <v>0</v>
      </c>
      <c r="CZ166" s="34">
        <v>0</v>
      </c>
      <c r="DA166" s="34">
        <v>0</v>
      </c>
      <c r="DB166" s="34">
        <v>0</v>
      </c>
      <c r="DC166" s="34">
        <v>0</v>
      </c>
      <c r="DD166" s="34">
        <v>0</v>
      </c>
      <c r="DE166" s="34">
        <v>0</v>
      </c>
      <c r="DF166" s="34">
        <v>0</v>
      </c>
      <c r="DG166" s="34">
        <v>0</v>
      </c>
      <c r="DH166" s="34">
        <v>0</v>
      </c>
      <c r="DI166" s="34">
        <v>0</v>
      </c>
      <c r="DJ166" s="34">
        <v>0</v>
      </c>
      <c r="DK166" s="34">
        <v>0</v>
      </c>
      <c r="DL166" s="34">
        <v>0</v>
      </c>
      <c r="DM166" s="34">
        <v>0</v>
      </c>
      <c r="DN166" s="34">
        <v>0</v>
      </c>
      <c r="DO166" s="34">
        <v>0</v>
      </c>
      <c r="DP166" s="34">
        <v>0</v>
      </c>
      <c r="DQ166" s="34">
        <v>0</v>
      </c>
      <c r="DR166" s="34">
        <v>0</v>
      </c>
    </row>
    <row r="167" spans="1:122" s="13" customFormat="1" hidden="1" outlineLevel="1" x14ac:dyDescent="0.35">
      <c r="A167" s="14">
        <v>28</v>
      </c>
      <c r="B167" s="34">
        <v>0</v>
      </c>
      <c r="C167" s="34">
        <v>0</v>
      </c>
      <c r="D167" s="34">
        <v>0</v>
      </c>
      <c r="E167" s="34">
        <v>0</v>
      </c>
      <c r="F167" s="34">
        <v>0</v>
      </c>
      <c r="G167" s="34">
        <v>0</v>
      </c>
      <c r="H167" s="34">
        <v>0</v>
      </c>
      <c r="I167" s="34">
        <v>0</v>
      </c>
      <c r="J167" s="34">
        <v>0</v>
      </c>
      <c r="K167" s="34">
        <v>0</v>
      </c>
      <c r="L167" s="34">
        <v>0</v>
      </c>
      <c r="M167" s="34">
        <v>0</v>
      </c>
      <c r="N167" s="34">
        <v>0</v>
      </c>
      <c r="O167" s="34">
        <v>0</v>
      </c>
      <c r="P167" s="34">
        <v>0</v>
      </c>
      <c r="Q167" s="34">
        <v>0</v>
      </c>
      <c r="R167" s="34">
        <v>0</v>
      </c>
      <c r="S167" s="34">
        <v>0</v>
      </c>
      <c r="T167" s="34">
        <v>0</v>
      </c>
      <c r="U167" s="34">
        <v>0</v>
      </c>
      <c r="V167" s="34">
        <v>0</v>
      </c>
      <c r="W167" s="34">
        <v>0</v>
      </c>
      <c r="X167" s="34">
        <v>0</v>
      </c>
      <c r="Y167" s="34">
        <v>0</v>
      </c>
      <c r="Z167" s="34">
        <v>0</v>
      </c>
      <c r="AA167" s="34">
        <v>0</v>
      </c>
      <c r="AB167" s="34">
        <v>0</v>
      </c>
      <c r="AC167" s="34">
        <v>0</v>
      </c>
      <c r="AD167" s="34">
        <v>1</v>
      </c>
      <c r="AE167" s="34">
        <v>1</v>
      </c>
      <c r="AF167" s="34">
        <v>1</v>
      </c>
      <c r="AG167" s="34">
        <v>1</v>
      </c>
      <c r="AH167" s="34">
        <v>1</v>
      </c>
      <c r="AI167" s="34">
        <v>1</v>
      </c>
      <c r="AJ167" s="34">
        <v>1</v>
      </c>
      <c r="AK167" s="34">
        <v>1</v>
      </c>
      <c r="AL167" s="34">
        <v>1</v>
      </c>
      <c r="AM167" s="34">
        <v>1</v>
      </c>
      <c r="AN167" s="34">
        <v>1</v>
      </c>
      <c r="AO167" s="34">
        <v>1</v>
      </c>
      <c r="AP167" s="34">
        <v>1</v>
      </c>
      <c r="AQ167" s="34">
        <v>1</v>
      </c>
      <c r="AR167" s="34">
        <v>1</v>
      </c>
      <c r="AS167" s="34">
        <v>1</v>
      </c>
      <c r="AT167" s="34">
        <v>1</v>
      </c>
      <c r="AU167" s="34">
        <v>1</v>
      </c>
      <c r="AV167" s="34">
        <v>1</v>
      </c>
      <c r="AW167" s="34">
        <v>1</v>
      </c>
      <c r="AX167" s="34">
        <v>1</v>
      </c>
      <c r="AY167" s="34">
        <v>1</v>
      </c>
      <c r="AZ167" s="34">
        <v>1</v>
      </c>
      <c r="BA167" s="34">
        <v>1</v>
      </c>
      <c r="BB167" s="34">
        <v>1</v>
      </c>
      <c r="BC167" s="34">
        <v>1</v>
      </c>
      <c r="BD167" s="34">
        <v>1</v>
      </c>
      <c r="BE167" s="34">
        <v>1</v>
      </c>
      <c r="BF167" s="34">
        <v>1</v>
      </c>
      <c r="BG167" s="34">
        <v>0</v>
      </c>
      <c r="BH167" s="34">
        <v>0</v>
      </c>
      <c r="BI167" s="34">
        <v>0</v>
      </c>
      <c r="BJ167" s="34">
        <v>0</v>
      </c>
      <c r="BK167" s="34">
        <v>0</v>
      </c>
      <c r="BL167" s="34">
        <v>0</v>
      </c>
      <c r="BM167" s="34">
        <v>0</v>
      </c>
      <c r="BN167" s="34">
        <v>0</v>
      </c>
      <c r="BO167" s="34">
        <v>0</v>
      </c>
      <c r="BP167" s="34">
        <v>0</v>
      </c>
      <c r="BQ167" s="34">
        <v>0</v>
      </c>
      <c r="BR167" s="34">
        <v>0</v>
      </c>
      <c r="BS167" s="34">
        <v>0</v>
      </c>
      <c r="BT167" s="34">
        <v>0</v>
      </c>
      <c r="BU167" s="34">
        <v>0</v>
      </c>
      <c r="BV167" s="34">
        <v>0</v>
      </c>
      <c r="BW167" s="34">
        <v>0</v>
      </c>
      <c r="BX167" s="34">
        <v>0</v>
      </c>
      <c r="BY167" s="34">
        <v>0</v>
      </c>
      <c r="BZ167" s="34">
        <v>0</v>
      </c>
      <c r="CA167" s="34">
        <v>0</v>
      </c>
      <c r="CB167" s="34">
        <v>0</v>
      </c>
      <c r="CC167" s="34">
        <v>0</v>
      </c>
      <c r="CD167" s="34">
        <v>0</v>
      </c>
      <c r="CE167" s="34">
        <v>0</v>
      </c>
      <c r="CF167" s="34">
        <v>0</v>
      </c>
      <c r="CG167" s="34">
        <v>0</v>
      </c>
      <c r="CH167" s="34">
        <v>0</v>
      </c>
      <c r="CI167" s="34">
        <v>0</v>
      </c>
      <c r="CJ167" s="34">
        <v>0</v>
      </c>
      <c r="CK167" s="34">
        <v>0</v>
      </c>
      <c r="CL167" s="34">
        <v>0</v>
      </c>
      <c r="CM167" s="34">
        <v>0</v>
      </c>
      <c r="CN167" s="34">
        <v>0</v>
      </c>
      <c r="CO167" s="34">
        <v>0</v>
      </c>
      <c r="CP167" s="34">
        <v>0</v>
      </c>
      <c r="CQ167" s="34">
        <v>0</v>
      </c>
      <c r="CR167" s="34">
        <v>0</v>
      </c>
      <c r="CS167" s="34">
        <v>0</v>
      </c>
      <c r="CT167" s="34">
        <v>0</v>
      </c>
      <c r="CU167" s="34">
        <v>0</v>
      </c>
      <c r="CV167" s="34">
        <v>0</v>
      </c>
      <c r="CW167" s="34">
        <v>0</v>
      </c>
      <c r="CX167" s="34">
        <v>0</v>
      </c>
      <c r="CY167" s="34">
        <v>0</v>
      </c>
      <c r="CZ167" s="34">
        <v>0</v>
      </c>
      <c r="DA167" s="34">
        <v>0</v>
      </c>
      <c r="DB167" s="34">
        <v>0</v>
      </c>
      <c r="DC167" s="34">
        <v>0</v>
      </c>
      <c r="DD167" s="34">
        <v>0</v>
      </c>
      <c r="DE167" s="34">
        <v>0</v>
      </c>
      <c r="DF167" s="34">
        <v>0</v>
      </c>
      <c r="DG167" s="34">
        <v>0</v>
      </c>
      <c r="DH167" s="34">
        <v>0</v>
      </c>
      <c r="DI167" s="34">
        <v>0</v>
      </c>
      <c r="DJ167" s="34">
        <v>0</v>
      </c>
      <c r="DK167" s="34">
        <v>0</v>
      </c>
      <c r="DL167" s="34">
        <v>0</v>
      </c>
      <c r="DM167" s="34">
        <v>0</v>
      </c>
      <c r="DN167" s="34">
        <v>0</v>
      </c>
      <c r="DO167" s="34">
        <v>0</v>
      </c>
      <c r="DP167" s="34">
        <v>0</v>
      </c>
      <c r="DQ167" s="34">
        <v>0</v>
      </c>
      <c r="DR167" s="34">
        <v>0</v>
      </c>
    </row>
    <row r="168" spans="1:122" s="13" customFormat="1" hidden="1" outlineLevel="1" x14ac:dyDescent="0.35">
      <c r="A168" s="14">
        <v>29</v>
      </c>
      <c r="B168" s="34">
        <v>0</v>
      </c>
      <c r="C168" s="34">
        <v>0</v>
      </c>
      <c r="D168" s="34">
        <v>0</v>
      </c>
      <c r="E168" s="34">
        <v>0</v>
      </c>
      <c r="F168" s="34">
        <v>0</v>
      </c>
      <c r="G168" s="34">
        <v>0</v>
      </c>
      <c r="H168" s="34">
        <v>0</v>
      </c>
      <c r="I168" s="34">
        <v>0</v>
      </c>
      <c r="J168" s="34">
        <v>0</v>
      </c>
      <c r="K168" s="34">
        <v>0</v>
      </c>
      <c r="L168" s="34">
        <v>0</v>
      </c>
      <c r="M168" s="34">
        <v>0</v>
      </c>
      <c r="N168" s="34">
        <v>0</v>
      </c>
      <c r="O168" s="34">
        <v>0</v>
      </c>
      <c r="P168" s="34">
        <v>0</v>
      </c>
      <c r="Q168" s="34">
        <v>0</v>
      </c>
      <c r="R168" s="34">
        <v>0</v>
      </c>
      <c r="S168" s="34">
        <v>0</v>
      </c>
      <c r="T168" s="34">
        <v>0</v>
      </c>
      <c r="U168" s="34">
        <v>0</v>
      </c>
      <c r="V168" s="34">
        <v>0</v>
      </c>
      <c r="W168" s="34">
        <v>0</v>
      </c>
      <c r="X168" s="34">
        <v>0</v>
      </c>
      <c r="Y168" s="34">
        <v>0</v>
      </c>
      <c r="Z168" s="34">
        <v>0</v>
      </c>
      <c r="AA168" s="34">
        <v>0</v>
      </c>
      <c r="AB168" s="34">
        <v>0</v>
      </c>
      <c r="AC168" s="34">
        <v>0</v>
      </c>
      <c r="AD168" s="34">
        <v>0</v>
      </c>
      <c r="AE168" s="34">
        <v>1</v>
      </c>
      <c r="AF168" s="34">
        <v>1</v>
      </c>
      <c r="AG168" s="34">
        <v>1</v>
      </c>
      <c r="AH168" s="34">
        <v>1</v>
      </c>
      <c r="AI168" s="34">
        <v>1</v>
      </c>
      <c r="AJ168" s="34">
        <v>1</v>
      </c>
      <c r="AK168" s="34">
        <v>1</v>
      </c>
      <c r="AL168" s="34">
        <v>1</v>
      </c>
      <c r="AM168" s="34">
        <v>1</v>
      </c>
      <c r="AN168" s="34">
        <v>1</v>
      </c>
      <c r="AO168" s="34">
        <v>1</v>
      </c>
      <c r="AP168" s="34">
        <v>1</v>
      </c>
      <c r="AQ168" s="34">
        <v>1</v>
      </c>
      <c r="AR168" s="34">
        <v>1</v>
      </c>
      <c r="AS168" s="34">
        <v>1</v>
      </c>
      <c r="AT168" s="34">
        <v>1</v>
      </c>
      <c r="AU168" s="34">
        <v>1</v>
      </c>
      <c r="AV168" s="34">
        <v>1</v>
      </c>
      <c r="AW168" s="34">
        <v>1</v>
      </c>
      <c r="AX168" s="34">
        <v>1</v>
      </c>
      <c r="AY168" s="34">
        <v>1</v>
      </c>
      <c r="AZ168" s="34">
        <v>1</v>
      </c>
      <c r="BA168" s="34">
        <v>1</v>
      </c>
      <c r="BB168" s="34">
        <v>1</v>
      </c>
      <c r="BC168" s="34">
        <v>1</v>
      </c>
      <c r="BD168" s="34">
        <v>1</v>
      </c>
      <c r="BE168" s="34">
        <v>1</v>
      </c>
      <c r="BF168" s="34">
        <v>1</v>
      </c>
      <c r="BG168" s="34">
        <v>1</v>
      </c>
      <c r="BH168" s="34">
        <v>1</v>
      </c>
      <c r="BI168" s="34">
        <v>0</v>
      </c>
      <c r="BJ168" s="34">
        <v>0</v>
      </c>
      <c r="BK168" s="34">
        <v>0</v>
      </c>
      <c r="BL168" s="34">
        <v>0</v>
      </c>
      <c r="BM168" s="34">
        <v>0</v>
      </c>
      <c r="BN168" s="34">
        <v>0</v>
      </c>
      <c r="BO168" s="34">
        <v>0</v>
      </c>
      <c r="BP168" s="34">
        <v>0</v>
      </c>
      <c r="BQ168" s="34">
        <v>0</v>
      </c>
      <c r="BR168" s="34">
        <v>0</v>
      </c>
      <c r="BS168" s="34">
        <v>0</v>
      </c>
      <c r="BT168" s="34">
        <v>0</v>
      </c>
      <c r="BU168" s="34">
        <v>0</v>
      </c>
      <c r="BV168" s="34">
        <v>0</v>
      </c>
      <c r="BW168" s="34">
        <v>0</v>
      </c>
      <c r="BX168" s="34">
        <v>0</v>
      </c>
      <c r="BY168" s="34">
        <v>0</v>
      </c>
      <c r="BZ168" s="34">
        <v>0</v>
      </c>
      <c r="CA168" s="34">
        <v>0</v>
      </c>
      <c r="CB168" s="34">
        <v>0</v>
      </c>
      <c r="CC168" s="34">
        <v>0</v>
      </c>
      <c r="CD168" s="34">
        <v>0</v>
      </c>
      <c r="CE168" s="34">
        <v>0</v>
      </c>
      <c r="CF168" s="34">
        <v>0</v>
      </c>
      <c r="CG168" s="34">
        <v>0</v>
      </c>
      <c r="CH168" s="34">
        <v>0</v>
      </c>
      <c r="CI168" s="34">
        <v>0</v>
      </c>
      <c r="CJ168" s="34">
        <v>0</v>
      </c>
      <c r="CK168" s="34">
        <v>0</v>
      </c>
      <c r="CL168" s="34">
        <v>0</v>
      </c>
      <c r="CM168" s="34">
        <v>0</v>
      </c>
      <c r="CN168" s="34">
        <v>0</v>
      </c>
      <c r="CO168" s="34">
        <v>0</v>
      </c>
      <c r="CP168" s="34">
        <v>0</v>
      </c>
      <c r="CQ168" s="34">
        <v>0</v>
      </c>
      <c r="CR168" s="34">
        <v>0</v>
      </c>
      <c r="CS168" s="34">
        <v>0</v>
      </c>
      <c r="CT168" s="34">
        <v>0</v>
      </c>
      <c r="CU168" s="34">
        <v>0</v>
      </c>
      <c r="CV168" s="34">
        <v>0</v>
      </c>
      <c r="CW168" s="34">
        <v>0</v>
      </c>
      <c r="CX168" s="34">
        <v>0</v>
      </c>
      <c r="CY168" s="34">
        <v>0</v>
      </c>
      <c r="CZ168" s="34">
        <v>0</v>
      </c>
      <c r="DA168" s="34">
        <v>0</v>
      </c>
      <c r="DB168" s="34">
        <v>0</v>
      </c>
      <c r="DC168" s="34">
        <v>0</v>
      </c>
      <c r="DD168" s="34">
        <v>0</v>
      </c>
      <c r="DE168" s="34">
        <v>0</v>
      </c>
      <c r="DF168" s="34">
        <v>0</v>
      </c>
      <c r="DG168" s="34">
        <v>0</v>
      </c>
      <c r="DH168" s="34">
        <v>0</v>
      </c>
      <c r="DI168" s="34">
        <v>0</v>
      </c>
      <c r="DJ168" s="34">
        <v>0</v>
      </c>
      <c r="DK168" s="34">
        <v>0</v>
      </c>
      <c r="DL168" s="34">
        <v>0</v>
      </c>
      <c r="DM168" s="34">
        <v>0</v>
      </c>
      <c r="DN168" s="34">
        <v>0</v>
      </c>
      <c r="DO168" s="34">
        <v>0</v>
      </c>
      <c r="DP168" s="34">
        <v>0</v>
      </c>
      <c r="DQ168" s="34">
        <v>0</v>
      </c>
      <c r="DR168" s="34">
        <v>0</v>
      </c>
    </row>
    <row r="169" spans="1:122" s="13" customFormat="1" hidden="1" outlineLevel="1" x14ac:dyDescent="0.35">
      <c r="A169" s="14">
        <v>30</v>
      </c>
      <c r="B169" s="34">
        <v>0</v>
      </c>
      <c r="C169" s="34">
        <v>0</v>
      </c>
      <c r="D169" s="34">
        <v>0</v>
      </c>
      <c r="E169" s="34">
        <v>0</v>
      </c>
      <c r="F169" s="34">
        <v>0</v>
      </c>
      <c r="G169" s="34">
        <v>0</v>
      </c>
      <c r="H169" s="34">
        <v>0</v>
      </c>
      <c r="I169" s="34">
        <v>0</v>
      </c>
      <c r="J169" s="34">
        <v>0</v>
      </c>
      <c r="K169" s="34">
        <v>0</v>
      </c>
      <c r="L169" s="34">
        <v>0</v>
      </c>
      <c r="M169" s="34">
        <v>0</v>
      </c>
      <c r="N169" s="34">
        <v>0</v>
      </c>
      <c r="O169" s="34">
        <v>0</v>
      </c>
      <c r="P169" s="34">
        <v>0</v>
      </c>
      <c r="Q169" s="34">
        <v>0</v>
      </c>
      <c r="R169" s="34">
        <v>0</v>
      </c>
      <c r="S169" s="34">
        <v>0</v>
      </c>
      <c r="T169" s="34">
        <v>0</v>
      </c>
      <c r="U169" s="34">
        <v>0</v>
      </c>
      <c r="V169" s="34">
        <v>0</v>
      </c>
      <c r="W169" s="34">
        <v>0</v>
      </c>
      <c r="X169" s="34">
        <v>0</v>
      </c>
      <c r="Y169" s="34">
        <v>0</v>
      </c>
      <c r="Z169" s="34">
        <v>0</v>
      </c>
      <c r="AA169" s="34">
        <v>0</v>
      </c>
      <c r="AB169" s="34">
        <v>0</v>
      </c>
      <c r="AC169" s="34">
        <v>0</v>
      </c>
      <c r="AD169" s="34">
        <v>0</v>
      </c>
      <c r="AE169" s="34">
        <v>0</v>
      </c>
      <c r="AF169" s="34">
        <v>1</v>
      </c>
      <c r="AG169" s="34">
        <v>1</v>
      </c>
      <c r="AH169" s="34">
        <v>1</v>
      </c>
      <c r="AI169" s="34">
        <v>1</v>
      </c>
      <c r="AJ169" s="34">
        <v>1</v>
      </c>
      <c r="AK169" s="34">
        <v>1</v>
      </c>
      <c r="AL169" s="34">
        <v>1</v>
      </c>
      <c r="AM169" s="34">
        <v>1</v>
      </c>
      <c r="AN169" s="34">
        <v>1</v>
      </c>
      <c r="AO169" s="34">
        <v>1</v>
      </c>
      <c r="AP169" s="34">
        <v>1</v>
      </c>
      <c r="AQ169" s="34">
        <v>1</v>
      </c>
      <c r="AR169" s="34">
        <v>1</v>
      </c>
      <c r="AS169" s="34">
        <v>1</v>
      </c>
      <c r="AT169" s="34">
        <v>1</v>
      </c>
      <c r="AU169" s="34">
        <v>1</v>
      </c>
      <c r="AV169" s="34">
        <v>1</v>
      </c>
      <c r="AW169" s="34">
        <v>1</v>
      </c>
      <c r="AX169" s="34">
        <v>1</v>
      </c>
      <c r="AY169" s="34">
        <v>1</v>
      </c>
      <c r="AZ169" s="34">
        <v>1</v>
      </c>
      <c r="BA169" s="34">
        <v>1</v>
      </c>
      <c r="BB169" s="34">
        <v>1</v>
      </c>
      <c r="BC169" s="34">
        <v>1</v>
      </c>
      <c r="BD169" s="34">
        <v>1</v>
      </c>
      <c r="BE169" s="34">
        <v>1</v>
      </c>
      <c r="BF169" s="34">
        <v>1</v>
      </c>
      <c r="BG169" s="34">
        <v>1</v>
      </c>
      <c r="BH169" s="34">
        <v>1</v>
      </c>
      <c r="BI169" s="34">
        <v>1</v>
      </c>
      <c r="BJ169" s="34">
        <v>1</v>
      </c>
      <c r="BK169" s="34">
        <v>0</v>
      </c>
      <c r="BL169" s="34">
        <v>0</v>
      </c>
      <c r="BM169" s="34">
        <v>0</v>
      </c>
      <c r="BN169" s="34">
        <v>0</v>
      </c>
      <c r="BO169" s="34">
        <v>0</v>
      </c>
      <c r="BP169" s="34">
        <v>0</v>
      </c>
      <c r="BQ169" s="34">
        <v>0</v>
      </c>
      <c r="BR169" s="34">
        <v>0</v>
      </c>
      <c r="BS169" s="34">
        <v>0</v>
      </c>
      <c r="BT169" s="34">
        <v>0</v>
      </c>
      <c r="BU169" s="34">
        <v>0</v>
      </c>
      <c r="BV169" s="34">
        <v>0</v>
      </c>
      <c r="BW169" s="34">
        <v>0</v>
      </c>
      <c r="BX169" s="34">
        <v>0</v>
      </c>
      <c r="BY169" s="34">
        <v>0</v>
      </c>
      <c r="BZ169" s="34">
        <v>0</v>
      </c>
      <c r="CA169" s="34">
        <v>0</v>
      </c>
      <c r="CB169" s="34">
        <v>0</v>
      </c>
      <c r="CC169" s="34">
        <v>0</v>
      </c>
      <c r="CD169" s="34">
        <v>0</v>
      </c>
      <c r="CE169" s="34">
        <v>0</v>
      </c>
      <c r="CF169" s="34">
        <v>0</v>
      </c>
      <c r="CG169" s="34">
        <v>0</v>
      </c>
      <c r="CH169" s="34">
        <v>0</v>
      </c>
      <c r="CI169" s="34">
        <v>0</v>
      </c>
      <c r="CJ169" s="34">
        <v>0</v>
      </c>
      <c r="CK169" s="34">
        <v>0</v>
      </c>
      <c r="CL169" s="34">
        <v>0</v>
      </c>
      <c r="CM169" s="34">
        <v>0</v>
      </c>
      <c r="CN169" s="34">
        <v>0</v>
      </c>
      <c r="CO169" s="34">
        <v>0</v>
      </c>
      <c r="CP169" s="34">
        <v>0</v>
      </c>
      <c r="CQ169" s="34">
        <v>0</v>
      </c>
      <c r="CR169" s="34">
        <v>0</v>
      </c>
      <c r="CS169" s="34">
        <v>0</v>
      </c>
      <c r="CT169" s="34">
        <v>0</v>
      </c>
      <c r="CU169" s="34">
        <v>0</v>
      </c>
      <c r="CV169" s="34">
        <v>0</v>
      </c>
      <c r="CW169" s="34">
        <v>0</v>
      </c>
      <c r="CX169" s="34">
        <v>0</v>
      </c>
      <c r="CY169" s="34">
        <v>0</v>
      </c>
      <c r="CZ169" s="34">
        <v>0</v>
      </c>
      <c r="DA169" s="34">
        <v>0</v>
      </c>
      <c r="DB169" s="34">
        <v>0</v>
      </c>
      <c r="DC169" s="34">
        <v>0</v>
      </c>
      <c r="DD169" s="34">
        <v>0</v>
      </c>
      <c r="DE169" s="34">
        <v>0</v>
      </c>
      <c r="DF169" s="34">
        <v>0</v>
      </c>
      <c r="DG169" s="34">
        <v>0</v>
      </c>
      <c r="DH169" s="34">
        <v>0</v>
      </c>
      <c r="DI169" s="34">
        <v>0</v>
      </c>
      <c r="DJ169" s="34">
        <v>0</v>
      </c>
      <c r="DK169" s="34">
        <v>0</v>
      </c>
      <c r="DL169" s="34">
        <v>0</v>
      </c>
      <c r="DM169" s="34">
        <v>0</v>
      </c>
      <c r="DN169" s="34">
        <v>0</v>
      </c>
      <c r="DO169" s="34">
        <v>0</v>
      </c>
      <c r="DP169" s="34">
        <v>0</v>
      </c>
      <c r="DQ169" s="34">
        <v>0</v>
      </c>
      <c r="DR169" s="34">
        <v>0</v>
      </c>
    </row>
    <row r="170" spans="1:122" s="13" customFormat="1" hidden="1" outlineLevel="1" x14ac:dyDescent="0.35">
      <c r="A170" s="14">
        <v>31</v>
      </c>
      <c r="B170" s="34">
        <v>0</v>
      </c>
      <c r="C170" s="34">
        <v>0</v>
      </c>
      <c r="D170" s="34">
        <v>0</v>
      </c>
      <c r="E170" s="34">
        <v>0</v>
      </c>
      <c r="F170" s="34">
        <v>0</v>
      </c>
      <c r="G170" s="34">
        <v>0</v>
      </c>
      <c r="H170" s="34">
        <v>0</v>
      </c>
      <c r="I170" s="34">
        <v>0</v>
      </c>
      <c r="J170" s="34">
        <v>0</v>
      </c>
      <c r="K170" s="34">
        <v>0</v>
      </c>
      <c r="L170" s="34">
        <v>0</v>
      </c>
      <c r="M170" s="34">
        <v>0</v>
      </c>
      <c r="N170" s="34">
        <v>0</v>
      </c>
      <c r="O170" s="34">
        <v>0</v>
      </c>
      <c r="P170" s="34">
        <v>0</v>
      </c>
      <c r="Q170" s="34">
        <v>0</v>
      </c>
      <c r="R170" s="34">
        <v>0</v>
      </c>
      <c r="S170" s="34">
        <v>0</v>
      </c>
      <c r="T170" s="34">
        <v>0</v>
      </c>
      <c r="U170" s="34">
        <v>0</v>
      </c>
      <c r="V170" s="34">
        <v>0</v>
      </c>
      <c r="W170" s="34">
        <v>0</v>
      </c>
      <c r="X170" s="34">
        <v>0</v>
      </c>
      <c r="Y170" s="34">
        <v>0</v>
      </c>
      <c r="Z170" s="34">
        <v>0</v>
      </c>
      <c r="AA170" s="34">
        <v>0</v>
      </c>
      <c r="AB170" s="34">
        <v>0</v>
      </c>
      <c r="AC170" s="34">
        <v>0</v>
      </c>
      <c r="AD170" s="34">
        <v>0</v>
      </c>
      <c r="AE170" s="34">
        <v>0</v>
      </c>
      <c r="AF170" s="34">
        <v>0</v>
      </c>
      <c r="AG170" s="34">
        <v>1</v>
      </c>
      <c r="AH170" s="34">
        <v>1</v>
      </c>
      <c r="AI170" s="34">
        <v>1</v>
      </c>
      <c r="AJ170" s="34">
        <v>1</v>
      </c>
      <c r="AK170" s="34">
        <v>1</v>
      </c>
      <c r="AL170" s="34">
        <v>1</v>
      </c>
      <c r="AM170" s="34">
        <v>1</v>
      </c>
      <c r="AN170" s="34">
        <v>1</v>
      </c>
      <c r="AO170" s="34">
        <v>1</v>
      </c>
      <c r="AP170" s="34">
        <v>1</v>
      </c>
      <c r="AQ170" s="34">
        <v>1</v>
      </c>
      <c r="AR170" s="34">
        <v>1</v>
      </c>
      <c r="AS170" s="34">
        <v>1</v>
      </c>
      <c r="AT170" s="34">
        <v>1</v>
      </c>
      <c r="AU170" s="34">
        <v>1</v>
      </c>
      <c r="AV170" s="34">
        <v>1</v>
      </c>
      <c r="AW170" s="34">
        <v>1</v>
      </c>
      <c r="AX170" s="34">
        <v>1</v>
      </c>
      <c r="AY170" s="34">
        <v>1</v>
      </c>
      <c r="AZ170" s="34">
        <v>1</v>
      </c>
      <c r="BA170" s="34">
        <v>1</v>
      </c>
      <c r="BB170" s="34">
        <v>1</v>
      </c>
      <c r="BC170" s="34">
        <v>1</v>
      </c>
      <c r="BD170" s="34">
        <v>1</v>
      </c>
      <c r="BE170" s="34">
        <v>1</v>
      </c>
      <c r="BF170" s="34">
        <v>1</v>
      </c>
      <c r="BG170" s="34">
        <v>1</v>
      </c>
      <c r="BH170" s="34">
        <v>1</v>
      </c>
      <c r="BI170" s="34">
        <v>1</v>
      </c>
      <c r="BJ170" s="34">
        <v>1</v>
      </c>
      <c r="BK170" s="34">
        <v>1</v>
      </c>
      <c r="BL170" s="34">
        <v>0</v>
      </c>
      <c r="BM170" s="34">
        <v>0</v>
      </c>
      <c r="BN170" s="34">
        <v>0</v>
      </c>
      <c r="BO170" s="34">
        <v>0</v>
      </c>
      <c r="BP170" s="34">
        <v>0</v>
      </c>
      <c r="BQ170" s="34">
        <v>0</v>
      </c>
      <c r="BR170" s="34">
        <v>0</v>
      </c>
      <c r="BS170" s="34">
        <v>0</v>
      </c>
      <c r="BT170" s="34">
        <v>0</v>
      </c>
      <c r="BU170" s="34">
        <v>0</v>
      </c>
      <c r="BV170" s="34">
        <v>0</v>
      </c>
      <c r="BW170" s="34">
        <v>0</v>
      </c>
      <c r="BX170" s="34">
        <v>0</v>
      </c>
      <c r="BY170" s="34">
        <v>0</v>
      </c>
      <c r="BZ170" s="34">
        <v>0</v>
      </c>
      <c r="CA170" s="34">
        <v>0</v>
      </c>
      <c r="CB170" s="34">
        <v>0</v>
      </c>
      <c r="CC170" s="34">
        <v>0</v>
      </c>
      <c r="CD170" s="34">
        <v>0</v>
      </c>
      <c r="CE170" s="34">
        <v>0</v>
      </c>
      <c r="CF170" s="34">
        <v>0</v>
      </c>
      <c r="CG170" s="34">
        <v>0</v>
      </c>
      <c r="CH170" s="34">
        <v>0</v>
      </c>
      <c r="CI170" s="34">
        <v>0</v>
      </c>
      <c r="CJ170" s="34">
        <v>0</v>
      </c>
      <c r="CK170" s="34">
        <v>0</v>
      </c>
      <c r="CL170" s="34">
        <v>0</v>
      </c>
      <c r="CM170" s="34">
        <v>0</v>
      </c>
      <c r="CN170" s="34">
        <v>0</v>
      </c>
      <c r="CO170" s="34">
        <v>0</v>
      </c>
      <c r="CP170" s="34">
        <v>0</v>
      </c>
      <c r="CQ170" s="34">
        <v>0</v>
      </c>
      <c r="CR170" s="34">
        <v>0</v>
      </c>
      <c r="CS170" s="34">
        <v>0</v>
      </c>
      <c r="CT170" s="34">
        <v>0</v>
      </c>
      <c r="CU170" s="34">
        <v>0</v>
      </c>
      <c r="CV170" s="34">
        <v>0</v>
      </c>
      <c r="CW170" s="34">
        <v>0</v>
      </c>
      <c r="CX170" s="34">
        <v>0</v>
      </c>
      <c r="CY170" s="34">
        <v>0</v>
      </c>
      <c r="CZ170" s="34">
        <v>0</v>
      </c>
      <c r="DA170" s="34">
        <v>0</v>
      </c>
      <c r="DB170" s="34">
        <v>0</v>
      </c>
      <c r="DC170" s="34">
        <v>0</v>
      </c>
      <c r="DD170" s="34">
        <v>0</v>
      </c>
      <c r="DE170" s="34">
        <v>0</v>
      </c>
      <c r="DF170" s="34">
        <v>0</v>
      </c>
      <c r="DG170" s="34">
        <v>0</v>
      </c>
      <c r="DH170" s="34">
        <v>0</v>
      </c>
      <c r="DI170" s="34">
        <v>0</v>
      </c>
      <c r="DJ170" s="34">
        <v>0</v>
      </c>
      <c r="DK170" s="34">
        <v>0</v>
      </c>
      <c r="DL170" s="34">
        <v>0</v>
      </c>
      <c r="DM170" s="34">
        <v>0</v>
      </c>
      <c r="DN170" s="34">
        <v>0</v>
      </c>
      <c r="DO170" s="34">
        <v>0</v>
      </c>
      <c r="DP170" s="34">
        <v>0</v>
      </c>
      <c r="DQ170" s="34">
        <v>0</v>
      </c>
      <c r="DR170" s="34">
        <v>0</v>
      </c>
    </row>
    <row r="171" spans="1:122" s="13" customFormat="1" hidden="1" outlineLevel="1" x14ac:dyDescent="0.35">
      <c r="A171" s="14">
        <v>32</v>
      </c>
      <c r="B171" s="34">
        <v>0</v>
      </c>
      <c r="C171" s="34">
        <v>0</v>
      </c>
      <c r="D171" s="34">
        <v>0</v>
      </c>
      <c r="E171" s="34">
        <v>0</v>
      </c>
      <c r="F171" s="34">
        <v>0</v>
      </c>
      <c r="G171" s="34">
        <v>0</v>
      </c>
      <c r="H171" s="34">
        <v>0</v>
      </c>
      <c r="I171" s="34">
        <v>0</v>
      </c>
      <c r="J171" s="34">
        <v>0</v>
      </c>
      <c r="K171" s="34">
        <v>0</v>
      </c>
      <c r="L171" s="34">
        <v>0</v>
      </c>
      <c r="M171" s="34">
        <v>0</v>
      </c>
      <c r="N171" s="34">
        <v>0</v>
      </c>
      <c r="O171" s="34">
        <v>0</v>
      </c>
      <c r="P171" s="34">
        <v>0</v>
      </c>
      <c r="Q171" s="34">
        <v>0</v>
      </c>
      <c r="R171" s="34">
        <v>0</v>
      </c>
      <c r="S171" s="34">
        <v>0</v>
      </c>
      <c r="T171" s="34">
        <v>0</v>
      </c>
      <c r="U171" s="34">
        <v>0</v>
      </c>
      <c r="V171" s="34">
        <v>0</v>
      </c>
      <c r="W171" s="34">
        <v>0</v>
      </c>
      <c r="X171" s="34">
        <v>0</v>
      </c>
      <c r="Y171" s="34">
        <v>0</v>
      </c>
      <c r="Z171" s="34">
        <v>0</v>
      </c>
      <c r="AA171" s="34">
        <v>0</v>
      </c>
      <c r="AB171" s="34">
        <v>0</v>
      </c>
      <c r="AC171" s="34">
        <v>0</v>
      </c>
      <c r="AD171" s="34">
        <v>0</v>
      </c>
      <c r="AE171" s="34">
        <v>0</v>
      </c>
      <c r="AF171" s="34">
        <v>0</v>
      </c>
      <c r="AG171" s="34">
        <v>0</v>
      </c>
      <c r="AH171" s="34">
        <v>1</v>
      </c>
      <c r="AI171" s="34">
        <v>1</v>
      </c>
      <c r="AJ171" s="34">
        <v>1</v>
      </c>
      <c r="AK171" s="34">
        <v>1</v>
      </c>
      <c r="AL171" s="34">
        <v>1</v>
      </c>
      <c r="AM171" s="34">
        <v>1</v>
      </c>
      <c r="AN171" s="34">
        <v>1</v>
      </c>
      <c r="AO171" s="34">
        <v>1</v>
      </c>
      <c r="AP171" s="34">
        <v>1</v>
      </c>
      <c r="AQ171" s="34">
        <v>1</v>
      </c>
      <c r="AR171" s="34">
        <v>1</v>
      </c>
      <c r="AS171" s="34">
        <v>1</v>
      </c>
      <c r="AT171" s="34">
        <v>1</v>
      </c>
      <c r="AU171" s="34">
        <v>1</v>
      </c>
      <c r="AV171" s="34">
        <v>1</v>
      </c>
      <c r="AW171" s="34">
        <v>1</v>
      </c>
      <c r="AX171" s="34">
        <v>1</v>
      </c>
      <c r="AY171" s="34">
        <v>1</v>
      </c>
      <c r="AZ171" s="34">
        <v>1</v>
      </c>
      <c r="BA171" s="34">
        <v>1</v>
      </c>
      <c r="BB171" s="34">
        <v>1</v>
      </c>
      <c r="BC171" s="34">
        <v>1</v>
      </c>
      <c r="BD171" s="34">
        <v>1</v>
      </c>
      <c r="BE171" s="34">
        <v>1</v>
      </c>
      <c r="BF171" s="34">
        <v>1</v>
      </c>
      <c r="BG171" s="34">
        <v>1</v>
      </c>
      <c r="BH171" s="34">
        <v>1</v>
      </c>
      <c r="BI171" s="34">
        <v>1</v>
      </c>
      <c r="BJ171" s="34">
        <v>1</v>
      </c>
      <c r="BK171" s="34">
        <v>1</v>
      </c>
      <c r="BL171" s="34">
        <v>1</v>
      </c>
      <c r="BM171" s="34">
        <v>1</v>
      </c>
      <c r="BN171" s="34">
        <v>0</v>
      </c>
      <c r="BO171" s="34">
        <v>0</v>
      </c>
      <c r="BP171" s="34">
        <v>0</v>
      </c>
      <c r="BQ171" s="34">
        <v>0</v>
      </c>
      <c r="BR171" s="34">
        <v>0</v>
      </c>
      <c r="BS171" s="34">
        <v>0</v>
      </c>
      <c r="BT171" s="34">
        <v>0</v>
      </c>
      <c r="BU171" s="34">
        <v>0</v>
      </c>
      <c r="BV171" s="34">
        <v>0</v>
      </c>
      <c r="BW171" s="34">
        <v>0</v>
      </c>
      <c r="BX171" s="34">
        <v>0</v>
      </c>
      <c r="BY171" s="34">
        <v>0</v>
      </c>
      <c r="BZ171" s="34">
        <v>0</v>
      </c>
      <c r="CA171" s="34">
        <v>0</v>
      </c>
      <c r="CB171" s="34">
        <v>0</v>
      </c>
      <c r="CC171" s="34">
        <v>0</v>
      </c>
      <c r="CD171" s="34">
        <v>0</v>
      </c>
      <c r="CE171" s="34">
        <v>0</v>
      </c>
      <c r="CF171" s="34">
        <v>0</v>
      </c>
      <c r="CG171" s="34">
        <v>0</v>
      </c>
      <c r="CH171" s="34">
        <v>0</v>
      </c>
      <c r="CI171" s="34">
        <v>0</v>
      </c>
      <c r="CJ171" s="34">
        <v>0</v>
      </c>
      <c r="CK171" s="34">
        <v>0</v>
      </c>
      <c r="CL171" s="34">
        <v>0</v>
      </c>
      <c r="CM171" s="34">
        <v>0</v>
      </c>
      <c r="CN171" s="34">
        <v>0</v>
      </c>
      <c r="CO171" s="34">
        <v>0</v>
      </c>
      <c r="CP171" s="34">
        <v>0</v>
      </c>
      <c r="CQ171" s="34">
        <v>0</v>
      </c>
      <c r="CR171" s="34">
        <v>0</v>
      </c>
      <c r="CS171" s="34">
        <v>0</v>
      </c>
      <c r="CT171" s="34">
        <v>0</v>
      </c>
      <c r="CU171" s="34">
        <v>0</v>
      </c>
      <c r="CV171" s="34">
        <v>0</v>
      </c>
      <c r="CW171" s="34">
        <v>0</v>
      </c>
      <c r="CX171" s="34">
        <v>0</v>
      </c>
      <c r="CY171" s="34">
        <v>0</v>
      </c>
      <c r="CZ171" s="34">
        <v>0</v>
      </c>
      <c r="DA171" s="34">
        <v>0</v>
      </c>
      <c r="DB171" s="34">
        <v>0</v>
      </c>
      <c r="DC171" s="34">
        <v>0</v>
      </c>
      <c r="DD171" s="34">
        <v>0</v>
      </c>
      <c r="DE171" s="34">
        <v>0</v>
      </c>
      <c r="DF171" s="34">
        <v>0</v>
      </c>
      <c r="DG171" s="34">
        <v>0</v>
      </c>
      <c r="DH171" s="34">
        <v>0</v>
      </c>
      <c r="DI171" s="34">
        <v>0</v>
      </c>
      <c r="DJ171" s="34">
        <v>0</v>
      </c>
      <c r="DK171" s="34">
        <v>0</v>
      </c>
      <c r="DL171" s="34">
        <v>0</v>
      </c>
      <c r="DM171" s="34">
        <v>0</v>
      </c>
      <c r="DN171" s="34">
        <v>0</v>
      </c>
      <c r="DO171" s="34">
        <v>0</v>
      </c>
      <c r="DP171" s="34">
        <v>0</v>
      </c>
      <c r="DQ171" s="34">
        <v>0</v>
      </c>
      <c r="DR171" s="34">
        <v>0</v>
      </c>
    </row>
    <row r="172" spans="1:122" s="13" customFormat="1" hidden="1" outlineLevel="1" x14ac:dyDescent="0.35">
      <c r="A172" s="14">
        <v>33</v>
      </c>
      <c r="B172" s="34">
        <v>0</v>
      </c>
      <c r="C172" s="34">
        <v>0</v>
      </c>
      <c r="D172" s="34">
        <v>0</v>
      </c>
      <c r="E172" s="34">
        <v>0</v>
      </c>
      <c r="F172" s="34">
        <v>0</v>
      </c>
      <c r="G172" s="34">
        <v>0</v>
      </c>
      <c r="H172" s="34">
        <v>0</v>
      </c>
      <c r="I172" s="34">
        <v>0</v>
      </c>
      <c r="J172" s="34">
        <v>0</v>
      </c>
      <c r="K172" s="34">
        <v>0</v>
      </c>
      <c r="L172" s="34">
        <v>0</v>
      </c>
      <c r="M172" s="34">
        <v>0</v>
      </c>
      <c r="N172" s="34">
        <v>0</v>
      </c>
      <c r="O172" s="34">
        <v>0</v>
      </c>
      <c r="P172" s="34">
        <v>0</v>
      </c>
      <c r="Q172" s="34">
        <v>0</v>
      </c>
      <c r="R172" s="34">
        <v>0</v>
      </c>
      <c r="S172" s="34">
        <v>0</v>
      </c>
      <c r="T172" s="34">
        <v>0</v>
      </c>
      <c r="U172" s="34">
        <v>0</v>
      </c>
      <c r="V172" s="34">
        <v>0</v>
      </c>
      <c r="W172" s="34">
        <v>0</v>
      </c>
      <c r="X172" s="34">
        <v>0</v>
      </c>
      <c r="Y172" s="34">
        <v>0</v>
      </c>
      <c r="Z172" s="34">
        <v>0</v>
      </c>
      <c r="AA172" s="34">
        <v>0</v>
      </c>
      <c r="AB172" s="34">
        <v>0</v>
      </c>
      <c r="AC172" s="34">
        <v>0</v>
      </c>
      <c r="AD172" s="34">
        <v>0</v>
      </c>
      <c r="AE172" s="34">
        <v>0</v>
      </c>
      <c r="AF172" s="34">
        <v>0</v>
      </c>
      <c r="AG172" s="34">
        <v>0</v>
      </c>
      <c r="AH172" s="34">
        <v>0</v>
      </c>
      <c r="AI172" s="34">
        <v>1</v>
      </c>
      <c r="AJ172" s="34">
        <v>1</v>
      </c>
      <c r="AK172" s="34">
        <v>1</v>
      </c>
      <c r="AL172" s="34">
        <v>1</v>
      </c>
      <c r="AM172" s="34">
        <v>1</v>
      </c>
      <c r="AN172" s="34">
        <v>1</v>
      </c>
      <c r="AO172" s="34">
        <v>1</v>
      </c>
      <c r="AP172" s="34">
        <v>1</v>
      </c>
      <c r="AQ172" s="34">
        <v>1</v>
      </c>
      <c r="AR172" s="34">
        <v>1</v>
      </c>
      <c r="AS172" s="34">
        <v>1</v>
      </c>
      <c r="AT172" s="34">
        <v>1</v>
      </c>
      <c r="AU172" s="34">
        <v>1</v>
      </c>
      <c r="AV172" s="34">
        <v>1</v>
      </c>
      <c r="AW172" s="34">
        <v>1</v>
      </c>
      <c r="AX172" s="34">
        <v>1</v>
      </c>
      <c r="AY172" s="34">
        <v>1</v>
      </c>
      <c r="AZ172" s="34">
        <v>1</v>
      </c>
      <c r="BA172" s="34">
        <v>1</v>
      </c>
      <c r="BB172" s="34">
        <v>1</v>
      </c>
      <c r="BC172" s="34">
        <v>1</v>
      </c>
      <c r="BD172" s="34">
        <v>1</v>
      </c>
      <c r="BE172" s="34">
        <v>1</v>
      </c>
      <c r="BF172" s="34">
        <v>1</v>
      </c>
      <c r="BG172" s="34">
        <v>1</v>
      </c>
      <c r="BH172" s="34">
        <v>1</v>
      </c>
      <c r="BI172" s="34">
        <v>1</v>
      </c>
      <c r="BJ172" s="34">
        <v>1</v>
      </c>
      <c r="BK172" s="34">
        <v>1</v>
      </c>
      <c r="BL172" s="34">
        <v>1</v>
      </c>
      <c r="BM172" s="34">
        <v>1</v>
      </c>
      <c r="BN172" s="34">
        <v>1</v>
      </c>
      <c r="BO172" s="34">
        <v>1</v>
      </c>
      <c r="BP172" s="34">
        <v>0</v>
      </c>
      <c r="BQ172" s="34">
        <v>0</v>
      </c>
      <c r="BR172" s="34">
        <v>0</v>
      </c>
      <c r="BS172" s="34">
        <v>0</v>
      </c>
      <c r="BT172" s="34">
        <v>0</v>
      </c>
      <c r="BU172" s="34">
        <v>0</v>
      </c>
      <c r="BV172" s="34">
        <v>0</v>
      </c>
      <c r="BW172" s="34">
        <v>0</v>
      </c>
      <c r="BX172" s="34">
        <v>0</v>
      </c>
      <c r="BY172" s="34">
        <v>0</v>
      </c>
      <c r="BZ172" s="34">
        <v>0</v>
      </c>
      <c r="CA172" s="34">
        <v>0</v>
      </c>
      <c r="CB172" s="34">
        <v>0</v>
      </c>
      <c r="CC172" s="34">
        <v>0</v>
      </c>
      <c r="CD172" s="34">
        <v>0</v>
      </c>
      <c r="CE172" s="34">
        <v>0</v>
      </c>
      <c r="CF172" s="34">
        <v>0</v>
      </c>
      <c r="CG172" s="34">
        <v>0</v>
      </c>
      <c r="CH172" s="34">
        <v>0</v>
      </c>
      <c r="CI172" s="34">
        <v>0</v>
      </c>
      <c r="CJ172" s="34">
        <v>0</v>
      </c>
      <c r="CK172" s="34">
        <v>0</v>
      </c>
      <c r="CL172" s="34">
        <v>0</v>
      </c>
      <c r="CM172" s="34">
        <v>0</v>
      </c>
      <c r="CN172" s="34">
        <v>0</v>
      </c>
      <c r="CO172" s="34">
        <v>0</v>
      </c>
      <c r="CP172" s="34">
        <v>0</v>
      </c>
      <c r="CQ172" s="34">
        <v>0</v>
      </c>
      <c r="CR172" s="34">
        <v>0</v>
      </c>
      <c r="CS172" s="34">
        <v>0</v>
      </c>
      <c r="CT172" s="34">
        <v>0</v>
      </c>
      <c r="CU172" s="34">
        <v>0</v>
      </c>
      <c r="CV172" s="34">
        <v>0</v>
      </c>
      <c r="CW172" s="34">
        <v>0</v>
      </c>
      <c r="CX172" s="34">
        <v>0</v>
      </c>
      <c r="CY172" s="34">
        <v>0</v>
      </c>
      <c r="CZ172" s="34">
        <v>0</v>
      </c>
      <c r="DA172" s="34">
        <v>0</v>
      </c>
      <c r="DB172" s="34">
        <v>0</v>
      </c>
      <c r="DC172" s="34">
        <v>0</v>
      </c>
      <c r="DD172" s="34">
        <v>0</v>
      </c>
      <c r="DE172" s="34">
        <v>0</v>
      </c>
      <c r="DF172" s="34">
        <v>0</v>
      </c>
      <c r="DG172" s="34">
        <v>0</v>
      </c>
      <c r="DH172" s="34">
        <v>0</v>
      </c>
      <c r="DI172" s="34">
        <v>0</v>
      </c>
      <c r="DJ172" s="34">
        <v>0</v>
      </c>
      <c r="DK172" s="34">
        <v>0</v>
      </c>
      <c r="DL172" s="34">
        <v>0</v>
      </c>
      <c r="DM172" s="34">
        <v>0</v>
      </c>
      <c r="DN172" s="34">
        <v>0</v>
      </c>
      <c r="DO172" s="34">
        <v>0</v>
      </c>
      <c r="DP172" s="34">
        <v>0</v>
      </c>
      <c r="DQ172" s="34">
        <v>0</v>
      </c>
      <c r="DR172" s="34">
        <v>0</v>
      </c>
    </row>
    <row r="173" spans="1:122" s="13" customFormat="1" hidden="1" outlineLevel="1" x14ac:dyDescent="0.35">
      <c r="A173" s="14">
        <v>34</v>
      </c>
      <c r="B173" s="34">
        <v>0</v>
      </c>
      <c r="C173" s="34">
        <v>0</v>
      </c>
      <c r="D173" s="34">
        <v>0</v>
      </c>
      <c r="E173" s="34">
        <v>0</v>
      </c>
      <c r="F173" s="34">
        <v>0</v>
      </c>
      <c r="G173" s="34">
        <v>0</v>
      </c>
      <c r="H173" s="34">
        <v>0</v>
      </c>
      <c r="I173" s="34">
        <v>0</v>
      </c>
      <c r="J173" s="34">
        <v>0</v>
      </c>
      <c r="K173" s="34">
        <v>0</v>
      </c>
      <c r="L173" s="34">
        <v>0</v>
      </c>
      <c r="M173" s="34">
        <v>0</v>
      </c>
      <c r="N173" s="34">
        <v>0</v>
      </c>
      <c r="O173" s="34">
        <v>0</v>
      </c>
      <c r="P173" s="34">
        <v>0</v>
      </c>
      <c r="Q173" s="34">
        <v>0</v>
      </c>
      <c r="R173" s="34">
        <v>0</v>
      </c>
      <c r="S173" s="34">
        <v>0</v>
      </c>
      <c r="T173" s="34">
        <v>0</v>
      </c>
      <c r="U173" s="34">
        <v>0</v>
      </c>
      <c r="V173" s="34">
        <v>0</v>
      </c>
      <c r="W173" s="34">
        <v>0</v>
      </c>
      <c r="X173" s="34">
        <v>0</v>
      </c>
      <c r="Y173" s="34">
        <v>0</v>
      </c>
      <c r="Z173" s="34">
        <v>0</v>
      </c>
      <c r="AA173" s="34">
        <v>0</v>
      </c>
      <c r="AB173" s="34">
        <v>0</v>
      </c>
      <c r="AC173" s="34">
        <v>0</v>
      </c>
      <c r="AD173" s="34">
        <v>0</v>
      </c>
      <c r="AE173" s="34">
        <v>0</v>
      </c>
      <c r="AF173" s="34">
        <v>0</v>
      </c>
      <c r="AG173" s="34">
        <v>0</v>
      </c>
      <c r="AH173" s="34">
        <v>0</v>
      </c>
      <c r="AI173" s="34">
        <v>0</v>
      </c>
      <c r="AJ173" s="34">
        <v>1</v>
      </c>
      <c r="AK173" s="34">
        <v>1</v>
      </c>
      <c r="AL173" s="34">
        <v>1</v>
      </c>
      <c r="AM173" s="34">
        <v>1</v>
      </c>
      <c r="AN173" s="34">
        <v>1</v>
      </c>
      <c r="AO173" s="34">
        <v>1</v>
      </c>
      <c r="AP173" s="34">
        <v>1</v>
      </c>
      <c r="AQ173" s="34">
        <v>1</v>
      </c>
      <c r="AR173" s="34">
        <v>1</v>
      </c>
      <c r="AS173" s="34">
        <v>1</v>
      </c>
      <c r="AT173" s="34">
        <v>1</v>
      </c>
      <c r="AU173" s="34">
        <v>1</v>
      </c>
      <c r="AV173" s="34">
        <v>1</v>
      </c>
      <c r="AW173" s="34">
        <v>1</v>
      </c>
      <c r="AX173" s="34">
        <v>1</v>
      </c>
      <c r="AY173" s="34">
        <v>1</v>
      </c>
      <c r="AZ173" s="34">
        <v>1</v>
      </c>
      <c r="BA173" s="34">
        <v>1</v>
      </c>
      <c r="BB173" s="34">
        <v>1</v>
      </c>
      <c r="BC173" s="34">
        <v>1</v>
      </c>
      <c r="BD173" s="34">
        <v>1</v>
      </c>
      <c r="BE173" s="34">
        <v>1</v>
      </c>
      <c r="BF173" s="34">
        <v>1</v>
      </c>
      <c r="BG173" s="34">
        <v>1</v>
      </c>
      <c r="BH173" s="34">
        <v>1</v>
      </c>
      <c r="BI173" s="34">
        <v>1</v>
      </c>
      <c r="BJ173" s="34">
        <v>1</v>
      </c>
      <c r="BK173" s="34">
        <v>1</v>
      </c>
      <c r="BL173" s="34">
        <v>1</v>
      </c>
      <c r="BM173" s="34">
        <v>1</v>
      </c>
      <c r="BN173" s="34">
        <v>1</v>
      </c>
      <c r="BO173" s="34">
        <v>1</v>
      </c>
      <c r="BP173" s="34">
        <v>1</v>
      </c>
      <c r="BQ173" s="34">
        <v>1</v>
      </c>
      <c r="BR173" s="34">
        <v>0</v>
      </c>
      <c r="BS173" s="34">
        <v>0</v>
      </c>
      <c r="BT173" s="34">
        <v>0</v>
      </c>
      <c r="BU173" s="34">
        <v>0</v>
      </c>
      <c r="BV173" s="34">
        <v>0</v>
      </c>
      <c r="BW173" s="34">
        <v>0</v>
      </c>
      <c r="BX173" s="34">
        <v>0</v>
      </c>
      <c r="BY173" s="34">
        <v>0</v>
      </c>
      <c r="BZ173" s="34">
        <v>0</v>
      </c>
      <c r="CA173" s="34">
        <v>0</v>
      </c>
      <c r="CB173" s="34">
        <v>0</v>
      </c>
      <c r="CC173" s="34">
        <v>0</v>
      </c>
      <c r="CD173" s="34">
        <v>0</v>
      </c>
      <c r="CE173" s="34">
        <v>0</v>
      </c>
      <c r="CF173" s="34">
        <v>0</v>
      </c>
      <c r="CG173" s="34">
        <v>0</v>
      </c>
      <c r="CH173" s="34">
        <v>0</v>
      </c>
      <c r="CI173" s="34">
        <v>0</v>
      </c>
      <c r="CJ173" s="34">
        <v>0</v>
      </c>
      <c r="CK173" s="34">
        <v>0</v>
      </c>
      <c r="CL173" s="34">
        <v>0</v>
      </c>
      <c r="CM173" s="34">
        <v>0</v>
      </c>
      <c r="CN173" s="34">
        <v>0</v>
      </c>
      <c r="CO173" s="34">
        <v>0</v>
      </c>
      <c r="CP173" s="34">
        <v>0</v>
      </c>
      <c r="CQ173" s="34">
        <v>0</v>
      </c>
      <c r="CR173" s="34">
        <v>0</v>
      </c>
      <c r="CS173" s="34">
        <v>0</v>
      </c>
      <c r="CT173" s="34">
        <v>0</v>
      </c>
      <c r="CU173" s="34">
        <v>0</v>
      </c>
      <c r="CV173" s="34">
        <v>0</v>
      </c>
      <c r="CW173" s="34">
        <v>0</v>
      </c>
      <c r="CX173" s="34">
        <v>0</v>
      </c>
      <c r="CY173" s="34">
        <v>0</v>
      </c>
      <c r="CZ173" s="34">
        <v>0</v>
      </c>
      <c r="DA173" s="34">
        <v>0</v>
      </c>
      <c r="DB173" s="34">
        <v>0</v>
      </c>
      <c r="DC173" s="34">
        <v>0</v>
      </c>
      <c r="DD173" s="34">
        <v>0</v>
      </c>
      <c r="DE173" s="34">
        <v>0</v>
      </c>
      <c r="DF173" s="34">
        <v>0</v>
      </c>
      <c r="DG173" s="34">
        <v>0</v>
      </c>
      <c r="DH173" s="34">
        <v>0</v>
      </c>
      <c r="DI173" s="34">
        <v>0</v>
      </c>
      <c r="DJ173" s="34">
        <v>0</v>
      </c>
      <c r="DK173" s="34">
        <v>0</v>
      </c>
      <c r="DL173" s="34">
        <v>0</v>
      </c>
      <c r="DM173" s="34">
        <v>0</v>
      </c>
      <c r="DN173" s="34">
        <v>0</v>
      </c>
      <c r="DO173" s="34">
        <v>0</v>
      </c>
      <c r="DP173" s="34">
        <v>0</v>
      </c>
      <c r="DQ173" s="34">
        <v>0</v>
      </c>
      <c r="DR173" s="34">
        <v>0</v>
      </c>
    </row>
    <row r="174" spans="1:122" s="13" customFormat="1" hidden="1" outlineLevel="1" x14ac:dyDescent="0.35">
      <c r="A174" s="14">
        <v>35</v>
      </c>
      <c r="B174" s="34">
        <v>0</v>
      </c>
      <c r="C174" s="34">
        <v>0</v>
      </c>
      <c r="D174" s="34">
        <v>0</v>
      </c>
      <c r="E174" s="34">
        <v>0</v>
      </c>
      <c r="F174" s="34">
        <v>0</v>
      </c>
      <c r="G174" s="34">
        <v>0</v>
      </c>
      <c r="H174" s="34">
        <v>0</v>
      </c>
      <c r="I174" s="34">
        <v>0</v>
      </c>
      <c r="J174" s="34">
        <v>0</v>
      </c>
      <c r="K174" s="34">
        <v>0</v>
      </c>
      <c r="L174" s="34">
        <v>0</v>
      </c>
      <c r="M174" s="34">
        <v>0</v>
      </c>
      <c r="N174" s="34">
        <v>0</v>
      </c>
      <c r="O174" s="34">
        <v>0</v>
      </c>
      <c r="P174" s="34">
        <v>0</v>
      </c>
      <c r="Q174" s="34">
        <v>0</v>
      </c>
      <c r="R174" s="34">
        <v>0</v>
      </c>
      <c r="S174" s="34">
        <v>0</v>
      </c>
      <c r="T174" s="34">
        <v>0</v>
      </c>
      <c r="U174" s="34">
        <v>0</v>
      </c>
      <c r="V174" s="34">
        <v>0</v>
      </c>
      <c r="W174" s="34">
        <v>0</v>
      </c>
      <c r="X174" s="34">
        <v>0</v>
      </c>
      <c r="Y174" s="34">
        <v>0</v>
      </c>
      <c r="Z174" s="34">
        <v>0</v>
      </c>
      <c r="AA174" s="34">
        <v>0</v>
      </c>
      <c r="AB174" s="34">
        <v>0</v>
      </c>
      <c r="AC174" s="34">
        <v>0</v>
      </c>
      <c r="AD174" s="34">
        <v>0</v>
      </c>
      <c r="AE174" s="34">
        <v>0</v>
      </c>
      <c r="AF174" s="34">
        <v>0</v>
      </c>
      <c r="AG174" s="34">
        <v>0</v>
      </c>
      <c r="AH174" s="34">
        <v>0</v>
      </c>
      <c r="AI174" s="34">
        <v>0</v>
      </c>
      <c r="AJ174" s="34">
        <v>0</v>
      </c>
      <c r="AK174" s="34">
        <v>1</v>
      </c>
      <c r="AL174" s="34">
        <v>1</v>
      </c>
      <c r="AM174" s="34">
        <v>1</v>
      </c>
      <c r="AN174" s="34">
        <v>1</v>
      </c>
      <c r="AO174" s="34">
        <v>1</v>
      </c>
      <c r="AP174" s="34">
        <v>1</v>
      </c>
      <c r="AQ174" s="34">
        <v>1</v>
      </c>
      <c r="AR174" s="34">
        <v>1</v>
      </c>
      <c r="AS174" s="34">
        <v>1</v>
      </c>
      <c r="AT174" s="34">
        <v>1</v>
      </c>
      <c r="AU174" s="34">
        <v>1</v>
      </c>
      <c r="AV174" s="34">
        <v>1</v>
      </c>
      <c r="AW174" s="34">
        <v>1</v>
      </c>
      <c r="AX174" s="34">
        <v>1</v>
      </c>
      <c r="AY174" s="34">
        <v>1</v>
      </c>
      <c r="AZ174" s="34">
        <v>1</v>
      </c>
      <c r="BA174" s="34">
        <v>1</v>
      </c>
      <c r="BB174" s="34">
        <v>1</v>
      </c>
      <c r="BC174" s="34">
        <v>1</v>
      </c>
      <c r="BD174" s="34">
        <v>1</v>
      </c>
      <c r="BE174" s="34">
        <v>1</v>
      </c>
      <c r="BF174" s="34">
        <v>1</v>
      </c>
      <c r="BG174" s="34">
        <v>1</v>
      </c>
      <c r="BH174" s="34">
        <v>1</v>
      </c>
      <c r="BI174" s="34">
        <v>1</v>
      </c>
      <c r="BJ174" s="34">
        <v>1</v>
      </c>
      <c r="BK174" s="34">
        <v>1</v>
      </c>
      <c r="BL174" s="34">
        <v>1</v>
      </c>
      <c r="BM174" s="34">
        <v>1</v>
      </c>
      <c r="BN174" s="34">
        <v>1</v>
      </c>
      <c r="BO174" s="34">
        <v>1</v>
      </c>
      <c r="BP174" s="34">
        <v>1</v>
      </c>
      <c r="BQ174" s="34">
        <v>1</v>
      </c>
      <c r="BR174" s="34">
        <v>1</v>
      </c>
      <c r="BS174" s="34">
        <v>1</v>
      </c>
      <c r="BT174" s="34">
        <v>0</v>
      </c>
      <c r="BU174" s="34">
        <v>0</v>
      </c>
      <c r="BV174" s="34">
        <v>0</v>
      </c>
      <c r="BW174" s="34">
        <v>0</v>
      </c>
      <c r="BX174" s="34">
        <v>0</v>
      </c>
      <c r="BY174" s="34">
        <v>0</v>
      </c>
      <c r="BZ174" s="34">
        <v>0</v>
      </c>
      <c r="CA174" s="34">
        <v>0</v>
      </c>
      <c r="CB174" s="34">
        <v>0</v>
      </c>
      <c r="CC174" s="34">
        <v>0</v>
      </c>
      <c r="CD174" s="34">
        <v>0</v>
      </c>
      <c r="CE174" s="34">
        <v>0</v>
      </c>
      <c r="CF174" s="34">
        <v>0</v>
      </c>
      <c r="CG174" s="34">
        <v>0</v>
      </c>
      <c r="CH174" s="34">
        <v>0</v>
      </c>
      <c r="CI174" s="34">
        <v>0</v>
      </c>
      <c r="CJ174" s="34">
        <v>0</v>
      </c>
      <c r="CK174" s="34">
        <v>0</v>
      </c>
      <c r="CL174" s="34">
        <v>0</v>
      </c>
      <c r="CM174" s="34">
        <v>0</v>
      </c>
      <c r="CN174" s="34">
        <v>0</v>
      </c>
      <c r="CO174" s="34">
        <v>0</v>
      </c>
      <c r="CP174" s="34">
        <v>0</v>
      </c>
      <c r="CQ174" s="34">
        <v>0</v>
      </c>
      <c r="CR174" s="34">
        <v>0</v>
      </c>
      <c r="CS174" s="34">
        <v>0</v>
      </c>
      <c r="CT174" s="34">
        <v>0</v>
      </c>
      <c r="CU174" s="34">
        <v>0</v>
      </c>
      <c r="CV174" s="34">
        <v>0</v>
      </c>
      <c r="CW174" s="34">
        <v>0</v>
      </c>
      <c r="CX174" s="34">
        <v>0</v>
      </c>
      <c r="CY174" s="34">
        <v>0</v>
      </c>
      <c r="CZ174" s="34">
        <v>0</v>
      </c>
      <c r="DA174" s="34">
        <v>0</v>
      </c>
      <c r="DB174" s="34">
        <v>0</v>
      </c>
      <c r="DC174" s="34">
        <v>0</v>
      </c>
      <c r="DD174" s="34">
        <v>0</v>
      </c>
      <c r="DE174" s="34">
        <v>0</v>
      </c>
      <c r="DF174" s="34">
        <v>0</v>
      </c>
      <c r="DG174" s="34">
        <v>0</v>
      </c>
      <c r="DH174" s="34">
        <v>0</v>
      </c>
      <c r="DI174" s="34">
        <v>0</v>
      </c>
      <c r="DJ174" s="34">
        <v>0</v>
      </c>
      <c r="DK174" s="34">
        <v>0</v>
      </c>
      <c r="DL174" s="34">
        <v>0</v>
      </c>
      <c r="DM174" s="34">
        <v>0</v>
      </c>
      <c r="DN174" s="34">
        <v>0</v>
      </c>
      <c r="DO174" s="34">
        <v>0</v>
      </c>
      <c r="DP174" s="34">
        <v>0</v>
      </c>
      <c r="DQ174" s="34">
        <v>0</v>
      </c>
      <c r="DR174" s="34">
        <v>0</v>
      </c>
    </row>
    <row r="175" spans="1:122" s="13" customFormat="1" hidden="1" outlineLevel="1" x14ac:dyDescent="0.35">
      <c r="A175" s="14">
        <v>36</v>
      </c>
      <c r="B175" s="34">
        <v>0</v>
      </c>
      <c r="C175" s="34">
        <v>0</v>
      </c>
      <c r="D175" s="34">
        <v>0</v>
      </c>
      <c r="E175" s="34">
        <v>0</v>
      </c>
      <c r="F175" s="34">
        <v>0</v>
      </c>
      <c r="G175" s="34">
        <v>0</v>
      </c>
      <c r="H175" s="34">
        <v>0</v>
      </c>
      <c r="I175" s="34">
        <v>0</v>
      </c>
      <c r="J175" s="34">
        <v>0</v>
      </c>
      <c r="K175" s="34">
        <v>0</v>
      </c>
      <c r="L175" s="34">
        <v>0</v>
      </c>
      <c r="M175" s="34">
        <v>0</v>
      </c>
      <c r="N175" s="34">
        <v>0</v>
      </c>
      <c r="O175" s="34">
        <v>0</v>
      </c>
      <c r="P175" s="34">
        <v>0</v>
      </c>
      <c r="Q175" s="34">
        <v>0</v>
      </c>
      <c r="R175" s="34">
        <v>0</v>
      </c>
      <c r="S175" s="34">
        <v>0</v>
      </c>
      <c r="T175" s="34">
        <v>0</v>
      </c>
      <c r="U175" s="34">
        <v>0</v>
      </c>
      <c r="V175" s="34">
        <v>0</v>
      </c>
      <c r="W175" s="34">
        <v>0</v>
      </c>
      <c r="X175" s="34">
        <v>0</v>
      </c>
      <c r="Y175" s="34">
        <v>0</v>
      </c>
      <c r="Z175" s="34">
        <v>0</v>
      </c>
      <c r="AA175" s="34">
        <v>0</v>
      </c>
      <c r="AB175" s="34">
        <v>0</v>
      </c>
      <c r="AC175" s="34">
        <v>0</v>
      </c>
      <c r="AD175" s="34">
        <v>0</v>
      </c>
      <c r="AE175" s="34">
        <v>0</v>
      </c>
      <c r="AF175" s="34">
        <v>0</v>
      </c>
      <c r="AG175" s="34">
        <v>0</v>
      </c>
      <c r="AH175" s="34">
        <v>0</v>
      </c>
      <c r="AI175" s="34">
        <v>0</v>
      </c>
      <c r="AJ175" s="34">
        <v>0</v>
      </c>
      <c r="AK175" s="34">
        <v>0</v>
      </c>
      <c r="AL175" s="34">
        <v>1</v>
      </c>
      <c r="AM175" s="34">
        <v>1</v>
      </c>
      <c r="AN175" s="34">
        <v>1</v>
      </c>
      <c r="AO175" s="34">
        <v>1</v>
      </c>
      <c r="AP175" s="34">
        <v>1</v>
      </c>
      <c r="AQ175" s="34">
        <v>1</v>
      </c>
      <c r="AR175" s="34">
        <v>1</v>
      </c>
      <c r="AS175" s="34">
        <v>1</v>
      </c>
      <c r="AT175" s="34">
        <v>1</v>
      </c>
      <c r="AU175" s="34">
        <v>1</v>
      </c>
      <c r="AV175" s="34">
        <v>1</v>
      </c>
      <c r="AW175" s="34">
        <v>1</v>
      </c>
      <c r="AX175" s="34">
        <v>1</v>
      </c>
      <c r="AY175" s="34">
        <v>1</v>
      </c>
      <c r="AZ175" s="34">
        <v>1</v>
      </c>
      <c r="BA175" s="34">
        <v>1</v>
      </c>
      <c r="BB175" s="34">
        <v>1</v>
      </c>
      <c r="BC175" s="34">
        <v>1</v>
      </c>
      <c r="BD175" s="34">
        <v>1</v>
      </c>
      <c r="BE175" s="34">
        <v>1</v>
      </c>
      <c r="BF175" s="34">
        <v>1</v>
      </c>
      <c r="BG175" s="34">
        <v>1</v>
      </c>
      <c r="BH175" s="34">
        <v>1</v>
      </c>
      <c r="BI175" s="34">
        <v>1</v>
      </c>
      <c r="BJ175" s="34">
        <v>1</v>
      </c>
      <c r="BK175" s="34">
        <v>1</v>
      </c>
      <c r="BL175" s="34">
        <v>1</v>
      </c>
      <c r="BM175" s="34">
        <v>1</v>
      </c>
      <c r="BN175" s="34">
        <v>1</v>
      </c>
      <c r="BO175" s="34">
        <v>1</v>
      </c>
      <c r="BP175" s="34">
        <v>1</v>
      </c>
      <c r="BQ175" s="34">
        <v>1</v>
      </c>
      <c r="BR175" s="34">
        <v>1</v>
      </c>
      <c r="BS175" s="34">
        <v>1</v>
      </c>
      <c r="BT175" s="34">
        <v>1</v>
      </c>
      <c r="BU175" s="34">
        <v>1</v>
      </c>
      <c r="BV175" s="34">
        <v>0</v>
      </c>
      <c r="BW175" s="34">
        <v>0</v>
      </c>
      <c r="BX175" s="34">
        <v>0</v>
      </c>
      <c r="BY175" s="34">
        <v>0</v>
      </c>
      <c r="BZ175" s="34">
        <v>0</v>
      </c>
      <c r="CA175" s="34">
        <v>0</v>
      </c>
      <c r="CB175" s="34">
        <v>0</v>
      </c>
      <c r="CC175" s="34">
        <v>0</v>
      </c>
      <c r="CD175" s="34">
        <v>0</v>
      </c>
      <c r="CE175" s="34">
        <v>0</v>
      </c>
      <c r="CF175" s="34">
        <v>0</v>
      </c>
      <c r="CG175" s="34">
        <v>0</v>
      </c>
      <c r="CH175" s="34">
        <v>0</v>
      </c>
      <c r="CI175" s="34">
        <v>0</v>
      </c>
      <c r="CJ175" s="34">
        <v>0</v>
      </c>
      <c r="CK175" s="34">
        <v>0</v>
      </c>
      <c r="CL175" s="34">
        <v>0</v>
      </c>
      <c r="CM175" s="34">
        <v>0</v>
      </c>
      <c r="CN175" s="34">
        <v>0</v>
      </c>
      <c r="CO175" s="34">
        <v>0</v>
      </c>
      <c r="CP175" s="34">
        <v>0</v>
      </c>
      <c r="CQ175" s="34">
        <v>0</v>
      </c>
      <c r="CR175" s="34">
        <v>0</v>
      </c>
      <c r="CS175" s="34">
        <v>0</v>
      </c>
      <c r="CT175" s="34">
        <v>0</v>
      </c>
      <c r="CU175" s="34">
        <v>0</v>
      </c>
      <c r="CV175" s="34">
        <v>0</v>
      </c>
      <c r="CW175" s="34">
        <v>0</v>
      </c>
      <c r="CX175" s="34">
        <v>0</v>
      </c>
      <c r="CY175" s="34">
        <v>0</v>
      </c>
      <c r="CZ175" s="34">
        <v>0</v>
      </c>
      <c r="DA175" s="34">
        <v>0</v>
      </c>
      <c r="DB175" s="34">
        <v>0</v>
      </c>
      <c r="DC175" s="34">
        <v>0</v>
      </c>
      <c r="DD175" s="34">
        <v>0</v>
      </c>
      <c r="DE175" s="34">
        <v>0</v>
      </c>
      <c r="DF175" s="34">
        <v>0</v>
      </c>
      <c r="DG175" s="34">
        <v>0</v>
      </c>
      <c r="DH175" s="34">
        <v>0</v>
      </c>
      <c r="DI175" s="34">
        <v>0</v>
      </c>
      <c r="DJ175" s="34">
        <v>0</v>
      </c>
      <c r="DK175" s="34">
        <v>0</v>
      </c>
      <c r="DL175" s="34">
        <v>0</v>
      </c>
      <c r="DM175" s="34">
        <v>0</v>
      </c>
      <c r="DN175" s="34">
        <v>0</v>
      </c>
      <c r="DO175" s="34">
        <v>0</v>
      </c>
      <c r="DP175" s="34">
        <v>0</v>
      </c>
      <c r="DQ175" s="34">
        <v>0</v>
      </c>
      <c r="DR175" s="34">
        <v>0</v>
      </c>
    </row>
    <row r="176" spans="1:122" s="13" customFormat="1" hidden="1" outlineLevel="1" x14ac:dyDescent="0.35">
      <c r="A176" s="14">
        <v>37</v>
      </c>
      <c r="B176" s="34">
        <v>0</v>
      </c>
      <c r="C176" s="34">
        <v>0</v>
      </c>
      <c r="D176" s="34">
        <v>0</v>
      </c>
      <c r="E176" s="34">
        <v>0</v>
      </c>
      <c r="F176" s="34">
        <v>0</v>
      </c>
      <c r="G176" s="34">
        <v>0</v>
      </c>
      <c r="H176" s="34">
        <v>0</v>
      </c>
      <c r="I176" s="34">
        <v>0</v>
      </c>
      <c r="J176" s="34">
        <v>0</v>
      </c>
      <c r="K176" s="34">
        <v>0</v>
      </c>
      <c r="L176" s="34">
        <v>0</v>
      </c>
      <c r="M176" s="34">
        <v>0</v>
      </c>
      <c r="N176" s="34">
        <v>0</v>
      </c>
      <c r="O176" s="34">
        <v>0</v>
      </c>
      <c r="P176" s="34">
        <v>0</v>
      </c>
      <c r="Q176" s="34">
        <v>0</v>
      </c>
      <c r="R176" s="34">
        <v>0</v>
      </c>
      <c r="S176" s="34">
        <v>0</v>
      </c>
      <c r="T176" s="34">
        <v>0</v>
      </c>
      <c r="U176" s="34">
        <v>0</v>
      </c>
      <c r="V176" s="34">
        <v>0</v>
      </c>
      <c r="W176" s="34">
        <v>0</v>
      </c>
      <c r="X176" s="34">
        <v>0</v>
      </c>
      <c r="Y176" s="34">
        <v>0</v>
      </c>
      <c r="Z176" s="34">
        <v>0</v>
      </c>
      <c r="AA176" s="34">
        <v>0</v>
      </c>
      <c r="AB176" s="34">
        <v>0</v>
      </c>
      <c r="AC176" s="34">
        <v>0</v>
      </c>
      <c r="AD176" s="34">
        <v>0</v>
      </c>
      <c r="AE176" s="34">
        <v>0</v>
      </c>
      <c r="AF176" s="34">
        <v>0</v>
      </c>
      <c r="AG176" s="34">
        <v>0</v>
      </c>
      <c r="AH176" s="34">
        <v>0</v>
      </c>
      <c r="AI176" s="34">
        <v>0</v>
      </c>
      <c r="AJ176" s="34">
        <v>0</v>
      </c>
      <c r="AK176" s="34">
        <v>0</v>
      </c>
      <c r="AL176" s="34">
        <v>0</v>
      </c>
      <c r="AM176" s="34">
        <v>1</v>
      </c>
      <c r="AN176" s="34">
        <v>1</v>
      </c>
      <c r="AO176" s="34">
        <v>1</v>
      </c>
      <c r="AP176" s="34">
        <v>1</v>
      </c>
      <c r="AQ176" s="34">
        <v>1</v>
      </c>
      <c r="AR176" s="34">
        <v>1</v>
      </c>
      <c r="AS176" s="34">
        <v>1</v>
      </c>
      <c r="AT176" s="34">
        <v>1</v>
      </c>
      <c r="AU176" s="34">
        <v>1</v>
      </c>
      <c r="AV176" s="34">
        <v>1</v>
      </c>
      <c r="AW176" s="34">
        <v>1</v>
      </c>
      <c r="AX176" s="34">
        <v>1</v>
      </c>
      <c r="AY176" s="34">
        <v>1</v>
      </c>
      <c r="AZ176" s="34">
        <v>1</v>
      </c>
      <c r="BA176" s="34">
        <v>1</v>
      </c>
      <c r="BB176" s="34">
        <v>1</v>
      </c>
      <c r="BC176" s="34">
        <v>1</v>
      </c>
      <c r="BD176" s="34">
        <v>1</v>
      </c>
      <c r="BE176" s="34">
        <v>1</v>
      </c>
      <c r="BF176" s="34">
        <v>1</v>
      </c>
      <c r="BG176" s="34">
        <v>1</v>
      </c>
      <c r="BH176" s="34">
        <v>1</v>
      </c>
      <c r="BI176" s="34">
        <v>1</v>
      </c>
      <c r="BJ176" s="34">
        <v>1</v>
      </c>
      <c r="BK176" s="34">
        <v>1</v>
      </c>
      <c r="BL176" s="34">
        <v>1</v>
      </c>
      <c r="BM176" s="34">
        <v>1</v>
      </c>
      <c r="BN176" s="34">
        <v>1</v>
      </c>
      <c r="BO176" s="34">
        <v>1</v>
      </c>
      <c r="BP176" s="34">
        <v>1</v>
      </c>
      <c r="BQ176" s="34">
        <v>1</v>
      </c>
      <c r="BR176" s="34">
        <v>1</v>
      </c>
      <c r="BS176" s="34">
        <v>1</v>
      </c>
      <c r="BT176" s="34">
        <v>1</v>
      </c>
      <c r="BU176" s="34">
        <v>1</v>
      </c>
      <c r="BV176" s="34">
        <v>1</v>
      </c>
      <c r="BW176" s="34">
        <v>1</v>
      </c>
      <c r="BX176" s="34">
        <v>0</v>
      </c>
      <c r="BY176" s="34">
        <v>0</v>
      </c>
      <c r="BZ176" s="34">
        <v>0</v>
      </c>
      <c r="CA176" s="34">
        <v>0</v>
      </c>
      <c r="CB176" s="34">
        <v>0</v>
      </c>
      <c r="CC176" s="34">
        <v>0</v>
      </c>
      <c r="CD176" s="34">
        <v>0</v>
      </c>
      <c r="CE176" s="34">
        <v>0</v>
      </c>
      <c r="CF176" s="34">
        <v>0</v>
      </c>
      <c r="CG176" s="34">
        <v>0</v>
      </c>
      <c r="CH176" s="34">
        <v>0</v>
      </c>
      <c r="CI176" s="34">
        <v>0</v>
      </c>
      <c r="CJ176" s="34">
        <v>0</v>
      </c>
      <c r="CK176" s="34">
        <v>0</v>
      </c>
      <c r="CL176" s="34">
        <v>0</v>
      </c>
      <c r="CM176" s="34">
        <v>0</v>
      </c>
      <c r="CN176" s="34">
        <v>0</v>
      </c>
      <c r="CO176" s="34">
        <v>0</v>
      </c>
      <c r="CP176" s="34">
        <v>0</v>
      </c>
      <c r="CQ176" s="34">
        <v>0</v>
      </c>
      <c r="CR176" s="34">
        <v>0</v>
      </c>
      <c r="CS176" s="34">
        <v>0</v>
      </c>
      <c r="CT176" s="34">
        <v>0</v>
      </c>
      <c r="CU176" s="34">
        <v>0</v>
      </c>
      <c r="CV176" s="34">
        <v>0</v>
      </c>
      <c r="CW176" s="34">
        <v>0</v>
      </c>
      <c r="CX176" s="34">
        <v>0</v>
      </c>
      <c r="CY176" s="34">
        <v>0</v>
      </c>
      <c r="CZ176" s="34">
        <v>0</v>
      </c>
      <c r="DA176" s="34">
        <v>0</v>
      </c>
      <c r="DB176" s="34">
        <v>0</v>
      </c>
      <c r="DC176" s="34">
        <v>0</v>
      </c>
      <c r="DD176" s="34">
        <v>0</v>
      </c>
      <c r="DE176" s="34">
        <v>0</v>
      </c>
      <c r="DF176" s="34">
        <v>0</v>
      </c>
      <c r="DG176" s="34">
        <v>0</v>
      </c>
      <c r="DH176" s="34">
        <v>0</v>
      </c>
      <c r="DI176" s="34">
        <v>0</v>
      </c>
      <c r="DJ176" s="34">
        <v>0</v>
      </c>
      <c r="DK176" s="34">
        <v>0</v>
      </c>
      <c r="DL176" s="34">
        <v>0</v>
      </c>
      <c r="DM176" s="34">
        <v>0</v>
      </c>
      <c r="DN176" s="34">
        <v>0</v>
      </c>
      <c r="DO176" s="34">
        <v>0</v>
      </c>
      <c r="DP176" s="34">
        <v>0</v>
      </c>
      <c r="DQ176" s="34">
        <v>0</v>
      </c>
      <c r="DR176" s="34">
        <v>0</v>
      </c>
    </row>
    <row r="177" spans="1:122" s="13" customFormat="1" hidden="1" outlineLevel="1" x14ac:dyDescent="0.35">
      <c r="A177" s="14">
        <v>38</v>
      </c>
      <c r="B177" s="34">
        <v>0</v>
      </c>
      <c r="C177" s="34">
        <v>0</v>
      </c>
      <c r="D177" s="34">
        <v>0</v>
      </c>
      <c r="E177" s="34">
        <v>0</v>
      </c>
      <c r="F177" s="34">
        <v>0</v>
      </c>
      <c r="G177" s="34">
        <v>0</v>
      </c>
      <c r="H177" s="34">
        <v>0</v>
      </c>
      <c r="I177" s="34">
        <v>0</v>
      </c>
      <c r="J177" s="34">
        <v>0</v>
      </c>
      <c r="K177" s="34">
        <v>0</v>
      </c>
      <c r="L177" s="34">
        <v>0</v>
      </c>
      <c r="M177" s="34">
        <v>0</v>
      </c>
      <c r="N177" s="34">
        <v>0</v>
      </c>
      <c r="O177" s="34">
        <v>0</v>
      </c>
      <c r="P177" s="34">
        <v>0</v>
      </c>
      <c r="Q177" s="34">
        <v>0</v>
      </c>
      <c r="R177" s="34">
        <v>0</v>
      </c>
      <c r="S177" s="34">
        <v>0</v>
      </c>
      <c r="T177" s="34">
        <v>0</v>
      </c>
      <c r="U177" s="34">
        <v>0</v>
      </c>
      <c r="V177" s="34">
        <v>0</v>
      </c>
      <c r="W177" s="34">
        <v>0</v>
      </c>
      <c r="X177" s="34">
        <v>0</v>
      </c>
      <c r="Y177" s="34">
        <v>0</v>
      </c>
      <c r="Z177" s="34">
        <v>0</v>
      </c>
      <c r="AA177" s="34">
        <v>0</v>
      </c>
      <c r="AB177" s="34">
        <v>0</v>
      </c>
      <c r="AC177" s="34">
        <v>0</v>
      </c>
      <c r="AD177" s="34">
        <v>0</v>
      </c>
      <c r="AE177" s="34">
        <v>0</v>
      </c>
      <c r="AF177" s="34">
        <v>0</v>
      </c>
      <c r="AG177" s="34">
        <v>0</v>
      </c>
      <c r="AH177" s="34">
        <v>0</v>
      </c>
      <c r="AI177" s="34">
        <v>0</v>
      </c>
      <c r="AJ177" s="34">
        <v>0</v>
      </c>
      <c r="AK177" s="34">
        <v>0</v>
      </c>
      <c r="AL177" s="34">
        <v>0</v>
      </c>
      <c r="AM177" s="34">
        <v>0</v>
      </c>
      <c r="AN177" s="34">
        <v>1</v>
      </c>
      <c r="AO177" s="34">
        <v>1</v>
      </c>
      <c r="AP177" s="34">
        <v>1</v>
      </c>
      <c r="AQ177" s="34">
        <v>1</v>
      </c>
      <c r="AR177" s="34">
        <v>1</v>
      </c>
      <c r="AS177" s="34">
        <v>1</v>
      </c>
      <c r="AT177" s="34">
        <v>1</v>
      </c>
      <c r="AU177" s="34">
        <v>1</v>
      </c>
      <c r="AV177" s="34">
        <v>1</v>
      </c>
      <c r="AW177" s="34">
        <v>1</v>
      </c>
      <c r="AX177" s="34">
        <v>1</v>
      </c>
      <c r="AY177" s="34">
        <v>1</v>
      </c>
      <c r="AZ177" s="34">
        <v>1</v>
      </c>
      <c r="BA177" s="34">
        <v>1</v>
      </c>
      <c r="BB177" s="34">
        <v>1</v>
      </c>
      <c r="BC177" s="34">
        <v>1</v>
      </c>
      <c r="BD177" s="34">
        <v>1</v>
      </c>
      <c r="BE177" s="34">
        <v>1</v>
      </c>
      <c r="BF177" s="34">
        <v>1</v>
      </c>
      <c r="BG177" s="34">
        <v>1</v>
      </c>
      <c r="BH177" s="34">
        <v>1</v>
      </c>
      <c r="BI177" s="34">
        <v>1</v>
      </c>
      <c r="BJ177" s="34">
        <v>1</v>
      </c>
      <c r="BK177" s="34">
        <v>1</v>
      </c>
      <c r="BL177" s="34">
        <v>1</v>
      </c>
      <c r="BM177" s="34">
        <v>1</v>
      </c>
      <c r="BN177" s="34">
        <v>1</v>
      </c>
      <c r="BO177" s="34">
        <v>1</v>
      </c>
      <c r="BP177" s="34">
        <v>1</v>
      </c>
      <c r="BQ177" s="34">
        <v>1</v>
      </c>
      <c r="BR177" s="34">
        <v>1</v>
      </c>
      <c r="BS177" s="34">
        <v>1</v>
      </c>
      <c r="BT177" s="34">
        <v>1</v>
      </c>
      <c r="BU177" s="34">
        <v>1</v>
      </c>
      <c r="BV177" s="34">
        <v>1</v>
      </c>
      <c r="BW177" s="34">
        <v>1</v>
      </c>
      <c r="BX177" s="34">
        <v>1</v>
      </c>
      <c r="BY177" s="34">
        <v>1</v>
      </c>
      <c r="BZ177" s="34">
        <v>0</v>
      </c>
      <c r="CA177" s="34">
        <v>0</v>
      </c>
      <c r="CB177" s="34">
        <v>0</v>
      </c>
      <c r="CC177" s="34">
        <v>0</v>
      </c>
      <c r="CD177" s="34">
        <v>0</v>
      </c>
      <c r="CE177" s="34">
        <v>0</v>
      </c>
      <c r="CF177" s="34">
        <v>0</v>
      </c>
      <c r="CG177" s="34">
        <v>0</v>
      </c>
      <c r="CH177" s="34">
        <v>0</v>
      </c>
      <c r="CI177" s="34">
        <v>0</v>
      </c>
      <c r="CJ177" s="34">
        <v>0</v>
      </c>
      <c r="CK177" s="34">
        <v>0</v>
      </c>
      <c r="CL177" s="34">
        <v>0</v>
      </c>
      <c r="CM177" s="34">
        <v>0</v>
      </c>
      <c r="CN177" s="34">
        <v>0</v>
      </c>
      <c r="CO177" s="34">
        <v>0</v>
      </c>
      <c r="CP177" s="34">
        <v>0</v>
      </c>
      <c r="CQ177" s="34">
        <v>0</v>
      </c>
      <c r="CR177" s="34">
        <v>0</v>
      </c>
      <c r="CS177" s="34">
        <v>0</v>
      </c>
      <c r="CT177" s="34">
        <v>0</v>
      </c>
      <c r="CU177" s="34">
        <v>0</v>
      </c>
      <c r="CV177" s="34">
        <v>0</v>
      </c>
      <c r="CW177" s="34">
        <v>0</v>
      </c>
      <c r="CX177" s="34">
        <v>0</v>
      </c>
      <c r="CY177" s="34">
        <v>0</v>
      </c>
      <c r="CZ177" s="34">
        <v>0</v>
      </c>
      <c r="DA177" s="34">
        <v>0</v>
      </c>
      <c r="DB177" s="34">
        <v>0</v>
      </c>
      <c r="DC177" s="34">
        <v>0</v>
      </c>
      <c r="DD177" s="34">
        <v>0</v>
      </c>
      <c r="DE177" s="34">
        <v>0</v>
      </c>
      <c r="DF177" s="34">
        <v>0</v>
      </c>
      <c r="DG177" s="34">
        <v>0</v>
      </c>
      <c r="DH177" s="34">
        <v>0</v>
      </c>
      <c r="DI177" s="34">
        <v>0</v>
      </c>
      <c r="DJ177" s="34">
        <v>0</v>
      </c>
      <c r="DK177" s="34">
        <v>0</v>
      </c>
      <c r="DL177" s="34">
        <v>0</v>
      </c>
      <c r="DM177" s="34">
        <v>0</v>
      </c>
      <c r="DN177" s="34">
        <v>0</v>
      </c>
      <c r="DO177" s="34">
        <v>0</v>
      </c>
      <c r="DP177" s="34">
        <v>0</v>
      </c>
      <c r="DQ177" s="34">
        <v>0</v>
      </c>
      <c r="DR177" s="34">
        <v>0</v>
      </c>
    </row>
    <row r="178" spans="1:122" s="13" customFormat="1" hidden="1" outlineLevel="1" x14ac:dyDescent="0.35">
      <c r="A178" s="14">
        <v>39</v>
      </c>
      <c r="B178" s="34">
        <v>0</v>
      </c>
      <c r="C178" s="34">
        <v>0</v>
      </c>
      <c r="D178" s="34">
        <v>0</v>
      </c>
      <c r="E178" s="34">
        <v>0</v>
      </c>
      <c r="F178" s="34">
        <v>0</v>
      </c>
      <c r="G178" s="34">
        <v>0</v>
      </c>
      <c r="H178" s="34">
        <v>0</v>
      </c>
      <c r="I178" s="34">
        <v>0</v>
      </c>
      <c r="J178" s="34">
        <v>0</v>
      </c>
      <c r="K178" s="34">
        <v>0</v>
      </c>
      <c r="L178" s="34">
        <v>0</v>
      </c>
      <c r="M178" s="34">
        <v>0</v>
      </c>
      <c r="N178" s="34">
        <v>0</v>
      </c>
      <c r="O178" s="34">
        <v>0</v>
      </c>
      <c r="P178" s="34">
        <v>0</v>
      </c>
      <c r="Q178" s="34">
        <v>0</v>
      </c>
      <c r="R178" s="34">
        <v>0</v>
      </c>
      <c r="S178" s="34">
        <v>0</v>
      </c>
      <c r="T178" s="34">
        <v>0</v>
      </c>
      <c r="U178" s="34">
        <v>0</v>
      </c>
      <c r="V178" s="34">
        <v>0</v>
      </c>
      <c r="W178" s="34">
        <v>0</v>
      </c>
      <c r="X178" s="34">
        <v>0</v>
      </c>
      <c r="Y178" s="34">
        <v>0</v>
      </c>
      <c r="Z178" s="34">
        <v>0</v>
      </c>
      <c r="AA178" s="34">
        <v>0</v>
      </c>
      <c r="AB178" s="34">
        <v>0</v>
      </c>
      <c r="AC178" s="34">
        <v>0</v>
      </c>
      <c r="AD178" s="34">
        <v>0</v>
      </c>
      <c r="AE178" s="34">
        <v>0</v>
      </c>
      <c r="AF178" s="34">
        <v>0</v>
      </c>
      <c r="AG178" s="34">
        <v>0</v>
      </c>
      <c r="AH178" s="34">
        <v>0</v>
      </c>
      <c r="AI178" s="34">
        <v>0</v>
      </c>
      <c r="AJ178" s="34">
        <v>0</v>
      </c>
      <c r="AK178" s="34">
        <v>0</v>
      </c>
      <c r="AL178" s="34">
        <v>0</v>
      </c>
      <c r="AM178" s="34">
        <v>0</v>
      </c>
      <c r="AN178" s="34">
        <v>0</v>
      </c>
      <c r="AO178" s="34">
        <v>1</v>
      </c>
      <c r="AP178" s="34">
        <v>1</v>
      </c>
      <c r="AQ178" s="34">
        <v>1</v>
      </c>
      <c r="AR178" s="34">
        <v>1</v>
      </c>
      <c r="AS178" s="34">
        <v>1</v>
      </c>
      <c r="AT178" s="34">
        <v>1</v>
      </c>
      <c r="AU178" s="34">
        <v>1</v>
      </c>
      <c r="AV178" s="34">
        <v>1</v>
      </c>
      <c r="AW178" s="34">
        <v>1</v>
      </c>
      <c r="AX178" s="34">
        <v>1</v>
      </c>
      <c r="AY178" s="34">
        <v>1</v>
      </c>
      <c r="AZ178" s="34">
        <v>1</v>
      </c>
      <c r="BA178" s="34">
        <v>1</v>
      </c>
      <c r="BB178" s="34">
        <v>1</v>
      </c>
      <c r="BC178" s="34">
        <v>1</v>
      </c>
      <c r="BD178" s="34">
        <v>1</v>
      </c>
      <c r="BE178" s="34">
        <v>1</v>
      </c>
      <c r="BF178" s="34">
        <v>1</v>
      </c>
      <c r="BG178" s="34">
        <v>1</v>
      </c>
      <c r="BH178" s="34">
        <v>1</v>
      </c>
      <c r="BI178" s="34">
        <v>1</v>
      </c>
      <c r="BJ178" s="34">
        <v>1</v>
      </c>
      <c r="BK178" s="34">
        <v>1</v>
      </c>
      <c r="BL178" s="34">
        <v>1</v>
      </c>
      <c r="BM178" s="34">
        <v>1</v>
      </c>
      <c r="BN178" s="34">
        <v>1</v>
      </c>
      <c r="BO178" s="34">
        <v>1</v>
      </c>
      <c r="BP178" s="34">
        <v>1</v>
      </c>
      <c r="BQ178" s="34">
        <v>1</v>
      </c>
      <c r="BR178" s="34">
        <v>1</v>
      </c>
      <c r="BS178" s="34">
        <v>1</v>
      </c>
      <c r="BT178" s="34">
        <v>1</v>
      </c>
      <c r="BU178" s="34">
        <v>1</v>
      </c>
      <c r="BV178" s="34">
        <v>1</v>
      </c>
      <c r="BW178" s="34">
        <v>1</v>
      </c>
      <c r="BX178" s="34">
        <v>1</v>
      </c>
      <c r="BY178" s="34">
        <v>1</v>
      </c>
      <c r="BZ178" s="34">
        <v>1</v>
      </c>
      <c r="CA178" s="34">
        <v>0</v>
      </c>
      <c r="CB178" s="34">
        <v>0</v>
      </c>
      <c r="CC178" s="34">
        <v>0</v>
      </c>
      <c r="CD178" s="34">
        <v>0</v>
      </c>
      <c r="CE178" s="34">
        <v>0</v>
      </c>
      <c r="CF178" s="34">
        <v>0</v>
      </c>
      <c r="CG178" s="34">
        <v>0</v>
      </c>
      <c r="CH178" s="34">
        <v>0</v>
      </c>
      <c r="CI178" s="34">
        <v>0</v>
      </c>
      <c r="CJ178" s="34">
        <v>0</v>
      </c>
      <c r="CK178" s="34">
        <v>0</v>
      </c>
      <c r="CL178" s="34">
        <v>0</v>
      </c>
      <c r="CM178" s="34">
        <v>0</v>
      </c>
      <c r="CN178" s="34">
        <v>0</v>
      </c>
      <c r="CO178" s="34">
        <v>0</v>
      </c>
      <c r="CP178" s="34">
        <v>0</v>
      </c>
      <c r="CQ178" s="34">
        <v>0</v>
      </c>
      <c r="CR178" s="34">
        <v>0</v>
      </c>
      <c r="CS178" s="34">
        <v>0</v>
      </c>
      <c r="CT178" s="34">
        <v>0</v>
      </c>
      <c r="CU178" s="34">
        <v>0</v>
      </c>
      <c r="CV178" s="34">
        <v>0</v>
      </c>
      <c r="CW178" s="34">
        <v>0</v>
      </c>
      <c r="CX178" s="34">
        <v>0</v>
      </c>
      <c r="CY178" s="34">
        <v>0</v>
      </c>
      <c r="CZ178" s="34">
        <v>0</v>
      </c>
      <c r="DA178" s="34">
        <v>0</v>
      </c>
      <c r="DB178" s="34">
        <v>0</v>
      </c>
      <c r="DC178" s="34">
        <v>0</v>
      </c>
      <c r="DD178" s="34">
        <v>0</v>
      </c>
      <c r="DE178" s="34">
        <v>0</v>
      </c>
      <c r="DF178" s="34">
        <v>0</v>
      </c>
      <c r="DG178" s="34">
        <v>0</v>
      </c>
      <c r="DH178" s="34">
        <v>0</v>
      </c>
      <c r="DI178" s="34">
        <v>0</v>
      </c>
      <c r="DJ178" s="34">
        <v>0</v>
      </c>
      <c r="DK178" s="34">
        <v>0</v>
      </c>
      <c r="DL178" s="34">
        <v>0</v>
      </c>
      <c r="DM178" s="34">
        <v>0</v>
      </c>
      <c r="DN178" s="34">
        <v>0</v>
      </c>
      <c r="DO178" s="34">
        <v>0</v>
      </c>
      <c r="DP178" s="34">
        <v>0</v>
      </c>
      <c r="DQ178" s="34">
        <v>0</v>
      </c>
      <c r="DR178" s="34">
        <v>0</v>
      </c>
    </row>
    <row r="179" spans="1:122" s="13" customFormat="1" hidden="1" outlineLevel="1" x14ac:dyDescent="0.35">
      <c r="A179" s="14">
        <v>40</v>
      </c>
      <c r="B179" s="34">
        <v>0</v>
      </c>
      <c r="C179" s="34">
        <v>0</v>
      </c>
      <c r="D179" s="34">
        <v>0</v>
      </c>
      <c r="E179" s="34">
        <v>0</v>
      </c>
      <c r="F179" s="34">
        <v>0</v>
      </c>
      <c r="G179" s="34">
        <v>0</v>
      </c>
      <c r="H179" s="34">
        <v>0</v>
      </c>
      <c r="I179" s="34">
        <v>0</v>
      </c>
      <c r="J179" s="34">
        <v>0</v>
      </c>
      <c r="K179" s="34">
        <v>0</v>
      </c>
      <c r="L179" s="34">
        <v>0</v>
      </c>
      <c r="M179" s="34">
        <v>0</v>
      </c>
      <c r="N179" s="34">
        <v>0</v>
      </c>
      <c r="O179" s="34">
        <v>0</v>
      </c>
      <c r="P179" s="34">
        <v>0</v>
      </c>
      <c r="Q179" s="34">
        <v>0</v>
      </c>
      <c r="R179" s="34">
        <v>0</v>
      </c>
      <c r="S179" s="34">
        <v>0</v>
      </c>
      <c r="T179" s="34">
        <v>0</v>
      </c>
      <c r="U179" s="34">
        <v>0</v>
      </c>
      <c r="V179" s="34">
        <v>0</v>
      </c>
      <c r="W179" s="34">
        <v>0</v>
      </c>
      <c r="X179" s="34">
        <v>0</v>
      </c>
      <c r="Y179" s="34">
        <v>0</v>
      </c>
      <c r="Z179" s="34">
        <v>0</v>
      </c>
      <c r="AA179" s="34">
        <v>0</v>
      </c>
      <c r="AB179" s="34">
        <v>0</v>
      </c>
      <c r="AC179" s="34">
        <v>0</v>
      </c>
      <c r="AD179" s="34">
        <v>0</v>
      </c>
      <c r="AE179" s="34">
        <v>0</v>
      </c>
      <c r="AF179" s="34">
        <v>0</v>
      </c>
      <c r="AG179" s="34">
        <v>0</v>
      </c>
      <c r="AH179" s="34">
        <v>0</v>
      </c>
      <c r="AI179" s="34">
        <v>0</v>
      </c>
      <c r="AJ179" s="34">
        <v>0</v>
      </c>
      <c r="AK179" s="34">
        <v>0</v>
      </c>
      <c r="AL179" s="34">
        <v>0</v>
      </c>
      <c r="AM179" s="34">
        <v>0</v>
      </c>
      <c r="AN179" s="34">
        <v>0</v>
      </c>
      <c r="AO179" s="34">
        <v>0</v>
      </c>
      <c r="AP179" s="34">
        <v>1</v>
      </c>
      <c r="AQ179" s="34">
        <v>1</v>
      </c>
      <c r="AR179" s="34">
        <v>1</v>
      </c>
      <c r="AS179" s="34">
        <v>1</v>
      </c>
      <c r="AT179" s="34">
        <v>1</v>
      </c>
      <c r="AU179" s="34">
        <v>1</v>
      </c>
      <c r="AV179" s="34">
        <v>1</v>
      </c>
      <c r="AW179" s="34">
        <v>1</v>
      </c>
      <c r="AX179" s="34">
        <v>1</v>
      </c>
      <c r="AY179" s="34">
        <v>1</v>
      </c>
      <c r="AZ179" s="34">
        <v>1</v>
      </c>
      <c r="BA179" s="34">
        <v>1</v>
      </c>
      <c r="BB179" s="34">
        <v>1</v>
      </c>
      <c r="BC179" s="34">
        <v>1</v>
      </c>
      <c r="BD179" s="34">
        <v>1</v>
      </c>
      <c r="BE179" s="34">
        <v>1</v>
      </c>
      <c r="BF179" s="34">
        <v>1</v>
      </c>
      <c r="BG179" s="34">
        <v>1</v>
      </c>
      <c r="BH179" s="34">
        <v>1</v>
      </c>
      <c r="BI179" s="34">
        <v>1</v>
      </c>
      <c r="BJ179" s="34">
        <v>1</v>
      </c>
      <c r="BK179" s="34">
        <v>1</v>
      </c>
      <c r="BL179" s="34">
        <v>1</v>
      </c>
      <c r="BM179" s="34">
        <v>1</v>
      </c>
      <c r="BN179" s="34">
        <v>1</v>
      </c>
      <c r="BO179" s="34">
        <v>1</v>
      </c>
      <c r="BP179" s="34">
        <v>1</v>
      </c>
      <c r="BQ179" s="34">
        <v>1</v>
      </c>
      <c r="BR179" s="34">
        <v>1</v>
      </c>
      <c r="BS179" s="34">
        <v>1</v>
      </c>
      <c r="BT179" s="34">
        <v>1</v>
      </c>
      <c r="BU179" s="34">
        <v>1</v>
      </c>
      <c r="BV179" s="34">
        <v>1</v>
      </c>
      <c r="BW179" s="34">
        <v>1</v>
      </c>
      <c r="BX179" s="34">
        <v>1</v>
      </c>
      <c r="BY179" s="34">
        <v>1</v>
      </c>
      <c r="BZ179" s="34">
        <v>1</v>
      </c>
      <c r="CA179" s="34">
        <v>1</v>
      </c>
      <c r="CB179" s="34">
        <v>1</v>
      </c>
      <c r="CC179" s="34">
        <v>0</v>
      </c>
      <c r="CD179" s="34">
        <v>0</v>
      </c>
      <c r="CE179" s="34">
        <v>0</v>
      </c>
      <c r="CF179" s="34">
        <v>0</v>
      </c>
      <c r="CG179" s="34">
        <v>0</v>
      </c>
      <c r="CH179" s="34">
        <v>0</v>
      </c>
      <c r="CI179" s="34">
        <v>0</v>
      </c>
      <c r="CJ179" s="34">
        <v>0</v>
      </c>
      <c r="CK179" s="34">
        <v>0</v>
      </c>
      <c r="CL179" s="34">
        <v>0</v>
      </c>
      <c r="CM179" s="34">
        <v>0</v>
      </c>
      <c r="CN179" s="34">
        <v>0</v>
      </c>
      <c r="CO179" s="34">
        <v>0</v>
      </c>
      <c r="CP179" s="34">
        <v>0</v>
      </c>
      <c r="CQ179" s="34">
        <v>0</v>
      </c>
      <c r="CR179" s="34">
        <v>0</v>
      </c>
      <c r="CS179" s="34">
        <v>0</v>
      </c>
      <c r="CT179" s="34">
        <v>0</v>
      </c>
      <c r="CU179" s="34">
        <v>0</v>
      </c>
      <c r="CV179" s="34">
        <v>0</v>
      </c>
      <c r="CW179" s="34">
        <v>0</v>
      </c>
      <c r="CX179" s="34">
        <v>0</v>
      </c>
      <c r="CY179" s="34">
        <v>0</v>
      </c>
      <c r="CZ179" s="34">
        <v>0</v>
      </c>
      <c r="DA179" s="34">
        <v>0</v>
      </c>
      <c r="DB179" s="34">
        <v>0</v>
      </c>
      <c r="DC179" s="34">
        <v>0</v>
      </c>
      <c r="DD179" s="34">
        <v>0</v>
      </c>
      <c r="DE179" s="34">
        <v>0</v>
      </c>
      <c r="DF179" s="34">
        <v>0</v>
      </c>
      <c r="DG179" s="34">
        <v>0</v>
      </c>
      <c r="DH179" s="34">
        <v>0</v>
      </c>
      <c r="DI179" s="34">
        <v>0</v>
      </c>
      <c r="DJ179" s="34">
        <v>0</v>
      </c>
      <c r="DK179" s="34">
        <v>0</v>
      </c>
      <c r="DL179" s="34">
        <v>0</v>
      </c>
      <c r="DM179" s="34">
        <v>0</v>
      </c>
      <c r="DN179" s="34">
        <v>0</v>
      </c>
      <c r="DO179" s="34">
        <v>0</v>
      </c>
      <c r="DP179" s="34">
        <v>0</v>
      </c>
      <c r="DQ179" s="34">
        <v>0</v>
      </c>
      <c r="DR179" s="34">
        <v>0</v>
      </c>
    </row>
    <row r="180" spans="1:122" s="13" customFormat="1" hidden="1" outlineLevel="1" x14ac:dyDescent="0.35">
      <c r="A180" s="14">
        <v>41</v>
      </c>
      <c r="B180" s="34">
        <v>0</v>
      </c>
      <c r="C180" s="34">
        <v>0</v>
      </c>
      <c r="D180" s="34">
        <v>0</v>
      </c>
      <c r="E180" s="34">
        <v>0</v>
      </c>
      <c r="F180" s="34">
        <v>0</v>
      </c>
      <c r="G180" s="34">
        <v>0</v>
      </c>
      <c r="H180" s="34">
        <v>0</v>
      </c>
      <c r="I180" s="34">
        <v>0</v>
      </c>
      <c r="J180" s="34">
        <v>0</v>
      </c>
      <c r="K180" s="34">
        <v>0</v>
      </c>
      <c r="L180" s="34">
        <v>0</v>
      </c>
      <c r="M180" s="34">
        <v>0</v>
      </c>
      <c r="N180" s="34">
        <v>0</v>
      </c>
      <c r="O180" s="34">
        <v>0</v>
      </c>
      <c r="P180" s="34">
        <v>0</v>
      </c>
      <c r="Q180" s="34">
        <v>0</v>
      </c>
      <c r="R180" s="34">
        <v>0</v>
      </c>
      <c r="S180" s="34">
        <v>0</v>
      </c>
      <c r="T180" s="34">
        <v>0</v>
      </c>
      <c r="U180" s="34">
        <v>0</v>
      </c>
      <c r="V180" s="34">
        <v>0</v>
      </c>
      <c r="W180" s="34">
        <v>0</v>
      </c>
      <c r="X180" s="34">
        <v>0</v>
      </c>
      <c r="Y180" s="34">
        <v>0</v>
      </c>
      <c r="Z180" s="34">
        <v>0</v>
      </c>
      <c r="AA180" s="34">
        <v>0</v>
      </c>
      <c r="AB180" s="34">
        <v>0</v>
      </c>
      <c r="AC180" s="34">
        <v>0</v>
      </c>
      <c r="AD180" s="34">
        <v>0</v>
      </c>
      <c r="AE180" s="34">
        <v>0</v>
      </c>
      <c r="AF180" s="34">
        <v>0</v>
      </c>
      <c r="AG180" s="34">
        <v>0</v>
      </c>
      <c r="AH180" s="34">
        <v>0</v>
      </c>
      <c r="AI180" s="34">
        <v>0</v>
      </c>
      <c r="AJ180" s="34">
        <v>0</v>
      </c>
      <c r="AK180" s="34">
        <v>0</v>
      </c>
      <c r="AL180" s="34">
        <v>0</v>
      </c>
      <c r="AM180" s="34">
        <v>0</v>
      </c>
      <c r="AN180" s="34">
        <v>0</v>
      </c>
      <c r="AO180" s="34">
        <v>0</v>
      </c>
      <c r="AP180" s="34">
        <v>0</v>
      </c>
      <c r="AQ180" s="34">
        <v>1</v>
      </c>
      <c r="AR180" s="34">
        <v>1</v>
      </c>
      <c r="AS180" s="34">
        <v>1</v>
      </c>
      <c r="AT180" s="34">
        <v>1</v>
      </c>
      <c r="AU180" s="34">
        <v>1</v>
      </c>
      <c r="AV180" s="34">
        <v>1</v>
      </c>
      <c r="AW180" s="34">
        <v>1</v>
      </c>
      <c r="AX180" s="34">
        <v>1</v>
      </c>
      <c r="AY180" s="34">
        <v>1</v>
      </c>
      <c r="AZ180" s="34">
        <v>1</v>
      </c>
      <c r="BA180" s="34">
        <v>1</v>
      </c>
      <c r="BB180" s="34">
        <v>1</v>
      </c>
      <c r="BC180" s="34">
        <v>1</v>
      </c>
      <c r="BD180" s="34">
        <v>1</v>
      </c>
      <c r="BE180" s="34">
        <v>1</v>
      </c>
      <c r="BF180" s="34">
        <v>1</v>
      </c>
      <c r="BG180" s="34">
        <v>1</v>
      </c>
      <c r="BH180" s="34">
        <v>1</v>
      </c>
      <c r="BI180" s="34">
        <v>1</v>
      </c>
      <c r="BJ180" s="34">
        <v>1</v>
      </c>
      <c r="BK180" s="34">
        <v>1</v>
      </c>
      <c r="BL180" s="34">
        <v>1</v>
      </c>
      <c r="BM180" s="34">
        <v>1</v>
      </c>
      <c r="BN180" s="34">
        <v>1</v>
      </c>
      <c r="BO180" s="34">
        <v>1</v>
      </c>
      <c r="BP180" s="34">
        <v>1</v>
      </c>
      <c r="BQ180" s="34">
        <v>1</v>
      </c>
      <c r="BR180" s="34">
        <v>1</v>
      </c>
      <c r="BS180" s="34">
        <v>1</v>
      </c>
      <c r="BT180" s="34">
        <v>1</v>
      </c>
      <c r="BU180" s="34">
        <v>1</v>
      </c>
      <c r="BV180" s="34">
        <v>1</v>
      </c>
      <c r="BW180" s="34">
        <v>1</v>
      </c>
      <c r="BX180" s="34">
        <v>1</v>
      </c>
      <c r="BY180" s="34">
        <v>1</v>
      </c>
      <c r="BZ180" s="34">
        <v>1</v>
      </c>
      <c r="CA180" s="34">
        <v>1</v>
      </c>
      <c r="CB180" s="34">
        <v>1</v>
      </c>
      <c r="CC180" s="34">
        <v>1</v>
      </c>
      <c r="CD180" s="34">
        <v>1</v>
      </c>
      <c r="CE180" s="34">
        <v>0</v>
      </c>
      <c r="CF180" s="34">
        <v>0</v>
      </c>
      <c r="CG180" s="34">
        <v>0</v>
      </c>
      <c r="CH180" s="34">
        <v>0</v>
      </c>
      <c r="CI180" s="34">
        <v>0</v>
      </c>
      <c r="CJ180" s="34">
        <v>0</v>
      </c>
      <c r="CK180" s="34">
        <v>0</v>
      </c>
      <c r="CL180" s="34">
        <v>0</v>
      </c>
      <c r="CM180" s="34">
        <v>0</v>
      </c>
      <c r="CN180" s="34">
        <v>0</v>
      </c>
      <c r="CO180" s="34">
        <v>0</v>
      </c>
      <c r="CP180" s="34">
        <v>0</v>
      </c>
      <c r="CQ180" s="34">
        <v>0</v>
      </c>
      <c r="CR180" s="34">
        <v>0</v>
      </c>
      <c r="CS180" s="34">
        <v>0</v>
      </c>
      <c r="CT180" s="34">
        <v>0</v>
      </c>
      <c r="CU180" s="34">
        <v>0</v>
      </c>
      <c r="CV180" s="34">
        <v>0</v>
      </c>
      <c r="CW180" s="34">
        <v>0</v>
      </c>
      <c r="CX180" s="34">
        <v>0</v>
      </c>
      <c r="CY180" s="34">
        <v>0</v>
      </c>
      <c r="CZ180" s="34">
        <v>0</v>
      </c>
      <c r="DA180" s="34">
        <v>0</v>
      </c>
      <c r="DB180" s="34">
        <v>0</v>
      </c>
      <c r="DC180" s="34">
        <v>0</v>
      </c>
      <c r="DD180" s="34">
        <v>0</v>
      </c>
      <c r="DE180" s="34">
        <v>0</v>
      </c>
      <c r="DF180" s="34">
        <v>0</v>
      </c>
      <c r="DG180" s="34">
        <v>0</v>
      </c>
      <c r="DH180" s="34">
        <v>0</v>
      </c>
      <c r="DI180" s="34">
        <v>0</v>
      </c>
      <c r="DJ180" s="34">
        <v>0</v>
      </c>
      <c r="DK180" s="34">
        <v>0</v>
      </c>
      <c r="DL180" s="34">
        <v>0</v>
      </c>
      <c r="DM180" s="34">
        <v>0</v>
      </c>
      <c r="DN180" s="34">
        <v>0</v>
      </c>
      <c r="DO180" s="34">
        <v>0</v>
      </c>
      <c r="DP180" s="34">
        <v>0</v>
      </c>
      <c r="DQ180" s="34">
        <v>0</v>
      </c>
      <c r="DR180" s="34">
        <v>0</v>
      </c>
    </row>
    <row r="181" spans="1:122" s="13" customFormat="1" hidden="1" outlineLevel="1" x14ac:dyDescent="0.35">
      <c r="A181" s="14">
        <v>42</v>
      </c>
      <c r="B181" s="34">
        <v>0</v>
      </c>
      <c r="C181" s="34">
        <v>0</v>
      </c>
      <c r="D181" s="34">
        <v>0</v>
      </c>
      <c r="E181" s="34">
        <v>0</v>
      </c>
      <c r="F181" s="34">
        <v>0</v>
      </c>
      <c r="G181" s="34">
        <v>0</v>
      </c>
      <c r="H181" s="34">
        <v>0</v>
      </c>
      <c r="I181" s="34">
        <v>0</v>
      </c>
      <c r="J181" s="34">
        <v>0</v>
      </c>
      <c r="K181" s="34">
        <v>0</v>
      </c>
      <c r="L181" s="34">
        <v>0</v>
      </c>
      <c r="M181" s="34">
        <v>0</v>
      </c>
      <c r="N181" s="34">
        <v>0</v>
      </c>
      <c r="O181" s="34">
        <v>0</v>
      </c>
      <c r="P181" s="34">
        <v>0</v>
      </c>
      <c r="Q181" s="34">
        <v>0</v>
      </c>
      <c r="R181" s="34">
        <v>0</v>
      </c>
      <c r="S181" s="34">
        <v>0</v>
      </c>
      <c r="T181" s="34">
        <v>0</v>
      </c>
      <c r="U181" s="34">
        <v>0</v>
      </c>
      <c r="V181" s="34">
        <v>0</v>
      </c>
      <c r="W181" s="34">
        <v>0</v>
      </c>
      <c r="X181" s="34">
        <v>0</v>
      </c>
      <c r="Y181" s="34">
        <v>0</v>
      </c>
      <c r="Z181" s="34">
        <v>0</v>
      </c>
      <c r="AA181" s="34">
        <v>0</v>
      </c>
      <c r="AB181" s="34">
        <v>0</v>
      </c>
      <c r="AC181" s="34">
        <v>0</v>
      </c>
      <c r="AD181" s="34">
        <v>0</v>
      </c>
      <c r="AE181" s="34">
        <v>0</v>
      </c>
      <c r="AF181" s="34">
        <v>0</v>
      </c>
      <c r="AG181" s="34">
        <v>0</v>
      </c>
      <c r="AH181" s="34">
        <v>0</v>
      </c>
      <c r="AI181" s="34">
        <v>0</v>
      </c>
      <c r="AJ181" s="34">
        <v>0</v>
      </c>
      <c r="AK181" s="34">
        <v>0</v>
      </c>
      <c r="AL181" s="34">
        <v>0</v>
      </c>
      <c r="AM181" s="34">
        <v>0</v>
      </c>
      <c r="AN181" s="34">
        <v>0</v>
      </c>
      <c r="AO181" s="34">
        <v>0</v>
      </c>
      <c r="AP181" s="34">
        <v>0</v>
      </c>
      <c r="AQ181" s="34">
        <v>0</v>
      </c>
      <c r="AR181" s="34">
        <v>1</v>
      </c>
      <c r="AS181" s="34">
        <v>1</v>
      </c>
      <c r="AT181" s="34">
        <v>1</v>
      </c>
      <c r="AU181" s="34">
        <v>1</v>
      </c>
      <c r="AV181" s="34">
        <v>1</v>
      </c>
      <c r="AW181" s="34">
        <v>1</v>
      </c>
      <c r="AX181" s="34">
        <v>1</v>
      </c>
      <c r="AY181" s="34">
        <v>1</v>
      </c>
      <c r="AZ181" s="34">
        <v>1</v>
      </c>
      <c r="BA181" s="34">
        <v>1</v>
      </c>
      <c r="BB181" s="34">
        <v>1</v>
      </c>
      <c r="BC181" s="34">
        <v>1</v>
      </c>
      <c r="BD181" s="34">
        <v>1</v>
      </c>
      <c r="BE181" s="34">
        <v>1</v>
      </c>
      <c r="BF181" s="34">
        <v>1</v>
      </c>
      <c r="BG181" s="34">
        <v>1</v>
      </c>
      <c r="BH181" s="34">
        <v>1</v>
      </c>
      <c r="BI181" s="34">
        <v>1</v>
      </c>
      <c r="BJ181" s="34">
        <v>1</v>
      </c>
      <c r="BK181" s="34">
        <v>1</v>
      </c>
      <c r="BL181" s="34">
        <v>1</v>
      </c>
      <c r="BM181" s="34">
        <v>1</v>
      </c>
      <c r="BN181" s="34">
        <v>1</v>
      </c>
      <c r="BO181" s="34">
        <v>1</v>
      </c>
      <c r="BP181" s="34">
        <v>1</v>
      </c>
      <c r="BQ181" s="34">
        <v>1</v>
      </c>
      <c r="BR181" s="34">
        <v>1</v>
      </c>
      <c r="BS181" s="34">
        <v>1</v>
      </c>
      <c r="BT181" s="34">
        <v>1</v>
      </c>
      <c r="BU181" s="34">
        <v>1</v>
      </c>
      <c r="BV181" s="34">
        <v>1</v>
      </c>
      <c r="BW181" s="34">
        <v>1</v>
      </c>
      <c r="BX181" s="34">
        <v>1</v>
      </c>
      <c r="BY181" s="34">
        <v>1</v>
      </c>
      <c r="BZ181" s="34">
        <v>1</v>
      </c>
      <c r="CA181" s="34">
        <v>1</v>
      </c>
      <c r="CB181" s="34">
        <v>1</v>
      </c>
      <c r="CC181" s="34">
        <v>1</v>
      </c>
      <c r="CD181" s="34">
        <v>1</v>
      </c>
      <c r="CE181" s="34">
        <v>1</v>
      </c>
      <c r="CF181" s="34">
        <v>0</v>
      </c>
      <c r="CG181" s="34">
        <v>0</v>
      </c>
      <c r="CH181" s="34">
        <v>0</v>
      </c>
      <c r="CI181" s="34">
        <v>0</v>
      </c>
      <c r="CJ181" s="34">
        <v>0</v>
      </c>
      <c r="CK181" s="34">
        <v>0</v>
      </c>
      <c r="CL181" s="34">
        <v>0</v>
      </c>
      <c r="CM181" s="34">
        <v>0</v>
      </c>
      <c r="CN181" s="34">
        <v>0</v>
      </c>
      <c r="CO181" s="34">
        <v>0</v>
      </c>
      <c r="CP181" s="34">
        <v>0</v>
      </c>
      <c r="CQ181" s="34">
        <v>0</v>
      </c>
      <c r="CR181" s="34">
        <v>0</v>
      </c>
      <c r="CS181" s="34">
        <v>0</v>
      </c>
      <c r="CT181" s="34">
        <v>0</v>
      </c>
      <c r="CU181" s="34">
        <v>0</v>
      </c>
      <c r="CV181" s="34">
        <v>0</v>
      </c>
      <c r="CW181" s="34">
        <v>0</v>
      </c>
      <c r="CX181" s="34">
        <v>0</v>
      </c>
      <c r="CY181" s="34">
        <v>0</v>
      </c>
      <c r="CZ181" s="34">
        <v>0</v>
      </c>
      <c r="DA181" s="34">
        <v>0</v>
      </c>
      <c r="DB181" s="34">
        <v>0</v>
      </c>
      <c r="DC181" s="34">
        <v>0</v>
      </c>
      <c r="DD181" s="34">
        <v>0</v>
      </c>
      <c r="DE181" s="34">
        <v>0</v>
      </c>
      <c r="DF181" s="34">
        <v>0</v>
      </c>
      <c r="DG181" s="34">
        <v>0</v>
      </c>
      <c r="DH181" s="34">
        <v>0</v>
      </c>
      <c r="DI181" s="34">
        <v>0</v>
      </c>
      <c r="DJ181" s="34">
        <v>0</v>
      </c>
      <c r="DK181" s="34">
        <v>0</v>
      </c>
      <c r="DL181" s="34">
        <v>0</v>
      </c>
      <c r="DM181" s="34">
        <v>0</v>
      </c>
      <c r="DN181" s="34">
        <v>0</v>
      </c>
      <c r="DO181" s="34">
        <v>0</v>
      </c>
      <c r="DP181" s="34">
        <v>0</v>
      </c>
      <c r="DQ181" s="34">
        <v>0</v>
      </c>
      <c r="DR181" s="34">
        <v>0</v>
      </c>
    </row>
    <row r="182" spans="1:122" s="13" customFormat="1" hidden="1" outlineLevel="1" x14ac:dyDescent="0.35">
      <c r="A182" s="14">
        <v>43</v>
      </c>
      <c r="B182" s="34">
        <v>0</v>
      </c>
      <c r="C182" s="34">
        <v>0</v>
      </c>
      <c r="D182" s="34">
        <v>0</v>
      </c>
      <c r="E182" s="34">
        <v>0</v>
      </c>
      <c r="F182" s="34">
        <v>0</v>
      </c>
      <c r="G182" s="34">
        <v>0</v>
      </c>
      <c r="H182" s="34">
        <v>0</v>
      </c>
      <c r="I182" s="34">
        <v>0</v>
      </c>
      <c r="J182" s="34">
        <v>0</v>
      </c>
      <c r="K182" s="34">
        <v>0</v>
      </c>
      <c r="L182" s="34">
        <v>0</v>
      </c>
      <c r="M182" s="34">
        <v>0</v>
      </c>
      <c r="N182" s="34">
        <v>0</v>
      </c>
      <c r="O182" s="34">
        <v>0</v>
      </c>
      <c r="P182" s="34">
        <v>0</v>
      </c>
      <c r="Q182" s="34">
        <v>0</v>
      </c>
      <c r="R182" s="34">
        <v>0</v>
      </c>
      <c r="S182" s="34">
        <v>0</v>
      </c>
      <c r="T182" s="34">
        <v>0</v>
      </c>
      <c r="U182" s="34">
        <v>0</v>
      </c>
      <c r="V182" s="34">
        <v>0</v>
      </c>
      <c r="W182" s="34">
        <v>0</v>
      </c>
      <c r="X182" s="34">
        <v>0</v>
      </c>
      <c r="Y182" s="34">
        <v>0</v>
      </c>
      <c r="Z182" s="34">
        <v>0</v>
      </c>
      <c r="AA182" s="34">
        <v>0</v>
      </c>
      <c r="AB182" s="34">
        <v>0</v>
      </c>
      <c r="AC182" s="34">
        <v>0</v>
      </c>
      <c r="AD182" s="34">
        <v>0</v>
      </c>
      <c r="AE182" s="34">
        <v>0</v>
      </c>
      <c r="AF182" s="34">
        <v>0</v>
      </c>
      <c r="AG182" s="34">
        <v>0</v>
      </c>
      <c r="AH182" s="34">
        <v>0</v>
      </c>
      <c r="AI182" s="34">
        <v>0</v>
      </c>
      <c r="AJ182" s="34">
        <v>0</v>
      </c>
      <c r="AK182" s="34">
        <v>0</v>
      </c>
      <c r="AL182" s="34">
        <v>0</v>
      </c>
      <c r="AM182" s="34">
        <v>0</v>
      </c>
      <c r="AN182" s="34">
        <v>0</v>
      </c>
      <c r="AO182" s="34">
        <v>0</v>
      </c>
      <c r="AP182" s="34">
        <v>0</v>
      </c>
      <c r="AQ182" s="34">
        <v>0</v>
      </c>
      <c r="AR182" s="34">
        <v>0</v>
      </c>
      <c r="AS182" s="34">
        <v>1</v>
      </c>
      <c r="AT182" s="34">
        <v>1</v>
      </c>
      <c r="AU182" s="34">
        <v>1</v>
      </c>
      <c r="AV182" s="34">
        <v>1</v>
      </c>
      <c r="AW182" s="34">
        <v>1</v>
      </c>
      <c r="AX182" s="34">
        <v>1</v>
      </c>
      <c r="AY182" s="34">
        <v>1</v>
      </c>
      <c r="AZ182" s="34">
        <v>1</v>
      </c>
      <c r="BA182" s="34">
        <v>1</v>
      </c>
      <c r="BB182" s="34">
        <v>1</v>
      </c>
      <c r="BC182" s="34">
        <v>1</v>
      </c>
      <c r="BD182" s="34">
        <v>1</v>
      </c>
      <c r="BE182" s="34">
        <v>1</v>
      </c>
      <c r="BF182" s="34">
        <v>1</v>
      </c>
      <c r="BG182" s="34">
        <v>1</v>
      </c>
      <c r="BH182" s="34">
        <v>1</v>
      </c>
      <c r="BI182" s="34">
        <v>1</v>
      </c>
      <c r="BJ182" s="34">
        <v>1</v>
      </c>
      <c r="BK182" s="34">
        <v>1</v>
      </c>
      <c r="BL182" s="34">
        <v>1</v>
      </c>
      <c r="BM182" s="34">
        <v>1</v>
      </c>
      <c r="BN182" s="34">
        <v>1</v>
      </c>
      <c r="BO182" s="34">
        <v>1</v>
      </c>
      <c r="BP182" s="34">
        <v>1</v>
      </c>
      <c r="BQ182" s="34">
        <v>1</v>
      </c>
      <c r="BR182" s="34">
        <v>1</v>
      </c>
      <c r="BS182" s="34">
        <v>1</v>
      </c>
      <c r="BT182" s="34">
        <v>1</v>
      </c>
      <c r="BU182" s="34">
        <v>1</v>
      </c>
      <c r="BV182" s="34">
        <v>1</v>
      </c>
      <c r="BW182" s="34">
        <v>1</v>
      </c>
      <c r="BX182" s="34">
        <v>1</v>
      </c>
      <c r="BY182" s="34">
        <v>1</v>
      </c>
      <c r="BZ182" s="34">
        <v>1</v>
      </c>
      <c r="CA182" s="34">
        <v>1</v>
      </c>
      <c r="CB182" s="34">
        <v>1</v>
      </c>
      <c r="CC182" s="34">
        <v>1</v>
      </c>
      <c r="CD182" s="34">
        <v>1</v>
      </c>
      <c r="CE182" s="34">
        <v>1</v>
      </c>
      <c r="CF182" s="34">
        <v>1</v>
      </c>
      <c r="CG182" s="34">
        <v>1</v>
      </c>
      <c r="CH182" s="34">
        <v>0</v>
      </c>
      <c r="CI182" s="34">
        <v>0</v>
      </c>
      <c r="CJ182" s="34">
        <v>0</v>
      </c>
      <c r="CK182" s="34">
        <v>0</v>
      </c>
      <c r="CL182" s="34">
        <v>0</v>
      </c>
      <c r="CM182" s="34">
        <v>0</v>
      </c>
      <c r="CN182" s="34">
        <v>0</v>
      </c>
      <c r="CO182" s="34">
        <v>0</v>
      </c>
      <c r="CP182" s="34">
        <v>0</v>
      </c>
      <c r="CQ182" s="34">
        <v>0</v>
      </c>
      <c r="CR182" s="34">
        <v>0</v>
      </c>
      <c r="CS182" s="34">
        <v>0</v>
      </c>
      <c r="CT182" s="34">
        <v>0</v>
      </c>
      <c r="CU182" s="34">
        <v>0</v>
      </c>
      <c r="CV182" s="34">
        <v>0</v>
      </c>
      <c r="CW182" s="34">
        <v>0</v>
      </c>
      <c r="CX182" s="34">
        <v>0</v>
      </c>
      <c r="CY182" s="34">
        <v>0</v>
      </c>
      <c r="CZ182" s="34">
        <v>0</v>
      </c>
      <c r="DA182" s="34">
        <v>0</v>
      </c>
      <c r="DB182" s="34">
        <v>0</v>
      </c>
      <c r="DC182" s="34">
        <v>0</v>
      </c>
      <c r="DD182" s="34">
        <v>0</v>
      </c>
      <c r="DE182" s="34">
        <v>0</v>
      </c>
      <c r="DF182" s="34">
        <v>0</v>
      </c>
      <c r="DG182" s="34">
        <v>0</v>
      </c>
      <c r="DH182" s="34">
        <v>0</v>
      </c>
      <c r="DI182" s="34">
        <v>0</v>
      </c>
      <c r="DJ182" s="34">
        <v>0</v>
      </c>
      <c r="DK182" s="34">
        <v>0</v>
      </c>
      <c r="DL182" s="34">
        <v>0</v>
      </c>
      <c r="DM182" s="34">
        <v>0</v>
      </c>
      <c r="DN182" s="34">
        <v>0</v>
      </c>
      <c r="DO182" s="34">
        <v>0</v>
      </c>
      <c r="DP182" s="34">
        <v>0</v>
      </c>
      <c r="DQ182" s="34">
        <v>0</v>
      </c>
      <c r="DR182" s="34">
        <v>0</v>
      </c>
    </row>
    <row r="183" spans="1:122" s="13" customFormat="1" hidden="1" outlineLevel="1" x14ac:dyDescent="0.35">
      <c r="A183" s="14">
        <v>44</v>
      </c>
      <c r="B183" s="34">
        <v>0</v>
      </c>
      <c r="C183" s="34">
        <v>0</v>
      </c>
      <c r="D183" s="34">
        <v>0</v>
      </c>
      <c r="E183" s="34">
        <v>0</v>
      </c>
      <c r="F183" s="34">
        <v>0</v>
      </c>
      <c r="G183" s="34">
        <v>0</v>
      </c>
      <c r="H183" s="34">
        <v>0</v>
      </c>
      <c r="I183" s="34">
        <v>0</v>
      </c>
      <c r="J183" s="34">
        <v>0</v>
      </c>
      <c r="K183" s="34">
        <v>0</v>
      </c>
      <c r="L183" s="34">
        <v>0</v>
      </c>
      <c r="M183" s="34">
        <v>0</v>
      </c>
      <c r="N183" s="34">
        <v>0</v>
      </c>
      <c r="O183" s="34">
        <v>0</v>
      </c>
      <c r="P183" s="34">
        <v>0</v>
      </c>
      <c r="Q183" s="34">
        <v>0</v>
      </c>
      <c r="R183" s="34">
        <v>0</v>
      </c>
      <c r="S183" s="34">
        <v>0</v>
      </c>
      <c r="T183" s="34">
        <v>0</v>
      </c>
      <c r="U183" s="34">
        <v>0</v>
      </c>
      <c r="V183" s="34">
        <v>0</v>
      </c>
      <c r="W183" s="34">
        <v>0</v>
      </c>
      <c r="X183" s="34">
        <v>0</v>
      </c>
      <c r="Y183" s="34">
        <v>0</v>
      </c>
      <c r="Z183" s="34">
        <v>0</v>
      </c>
      <c r="AA183" s="34">
        <v>0</v>
      </c>
      <c r="AB183" s="34">
        <v>0</v>
      </c>
      <c r="AC183" s="34">
        <v>0</v>
      </c>
      <c r="AD183" s="34">
        <v>0</v>
      </c>
      <c r="AE183" s="34">
        <v>0</v>
      </c>
      <c r="AF183" s="34">
        <v>0</v>
      </c>
      <c r="AG183" s="34">
        <v>0</v>
      </c>
      <c r="AH183" s="34">
        <v>0</v>
      </c>
      <c r="AI183" s="34">
        <v>0</v>
      </c>
      <c r="AJ183" s="34">
        <v>0</v>
      </c>
      <c r="AK183" s="34">
        <v>0</v>
      </c>
      <c r="AL183" s="34">
        <v>0</v>
      </c>
      <c r="AM183" s="34">
        <v>0</v>
      </c>
      <c r="AN183" s="34">
        <v>0</v>
      </c>
      <c r="AO183" s="34">
        <v>0</v>
      </c>
      <c r="AP183" s="34">
        <v>0</v>
      </c>
      <c r="AQ183" s="34">
        <v>0</v>
      </c>
      <c r="AR183" s="34">
        <v>0</v>
      </c>
      <c r="AS183" s="34">
        <v>0</v>
      </c>
      <c r="AT183" s="34">
        <v>1</v>
      </c>
      <c r="AU183" s="34">
        <v>1</v>
      </c>
      <c r="AV183" s="34">
        <v>1</v>
      </c>
      <c r="AW183" s="34">
        <v>1</v>
      </c>
      <c r="AX183" s="34">
        <v>1</v>
      </c>
      <c r="AY183" s="34">
        <v>1</v>
      </c>
      <c r="AZ183" s="34">
        <v>1</v>
      </c>
      <c r="BA183" s="34">
        <v>1</v>
      </c>
      <c r="BB183" s="34">
        <v>1</v>
      </c>
      <c r="BC183" s="34">
        <v>1</v>
      </c>
      <c r="BD183" s="34">
        <v>1</v>
      </c>
      <c r="BE183" s="34">
        <v>1</v>
      </c>
      <c r="BF183" s="34">
        <v>1</v>
      </c>
      <c r="BG183" s="34">
        <v>1</v>
      </c>
      <c r="BH183" s="34">
        <v>1</v>
      </c>
      <c r="BI183" s="34">
        <v>1</v>
      </c>
      <c r="BJ183" s="34">
        <v>1</v>
      </c>
      <c r="BK183" s="34">
        <v>1</v>
      </c>
      <c r="BL183" s="34">
        <v>1</v>
      </c>
      <c r="BM183" s="34">
        <v>1</v>
      </c>
      <c r="BN183" s="34">
        <v>1</v>
      </c>
      <c r="BO183" s="34">
        <v>1</v>
      </c>
      <c r="BP183" s="34">
        <v>1</v>
      </c>
      <c r="BQ183" s="34">
        <v>1</v>
      </c>
      <c r="BR183" s="34">
        <v>1</v>
      </c>
      <c r="BS183" s="34">
        <v>1</v>
      </c>
      <c r="BT183" s="34">
        <v>1</v>
      </c>
      <c r="BU183" s="34">
        <v>1</v>
      </c>
      <c r="BV183" s="34">
        <v>1</v>
      </c>
      <c r="BW183" s="34">
        <v>1</v>
      </c>
      <c r="BX183" s="34">
        <v>1</v>
      </c>
      <c r="BY183" s="34">
        <v>1</v>
      </c>
      <c r="BZ183" s="34">
        <v>1</v>
      </c>
      <c r="CA183" s="34">
        <v>1</v>
      </c>
      <c r="CB183" s="34">
        <v>1</v>
      </c>
      <c r="CC183" s="34">
        <v>1</v>
      </c>
      <c r="CD183" s="34">
        <v>1</v>
      </c>
      <c r="CE183" s="34">
        <v>1</v>
      </c>
      <c r="CF183" s="34">
        <v>1</v>
      </c>
      <c r="CG183" s="34">
        <v>1</v>
      </c>
      <c r="CH183" s="34">
        <v>1</v>
      </c>
      <c r="CI183" s="34">
        <v>0</v>
      </c>
      <c r="CJ183" s="34">
        <v>0</v>
      </c>
      <c r="CK183" s="34">
        <v>0</v>
      </c>
      <c r="CL183" s="34">
        <v>0</v>
      </c>
      <c r="CM183" s="34">
        <v>0</v>
      </c>
      <c r="CN183" s="34">
        <v>0</v>
      </c>
      <c r="CO183" s="34">
        <v>0</v>
      </c>
      <c r="CP183" s="34">
        <v>0</v>
      </c>
      <c r="CQ183" s="34">
        <v>0</v>
      </c>
      <c r="CR183" s="34">
        <v>0</v>
      </c>
      <c r="CS183" s="34">
        <v>0</v>
      </c>
      <c r="CT183" s="34">
        <v>0</v>
      </c>
      <c r="CU183" s="34">
        <v>0</v>
      </c>
      <c r="CV183" s="34">
        <v>0</v>
      </c>
      <c r="CW183" s="34">
        <v>0</v>
      </c>
      <c r="CX183" s="34">
        <v>0</v>
      </c>
      <c r="CY183" s="34">
        <v>0</v>
      </c>
      <c r="CZ183" s="34">
        <v>0</v>
      </c>
      <c r="DA183" s="34">
        <v>0</v>
      </c>
      <c r="DB183" s="34">
        <v>0</v>
      </c>
      <c r="DC183" s="34">
        <v>0</v>
      </c>
      <c r="DD183" s="34">
        <v>0</v>
      </c>
      <c r="DE183" s="34">
        <v>0</v>
      </c>
      <c r="DF183" s="34">
        <v>0</v>
      </c>
      <c r="DG183" s="34">
        <v>0</v>
      </c>
      <c r="DH183" s="34">
        <v>0</v>
      </c>
      <c r="DI183" s="34">
        <v>0</v>
      </c>
      <c r="DJ183" s="34">
        <v>0</v>
      </c>
      <c r="DK183" s="34">
        <v>0</v>
      </c>
      <c r="DL183" s="34">
        <v>0</v>
      </c>
      <c r="DM183" s="34">
        <v>0</v>
      </c>
      <c r="DN183" s="34">
        <v>0</v>
      </c>
      <c r="DO183" s="34">
        <v>0</v>
      </c>
      <c r="DP183" s="34">
        <v>0</v>
      </c>
      <c r="DQ183" s="34">
        <v>0</v>
      </c>
      <c r="DR183" s="34">
        <v>0</v>
      </c>
    </row>
    <row r="184" spans="1:122" s="13" customFormat="1" hidden="1" outlineLevel="1" x14ac:dyDescent="0.35">
      <c r="A184" s="14">
        <v>45</v>
      </c>
      <c r="B184" s="34">
        <v>0</v>
      </c>
      <c r="C184" s="34">
        <v>0</v>
      </c>
      <c r="D184" s="34">
        <v>0</v>
      </c>
      <c r="E184" s="34">
        <v>0</v>
      </c>
      <c r="F184" s="34">
        <v>0</v>
      </c>
      <c r="G184" s="34">
        <v>0</v>
      </c>
      <c r="H184" s="34">
        <v>0</v>
      </c>
      <c r="I184" s="34">
        <v>0</v>
      </c>
      <c r="J184" s="34">
        <v>0</v>
      </c>
      <c r="K184" s="34">
        <v>0</v>
      </c>
      <c r="L184" s="34">
        <v>0</v>
      </c>
      <c r="M184" s="34">
        <v>0</v>
      </c>
      <c r="N184" s="34">
        <v>0</v>
      </c>
      <c r="O184" s="34">
        <v>0</v>
      </c>
      <c r="P184" s="34">
        <v>0</v>
      </c>
      <c r="Q184" s="34">
        <v>0</v>
      </c>
      <c r="R184" s="34">
        <v>0</v>
      </c>
      <c r="S184" s="34">
        <v>0</v>
      </c>
      <c r="T184" s="34">
        <v>0</v>
      </c>
      <c r="U184" s="34">
        <v>0</v>
      </c>
      <c r="V184" s="34">
        <v>0</v>
      </c>
      <c r="W184" s="34">
        <v>0</v>
      </c>
      <c r="X184" s="34">
        <v>0</v>
      </c>
      <c r="Y184" s="34">
        <v>0</v>
      </c>
      <c r="Z184" s="34">
        <v>0</v>
      </c>
      <c r="AA184" s="34">
        <v>0</v>
      </c>
      <c r="AB184" s="34">
        <v>0</v>
      </c>
      <c r="AC184" s="34">
        <v>0</v>
      </c>
      <c r="AD184" s="34">
        <v>0</v>
      </c>
      <c r="AE184" s="34">
        <v>0</v>
      </c>
      <c r="AF184" s="34">
        <v>0</v>
      </c>
      <c r="AG184" s="34">
        <v>0</v>
      </c>
      <c r="AH184" s="34">
        <v>0</v>
      </c>
      <c r="AI184" s="34">
        <v>0</v>
      </c>
      <c r="AJ184" s="34">
        <v>0</v>
      </c>
      <c r="AK184" s="34">
        <v>0</v>
      </c>
      <c r="AL184" s="34">
        <v>0</v>
      </c>
      <c r="AM184" s="34">
        <v>0</v>
      </c>
      <c r="AN184" s="34">
        <v>0</v>
      </c>
      <c r="AO184" s="34">
        <v>0</v>
      </c>
      <c r="AP184" s="34">
        <v>0</v>
      </c>
      <c r="AQ184" s="34">
        <v>0</v>
      </c>
      <c r="AR184" s="34">
        <v>0</v>
      </c>
      <c r="AS184" s="34">
        <v>0</v>
      </c>
      <c r="AT184" s="34">
        <v>0</v>
      </c>
      <c r="AU184" s="34">
        <v>1</v>
      </c>
      <c r="AV184" s="34">
        <v>1</v>
      </c>
      <c r="AW184" s="34">
        <v>1</v>
      </c>
      <c r="AX184" s="34">
        <v>1</v>
      </c>
      <c r="AY184" s="34">
        <v>1</v>
      </c>
      <c r="AZ184" s="34">
        <v>1</v>
      </c>
      <c r="BA184" s="34">
        <v>1</v>
      </c>
      <c r="BB184" s="34">
        <v>1</v>
      </c>
      <c r="BC184" s="34">
        <v>1</v>
      </c>
      <c r="BD184" s="34">
        <v>1</v>
      </c>
      <c r="BE184" s="34">
        <v>1</v>
      </c>
      <c r="BF184" s="34">
        <v>1</v>
      </c>
      <c r="BG184" s="34">
        <v>1</v>
      </c>
      <c r="BH184" s="34">
        <v>1</v>
      </c>
      <c r="BI184" s="34">
        <v>1</v>
      </c>
      <c r="BJ184" s="34">
        <v>1</v>
      </c>
      <c r="BK184" s="34">
        <v>1</v>
      </c>
      <c r="BL184" s="34">
        <v>1</v>
      </c>
      <c r="BM184" s="34">
        <v>1</v>
      </c>
      <c r="BN184" s="34">
        <v>1</v>
      </c>
      <c r="BO184" s="34">
        <v>1</v>
      </c>
      <c r="BP184" s="34">
        <v>1</v>
      </c>
      <c r="BQ184" s="34">
        <v>1</v>
      </c>
      <c r="BR184" s="34">
        <v>1</v>
      </c>
      <c r="BS184" s="34">
        <v>1</v>
      </c>
      <c r="BT184" s="34">
        <v>1</v>
      </c>
      <c r="BU184" s="34">
        <v>1</v>
      </c>
      <c r="BV184" s="34">
        <v>1</v>
      </c>
      <c r="BW184" s="34">
        <v>1</v>
      </c>
      <c r="BX184" s="34">
        <v>1</v>
      </c>
      <c r="BY184" s="34">
        <v>1</v>
      </c>
      <c r="BZ184" s="34">
        <v>1</v>
      </c>
      <c r="CA184" s="34">
        <v>1</v>
      </c>
      <c r="CB184" s="34">
        <v>1</v>
      </c>
      <c r="CC184" s="34">
        <v>1</v>
      </c>
      <c r="CD184" s="34">
        <v>1</v>
      </c>
      <c r="CE184" s="34">
        <v>1</v>
      </c>
      <c r="CF184" s="34">
        <v>1</v>
      </c>
      <c r="CG184" s="34">
        <v>1</v>
      </c>
      <c r="CH184" s="34">
        <v>1</v>
      </c>
      <c r="CI184" s="34">
        <v>1</v>
      </c>
      <c r="CJ184" s="34">
        <v>0</v>
      </c>
      <c r="CK184" s="34">
        <v>0</v>
      </c>
      <c r="CL184" s="34">
        <v>0</v>
      </c>
      <c r="CM184" s="34">
        <v>0</v>
      </c>
      <c r="CN184" s="34">
        <v>0</v>
      </c>
      <c r="CO184" s="34">
        <v>0</v>
      </c>
      <c r="CP184" s="34">
        <v>0</v>
      </c>
      <c r="CQ184" s="34">
        <v>0</v>
      </c>
      <c r="CR184" s="34">
        <v>0</v>
      </c>
      <c r="CS184" s="34">
        <v>0</v>
      </c>
      <c r="CT184" s="34">
        <v>0</v>
      </c>
      <c r="CU184" s="34">
        <v>0</v>
      </c>
      <c r="CV184" s="34">
        <v>0</v>
      </c>
      <c r="CW184" s="34">
        <v>0</v>
      </c>
      <c r="CX184" s="34">
        <v>0</v>
      </c>
      <c r="CY184" s="34">
        <v>0</v>
      </c>
      <c r="CZ184" s="34">
        <v>0</v>
      </c>
      <c r="DA184" s="34">
        <v>0</v>
      </c>
      <c r="DB184" s="34">
        <v>0</v>
      </c>
      <c r="DC184" s="34">
        <v>0</v>
      </c>
      <c r="DD184" s="34">
        <v>0</v>
      </c>
      <c r="DE184" s="34">
        <v>0</v>
      </c>
      <c r="DF184" s="34">
        <v>0</v>
      </c>
      <c r="DG184" s="34">
        <v>0</v>
      </c>
      <c r="DH184" s="34">
        <v>0</v>
      </c>
      <c r="DI184" s="34">
        <v>0</v>
      </c>
      <c r="DJ184" s="34">
        <v>0</v>
      </c>
      <c r="DK184" s="34">
        <v>0</v>
      </c>
      <c r="DL184" s="34">
        <v>0</v>
      </c>
      <c r="DM184" s="34">
        <v>0</v>
      </c>
      <c r="DN184" s="34">
        <v>0</v>
      </c>
      <c r="DO184" s="34">
        <v>0</v>
      </c>
      <c r="DP184" s="34">
        <v>0</v>
      </c>
      <c r="DQ184" s="34">
        <v>0</v>
      </c>
      <c r="DR184" s="34">
        <v>0</v>
      </c>
    </row>
    <row r="185" spans="1:122" s="13" customFormat="1" hidden="1" outlineLevel="1" x14ac:dyDescent="0.35">
      <c r="A185" s="14">
        <v>46</v>
      </c>
      <c r="B185" s="34">
        <v>0</v>
      </c>
      <c r="C185" s="34">
        <v>0</v>
      </c>
      <c r="D185" s="34">
        <v>0</v>
      </c>
      <c r="E185" s="34">
        <v>0</v>
      </c>
      <c r="F185" s="34">
        <v>0</v>
      </c>
      <c r="G185" s="34">
        <v>0</v>
      </c>
      <c r="H185" s="34">
        <v>0</v>
      </c>
      <c r="I185" s="34">
        <v>0</v>
      </c>
      <c r="J185" s="34">
        <v>0</v>
      </c>
      <c r="K185" s="34">
        <v>0</v>
      </c>
      <c r="L185" s="34">
        <v>0</v>
      </c>
      <c r="M185" s="34">
        <v>0</v>
      </c>
      <c r="N185" s="34">
        <v>0</v>
      </c>
      <c r="O185" s="34">
        <v>0</v>
      </c>
      <c r="P185" s="34">
        <v>0</v>
      </c>
      <c r="Q185" s="34">
        <v>0</v>
      </c>
      <c r="R185" s="34">
        <v>0</v>
      </c>
      <c r="S185" s="34">
        <v>0</v>
      </c>
      <c r="T185" s="34">
        <v>0</v>
      </c>
      <c r="U185" s="34">
        <v>0</v>
      </c>
      <c r="V185" s="34">
        <v>0</v>
      </c>
      <c r="W185" s="34">
        <v>0</v>
      </c>
      <c r="X185" s="34">
        <v>0</v>
      </c>
      <c r="Y185" s="34">
        <v>0</v>
      </c>
      <c r="Z185" s="34">
        <v>0</v>
      </c>
      <c r="AA185" s="34">
        <v>0</v>
      </c>
      <c r="AB185" s="34">
        <v>0</v>
      </c>
      <c r="AC185" s="34">
        <v>0</v>
      </c>
      <c r="AD185" s="34">
        <v>0</v>
      </c>
      <c r="AE185" s="34">
        <v>0</v>
      </c>
      <c r="AF185" s="34">
        <v>0</v>
      </c>
      <c r="AG185" s="34">
        <v>0</v>
      </c>
      <c r="AH185" s="34">
        <v>0</v>
      </c>
      <c r="AI185" s="34">
        <v>0</v>
      </c>
      <c r="AJ185" s="34">
        <v>0</v>
      </c>
      <c r="AK185" s="34">
        <v>0</v>
      </c>
      <c r="AL185" s="34">
        <v>0</v>
      </c>
      <c r="AM185" s="34">
        <v>0</v>
      </c>
      <c r="AN185" s="34">
        <v>0</v>
      </c>
      <c r="AO185" s="34">
        <v>0</v>
      </c>
      <c r="AP185" s="34">
        <v>0</v>
      </c>
      <c r="AQ185" s="34">
        <v>0</v>
      </c>
      <c r="AR185" s="34">
        <v>0</v>
      </c>
      <c r="AS185" s="34">
        <v>0</v>
      </c>
      <c r="AT185" s="34">
        <v>0</v>
      </c>
      <c r="AU185" s="34">
        <v>0</v>
      </c>
      <c r="AV185" s="34">
        <v>1</v>
      </c>
      <c r="AW185" s="34">
        <v>1</v>
      </c>
      <c r="AX185" s="34">
        <v>1</v>
      </c>
      <c r="AY185" s="34">
        <v>1</v>
      </c>
      <c r="AZ185" s="34">
        <v>1</v>
      </c>
      <c r="BA185" s="34">
        <v>1</v>
      </c>
      <c r="BB185" s="34">
        <v>1</v>
      </c>
      <c r="BC185" s="34">
        <v>1</v>
      </c>
      <c r="BD185" s="34">
        <v>1</v>
      </c>
      <c r="BE185" s="34">
        <v>1</v>
      </c>
      <c r="BF185" s="34">
        <v>1</v>
      </c>
      <c r="BG185" s="34">
        <v>1</v>
      </c>
      <c r="BH185" s="34">
        <v>1</v>
      </c>
      <c r="BI185" s="34">
        <v>1</v>
      </c>
      <c r="BJ185" s="34">
        <v>1</v>
      </c>
      <c r="BK185" s="34">
        <v>1</v>
      </c>
      <c r="BL185" s="34">
        <v>1</v>
      </c>
      <c r="BM185" s="34">
        <v>1</v>
      </c>
      <c r="BN185" s="34">
        <v>1</v>
      </c>
      <c r="BO185" s="34">
        <v>1</v>
      </c>
      <c r="BP185" s="34">
        <v>1</v>
      </c>
      <c r="BQ185" s="34">
        <v>1</v>
      </c>
      <c r="BR185" s="34">
        <v>1</v>
      </c>
      <c r="BS185" s="34">
        <v>1</v>
      </c>
      <c r="BT185" s="34">
        <v>1</v>
      </c>
      <c r="BU185" s="34">
        <v>1</v>
      </c>
      <c r="BV185" s="34">
        <v>1</v>
      </c>
      <c r="BW185" s="34">
        <v>1</v>
      </c>
      <c r="BX185" s="34">
        <v>1</v>
      </c>
      <c r="BY185" s="34">
        <v>1</v>
      </c>
      <c r="BZ185" s="34">
        <v>1</v>
      </c>
      <c r="CA185" s="34">
        <v>1</v>
      </c>
      <c r="CB185" s="34">
        <v>1</v>
      </c>
      <c r="CC185" s="34">
        <v>1</v>
      </c>
      <c r="CD185" s="34">
        <v>1</v>
      </c>
      <c r="CE185" s="34">
        <v>1</v>
      </c>
      <c r="CF185" s="34">
        <v>1</v>
      </c>
      <c r="CG185" s="34">
        <v>1</v>
      </c>
      <c r="CH185" s="34">
        <v>1</v>
      </c>
      <c r="CI185" s="34">
        <v>1</v>
      </c>
      <c r="CJ185" s="34">
        <v>1</v>
      </c>
      <c r="CK185" s="34">
        <v>0</v>
      </c>
      <c r="CL185" s="34">
        <v>0</v>
      </c>
      <c r="CM185" s="34">
        <v>0</v>
      </c>
      <c r="CN185" s="34">
        <v>0</v>
      </c>
      <c r="CO185" s="34">
        <v>0</v>
      </c>
      <c r="CP185" s="34">
        <v>0</v>
      </c>
      <c r="CQ185" s="34">
        <v>0</v>
      </c>
      <c r="CR185" s="34">
        <v>0</v>
      </c>
      <c r="CS185" s="34">
        <v>0</v>
      </c>
      <c r="CT185" s="34">
        <v>0</v>
      </c>
      <c r="CU185" s="34">
        <v>0</v>
      </c>
      <c r="CV185" s="34">
        <v>0</v>
      </c>
      <c r="CW185" s="34">
        <v>0</v>
      </c>
      <c r="CX185" s="34">
        <v>0</v>
      </c>
      <c r="CY185" s="34">
        <v>0</v>
      </c>
      <c r="CZ185" s="34">
        <v>0</v>
      </c>
      <c r="DA185" s="34">
        <v>0</v>
      </c>
      <c r="DB185" s="34">
        <v>0</v>
      </c>
      <c r="DC185" s="34">
        <v>0</v>
      </c>
      <c r="DD185" s="34">
        <v>0</v>
      </c>
      <c r="DE185" s="34">
        <v>0</v>
      </c>
      <c r="DF185" s="34">
        <v>0</v>
      </c>
      <c r="DG185" s="34">
        <v>0</v>
      </c>
      <c r="DH185" s="34">
        <v>0</v>
      </c>
      <c r="DI185" s="34">
        <v>0</v>
      </c>
      <c r="DJ185" s="34">
        <v>0</v>
      </c>
      <c r="DK185" s="34">
        <v>0</v>
      </c>
      <c r="DL185" s="34">
        <v>0</v>
      </c>
      <c r="DM185" s="34">
        <v>0</v>
      </c>
      <c r="DN185" s="34">
        <v>0</v>
      </c>
      <c r="DO185" s="34">
        <v>0</v>
      </c>
      <c r="DP185" s="34">
        <v>0</v>
      </c>
      <c r="DQ185" s="34">
        <v>0</v>
      </c>
      <c r="DR185" s="34">
        <v>0</v>
      </c>
    </row>
    <row r="186" spans="1:122" s="13" customFormat="1" hidden="1" outlineLevel="1" x14ac:dyDescent="0.35">
      <c r="A186" s="14">
        <v>47</v>
      </c>
      <c r="B186" s="34">
        <v>0</v>
      </c>
      <c r="C186" s="34">
        <v>0</v>
      </c>
      <c r="D186" s="34">
        <v>0</v>
      </c>
      <c r="E186" s="34">
        <v>0</v>
      </c>
      <c r="F186" s="34">
        <v>0</v>
      </c>
      <c r="G186" s="34">
        <v>0</v>
      </c>
      <c r="H186" s="34">
        <v>0</v>
      </c>
      <c r="I186" s="34">
        <v>0</v>
      </c>
      <c r="J186" s="34">
        <v>0</v>
      </c>
      <c r="K186" s="34">
        <v>0</v>
      </c>
      <c r="L186" s="34">
        <v>0</v>
      </c>
      <c r="M186" s="34">
        <v>0</v>
      </c>
      <c r="N186" s="34">
        <v>0</v>
      </c>
      <c r="O186" s="34">
        <v>0</v>
      </c>
      <c r="P186" s="34">
        <v>0</v>
      </c>
      <c r="Q186" s="34">
        <v>0</v>
      </c>
      <c r="R186" s="34">
        <v>0</v>
      </c>
      <c r="S186" s="34">
        <v>0</v>
      </c>
      <c r="T186" s="34">
        <v>0</v>
      </c>
      <c r="U186" s="34">
        <v>0</v>
      </c>
      <c r="V186" s="34">
        <v>0</v>
      </c>
      <c r="W186" s="34">
        <v>0</v>
      </c>
      <c r="X186" s="34">
        <v>0</v>
      </c>
      <c r="Y186" s="34">
        <v>0</v>
      </c>
      <c r="Z186" s="34">
        <v>0</v>
      </c>
      <c r="AA186" s="34">
        <v>0</v>
      </c>
      <c r="AB186" s="34">
        <v>0</v>
      </c>
      <c r="AC186" s="34">
        <v>0</v>
      </c>
      <c r="AD186" s="34">
        <v>0</v>
      </c>
      <c r="AE186" s="34">
        <v>0</v>
      </c>
      <c r="AF186" s="34">
        <v>0</v>
      </c>
      <c r="AG186" s="34">
        <v>0</v>
      </c>
      <c r="AH186" s="34">
        <v>0</v>
      </c>
      <c r="AI186" s="34">
        <v>0</v>
      </c>
      <c r="AJ186" s="34">
        <v>0</v>
      </c>
      <c r="AK186" s="34">
        <v>0</v>
      </c>
      <c r="AL186" s="34">
        <v>0</v>
      </c>
      <c r="AM186" s="34">
        <v>0</v>
      </c>
      <c r="AN186" s="34">
        <v>0</v>
      </c>
      <c r="AO186" s="34">
        <v>0</v>
      </c>
      <c r="AP186" s="34">
        <v>0</v>
      </c>
      <c r="AQ186" s="34">
        <v>0</v>
      </c>
      <c r="AR186" s="34">
        <v>0</v>
      </c>
      <c r="AS186" s="34">
        <v>0</v>
      </c>
      <c r="AT186" s="34">
        <v>0</v>
      </c>
      <c r="AU186" s="34">
        <v>0</v>
      </c>
      <c r="AV186" s="34">
        <v>0</v>
      </c>
      <c r="AW186" s="34">
        <v>1</v>
      </c>
      <c r="AX186" s="34">
        <v>1</v>
      </c>
      <c r="AY186" s="34">
        <v>1</v>
      </c>
      <c r="AZ186" s="34">
        <v>1</v>
      </c>
      <c r="BA186" s="34">
        <v>1</v>
      </c>
      <c r="BB186" s="34">
        <v>1</v>
      </c>
      <c r="BC186" s="34">
        <v>1</v>
      </c>
      <c r="BD186" s="34">
        <v>1</v>
      </c>
      <c r="BE186" s="34">
        <v>1</v>
      </c>
      <c r="BF186" s="34">
        <v>1</v>
      </c>
      <c r="BG186" s="34">
        <v>1</v>
      </c>
      <c r="BH186" s="34">
        <v>1</v>
      </c>
      <c r="BI186" s="34">
        <v>1</v>
      </c>
      <c r="BJ186" s="34">
        <v>1</v>
      </c>
      <c r="BK186" s="34">
        <v>1</v>
      </c>
      <c r="BL186" s="34">
        <v>1</v>
      </c>
      <c r="BM186" s="34">
        <v>1</v>
      </c>
      <c r="BN186" s="34">
        <v>1</v>
      </c>
      <c r="BO186" s="34">
        <v>1</v>
      </c>
      <c r="BP186" s="34">
        <v>1</v>
      </c>
      <c r="BQ186" s="34">
        <v>1</v>
      </c>
      <c r="BR186" s="34">
        <v>1</v>
      </c>
      <c r="BS186" s="34">
        <v>1</v>
      </c>
      <c r="BT186" s="34">
        <v>1</v>
      </c>
      <c r="BU186" s="34">
        <v>1</v>
      </c>
      <c r="BV186" s="34">
        <v>1</v>
      </c>
      <c r="BW186" s="34">
        <v>1</v>
      </c>
      <c r="BX186" s="34">
        <v>1</v>
      </c>
      <c r="BY186" s="34">
        <v>1</v>
      </c>
      <c r="BZ186" s="34">
        <v>1</v>
      </c>
      <c r="CA186" s="34">
        <v>1</v>
      </c>
      <c r="CB186" s="34">
        <v>1</v>
      </c>
      <c r="CC186" s="34">
        <v>1</v>
      </c>
      <c r="CD186" s="34">
        <v>1</v>
      </c>
      <c r="CE186" s="34">
        <v>1</v>
      </c>
      <c r="CF186" s="34">
        <v>1</v>
      </c>
      <c r="CG186" s="34">
        <v>1</v>
      </c>
      <c r="CH186" s="34">
        <v>1</v>
      </c>
      <c r="CI186" s="34">
        <v>1</v>
      </c>
      <c r="CJ186" s="34">
        <v>1</v>
      </c>
      <c r="CK186" s="34">
        <v>0</v>
      </c>
      <c r="CL186" s="34">
        <v>0</v>
      </c>
      <c r="CM186" s="34">
        <v>0</v>
      </c>
      <c r="CN186" s="34">
        <v>0</v>
      </c>
      <c r="CO186" s="34">
        <v>0</v>
      </c>
      <c r="CP186" s="34">
        <v>0</v>
      </c>
      <c r="CQ186" s="34">
        <v>0</v>
      </c>
      <c r="CR186" s="34">
        <v>0</v>
      </c>
      <c r="CS186" s="34">
        <v>0</v>
      </c>
      <c r="CT186" s="34">
        <v>0</v>
      </c>
      <c r="CU186" s="34">
        <v>0</v>
      </c>
      <c r="CV186" s="34">
        <v>0</v>
      </c>
      <c r="CW186" s="34">
        <v>0</v>
      </c>
      <c r="CX186" s="34">
        <v>0</v>
      </c>
      <c r="CY186" s="34">
        <v>0</v>
      </c>
      <c r="CZ186" s="34">
        <v>0</v>
      </c>
      <c r="DA186" s="34">
        <v>0</v>
      </c>
      <c r="DB186" s="34">
        <v>0</v>
      </c>
      <c r="DC186" s="34">
        <v>0</v>
      </c>
      <c r="DD186" s="34">
        <v>0</v>
      </c>
      <c r="DE186" s="34">
        <v>0</v>
      </c>
      <c r="DF186" s="34">
        <v>0</v>
      </c>
      <c r="DG186" s="34">
        <v>0</v>
      </c>
      <c r="DH186" s="34">
        <v>0</v>
      </c>
      <c r="DI186" s="34">
        <v>0</v>
      </c>
      <c r="DJ186" s="34">
        <v>0</v>
      </c>
      <c r="DK186" s="34">
        <v>0</v>
      </c>
      <c r="DL186" s="34">
        <v>0</v>
      </c>
      <c r="DM186" s="34">
        <v>0</v>
      </c>
      <c r="DN186" s="34">
        <v>0</v>
      </c>
      <c r="DO186" s="34">
        <v>0</v>
      </c>
      <c r="DP186" s="34">
        <v>0</v>
      </c>
      <c r="DQ186" s="34">
        <v>0</v>
      </c>
      <c r="DR186" s="34">
        <v>0</v>
      </c>
    </row>
    <row r="187" spans="1:122" s="13" customFormat="1" hidden="1" outlineLevel="1" x14ac:dyDescent="0.35">
      <c r="A187" s="14">
        <v>48</v>
      </c>
      <c r="B187" s="34">
        <v>0</v>
      </c>
      <c r="C187" s="34">
        <v>0</v>
      </c>
      <c r="D187" s="34">
        <v>0</v>
      </c>
      <c r="E187" s="34">
        <v>0</v>
      </c>
      <c r="F187" s="34">
        <v>0</v>
      </c>
      <c r="G187" s="34">
        <v>0</v>
      </c>
      <c r="H187" s="34">
        <v>0</v>
      </c>
      <c r="I187" s="34">
        <v>0</v>
      </c>
      <c r="J187" s="34">
        <v>0</v>
      </c>
      <c r="K187" s="34">
        <v>0</v>
      </c>
      <c r="L187" s="34">
        <v>0</v>
      </c>
      <c r="M187" s="34">
        <v>0</v>
      </c>
      <c r="N187" s="34">
        <v>0</v>
      </c>
      <c r="O187" s="34">
        <v>0</v>
      </c>
      <c r="P187" s="34">
        <v>0</v>
      </c>
      <c r="Q187" s="34">
        <v>0</v>
      </c>
      <c r="R187" s="34">
        <v>0</v>
      </c>
      <c r="S187" s="34">
        <v>0</v>
      </c>
      <c r="T187" s="34">
        <v>0</v>
      </c>
      <c r="U187" s="34">
        <v>0</v>
      </c>
      <c r="V187" s="34">
        <v>0</v>
      </c>
      <c r="W187" s="34">
        <v>0</v>
      </c>
      <c r="X187" s="34">
        <v>0</v>
      </c>
      <c r="Y187" s="34">
        <v>0</v>
      </c>
      <c r="Z187" s="34">
        <v>0</v>
      </c>
      <c r="AA187" s="34">
        <v>0</v>
      </c>
      <c r="AB187" s="34">
        <v>0</v>
      </c>
      <c r="AC187" s="34">
        <v>0</v>
      </c>
      <c r="AD187" s="34">
        <v>0</v>
      </c>
      <c r="AE187" s="34">
        <v>0</v>
      </c>
      <c r="AF187" s="34">
        <v>0</v>
      </c>
      <c r="AG187" s="34">
        <v>0</v>
      </c>
      <c r="AH187" s="34">
        <v>0</v>
      </c>
      <c r="AI187" s="34">
        <v>0</v>
      </c>
      <c r="AJ187" s="34">
        <v>0</v>
      </c>
      <c r="AK187" s="34">
        <v>0</v>
      </c>
      <c r="AL187" s="34">
        <v>0</v>
      </c>
      <c r="AM187" s="34">
        <v>0</v>
      </c>
      <c r="AN187" s="34">
        <v>0</v>
      </c>
      <c r="AO187" s="34">
        <v>0</v>
      </c>
      <c r="AP187" s="34">
        <v>0</v>
      </c>
      <c r="AQ187" s="34">
        <v>0</v>
      </c>
      <c r="AR187" s="34">
        <v>0</v>
      </c>
      <c r="AS187" s="34">
        <v>0</v>
      </c>
      <c r="AT187" s="34">
        <v>0</v>
      </c>
      <c r="AU187" s="34">
        <v>0</v>
      </c>
      <c r="AV187" s="34">
        <v>0</v>
      </c>
      <c r="AW187" s="34">
        <v>0</v>
      </c>
      <c r="AX187" s="34">
        <v>1</v>
      </c>
      <c r="AY187" s="34">
        <v>1</v>
      </c>
      <c r="AZ187" s="34">
        <v>1</v>
      </c>
      <c r="BA187" s="34">
        <v>1</v>
      </c>
      <c r="BB187" s="34">
        <v>1</v>
      </c>
      <c r="BC187" s="34">
        <v>1</v>
      </c>
      <c r="BD187" s="34">
        <v>1</v>
      </c>
      <c r="BE187" s="34">
        <v>1</v>
      </c>
      <c r="BF187" s="34">
        <v>1</v>
      </c>
      <c r="BG187" s="34">
        <v>1</v>
      </c>
      <c r="BH187" s="34">
        <v>1</v>
      </c>
      <c r="BI187" s="34">
        <v>1</v>
      </c>
      <c r="BJ187" s="34">
        <v>1</v>
      </c>
      <c r="BK187" s="34">
        <v>1</v>
      </c>
      <c r="BL187" s="34">
        <v>1</v>
      </c>
      <c r="BM187" s="34">
        <v>1</v>
      </c>
      <c r="BN187" s="34">
        <v>1</v>
      </c>
      <c r="BO187" s="34">
        <v>1</v>
      </c>
      <c r="BP187" s="34">
        <v>1</v>
      </c>
      <c r="BQ187" s="34">
        <v>1</v>
      </c>
      <c r="BR187" s="34">
        <v>1</v>
      </c>
      <c r="BS187" s="34">
        <v>1</v>
      </c>
      <c r="BT187" s="34">
        <v>1</v>
      </c>
      <c r="BU187" s="34">
        <v>1</v>
      </c>
      <c r="BV187" s="34">
        <v>1</v>
      </c>
      <c r="BW187" s="34">
        <v>1</v>
      </c>
      <c r="BX187" s="34">
        <v>1</v>
      </c>
      <c r="BY187" s="34">
        <v>1</v>
      </c>
      <c r="BZ187" s="34">
        <v>1</v>
      </c>
      <c r="CA187" s="34">
        <v>1</v>
      </c>
      <c r="CB187" s="34">
        <v>1</v>
      </c>
      <c r="CC187" s="34">
        <v>1</v>
      </c>
      <c r="CD187" s="34">
        <v>1</v>
      </c>
      <c r="CE187" s="34">
        <v>1</v>
      </c>
      <c r="CF187" s="34">
        <v>1</v>
      </c>
      <c r="CG187" s="34">
        <v>1</v>
      </c>
      <c r="CH187" s="34">
        <v>1</v>
      </c>
      <c r="CI187" s="34">
        <v>1</v>
      </c>
      <c r="CJ187" s="34">
        <v>1</v>
      </c>
      <c r="CK187" s="34">
        <v>1</v>
      </c>
      <c r="CL187" s="34">
        <v>0</v>
      </c>
      <c r="CM187" s="34">
        <v>0</v>
      </c>
      <c r="CN187" s="34">
        <v>0</v>
      </c>
      <c r="CO187" s="34">
        <v>0</v>
      </c>
      <c r="CP187" s="34">
        <v>0</v>
      </c>
      <c r="CQ187" s="34">
        <v>0</v>
      </c>
      <c r="CR187" s="34">
        <v>0</v>
      </c>
      <c r="CS187" s="34">
        <v>0</v>
      </c>
      <c r="CT187" s="34">
        <v>0</v>
      </c>
      <c r="CU187" s="34">
        <v>0</v>
      </c>
      <c r="CV187" s="34">
        <v>0</v>
      </c>
      <c r="CW187" s="34">
        <v>0</v>
      </c>
      <c r="CX187" s="34">
        <v>0</v>
      </c>
      <c r="CY187" s="34">
        <v>0</v>
      </c>
      <c r="CZ187" s="34">
        <v>0</v>
      </c>
      <c r="DA187" s="34">
        <v>0</v>
      </c>
      <c r="DB187" s="34">
        <v>0</v>
      </c>
      <c r="DC187" s="34">
        <v>0</v>
      </c>
      <c r="DD187" s="34">
        <v>0</v>
      </c>
      <c r="DE187" s="34">
        <v>0</v>
      </c>
      <c r="DF187" s="34">
        <v>0</v>
      </c>
      <c r="DG187" s="34">
        <v>0</v>
      </c>
      <c r="DH187" s="34">
        <v>0</v>
      </c>
      <c r="DI187" s="34">
        <v>0</v>
      </c>
      <c r="DJ187" s="34">
        <v>0</v>
      </c>
      <c r="DK187" s="34">
        <v>0</v>
      </c>
      <c r="DL187" s="34">
        <v>0</v>
      </c>
      <c r="DM187" s="34">
        <v>0</v>
      </c>
      <c r="DN187" s="34">
        <v>0</v>
      </c>
      <c r="DO187" s="34">
        <v>0</v>
      </c>
      <c r="DP187" s="34">
        <v>0</v>
      </c>
      <c r="DQ187" s="34">
        <v>0</v>
      </c>
      <c r="DR187" s="34">
        <v>0</v>
      </c>
    </row>
    <row r="188" spans="1:122" s="13" customFormat="1" hidden="1" outlineLevel="1" x14ac:dyDescent="0.35">
      <c r="A188" s="14">
        <v>49</v>
      </c>
      <c r="B188" s="34">
        <v>0</v>
      </c>
      <c r="C188" s="34">
        <v>0</v>
      </c>
      <c r="D188" s="34">
        <v>0</v>
      </c>
      <c r="E188" s="34">
        <v>0</v>
      </c>
      <c r="F188" s="34">
        <v>0</v>
      </c>
      <c r="G188" s="34">
        <v>0</v>
      </c>
      <c r="H188" s="34">
        <v>0</v>
      </c>
      <c r="I188" s="34">
        <v>0</v>
      </c>
      <c r="J188" s="34">
        <v>0</v>
      </c>
      <c r="K188" s="34">
        <v>0</v>
      </c>
      <c r="L188" s="34">
        <v>0</v>
      </c>
      <c r="M188" s="34">
        <v>0</v>
      </c>
      <c r="N188" s="34">
        <v>0</v>
      </c>
      <c r="O188" s="34">
        <v>0</v>
      </c>
      <c r="P188" s="34">
        <v>0</v>
      </c>
      <c r="Q188" s="34">
        <v>0</v>
      </c>
      <c r="R188" s="34">
        <v>0</v>
      </c>
      <c r="S188" s="34">
        <v>0</v>
      </c>
      <c r="T188" s="34">
        <v>0</v>
      </c>
      <c r="U188" s="34">
        <v>0</v>
      </c>
      <c r="V188" s="34">
        <v>0</v>
      </c>
      <c r="W188" s="34">
        <v>0</v>
      </c>
      <c r="X188" s="34">
        <v>0</v>
      </c>
      <c r="Y188" s="34">
        <v>0</v>
      </c>
      <c r="Z188" s="34">
        <v>0</v>
      </c>
      <c r="AA188" s="34">
        <v>0</v>
      </c>
      <c r="AB188" s="34">
        <v>0</v>
      </c>
      <c r="AC188" s="34">
        <v>0</v>
      </c>
      <c r="AD188" s="34">
        <v>0</v>
      </c>
      <c r="AE188" s="34">
        <v>0</v>
      </c>
      <c r="AF188" s="34">
        <v>0</v>
      </c>
      <c r="AG188" s="34">
        <v>0</v>
      </c>
      <c r="AH188" s="34">
        <v>0</v>
      </c>
      <c r="AI188" s="34">
        <v>0</v>
      </c>
      <c r="AJ188" s="34">
        <v>0</v>
      </c>
      <c r="AK188" s="34">
        <v>0</v>
      </c>
      <c r="AL188" s="34">
        <v>0</v>
      </c>
      <c r="AM188" s="34">
        <v>0</v>
      </c>
      <c r="AN188" s="34">
        <v>0</v>
      </c>
      <c r="AO188" s="34">
        <v>0</v>
      </c>
      <c r="AP188" s="34">
        <v>0</v>
      </c>
      <c r="AQ188" s="34">
        <v>0</v>
      </c>
      <c r="AR188" s="34">
        <v>0</v>
      </c>
      <c r="AS188" s="34">
        <v>0</v>
      </c>
      <c r="AT188" s="34">
        <v>0</v>
      </c>
      <c r="AU188" s="34">
        <v>0</v>
      </c>
      <c r="AV188" s="34">
        <v>0</v>
      </c>
      <c r="AW188" s="34">
        <v>0</v>
      </c>
      <c r="AX188" s="34">
        <v>0</v>
      </c>
      <c r="AY188" s="34">
        <v>1</v>
      </c>
      <c r="AZ188" s="34">
        <v>1</v>
      </c>
      <c r="BA188" s="34">
        <v>1</v>
      </c>
      <c r="BB188" s="34">
        <v>1</v>
      </c>
      <c r="BC188" s="34">
        <v>1</v>
      </c>
      <c r="BD188" s="34">
        <v>1</v>
      </c>
      <c r="BE188" s="34">
        <v>1</v>
      </c>
      <c r="BF188" s="34">
        <v>1</v>
      </c>
      <c r="BG188" s="34">
        <v>1</v>
      </c>
      <c r="BH188" s="34">
        <v>1</v>
      </c>
      <c r="BI188" s="34">
        <v>1</v>
      </c>
      <c r="BJ188" s="34">
        <v>1</v>
      </c>
      <c r="BK188" s="34">
        <v>1</v>
      </c>
      <c r="BL188" s="34">
        <v>1</v>
      </c>
      <c r="BM188" s="34">
        <v>1</v>
      </c>
      <c r="BN188" s="34">
        <v>1</v>
      </c>
      <c r="BO188" s="34">
        <v>1</v>
      </c>
      <c r="BP188" s="34">
        <v>1</v>
      </c>
      <c r="BQ188" s="34">
        <v>1</v>
      </c>
      <c r="BR188" s="34">
        <v>1</v>
      </c>
      <c r="BS188" s="34">
        <v>1</v>
      </c>
      <c r="BT188" s="34">
        <v>1</v>
      </c>
      <c r="BU188" s="34">
        <v>1</v>
      </c>
      <c r="BV188" s="34">
        <v>1</v>
      </c>
      <c r="BW188" s="34">
        <v>1</v>
      </c>
      <c r="BX188" s="34">
        <v>1</v>
      </c>
      <c r="BY188" s="34">
        <v>1</v>
      </c>
      <c r="BZ188" s="34">
        <v>1</v>
      </c>
      <c r="CA188" s="34">
        <v>1</v>
      </c>
      <c r="CB188" s="34">
        <v>1</v>
      </c>
      <c r="CC188" s="34">
        <v>1</v>
      </c>
      <c r="CD188" s="34">
        <v>1</v>
      </c>
      <c r="CE188" s="34">
        <v>1</v>
      </c>
      <c r="CF188" s="34">
        <v>1</v>
      </c>
      <c r="CG188" s="34">
        <v>1</v>
      </c>
      <c r="CH188" s="34">
        <v>1</v>
      </c>
      <c r="CI188" s="34">
        <v>1</v>
      </c>
      <c r="CJ188" s="34">
        <v>1</v>
      </c>
      <c r="CK188" s="34">
        <v>1</v>
      </c>
      <c r="CL188" s="34">
        <v>1</v>
      </c>
      <c r="CM188" s="34">
        <v>0</v>
      </c>
      <c r="CN188" s="34">
        <v>0</v>
      </c>
      <c r="CO188" s="34">
        <v>0</v>
      </c>
      <c r="CP188" s="34">
        <v>0</v>
      </c>
      <c r="CQ188" s="34">
        <v>0</v>
      </c>
      <c r="CR188" s="34">
        <v>0</v>
      </c>
      <c r="CS188" s="34">
        <v>0</v>
      </c>
      <c r="CT188" s="34">
        <v>0</v>
      </c>
      <c r="CU188" s="34">
        <v>0</v>
      </c>
      <c r="CV188" s="34">
        <v>0</v>
      </c>
      <c r="CW188" s="34">
        <v>0</v>
      </c>
      <c r="CX188" s="34">
        <v>0</v>
      </c>
      <c r="CY188" s="34">
        <v>0</v>
      </c>
      <c r="CZ188" s="34">
        <v>0</v>
      </c>
      <c r="DA188" s="34">
        <v>0</v>
      </c>
      <c r="DB188" s="34">
        <v>0</v>
      </c>
      <c r="DC188" s="34">
        <v>0</v>
      </c>
      <c r="DD188" s="34">
        <v>0</v>
      </c>
      <c r="DE188" s="34">
        <v>0</v>
      </c>
      <c r="DF188" s="34">
        <v>0</v>
      </c>
      <c r="DG188" s="34">
        <v>0</v>
      </c>
      <c r="DH188" s="34">
        <v>0</v>
      </c>
      <c r="DI188" s="34">
        <v>0</v>
      </c>
      <c r="DJ188" s="34">
        <v>0</v>
      </c>
      <c r="DK188" s="34">
        <v>0</v>
      </c>
      <c r="DL188" s="34">
        <v>0</v>
      </c>
      <c r="DM188" s="34">
        <v>0</v>
      </c>
      <c r="DN188" s="34">
        <v>0</v>
      </c>
      <c r="DO188" s="34">
        <v>0</v>
      </c>
      <c r="DP188" s="34">
        <v>0</v>
      </c>
      <c r="DQ188" s="34">
        <v>0</v>
      </c>
      <c r="DR188" s="34">
        <v>0</v>
      </c>
    </row>
    <row r="189" spans="1:122" s="13" customFormat="1" hidden="1" outlineLevel="1" x14ac:dyDescent="0.35">
      <c r="A189" s="14">
        <v>50</v>
      </c>
      <c r="B189" s="34">
        <v>0</v>
      </c>
      <c r="C189" s="34">
        <v>0</v>
      </c>
      <c r="D189" s="34">
        <v>0</v>
      </c>
      <c r="E189" s="34">
        <v>0</v>
      </c>
      <c r="F189" s="34">
        <v>0</v>
      </c>
      <c r="G189" s="34">
        <v>0</v>
      </c>
      <c r="H189" s="34">
        <v>0</v>
      </c>
      <c r="I189" s="34">
        <v>0</v>
      </c>
      <c r="J189" s="34">
        <v>0</v>
      </c>
      <c r="K189" s="34">
        <v>0</v>
      </c>
      <c r="L189" s="34">
        <v>0</v>
      </c>
      <c r="M189" s="34">
        <v>0</v>
      </c>
      <c r="N189" s="34">
        <v>0</v>
      </c>
      <c r="O189" s="34">
        <v>0</v>
      </c>
      <c r="P189" s="34">
        <v>0</v>
      </c>
      <c r="Q189" s="34">
        <v>0</v>
      </c>
      <c r="R189" s="34">
        <v>0</v>
      </c>
      <c r="S189" s="34">
        <v>0</v>
      </c>
      <c r="T189" s="34">
        <v>0</v>
      </c>
      <c r="U189" s="34">
        <v>0</v>
      </c>
      <c r="V189" s="34">
        <v>0</v>
      </c>
      <c r="W189" s="34">
        <v>0</v>
      </c>
      <c r="X189" s="34">
        <v>0</v>
      </c>
      <c r="Y189" s="34">
        <v>0</v>
      </c>
      <c r="Z189" s="34">
        <v>0</v>
      </c>
      <c r="AA189" s="34">
        <v>0</v>
      </c>
      <c r="AB189" s="34">
        <v>0</v>
      </c>
      <c r="AC189" s="34">
        <v>0</v>
      </c>
      <c r="AD189" s="34">
        <v>0</v>
      </c>
      <c r="AE189" s="34">
        <v>0</v>
      </c>
      <c r="AF189" s="34">
        <v>0</v>
      </c>
      <c r="AG189" s="34">
        <v>0</v>
      </c>
      <c r="AH189" s="34">
        <v>0</v>
      </c>
      <c r="AI189" s="34">
        <v>0</v>
      </c>
      <c r="AJ189" s="34">
        <v>0</v>
      </c>
      <c r="AK189" s="34">
        <v>0</v>
      </c>
      <c r="AL189" s="34">
        <v>0</v>
      </c>
      <c r="AM189" s="34">
        <v>0</v>
      </c>
      <c r="AN189" s="34">
        <v>0</v>
      </c>
      <c r="AO189" s="34">
        <v>0</v>
      </c>
      <c r="AP189" s="34">
        <v>0</v>
      </c>
      <c r="AQ189" s="34">
        <v>0</v>
      </c>
      <c r="AR189" s="34">
        <v>0</v>
      </c>
      <c r="AS189" s="34">
        <v>0</v>
      </c>
      <c r="AT189" s="34">
        <v>0</v>
      </c>
      <c r="AU189" s="34">
        <v>0</v>
      </c>
      <c r="AV189" s="34">
        <v>0</v>
      </c>
      <c r="AW189" s="34">
        <v>0</v>
      </c>
      <c r="AX189" s="34">
        <v>0</v>
      </c>
      <c r="AY189" s="34">
        <v>0</v>
      </c>
      <c r="AZ189" s="34">
        <v>1</v>
      </c>
      <c r="BA189" s="34">
        <v>1</v>
      </c>
      <c r="BB189" s="34">
        <v>1</v>
      </c>
      <c r="BC189" s="34">
        <v>1</v>
      </c>
      <c r="BD189" s="34">
        <v>1</v>
      </c>
      <c r="BE189" s="34">
        <v>1</v>
      </c>
      <c r="BF189" s="34">
        <v>1</v>
      </c>
      <c r="BG189" s="34">
        <v>1</v>
      </c>
      <c r="BH189" s="34">
        <v>1</v>
      </c>
      <c r="BI189" s="34">
        <v>1</v>
      </c>
      <c r="BJ189" s="34">
        <v>1</v>
      </c>
      <c r="BK189" s="34">
        <v>1</v>
      </c>
      <c r="BL189" s="34">
        <v>1</v>
      </c>
      <c r="BM189" s="34">
        <v>1</v>
      </c>
      <c r="BN189" s="34">
        <v>1</v>
      </c>
      <c r="BO189" s="34">
        <v>1</v>
      </c>
      <c r="BP189" s="34">
        <v>1</v>
      </c>
      <c r="BQ189" s="34">
        <v>1</v>
      </c>
      <c r="BR189" s="34">
        <v>1</v>
      </c>
      <c r="BS189" s="34">
        <v>1</v>
      </c>
      <c r="BT189" s="34">
        <v>1</v>
      </c>
      <c r="BU189" s="34">
        <v>1</v>
      </c>
      <c r="BV189" s="34">
        <v>1</v>
      </c>
      <c r="BW189" s="34">
        <v>1</v>
      </c>
      <c r="BX189" s="34">
        <v>1</v>
      </c>
      <c r="BY189" s="34">
        <v>1</v>
      </c>
      <c r="BZ189" s="34">
        <v>1</v>
      </c>
      <c r="CA189" s="34">
        <v>1</v>
      </c>
      <c r="CB189" s="34">
        <v>1</v>
      </c>
      <c r="CC189" s="34">
        <v>1</v>
      </c>
      <c r="CD189" s="34">
        <v>1</v>
      </c>
      <c r="CE189" s="34">
        <v>1</v>
      </c>
      <c r="CF189" s="34">
        <v>1</v>
      </c>
      <c r="CG189" s="34">
        <v>1</v>
      </c>
      <c r="CH189" s="34">
        <v>1</v>
      </c>
      <c r="CI189" s="34">
        <v>1</v>
      </c>
      <c r="CJ189" s="34">
        <v>1</v>
      </c>
      <c r="CK189" s="34">
        <v>1</v>
      </c>
      <c r="CL189" s="34">
        <v>1</v>
      </c>
      <c r="CM189" s="34">
        <v>0</v>
      </c>
      <c r="CN189" s="34">
        <v>0</v>
      </c>
      <c r="CO189" s="34">
        <v>0</v>
      </c>
      <c r="CP189" s="34">
        <v>0</v>
      </c>
      <c r="CQ189" s="34">
        <v>0</v>
      </c>
      <c r="CR189" s="34">
        <v>0</v>
      </c>
      <c r="CS189" s="34">
        <v>0</v>
      </c>
      <c r="CT189" s="34">
        <v>0</v>
      </c>
      <c r="CU189" s="34">
        <v>0</v>
      </c>
      <c r="CV189" s="34">
        <v>0</v>
      </c>
      <c r="CW189" s="34">
        <v>0</v>
      </c>
      <c r="CX189" s="34">
        <v>0</v>
      </c>
      <c r="CY189" s="34">
        <v>0</v>
      </c>
      <c r="CZ189" s="34">
        <v>0</v>
      </c>
      <c r="DA189" s="34">
        <v>0</v>
      </c>
      <c r="DB189" s="34">
        <v>0</v>
      </c>
      <c r="DC189" s="34">
        <v>0</v>
      </c>
      <c r="DD189" s="34">
        <v>0</v>
      </c>
      <c r="DE189" s="34">
        <v>0</v>
      </c>
      <c r="DF189" s="34">
        <v>0</v>
      </c>
      <c r="DG189" s="34">
        <v>0</v>
      </c>
      <c r="DH189" s="34">
        <v>0</v>
      </c>
      <c r="DI189" s="34">
        <v>0</v>
      </c>
      <c r="DJ189" s="34">
        <v>0</v>
      </c>
      <c r="DK189" s="34">
        <v>0</v>
      </c>
      <c r="DL189" s="34">
        <v>0</v>
      </c>
      <c r="DM189" s="34">
        <v>0</v>
      </c>
      <c r="DN189" s="34">
        <v>0</v>
      </c>
      <c r="DO189" s="34">
        <v>0</v>
      </c>
      <c r="DP189" s="34">
        <v>0</v>
      </c>
      <c r="DQ189" s="34">
        <v>0</v>
      </c>
      <c r="DR189" s="34">
        <v>0</v>
      </c>
    </row>
    <row r="190" spans="1:122" s="13" customFormat="1" hidden="1" outlineLevel="1" x14ac:dyDescent="0.35">
      <c r="A190" s="14">
        <v>51</v>
      </c>
      <c r="B190" s="34">
        <v>0</v>
      </c>
      <c r="C190" s="34">
        <v>0</v>
      </c>
      <c r="D190" s="34">
        <v>0</v>
      </c>
      <c r="E190" s="34">
        <v>0</v>
      </c>
      <c r="F190" s="34">
        <v>0</v>
      </c>
      <c r="G190" s="34">
        <v>0</v>
      </c>
      <c r="H190" s="34">
        <v>0</v>
      </c>
      <c r="I190" s="34">
        <v>0</v>
      </c>
      <c r="J190" s="34">
        <v>0</v>
      </c>
      <c r="K190" s="34">
        <v>0</v>
      </c>
      <c r="L190" s="34">
        <v>0</v>
      </c>
      <c r="M190" s="34">
        <v>0</v>
      </c>
      <c r="N190" s="34">
        <v>0</v>
      </c>
      <c r="O190" s="34">
        <v>0</v>
      </c>
      <c r="P190" s="34">
        <v>0</v>
      </c>
      <c r="Q190" s="34">
        <v>0</v>
      </c>
      <c r="R190" s="34">
        <v>0</v>
      </c>
      <c r="S190" s="34">
        <v>0</v>
      </c>
      <c r="T190" s="34">
        <v>0</v>
      </c>
      <c r="U190" s="34">
        <v>0</v>
      </c>
      <c r="V190" s="34">
        <v>0</v>
      </c>
      <c r="W190" s="34">
        <v>0</v>
      </c>
      <c r="X190" s="34">
        <v>0</v>
      </c>
      <c r="Y190" s="34">
        <v>0</v>
      </c>
      <c r="Z190" s="34">
        <v>0</v>
      </c>
      <c r="AA190" s="34">
        <v>0</v>
      </c>
      <c r="AB190" s="34">
        <v>0</v>
      </c>
      <c r="AC190" s="34">
        <v>0</v>
      </c>
      <c r="AD190" s="34">
        <v>0</v>
      </c>
      <c r="AE190" s="34">
        <v>0</v>
      </c>
      <c r="AF190" s="34">
        <v>0</v>
      </c>
      <c r="AG190" s="34">
        <v>0</v>
      </c>
      <c r="AH190" s="34">
        <v>0</v>
      </c>
      <c r="AI190" s="34">
        <v>0</v>
      </c>
      <c r="AJ190" s="34">
        <v>0</v>
      </c>
      <c r="AK190" s="34">
        <v>0</v>
      </c>
      <c r="AL190" s="34">
        <v>0</v>
      </c>
      <c r="AM190" s="34">
        <v>0</v>
      </c>
      <c r="AN190" s="34">
        <v>0</v>
      </c>
      <c r="AO190" s="34">
        <v>0</v>
      </c>
      <c r="AP190" s="34">
        <v>0</v>
      </c>
      <c r="AQ190" s="34">
        <v>0</v>
      </c>
      <c r="AR190" s="34">
        <v>0</v>
      </c>
      <c r="AS190" s="34">
        <v>0</v>
      </c>
      <c r="AT190" s="34">
        <v>0</v>
      </c>
      <c r="AU190" s="34">
        <v>0</v>
      </c>
      <c r="AV190" s="34">
        <v>0</v>
      </c>
      <c r="AW190" s="34">
        <v>0</v>
      </c>
      <c r="AX190" s="34">
        <v>0</v>
      </c>
      <c r="AY190" s="34">
        <v>0</v>
      </c>
      <c r="AZ190" s="34">
        <v>0</v>
      </c>
      <c r="BA190" s="34">
        <v>1</v>
      </c>
      <c r="BB190" s="34">
        <v>1</v>
      </c>
      <c r="BC190" s="34">
        <v>1</v>
      </c>
      <c r="BD190" s="34">
        <v>1</v>
      </c>
      <c r="BE190" s="34">
        <v>1</v>
      </c>
      <c r="BF190" s="34">
        <v>1</v>
      </c>
      <c r="BG190" s="34">
        <v>1</v>
      </c>
      <c r="BH190" s="34">
        <v>1</v>
      </c>
      <c r="BI190" s="34">
        <v>1</v>
      </c>
      <c r="BJ190" s="34">
        <v>1</v>
      </c>
      <c r="BK190" s="34">
        <v>1</v>
      </c>
      <c r="BL190" s="34">
        <v>1</v>
      </c>
      <c r="BM190" s="34">
        <v>1</v>
      </c>
      <c r="BN190" s="34">
        <v>1</v>
      </c>
      <c r="BO190" s="34">
        <v>1</v>
      </c>
      <c r="BP190" s="34">
        <v>1</v>
      </c>
      <c r="BQ190" s="34">
        <v>1</v>
      </c>
      <c r="BR190" s="34">
        <v>1</v>
      </c>
      <c r="BS190" s="34">
        <v>1</v>
      </c>
      <c r="BT190" s="34">
        <v>1</v>
      </c>
      <c r="BU190" s="34">
        <v>1</v>
      </c>
      <c r="BV190" s="34">
        <v>1</v>
      </c>
      <c r="BW190" s="34">
        <v>1</v>
      </c>
      <c r="BX190" s="34">
        <v>1</v>
      </c>
      <c r="BY190" s="34">
        <v>1</v>
      </c>
      <c r="BZ190" s="34">
        <v>1</v>
      </c>
      <c r="CA190" s="34">
        <v>1</v>
      </c>
      <c r="CB190" s="34">
        <v>1</v>
      </c>
      <c r="CC190" s="34">
        <v>1</v>
      </c>
      <c r="CD190" s="34">
        <v>1</v>
      </c>
      <c r="CE190" s="34">
        <v>1</v>
      </c>
      <c r="CF190" s="34">
        <v>1</v>
      </c>
      <c r="CG190" s="34">
        <v>1</v>
      </c>
      <c r="CH190" s="34">
        <v>1</v>
      </c>
      <c r="CI190" s="34">
        <v>1</v>
      </c>
      <c r="CJ190" s="34">
        <v>1</v>
      </c>
      <c r="CK190" s="34">
        <v>1</v>
      </c>
      <c r="CL190" s="34">
        <v>1</v>
      </c>
      <c r="CM190" s="34">
        <v>0</v>
      </c>
      <c r="CN190" s="34">
        <v>0</v>
      </c>
      <c r="CO190" s="34">
        <v>0</v>
      </c>
      <c r="CP190" s="34">
        <v>0</v>
      </c>
      <c r="CQ190" s="34">
        <v>0</v>
      </c>
      <c r="CR190" s="34">
        <v>0</v>
      </c>
      <c r="CS190" s="34">
        <v>0</v>
      </c>
      <c r="CT190" s="34">
        <v>0</v>
      </c>
      <c r="CU190" s="34">
        <v>0</v>
      </c>
      <c r="CV190" s="34">
        <v>0</v>
      </c>
      <c r="CW190" s="34">
        <v>0</v>
      </c>
      <c r="CX190" s="34">
        <v>0</v>
      </c>
      <c r="CY190" s="34">
        <v>0</v>
      </c>
      <c r="CZ190" s="34">
        <v>0</v>
      </c>
      <c r="DA190" s="34">
        <v>0</v>
      </c>
      <c r="DB190" s="34">
        <v>0</v>
      </c>
      <c r="DC190" s="34">
        <v>0</v>
      </c>
      <c r="DD190" s="34">
        <v>0</v>
      </c>
      <c r="DE190" s="34">
        <v>0</v>
      </c>
      <c r="DF190" s="34">
        <v>0</v>
      </c>
      <c r="DG190" s="34">
        <v>0</v>
      </c>
      <c r="DH190" s="34">
        <v>0</v>
      </c>
      <c r="DI190" s="34">
        <v>0</v>
      </c>
      <c r="DJ190" s="34">
        <v>0</v>
      </c>
      <c r="DK190" s="34">
        <v>0</v>
      </c>
      <c r="DL190" s="34">
        <v>0</v>
      </c>
      <c r="DM190" s="34">
        <v>0</v>
      </c>
      <c r="DN190" s="34">
        <v>0</v>
      </c>
      <c r="DO190" s="34">
        <v>0</v>
      </c>
      <c r="DP190" s="34">
        <v>0</v>
      </c>
      <c r="DQ190" s="34">
        <v>0</v>
      </c>
      <c r="DR190" s="34">
        <v>0</v>
      </c>
    </row>
    <row r="191" spans="1:122" s="13" customFormat="1" hidden="1" outlineLevel="1" x14ac:dyDescent="0.35">
      <c r="A191" s="14">
        <v>52</v>
      </c>
      <c r="B191" s="34">
        <v>0</v>
      </c>
      <c r="C191" s="34">
        <v>0</v>
      </c>
      <c r="D191" s="34">
        <v>0</v>
      </c>
      <c r="E191" s="34">
        <v>0</v>
      </c>
      <c r="F191" s="34">
        <v>0</v>
      </c>
      <c r="G191" s="34">
        <v>0</v>
      </c>
      <c r="H191" s="34">
        <v>0</v>
      </c>
      <c r="I191" s="34">
        <v>0</v>
      </c>
      <c r="J191" s="34">
        <v>0</v>
      </c>
      <c r="K191" s="34">
        <v>0</v>
      </c>
      <c r="L191" s="34">
        <v>0</v>
      </c>
      <c r="M191" s="34">
        <v>0</v>
      </c>
      <c r="N191" s="34">
        <v>0</v>
      </c>
      <c r="O191" s="34">
        <v>0</v>
      </c>
      <c r="P191" s="34">
        <v>0</v>
      </c>
      <c r="Q191" s="34">
        <v>0</v>
      </c>
      <c r="R191" s="34">
        <v>0</v>
      </c>
      <c r="S191" s="34">
        <v>0</v>
      </c>
      <c r="T191" s="34">
        <v>0</v>
      </c>
      <c r="U191" s="34">
        <v>0</v>
      </c>
      <c r="V191" s="34">
        <v>0</v>
      </c>
      <c r="W191" s="34">
        <v>0</v>
      </c>
      <c r="X191" s="34">
        <v>0</v>
      </c>
      <c r="Y191" s="34">
        <v>0</v>
      </c>
      <c r="Z191" s="34">
        <v>0</v>
      </c>
      <c r="AA191" s="34">
        <v>0</v>
      </c>
      <c r="AB191" s="34">
        <v>0</v>
      </c>
      <c r="AC191" s="34">
        <v>0</v>
      </c>
      <c r="AD191" s="34">
        <v>0</v>
      </c>
      <c r="AE191" s="34">
        <v>0</v>
      </c>
      <c r="AF191" s="34">
        <v>0</v>
      </c>
      <c r="AG191" s="34">
        <v>0</v>
      </c>
      <c r="AH191" s="34">
        <v>0</v>
      </c>
      <c r="AI191" s="34">
        <v>0</v>
      </c>
      <c r="AJ191" s="34">
        <v>0</v>
      </c>
      <c r="AK191" s="34">
        <v>0</v>
      </c>
      <c r="AL191" s="34">
        <v>0</v>
      </c>
      <c r="AM191" s="34">
        <v>0</v>
      </c>
      <c r="AN191" s="34">
        <v>0</v>
      </c>
      <c r="AO191" s="34">
        <v>0</v>
      </c>
      <c r="AP191" s="34">
        <v>0</v>
      </c>
      <c r="AQ191" s="34">
        <v>0</v>
      </c>
      <c r="AR191" s="34">
        <v>0</v>
      </c>
      <c r="AS191" s="34">
        <v>0</v>
      </c>
      <c r="AT191" s="34">
        <v>0</v>
      </c>
      <c r="AU191" s="34">
        <v>0</v>
      </c>
      <c r="AV191" s="34">
        <v>0</v>
      </c>
      <c r="AW191" s="34">
        <v>0</v>
      </c>
      <c r="AX191" s="34">
        <v>0</v>
      </c>
      <c r="AY191" s="34">
        <v>0</v>
      </c>
      <c r="AZ191" s="34">
        <v>0</v>
      </c>
      <c r="BA191" s="34">
        <v>0</v>
      </c>
      <c r="BB191" s="34">
        <v>1</v>
      </c>
      <c r="BC191" s="34">
        <v>1</v>
      </c>
      <c r="BD191" s="34">
        <v>1</v>
      </c>
      <c r="BE191" s="34">
        <v>1</v>
      </c>
      <c r="BF191" s="34">
        <v>1</v>
      </c>
      <c r="BG191" s="34">
        <v>1</v>
      </c>
      <c r="BH191" s="34">
        <v>1</v>
      </c>
      <c r="BI191" s="34">
        <v>1</v>
      </c>
      <c r="BJ191" s="34">
        <v>1</v>
      </c>
      <c r="BK191" s="34">
        <v>1</v>
      </c>
      <c r="BL191" s="34">
        <v>1</v>
      </c>
      <c r="BM191" s="34">
        <v>1</v>
      </c>
      <c r="BN191" s="34">
        <v>1</v>
      </c>
      <c r="BO191" s="34">
        <v>1</v>
      </c>
      <c r="BP191" s="34">
        <v>1</v>
      </c>
      <c r="BQ191" s="34">
        <v>1</v>
      </c>
      <c r="BR191" s="34">
        <v>1</v>
      </c>
      <c r="BS191" s="34">
        <v>1</v>
      </c>
      <c r="BT191" s="34">
        <v>1</v>
      </c>
      <c r="BU191" s="34">
        <v>1</v>
      </c>
      <c r="BV191" s="34">
        <v>1</v>
      </c>
      <c r="BW191" s="34">
        <v>1</v>
      </c>
      <c r="BX191" s="34">
        <v>1</v>
      </c>
      <c r="BY191" s="34">
        <v>1</v>
      </c>
      <c r="BZ191" s="34">
        <v>1</v>
      </c>
      <c r="CA191" s="34">
        <v>1</v>
      </c>
      <c r="CB191" s="34">
        <v>1</v>
      </c>
      <c r="CC191" s="34">
        <v>1</v>
      </c>
      <c r="CD191" s="34">
        <v>1</v>
      </c>
      <c r="CE191" s="34">
        <v>1</v>
      </c>
      <c r="CF191" s="34">
        <v>1</v>
      </c>
      <c r="CG191" s="34">
        <v>1</v>
      </c>
      <c r="CH191" s="34">
        <v>1</v>
      </c>
      <c r="CI191" s="34">
        <v>1</v>
      </c>
      <c r="CJ191" s="34">
        <v>1</v>
      </c>
      <c r="CK191" s="34">
        <v>1</v>
      </c>
      <c r="CL191" s="34">
        <v>1</v>
      </c>
      <c r="CM191" s="34">
        <v>1</v>
      </c>
      <c r="CN191" s="34">
        <v>0</v>
      </c>
      <c r="CO191" s="34">
        <v>0</v>
      </c>
      <c r="CP191" s="34">
        <v>0</v>
      </c>
      <c r="CQ191" s="34">
        <v>0</v>
      </c>
      <c r="CR191" s="34">
        <v>0</v>
      </c>
      <c r="CS191" s="34">
        <v>0</v>
      </c>
      <c r="CT191" s="34">
        <v>0</v>
      </c>
      <c r="CU191" s="34">
        <v>0</v>
      </c>
      <c r="CV191" s="34">
        <v>0</v>
      </c>
      <c r="CW191" s="34">
        <v>0</v>
      </c>
      <c r="CX191" s="34">
        <v>0</v>
      </c>
      <c r="CY191" s="34">
        <v>0</v>
      </c>
      <c r="CZ191" s="34">
        <v>0</v>
      </c>
      <c r="DA191" s="34">
        <v>0</v>
      </c>
      <c r="DB191" s="34">
        <v>0</v>
      </c>
      <c r="DC191" s="34">
        <v>0</v>
      </c>
      <c r="DD191" s="34">
        <v>0</v>
      </c>
      <c r="DE191" s="34">
        <v>0</v>
      </c>
      <c r="DF191" s="34">
        <v>0</v>
      </c>
      <c r="DG191" s="34">
        <v>0</v>
      </c>
      <c r="DH191" s="34">
        <v>0</v>
      </c>
      <c r="DI191" s="34">
        <v>0</v>
      </c>
      <c r="DJ191" s="34">
        <v>0</v>
      </c>
      <c r="DK191" s="34">
        <v>0</v>
      </c>
      <c r="DL191" s="34">
        <v>0</v>
      </c>
      <c r="DM191" s="34">
        <v>0</v>
      </c>
      <c r="DN191" s="34">
        <v>0</v>
      </c>
      <c r="DO191" s="34">
        <v>0</v>
      </c>
      <c r="DP191" s="34">
        <v>0</v>
      </c>
      <c r="DQ191" s="34">
        <v>0</v>
      </c>
      <c r="DR191" s="34">
        <v>0</v>
      </c>
    </row>
    <row r="192" spans="1:122" s="13" customFormat="1" hidden="1" outlineLevel="1" x14ac:dyDescent="0.35">
      <c r="A192" s="14">
        <v>53</v>
      </c>
      <c r="B192" s="34">
        <v>0</v>
      </c>
      <c r="C192" s="34">
        <v>0</v>
      </c>
      <c r="D192" s="34">
        <v>0</v>
      </c>
      <c r="E192" s="34">
        <v>0</v>
      </c>
      <c r="F192" s="34">
        <v>0</v>
      </c>
      <c r="G192" s="34">
        <v>0</v>
      </c>
      <c r="H192" s="34">
        <v>0</v>
      </c>
      <c r="I192" s="34">
        <v>0</v>
      </c>
      <c r="J192" s="34">
        <v>0</v>
      </c>
      <c r="K192" s="34">
        <v>0</v>
      </c>
      <c r="L192" s="34">
        <v>0</v>
      </c>
      <c r="M192" s="34">
        <v>0</v>
      </c>
      <c r="N192" s="34">
        <v>0</v>
      </c>
      <c r="O192" s="34">
        <v>0</v>
      </c>
      <c r="P192" s="34">
        <v>0</v>
      </c>
      <c r="Q192" s="34">
        <v>0</v>
      </c>
      <c r="R192" s="34">
        <v>0</v>
      </c>
      <c r="S192" s="34">
        <v>0</v>
      </c>
      <c r="T192" s="34">
        <v>0</v>
      </c>
      <c r="U192" s="34">
        <v>0</v>
      </c>
      <c r="V192" s="34">
        <v>0</v>
      </c>
      <c r="W192" s="34">
        <v>0</v>
      </c>
      <c r="X192" s="34">
        <v>0</v>
      </c>
      <c r="Y192" s="34">
        <v>0</v>
      </c>
      <c r="Z192" s="34">
        <v>0</v>
      </c>
      <c r="AA192" s="34">
        <v>0</v>
      </c>
      <c r="AB192" s="34">
        <v>0</v>
      </c>
      <c r="AC192" s="34">
        <v>0</v>
      </c>
      <c r="AD192" s="34">
        <v>0</v>
      </c>
      <c r="AE192" s="34">
        <v>0</v>
      </c>
      <c r="AF192" s="34">
        <v>0</v>
      </c>
      <c r="AG192" s="34">
        <v>0</v>
      </c>
      <c r="AH192" s="34">
        <v>0</v>
      </c>
      <c r="AI192" s="34">
        <v>0</v>
      </c>
      <c r="AJ192" s="34">
        <v>0</v>
      </c>
      <c r="AK192" s="34">
        <v>0</v>
      </c>
      <c r="AL192" s="34">
        <v>0</v>
      </c>
      <c r="AM192" s="34">
        <v>0</v>
      </c>
      <c r="AN192" s="34">
        <v>0</v>
      </c>
      <c r="AO192" s="34">
        <v>0</v>
      </c>
      <c r="AP192" s="34">
        <v>0</v>
      </c>
      <c r="AQ192" s="34">
        <v>0</v>
      </c>
      <c r="AR192" s="34">
        <v>0</v>
      </c>
      <c r="AS192" s="34">
        <v>0</v>
      </c>
      <c r="AT192" s="34">
        <v>0</v>
      </c>
      <c r="AU192" s="34">
        <v>0</v>
      </c>
      <c r="AV192" s="34">
        <v>0</v>
      </c>
      <c r="AW192" s="34">
        <v>0</v>
      </c>
      <c r="AX192" s="34">
        <v>0</v>
      </c>
      <c r="AY192" s="34">
        <v>0</v>
      </c>
      <c r="AZ192" s="34">
        <v>0</v>
      </c>
      <c r="BA192" s="34">
        <v>0</v>
      </c>
      <c r="BB192" s="34">
        <v>0</v>
      </c>
      <c r="BC192" s="34">
        <v>1</v>
      </c>
      <c r="BD192" s="34">
        <v>1</v>
      </c>
      <c r="BE192" s="34">
        <v>1</v>
      </c>
      <c r="BF192" s="34">
        <v>1</v>
      </c>
      <c r="BG192" s="34">
        <v>1</v>
      </c>
      <c r="BH192" s="34">
        <v>1</v>
      </c>
      <c r="BI192" s="34">
        <v>1</v>
      </c>
      <c r="BJ192" s="34">
        <v>1</v>
      </c>
      <c r="BK192" s="34">
        <v>1</v>
      </c>
      <c r="BL192" s="34">
        <v>1</v>
      </c>
      <c r="BM192" s="34">
        <v>1</v>
      </c>
      <c r="BN192" s="34">
        <v>1</v>
      </c>
      <c r="BO192" s="34">
        <v>1</v>
      </c>
      <c r="BP192" s="34">
        <v>1</v>
      </c>
      <c r="BQ192" s="34">
        <v>1</v>
      </c>
      <c r="BR192" s="34">
        <v>1</v>
      </c>
      <c r="BS192" s="34">
        <v>1</v>
      </c>
      <c r="BT192" s="34">
        <v>1</v>
      </c>
      <c r="BU192" s="34">
        <v>1</v>
      </c>
      <c r="BV192" s="34">
        <v>1</v>
      </c>
      <c r="BW192" s="34">
        <v>1</v>
      </c>
      <c r="BX192" s="34">
        <v>1</v>
      </c>
      <c r="BY192" s="34">
        <v>1</v>
      </c>
      <c r="BZ192" s="34">
        <v>1</v>
      </c>
      <c r="CA192" s="34">
        <v>1</v>
      </c>
      <c r="CB192" s="34">
        <v>1</v>
      </c>
      <c r="CC192" s="34">
        <v>1</v>
      </c>
      <c r="CD192" s="34">
        <v>1</v>
      </c>
      <c r="CE192" s="34">
        <v>1</v>
      </c>
      <c r="CF192" s="34">
        <v>1</v>
      </c>
      <c r="CG192" s="34">
        <v>1</v>
      </c>
      <c r="CH192" s="34">
        <v>1</v>
      </c>
      <c r="CI192" s="34">
        <v>1</v>
      </c>
      <c r="CJ192" s="34">
        <v>1</v>
      </c>
      <c r="CK192" s="34">
        <v>1</v>
      </c>
      <c r="CL192" s="34">
        <v>1</v>
      </c>
      <c r="CM192" s="34">
        <v>1</v>
      </c>
      <c r="CN192" s="34">
        <v>0</v>
      </c>
      <c r="CO192" s="34">
        <v>0</v>
      </c>
      <c r="CP192" s="34">
        <v>0</v>
      </c>
      <c r="CQ192" s="34">
        <v>0</v>
      </c>
      <c r="CR192" s="34">
        <v>0</v>
      </c>
      <c r="CS192" s="34">
        <v>0</v>
      </c>
      <c r="CT192" s="34">
        <v>0</v>
      </c>
      <c r="CU192" s="34">
        <v>0</v>
      </c>
      <c r="CV192" s="34">
        <v>0</v>
      </c>
      <c r="CW192" s="34">
        <v>0</v>
      </c>
      <c r="CX192" s="34">
        <v>0</v>
      </c>
      <c r="CY192" s="34">
        <v>0</v>
      </c>
      <c r="CZ192" s="34">
        <v>0</v>
      </c>
      <c r="DA192" s="34">
        <v>0</v>
      </c>
      <c r="DB192" s="34">
        <v>0</v>
      </c>
      <c r="DC192" s="34">
        <v>0</v>
      </c>
      <c r="DD192" s="34">
        <v>0</v>
      </c>
      <c r="DE192" s="34">
        <v>0</v>
      </c>
      <c r="DF192" s="34">
        <v>0</v>
      </c>
      <c r="DG192" s="34">
        <v>0</v>
      </c>
      <c r="DH192" s="34">
        <v>0</v>
      </c>
      <c r="DI192" s="34">
        <v>0</v>
      </c>
      <c r="DJ192" s="34">
        <v>0</v>
      </c>
      <c r="DK192" s="34">
        <v>0</v>
      </c>
      <c r="DL192" s="34">
        <v>0</v>
      </c>
      <c r="DM192" s="34">
        <v>0</v>
      </c>
      <c r="DN192" s="34">
        <v>0</v>
      </c>
      <c r="DO192" s="34">
        <v>0</v>
      </c>
      <c r="DP192" s="34">
        <v>0</v>
      </c>
      <c r="DQ192" s="34">
        <v>0</v>
      </c>
      <c r="DR192" s="34">
        <v>0</v>
      </c>
    </row>
    <row r="193" spans="1:122" s="13" customFormat="1" hidden="1" outlineLevel="1" x14ac:dyDescent="0.35">
      <c r="A193" s="14">
        <v>54</v>
      </c>
      <c r="B193" s="34">
        <v>0</v>
      </c>
      <c r="C193" s="34">
        <v>0</v>
      </c>
      <c r="D193" s="34">
        <v>0</v>
      </c>
      <c r="E193" s="34">
        <v>0</v>
      </c>
      <c r="F193" s="34">
        <v>0</v>
      </c>
      <c r="G193" s="34">
        <v>0</v>
      </c>
      <c r="H193" s="34">
        <v>0</v>
      </c>
      <c r="I193" s="34">
        <v>0</v>
      </c>
      <c r="J193" s="34">
        <v>0</v>
      </c>
      <c r="K193" s="34">
        <v>0</v>
      </c>
      <c r="L193" s="34">
        <v>0</v>
      </c>
      <c r="M193" s="34">
        <v>0</v>
      </c>
      <c r="N193" s="34">
        <v>0</v>
      </c>
      <c r="O193" s="34">
        <v>0</v>
      </c>
      <c r="P193" s="34">
        <v>0</v>
      </c>
      <c r="Q193" s="34">
        <v>0</v>
      </c>
      <c r="R193" s="34">
        <v>0</v>
      </c>
      <c r="S193" s="34">
        <v>0</v>
      </c>
      <c r="T193" s="34">
        <v>0</v>
      </c>
      <c r="U193" s="34">
        <v>0</v>
      </c>
      <c r="V193" s="34">
        <v>0</v>
      </c>
      <c r="W193" s="34">
        <v>0</v>
      </c>
      <c r="X193" s="34">
        <v>0</v>
      </c>
      <c r="Y193" s="34">
        <v>0</v>
      </c>
      <c r="Z193" s="34">
        <v>0</v>
      </c>
      <c r="AA193" s="34">
        <v>0</v>
      </c>
      <c r="AB193" s="34">
        <v>0</v>
      </c>
      <c r="AC193" s="34">
        <v>0</v>
      </c>
      <c r="AD193" s="34">
        <v>0</v>
      </c>
      <c r="AE193" s="34">
        <v>0</v>
      </c>
      <c r="AF193" s="34">
        <v>0</v>
      </c>
      <c r="AG193" s="34">
        <v>0</v>
      </c>
      <c r="AH193" s="34">
        <v>0</v>
      </c>
      <c r="AI193" s="34">
        <v>0</v>
      </c>
      <c r="AJ193" s="34">
        <v>0</v>
      </c>
      <c r="AK193" s="34">
        <v>0</v>
      </c>
      <c r="AL193" s="34">
        <v>0</v>
      </c>
      <c r="AM193" s="34">
        <v>0</v>
      </c>
      <c r="AN193" s="34">
        <v>0</v>
      </c>
      <c r="AO193" s="34">
        <v>0</v>
      </c>
      <c r="AP193" s="34">
        <v>0</v>
      </c>
      <c r="AQ193" s="34">
        <v>0</v>
      </c>
      <c r="AR193" s="34">
        <v>0</v>
      </c>
      <c r="AS193" s="34">
        <v>0</v>
      </c>
      <c r="AT193" s="34">
        <v>0</v>
      </c>
      <c r="AU193" s="34">
        <v>0</v>
      </c>
      <c r="AV193" s="34">
        <v>0</v>
      </c>
      <c r="AW193" s="34">
        <v>0</v>
      </c>
      <c r="AX193" s="34">
        <v>0</v>
      </c>
      <c r="AY193" s="34">
        <v>0</v>
      </c>
      <c r="AZ193" s="34">
        <v>0</v>
      </c>
      <c r="BA193" s="34">
        <v>0</v>
      </c>
      <c r="BB193" s="34">
        <v>0</v>
      </c>
      <c r="BC193" s="34">
        <v>0</v>
      </c>
      <c r="BD193" s="34">
        <v>1</v>
      </c>
      <c r="BE193" s="34">
        <v>1</v>
      </c>
      <c r="BF193" s="34">
        <v>1</v>
      </c>
      <c r="BG193" s="34">
        <v>1</v>
      </c>
      <c r="BH193" s="34">
        <v>1</v>
      </c>
      <c r="BI193" s="34">
        <v>1</v>
      </c>
      <c r="BJ193" s="34">
        <v>1</v>
      </c>
      <c r="BK193" s="34">
        <v>1</v>
      </c>
      <c r="BL193" s="34">
        <v>1</v>
      </c>
      <c r="BM193" s="34">
        <v>1</v>
      </c>
      <c r="BN193" s="34">
        <v>1</v>
      </c>
      <c r="BO193" s="34">
        <v>1</v>
      </c>
      <c r="BP193" s="34">
        <v>1</v>
      </c>
      <c r="BQ193" s="34">
        <v>1</v>
      </c>
      <c r="BR193" s="34">
        <v>1</v>
      </c>
      <c r="BS193" s="34">
        <v>1</v>
      </c>
      <c r="BT193" s="34">
        <v>1</v>
      </c>
      <c r="BU193" s="34">
        <v>1</v>
      </c>
      <c r="BV193" s="34">
        <v>1</v>
      </c>
      <c r="BW193" s="34">
        <v>1</v>
      </c>
      <c r="BX193" s="34">
        <v>1</v>
      </c>
      <c r="BY193" s="34">
        <v>1</v>
      </c>
      <c r="BZ193" s="34">
        <v>1</v>
      </c>
      <c r="CA193" s="34">
        <v>1</v>
      </c>
      <c r="CB193" s="34">
        <v>1</v>
      </c>
      <c r="CC193" s="34">
        <v>1</v>
      </c>
      <c r="CD193" s="34">
        <v>1</v>
      </c>
      <c r="CE193" s="34">
        <v>1</v>
      </c>
      <c r="CF193" s="34">
        <v>1</v>
      </c>
      <c r="CG193" s="34">
        <v>1</v>
      </c>
      <c r="CH193" s="34">
        <v>1</v>
      </c>
      <c r="CI193" s="34">
        <v>1</v>
      </c>
      <c r="CJ193" s="34">
        <v>1</v>
      </c>
      <c r="CK193" s="34">
        <v>1</v>
      </c>
      <c r="CL193" s="34">
        <v>1</v>
      </c>
      <c r="CM193" s="34">
        <v>1</v>
      </c>
      <c r="CN193" s="34">
        <v>0</v>
      </c>
      <c r="CO193" s="34">
        <v>0</v>
      </c>
      <c r="CP193" s="34">
        <v>0</v>
      </c>
      <c r="CQ193" s="34">
        <v>0</v>
      </c>
      <c r="CR193" s="34">
        <v>0</v>
      </c>
      <c r="CS193" s="34">
        <v>0</v>
      </c>
      <c r="CT193" s="34">
        <v>0</v>
      </c>
      <c r="CU193" s="34">
        <v>0</v>
      </c>
      <c r="CV193" s="34">
        <v>0</v>
      </c>
      <c r="CW193" s="34">
        <v>0</v>
      </c>
      <c r="CX193" s="34">
        <v>0</v>
      </c>
      <c r="CY193" s="34">
        <v>0</v>
      </c>
      <c r="CZ193" s="34">
        <v>0</v>
      </c>
      <c r="DA193" s="34">
        <v>0</v>
      </c>
      <c r="DB193" s="34">
        <v>0</v>
      </c>
      <c r="DC193" s="34">
        <v>0</v>
      </c>
      <c r="DD193" s="34">
        <v>0</v>
      </c>
      <c r="DE193" s="34">
        <v>0</v>
      </c>
      <c r="DF193" s="34">
        <v>0</v>
      </c>
      <c r="DG193" s="34">
        <v>0</v>
      </c>
      <c r="DH193" s="34">
        <v>0</v>
      </c>
      <c r="DI193" s="34">
        <v>0</v>
      </c>
      <c r="DJ193" s="34">
        <v>0</v>
      </c>
      <c r="DK193" s="34">
        <v>0</v>
      </c>
      <c r="DL193" s="34">
        <v>0</v>
      </c>
      <c r="DM193" s="34">
        <v>0</v>
      </c>
      <c r="DN193" s="34">
        <v>0</v>
      </c>
      <c r="DO193" s="34">
        <v>0</v>
      </c>
      <c r="DP193" s="34">
        <v>0</v>
      </c>
      <c r="DQ193" s="34">
        <v>0</v>
      </c>
      <c r="DR193" s="34">
        <v>0</v>
      </c>
    </row>
    <row r="194" spans="1:122" s="13" customFormat="1" hidden="1" outlineLevel="1" x14ac:dyDescent="0.35">
      <c r="A194" s="14">
        <v>55</v>
      </c>
      <c r="B194" s="34">
        <v>0</v>
      </c>
      <c r="C194" s="34">
        <v>0</v>
      </c>
      <c r="D194" s="34">
        <v>0</v>
      </c>
      <c r="E194" s="34">
        <v>0</v>
      </c>
      <c r="F194" s="34">
        <v>0</v>
      </c>
      <c r="G194" s="34">
        <v>0</v>
      </c>
      <c r="H194" s="34">
        <v>0</v>
      </c>
      <c r="I194" s="34">
        <v>0</v>
      </c>
      <c r="J194" s="34">
        <v>0</v>
      </c>
      <c r="K194" s="34">
        <v>0</v>
      </c>
      <c r="L194" s="34">
        <v>0</v>
      </c>
      <c r="M194" s="34">
        <v>0</v>
      </c>
      <c r="N194" s="34">
        <v>0</v>
      </c>
      <c r="O194" s="34">
        <v>0</v>
      </c>
      <c r="P194" s="34">
        <v>0</v>
      </c>
      <c r="Q194" s="34">
        <v>0</v>
      </c>
      <c r="R194" s="34">
        <v>0</v>
      </c>
      <c r="S194" s="34">
        <v>0</v>
      </c>
      <c r="T194" s="34">
        <v>0</v>
      </c>
      <c r="U194" s="34">
        <v>0</v>
      </c>
      <c r="V194" s="34">
        <v>0</v>
      </c>
      <c r="W194" s="34">
        <v>0</v>
      </c>
      <c r="X194" s="34">
        <v>0</v>
      </c>
      <c r="Y194" s="34">
        <v>0</v>
      </c>
      <c r="Z194" s="34">
        <v>0</v>
      </c>
      <c r="AA194" s="34">
        <v>0</v>
      </c>
      <c r="AB194" s="34">
        <v>0</v>
      </c>
      <c r="AC194" s="34">
        <v>0</v>
      </c>
      <c r="AD194" s="34">
        <v>0</v>
      </c>
      <c r="AE194" s="34">
        <v>0</v>
      </c>
      <c r="AF194" s="34">
        <v>0</v>
      </c>
      <c r="AG194" s="34">
        <v>0</v>
      </c>
      <c r="AH194" s="34">
        <v>0</v>
      </c>
      <c r="AI194" s="34">
        <v>0</v>
      </c>
      <c r="AJ194" s="34">
        <v>0</v>
      </c>
      <c r="AK194" s="34">
        <v>0</v>
      </c>
      <c r="AL194" s="34">
        <v>0</v>
      </c>
      <c r="AM194" s="34">
        <v>0</v>
      </c>
      <c r="AN194" s="34">
        <v>0</v>
      </c>
      <c r="AO194" s="34">
        <v>0</v>
      </c>
      <c r="AP194" s="34">
        <v>0</v>
      </c>
      <c r="AQ194" s="34">
        <v>0</v>
      </c>
      <c r="AR194" s="34">
        <v>0</v>
      </c>
      <c r="AS194" s="34">
        <v>0</v>
      </c>
      <c r="AT194" s="34">
        <v>0</v>
      </c>
      <c r="AU194" s="34">
        <v>0</v>
      </c>
      <c r="AV194" s="34">
        <v>0</v>
      </c>
      <c r="AW194" s="34">
        <v>0</v>
      </c>
      <c r="AX194" s="34">
        <v>0</v>
      </c>
      <c r="AY194" s="34">
        <v>0</v>
      </c>
      <c r="AZ194" s="34">
        <v>0</v>
      </c>
      <c r="BA194" s="34">
        <v>0</v>
      </c>
      <c r="BB194" s="34">
        <v>0</v>
      </c>
      <c r="BC194" s="34">
        <v>0</v>
      </c>
      <c r="BD194" s="34">
        <v>0</v>
      </c>
      <c r="BE194" s="34">
        <v>1</v>
      </c>
      <c r="BF194" s="34">
        <v>1</v>
      </c>
      <c r="BG194" s="34">
        <v>1</v>
      </c>
      <c r="BH194" s="34">
        <v>1</v>
      </c>
      <c r="BI194" s="34">
        <v>1</v>
      </c>
      <c r="BJ194" s="34">
        <v>1</v>
      </c>
      <c r="BK194" s="34">
        <v>1</v>
      </c>
      <c r="BL194" s="34">
        <v>1</v>
      </c>
      <c r="BM194" s="34">
        <v>1</v>
      </c>
      <c r="BN194" s="34">
        <v>1</v>
      </c>
      <c r="BO194" s="34">
        <v>1</v>
      </c>
      <c r="BP194" s="34">
        <v>1</v>
      </c>
      <c r="BQ194" s="34">
        <v>1</v>
      </c>
      <c r="BR194" s="34">
        <v>1</v>
      </c>
      <c r="BS194" s="34">
        <v>1</v>
      </c>
      <c r="BT194" s="34">
        <v>1</v>
      </c>
      <c r="BU194" s="34">
        <v>1</v>
      </c>
      <c r="BV194" s="34">
        <v>1</v>
      </c>
      <c r="BW194" s="34">
        <v>1</v>
      </c>
      <c r="BX194" s="34">
        <v>1</v>
      </c>
      <c r="BY194" s="34">
        <v>1</v>
      </c>
      <c r="BZ194" s="34">
        <v>1</v>
      </c>
      <c r="CA194" s="34">
        <v>1</v>
      </c>
      <c r="CB194" s="34">
        <v>1</v>
      </c>
      <c r="CC194" s="34">
        <v>1</v>
      </c>
      <c r="CD194" s="34">
        <v>1</v>
      </c>
      <c r="CE194" s="34">
        <v>1</v>
      </c>
      <c r="CF194" s="34">
        <v>1</v>
      </c>
      <c r="CG194" s="34">
        <v>1</v>
      </c>
      <c r="CH194" s="34">
        <v>1</v>
      </c>
      <c r="CI194" s="34">
        <v>1</v>
      </c>
      <c r="CJ194" s="34">
        <v>1</v>
      </c>
      <c r="CK194" s="34">
        <v>1</v>
      </c>
      <c r="CL194" s="34">
        <v>1</v>
      </c>
      <c r="CM194" s="34">
        <v>1</v>
      </c>
      <c r="CN194" s="34">
        <v>0</v>
      </c>
      <c r="CO194" s="34">
        <v>0</v>
      </c>
      <c r="CP194" s="34">
        <v>0</v>
      </c>
      <c r="CQ194" s="34">
        <v>0</v>
      </c>
      <c r="CR194" s="34">
        <v>0</v>
      </c>
      <c r="CS194" s="34">
        <v>0</v>
      </c>
      <c r="CT194" s="34">
        <v>0</v>
      </c>
      <c r="CU194" s="34">
        <v>0</v>
      </c>
      <c r="CV194" s="34">
        <v>0</v>
      </c>
      <c r="CW194" s="34">
        <v>0</v>
      </c>
      <c r="CX194" s="34">
        <v>0</v>
      </c>
      <c r="CY194" s="34">
        <v>0</v>
      </c>
      <c r="CZ194" s="34">
        <v>0</v>
      </c>
      <c r="DA194" s="34">
        <v>0</v>
      </c>
      <c r="DB194" s="34">
        <v>0</v>
      </c>
      <c r="DC194" s="34">
        <v>0</v>
      </c>
      <c r="DD194" s="34">
        <v>0</v>
      </c>
      <c r="DE194" s="34">
        <v>0</v>
      </c>
      <c r="DF194" s="34">
        <v>0</v>
      </c>
      <c r="DG194" s="34">
        <v>0</v>
      </c>
      <c r="DH194" s="34">
        <v>0</v>
      </c>
      <c r="DI194" s="34">
        <v>0</v>
      </c>
      <c r="DJ194" s="34">
        <v>0</v>
      </c>
      <c r="DK194" s="34">
        <v>0</v>
      </c>
      <c r="DL194" s="34">
        <v>0</v>
      </c>
      <c r="DM194" s="34">
        <v>0</v>
      </c>
      <c r="DN194" s="34">
        <v>0</v>
      </c>
      <c r="DO194" s="34">
        <v>0</v>
      </c>
      <c r="DP194" s="34">
        <v>0</v>
      </c>
      <c r="DQ194" s="34">
        <v>0</v>
      </c>
      <c r="DR194" s="34">
        <v>0</v>
      </c>
    </row>
    <row r="195" spans="1:122" s="13" customFormat="1" hidden="1" outlineLevel="1" x14ac:dyDescent="0.35">
      <c r="A195" s="14">
        <v>56</v>
      </c>
      <c r="B195" s="34">
        <v>0</v>
      </c>
      <c r="C195" s="34">
        <v>0</v>
      </c>
      <c r="D195" s="34">
        <v>0</v>
      </c>
      <c r="E195" s="34">
        <v>0</v>
      </c>
      <c r="F195" s="34">
        <v>0</v>
      </c>
      <c r="G195" s="34">
        <v>0</v>
      </c>
      <c r="H195" s="34">
        <v>0</v>
      </c>
      <c r="I195" s="34">
        <v>0</v>
      </c>
      <c r="J195" s="34">
        <v>0</v>
      </c>
      <c r="K195" s="34">
        <v>0</v>
      </c>
      <c r="L195" s="34">
        <v>0</v>
      </c>
      <c r="M195" s="34">
        <v>0</v>
      </c>
      <c r="N195" s="34">
        <v>0</v>
      </c>
      <c r="O195" s="34">
        <v>0</v>
      </c>
      <c r="P195" s="34">
        <v>0</v>
      </c>
      <c r="Q195" s="34">
        <v>0</v>
      </c>
      <c r="R195" s="34">
        <v>0</v>
      </c>
      <c r="S195" s="34">
        <v>0</v>
      </c>
      <c r="T195" s="34">
        <v>0</v>
      </c>
      <c r="U195" s="34">
        <v>0</v>
      </c>
      <c r="V195" s="34">
        <v>0</v>
      </c>
      <c r="W195" s="34">
        <v>0</v>
      </c>
      <c r="X195" s="34">
        <v>0</v>
      </c>
      <c r="Y195" s="34">
        <v>0</v>
      </c>
      <c r="Z195" s="34">
        <v>0</v>
      </c>
      <c r="AA195" s="34">
        <v>0</v>
      </c>
      <c r="AB195" s="34">
        <v>0</v>
      </c>
      <c r="AC195" s="34">
        <v>0</v>
      </c>
      <c r="AD195" s="34">
        <v>0</v>
      </c>
      <c r="AE195" s="34">
        <v>0</v>
      </c>
      <c r="AF195" s="34">
        <v>0</v>
      </c>
      <c r="AG195" s="34">
        <v>0</v>
      </c>
      <c r="AH195" s="34">
        <v>0</v>
      </c>
      <c r="AI195" s="34">
        <v>0</v>
      </c>
      <c r="AJ195" s="34">
        <v>0</v>
      </c>
      <c r="AK195" s="34">
        <v>0</v>
      </c>
      <c r="AL195" s="34">
        <v>0</v>
      </c>
      <c r="AM195" s="34">
        <v>0</v>
      </c>
      <c r="AN195" s="34">
        <v>0</v>
      </c>
      <c r="AO195" s="34">
        <v>0</v>
      </c>
      <c r="AP195" s="34">
        <v>0</v>
      </c>
      <c r="AQ195" s="34">
        <v>0</v>
      </c>
      <c r="AR195" s="34">
        <v>0</v>
      </c>
      <c r="AS195" s="34">
        <v>0</v>
      </c>
      <c r="AT195" s="34">
        <v>0</v>
      </c>
      <c r="AU195" s="34">
        <v>0</v>
      </c>
      <c r="AV195" s="34">
        <v>0</v>
      </c>
      <c r="AW195" s="34">
        <v>0</v>
      </c>
      <c r="AX195" s="34">
        <v>0</v>
      </c>
      <c r="AY195" s="34">
        <v>0</v>
      </c>
      <c r="AZ195" s="34">
        <v>0</v>
      </c>
      <c r="BA195" s="34">
        <v>0</v>
      </c>
      <c r="BB195" s="34">
        <v>0</v>
      </c>
      <c r="BC195" s="34">
        <v>0</v>
      </c>
      <c r="BD195" s="34">
        <v>0</v>
      </c>
      <c r="BE195" s="34">
        <v>0</v>
      </c>
      <c r="BF195" s="34">
        <v>1</v>
      </c>
      <c r="BG195" s="34">
        <v>1</v>
      </c>
      <c r="BH195" s="34">
        <v>1</v>
      </c>
      <c r="BI195" s="34">
        <v>1</v>
      </c>
      <c r="BJ195" s="34">
        <v>1</v>
      </c>
      <c r="BK195" s="34">
        <v>1</v>
      </c>
      <c r="BL195" s="34">
        <v>1</v>
      </c>
      <c r="BM195" s="34">
        <v>1</v>
      </c>
      <c r="BN195" s="34">
        <v>1</v>
      </c>
      <c r="BO195" s="34">
        <v>1</v>
      </c>
      <c r="BP195" s="34">
        <v>1</v>
      </c>
      <c r="BQ195" s="34">
        <v>1</v>
      </c>
      <c r="BR195" s="34">
        <v>1</v>
      </c>
      <c r="BS195" s="34">
        <v>1</v>
      </c>
      <c r="BT195" s="34">
        <v>1</v>
      </c>
      <c r="BU195" s="34">
        <v>1</v>
      </c>
      <c r="BV195" s="34">
        <v>1</v>
      </c>
      <c r="BW195" s="34">
        <v>1</v>
      </c>
      <c r="BX195" s="34">
        <v>1</v>
      </c>
      <c r="BY195" s="34">
        <v>1</v>
      </c>
      <c r="BZ195" s="34">
        <v>1</v>
      </c>
      <c r="CA195" s="34">
        <v>1</v>
      </c>
      <c r="CB195" s="34">
        <v>1</v>
      </c>
      <c r="CC195" s="34">
        <v>1</v>
      </c>
      <c r="CD195" s="34">
        <v>1</v>
      </c>
      <c r="CE195" s="34">
        <v>1</v>
      </c>
      <c r="CF195" s="34">
        <v>1</v>
      </c>
      <c r="CG195" s="34">
        <v>1</v>
      </c>
      <c r="CH195" s="34">
        <v>1</v>
      </c>
      <c r="CI195" s="34">
        <v>1</v>
      </c>
      <c r="CJ195" s="34">
        <v>1</v>
      </c>
      <c r="CK195" s="34">
        <v>1</v>
      </c>
      <c r="CL195" s="34">
        <v>1</v>
      </c>
      <c r="CM195" s="34">
        <v>1</v>
      </c>
      <c r="CN195" s="34">
        <v>1</v>
      </c>
      <c r="CO195" s="34">
        <v>0</v>
      </c>
      <c r="CP195" s="34">
        <v>0</v>
      </c>
      <c r="CQ195" s="34">
        <v>0</v>
      </c>
      <c r="CR195" s="34">
        <v>0</v>
      </c>
      <c r="CS195" s="34">
        <v>0</v>
      </c>
      <c r="CT195" s="34">
        <v>0</v>
      </c>
      <c r="CU195" s="34">
        <v>0</v>
      </c>
      <c r="CV195" s="34">
        <v>0</v>
      </c>
      <c r="CW195" s="34">
        <v>0</v>
      </c>
      <c r="CX195" s="34">
        <v>0</v>
      </c>
      <c r="CY195" s="34">
        <v>0</v>
      </c>
      <c r="CZ195" s="34">
        <v>0</v>
      </c>
      <c r="DA195" s="34">
        <v>0</v>
      </c>
      <c r="DB195" s="34">
        <v>0</v>
      </c>
      <c r="DC195" s="34">
        <v>0</v>
      </c>
      <c r="DD195" s="34">
        <v>0</v>
      </c>
      <c r="DE195" s="34">
        <v>0</v>
      </c>
      <c r="DF195" s="34">
        <v>0</v>
      </c>
      <c r="DG195" s="34">
        <v>0</v>
      </c>
      <c r="DH195" s="34">
        <v>0</v>
      </c>
      <c r="DI195" s="34">
        <v>0</v>
      </c>
      <c r="DJ195" s="34">
        <v>0</v>
      </c>
      <c r="DK195" s="34">
        <v>0</v>
      </c>
      <c r="DL195" s="34">
        <v>0</v>
      </c>
      <c r="DM195" s="34">
        <v>0</v>
      </c>
      <c r="DN195" s="34">
        <v>0</v>
      </c>
      <c r="DO195" s="34">
        <v>0</v>
      </c>
      <c r="DP195" s="34">
        <v>0</v>
      </c>
      <c r="DQ195" s="34">
        <v>0</v>
      </c>
      <c r="DR195" s="34">
        <v>0</v>
      </c>
    </row>
    <row r="196" spans="1:122" s="13" customFormat="1" hidden="1" outlineLevel="1" x14ac:dyDescent="0.35">
      <c r="A196" s="14">
        <v>57</v>
      </c>
      <c r="B196" s="34">
        <v>0</v>
      </c>
      <c r="C196" s="34">
        <v>0</v>
      </c>
      <c r="D196" s="34">
        <v>0</v>
      </c>
      <c r="E196" s="34">
        <v>0</v>
      </c>
      <c r="F196" s="34">
        <v>0</v>
      </c>
      <c r="G196" s="34">
        <v>0</v>
      </c>
      <c r="H196" s="34">
        <v>0</v>
      </c>
      <c r="I196" s="34">
        <v>0</v>
      </c>
      <c r="J196" s="34">
        <v>0</v>
      </c>
      <c r="K196" s="34">
        <v>0</v>
      </c>
      <c r="L196" s="34">
        <v>0</v>
      </c>
      <c r="M196" s="34">
        <v>0</v>
      </c>
      <c r="N196" s="34">
        <v>0</v>
      </c>
      <c r="O196" s="34">
        <v>0</v>
      </c>
      <c r="P196" s="34">
        <v>0</v>
      </c>
      <c r="Q196" s="34">
        <v>0</v>
      </c>
      <c r="R196" s="34">
        <v>0</v>
      </c>
      <c r="S196" s="34">
        <v>0</v>
      </c>
      <c r="T196" s="34">
        <v>0</v>
      </c>
      <c r="U196" s="34">
        <v>0</v>
      </c>
      <c r="V196" s="34">
        <v>0</v>
      </c>
      <c r="W196" s="34">
        <v>0</v>
      </c>
      <c r="X196" s="34">
        <v>0</v>
      </c>
      <c r="Y196" s="34">
        <v>0</v>
      </c>
      <c r="Z196" s="34">
        <v>0</v>
      </c>
      <c r="AA196" s="34">
        <v>0</v>
      </c>
      <c r="AB196" s="34">
        <v>0</v>
      </c>
      <c r="AC196" s="34">
        <v>0</v>
      </c>
      <c r="AD196" s="34">
        <v>0</v>
      </c>
      <c r="AE196" s="34">
        <v>0</v>
      </c>
      <c r="AF196" s="34">
        <v>0</v>
      </c>
      <c r="AG196" s="34">
        <v>0</v>
      </c>
      <c r="AH196" s="34">
        <v>0</v>
      </c>
      <c r="AI196" s="34">
        <v>0</v>
      </c>
      <c r="AJ196" s="34">
        <v>0</v>
      </c>
      <c r="AK196" s="34">
        <v>0</v>
      </c>
      <c r="AL196" s="34">
        <v>0</v>
      </c>
      <c r="AM196" s="34">
        <v>0</v>
      </c>
      <c r="AN196" s="34">
        <v>0</v>
      </c>
      <c r="AO196" s="34">
        <v>0</v>
      </c>
      <c r="AP196" s="34">
        <v>0</v>
      </c>
      <c r="AQ196" s="34">
        <v>0</v>
      </c>
      <c r="AR196" s="34">
        <v>0</v>
      </c>
      <c r="AS196" s="34">
        <v>0</v>
      </c>
      <c r="AT196" s="34">
        <v>0</v>
      </c>
      <c r="AU196" s="34">
        <v>0</v>
      </c>
      <c r="AV196" s="34">
        <v>0</v>
      </c>
      <c r="AW196" s="34">
        <v>0</v>
      </c>
      <c r="AX196" s="34">
        <v>0</v>
      </c>
      <c r="AY196" s="34">
        <v>0</v>
      </c>
      <c r="AZ196" s="34">
        <v>0</v>
      </c>
      <c r="BA196" s="34">
        <v>0</v>
      </c>
      <c r="BB196" s="34">
        <v>0</v>
      </c>
      <c r="BC196" s="34">
        <v>0</v>
      </c>
      <c r="BD196" s="34">
        <v>0</v>
      </c>
      <c r="BE196" s="34">
        <v>0</v>
      </c>
      <c r="BF196" s="34">
        <v>0</v>
      </c>
      <c r="BG196" s="34">
        <v>1</v>
      </c>
      <c r="BH196" s="34">
        <v>1</v>
      </c>
      <c r="BI196" s="34">
        <v>1</v>
      </c>
      <c r="BJ196" s="34">
        <v>1</v>
      </c>
      <c r="BK196" s="34">
        <v>1</v>
      </c>
      <c r="BL196" s="34">
        <v>1</v>
      </c>
      <c r="BM196" s="34">
        <v>1</v>
      </c>
      <c r="BN196" s="34">
        <v>1</v>
      </c>
      <c r="BO196" s="34">
        <v>1</v>
      </c>
      <c r="BP196" s="34">
        <v>1</v>
      </c>
      <c r="BQ196" s="34">
        <v>1</v>
      </c>
      <c r="BR196" s="34">
        <v>1</v>
      </c>
      <c r="BS196" s="34">
        <v>1</v>
      </c>
      <c r="BT196" s="34">
        <v>1</v>
      </c>
      <c r="BU196" s="34">
        <v>1</v>
      </c>
      <c r="BV196" s="34">
        <v>1</v>
      </c>
      <c r="BW196" s="34">
        <v>1</v>
      </c>
      <c r="BX196" s="34">
        <v>1</v>
      </c>
      <c r="BY196" s="34">
        <v>1</v>
      </c>
      <c r="BZ196" s="34">
        <v>1</v>
      </c>
      <c r="CA196" s="34">
        <v>1</v>
      </c>
      <c r="CB196" s="34">
        <v>1</v>
      </c>
      <c r="CC196" s="34">
        <v>1</v>
      </c>
      <c r="CD196" s="34">
        <v>1</v>
      </c>
      <c r="CE196" s="34">
        <v>1</v>
      </c>
      <c r="CF196" s="34">
        <v>1</v>
      </c>
      <c r="CG196" s="34">
        <v>1</v>
      </c>
      <c r="CH196" s="34">
        <v>1</v>
      </c>
      <c r="CI196" s="34">
        <v>1</v>
      </c>
      <c r="CJ196" s="34">
        <v>1</v>
      </c>
      <c r="CK196" s="34">
        <v>1</v>
      </c>
      <c r="CL196" s="34">
        <v>1</v>
      </c>
      <c r="CM196" s="34">
        <v>1</v>
      </c>
      <c r="CN196" s="34">
        <v>1</v>
      </c>
      <c r="CO196" s="34">
        <v>0</v>
      </c>
      <c r="CP196" s="34">
        <v>0</v>
      </c>
      <c r="CQ196" s="34">
        <v>0</v>
      </c>
      <c r="CR196" s="34">
        <v>0</v>
      </c>
      <c r="CS196" s="34">
        <v>0</v>
      </c>
      <c r="CT196" s="34">
        <v>0</v>
      </c>
      <c r="CU196" s="34">
        <v>0</v>
      </c>
      <c r="CV196" s="34">
        <v>0</v>
      </c>
      <c r="CW196" s="34">
        <v>0</v>
      </c>
      <c r="CX196" s="34">
        <v>0</v>
      </c>
      <c r="CY196" s="34">
        <v>0</v>
      </c>
      <c r="CZ196" s="34">
        <v>0</v>
      </c>
      <c r="DA196" s="34">
        <v>0</v>
      </c>
      <c r="DB196" s="34">
        <v>0</v>
      </c>
      <c r="DC196" s="34">
        <v>0</v>
      </c>
      <c r="DD196" s="34">
        <v>0</v>
      </c>
      <c r="DE196" s="34">
        <v>0</v>
      </c>
      <c r="DF196" s="34">
        <v>0</v>
      </c>
      <c r="DG196" s="34">
        <v>0</v>
      </c>
      <c r="DH196" s="34">
        <v>0</v>
      </c>
      <c r="DI196" s="34">
        <v>0</v>
      </c>
      <c r="DJ196" s="34">
        <v>0</v>
      </c>
      <c r="DK196" s="34">
        <v>0</v>
      </c>
      <c r="DL196" s="34">
        <v>0</v>
      </c>
      <c r="DM196" s="34">
        <v>0</v>
      </c>
      <c r="DN196" s="34">
        <v>0</v>
      </c>
      <c r="DO196" s="34">
        <v>0</v>
      </c>
      <c r="DP196" s="34">
        <v>0</v>
      </c>
      <c r="DQ196" s="34">
        <v>0</v>
      </c>
      <c r="DR196" s="34">
        <v>0</v>
      </c>
    </row>
    <row r="197" spans="1:122" s="13" customFormat="1" hidden="1" outlineLevel="1" x14ac:dyDescent="0.35">
      <c r="A197" s="14">
        <v>58</v>
      </c>
      <c r="B197" s="34">
        <v>0</v>
      </c>
      <c r="C197" s="34">
        <v>0</v>
      </c>
      <c r="D197" s="34">
        <v>0</v>
      </c>
      <c r="E197" s="34">
        <v>0</v>
      </c>
      <c r="F197" s="34">
        <v>0</v>
      </c>
      <c r="G197" s="34">
        <v>0</v>
      </c>
      <c r="H197" s="34">
        <v>0</v>
      </c>
      <c r="I197" s="34">
        <v>0</v>
      </c>
      <c r="J197" s="34">
        <v>0</v>
      </c>
      <c r="K197" s="34">
        <v>0</v>
      </c>
      <c r="L197" s="34">
        <v>0</v>
      </c>
      <c r="M197" s="34">
        <v>0</v>
      </c>
      <c r="N197" s="34">
        <v>0</v>
      </c>
      <c r="O197" s="34">
        <v>0</v>
      </c>
      <c r="P197" s="34">
        <v>0</v>
      </c>
      <c r="Q197" s="34">
        <v>0</v>
      </c>
      <c r="R197" s="34">
        <v>0</v>
      </c>
      <c r="S197" s="34">
        <v>0</v>
      </c>
      <c r="T197" s="34">
        <v>0</v>
      </c>
      <c r="U197" s="34">
        <v>0</v>
      </c>
      <c r="V197" s="34">
        <v>0</v>
      </c>
      <c r="W197" s="34">
        <v>0</v>
      </c>
      <c r="X197" s="34">
        <v>0</v>
      </c>
      <c r="Y197" s="34">
        <v>0</v>
      </c>
      <c r="Z197" s="34">
        <v>0</v>
      </c>
      <c r="AA197" s="34">
        <v>0</v>
      </c>
      <c r="AB197" s="34">
        <v>0</v>
      </c>
      <c r="AC197" s="34">
        <v>0</v>
      </c>
      <c r="AD197" s="34">
        <v>0</v>
      </c>
      <c r="AE197" s="34">
        <v>0</v>
      </c>
      <c r="AF197" s="34">
        <v>0</v>
      </c>
      <c r="AG197" s="34">
        <v>0</v>
      </c>
      <c r="AH197" s="34">
        <v>0</v>
      </c>
      <c r="AI197" s="34">
        <v>0</v>
      </c>
      <c r="AJ197" s="34">
        <v>0</v>
      </c>
      <c r="AK197" s="34">
        <v>0</v>
      </c>
      <c r="AL197" s="34">
        <v>0</v>
      </c>
      <c r="AM197" s="34">
        <v>0</v>
      </c>
      <c r="AN197" s="34">
        <v>0</v>
      </c>
      <c r="AO197" s="34">
        <v>0</v>
      </c>
      <c r="AP197" s="34">
        <v>0</v>
      </c>
      <c r="AQ197" s="34">
        <v>0</v>
      </c>
      <c r="AR197" s="34">
        <v>0</v>
      </c>
      <c r="AS197" s="34">
        <v>0</v>
      </c>
      <c r="AT197" s="34">
        <v>0</v>
      </c>
      <c r="AU197" s="34">
        <v>0</v>
      </c>
      <c r="AV197" s="34">
        <v>0</v>
      </c>
      <c r="AW197" s="34">
        <v>0</v>
      </c>
      <c r="AX197" s="34">
        <v>0</v>
      </c>
      <c r="AY197" s="34">
        <v>0</v>
      </c>
      <c r="AZ197" s="34">
        <v>0</v>
      </c>
      <c r="BA197" s="34">
        <v>0</v>
      </c>
      <c r="BB197" s="34">
        <v>0</v>
      </c>
      <c r="BC197" s="34">
        <v>0</v>
      </c>
      <c r="BD197" s="34">
        <v>0</v>
      </c>
      <c r="BE197" s="34">
        <v>0</v>
      </c>
      <c r="BF197" s="34">
        <v>0</v>
      </c>
      <c r="BG197" s="34">
        <v>0</v>
      </c>
      <c r="BH197" s="34">
        <v>1</v>
      </c>
      <c r="BI197" s="34">
        <v>1</v>
      </c>
      <c r="BJ197" s="34">
        <v>1</v>
      </c>
      <c r="BK197" s="34">
        <v>1</v>
      </c>
      <c r="BL197" s="34">
        <v>1</v>
      </c>
      <c r="BM197" s="34">
        <v>1</v>
      </c>
      <c r="BN197" s="34">
        <v>1</v>
      </c>
      <c r="BO197" s="34">
        <v>1</v>
      </c>
      <c r="BP197" s="34">
        <v>1</v>
      </c>
      <c r="BQ197" s="34">
        <v>1</v>
      </c>
      <c r="BR197" s="34">
        <v>1</v>
      </c>
      <c r="BS197" s="34">
        <v>1</v>
      </c>
      <c r="BT197" s="34">
        <v>1</v>
      </c>
      <c r="BU197" s="34">
        <v>1</v>
      </c>
      <c r="BV197" s="34">
        <v>1</v>
      </c>
      <c r="BW197" s="34">
        <v>1</v>
      </c>
      <c r="BX197" s="34">
        <v>1</v>
      </c>
      <c r="BY197" s="34">
        <v>1</v>
      </c>
      <c r="BZ197" s="34">
        <v>1</v>
      </c>
      <c r="CA197" s="34">
        <v>1</v>
      </c>
      <c r="CB197" s="34">
        <v>1</v>
      </c>
      <c r="CC197" s="34">
        <v>1</v>
      </c>
      <c r="CD197" s="34">
        <v>1</v>
      </c>
      <c r="CE197" s="34">
        <v>1</v>
      </c>
      <c r="CF197" s="34">
        <v>1</v>
      </c>
      <c r="CG197" s="34">
        <v>1</v>
      </c>
      <c r="CH197" s="34">
        <v>1</v>
      </c>
      <c r="CI197" s="34">
        <v>1</v>
      </c>
      <c r="CJ197" s="34">
        <v>1</v>
      </c>
      <c r="CK197" s="34">
        <v>1</v>
      </c>
      <c r="CL197" s="34">
        <v>1</v>
      </c>
      <c r="CM197" s="34">
        <v>1</v>
      </c>
      <c r="CN197" s="34">
        <v>1</v>
      </c>
      <c r="CO197" s="34">
        <v>0</v>
      </c>
      <c r="CP197" s="34">
        <v>0</v>
      </c>
      <c r="CQ197" s="34">
        <v>0</v>
      </c>
      <c r="CR197" s="34">
        <v>0</v>
      </c>
      <c r="CS197" s="34">
        <v>0</v>
      </c>
      <c r="CT197" s="34">
        <v>0</v>
      </c>
      <c r="CU197" s="34">
        <v>0</v>
      </c>
      <c r="CV197" s="34">
        <v>0</v>
      </c>
      <c r="CW197" s="34">
        <v>0</v>
      </c>
      <c r="CX197" s="34">
        <v>0</v>
      </c>
      <c r="CY197" s="34">
        <v>0</v>
      </c>
      <c r="CZ197" s="34">
        <v>0</v>
      </c>
      <c r="DA197" s="34">
        <v>0</v>
      </c>
      <c r="DB197" s="34">
        <v>0</v>
      </c>
      <c r="DC197" s="34">
        <v>0</v>
      </c>
      <c r="DD197" s="34">
        <v>0</v>
      </c>
      <c r="DE197" s="34">
        <v>0</v>
      </c>
      <c r="DF197" s="34">
        <v>0</v>
      </c>
      <c r="DG197" s="34">
        <v>0</v>
      </c>
      <c r="DH197" s="34">
        <v>0</v>
      </c>
      <c r="DI197" s="34">
        <v>0</v>
      </c>
      <c r="DJ197" s="34">
        <v>0</v>
      </c>
      <c r="DK197" s="34">
        <v>0</v>
      </c>
      <c r="DL197" s="34">
        <v>0</v>
      </c>
      <c r="DM197" s="34">
        <v>0</v>
      </c>
      <c r="DN197" s="34">
        <v>0</v>
      </c>
      <c r="DO197" s="34">
        <v>0</v>
      </c>
      <c r="DP197" s="34">
        <v>0</v>
      </c>
      <c r="DQ197" s="34">
        <v>0</v>
      </c>
      <c r="DR197" s="34">
        <v>0</v>
      </c>
    </row>
    <row r="198" spans="1:122" s="13" customFormat="1" hidden="1" outlineLevel="1" x14ac:dyDescent="0.35">
      <c r="A198" s="14">
        <v>59</v>
      </c>
      <c r="B198" s="34">
        <v>0</v>
      </c>
      <c r="C198" s="34">
        <v>0</v>
      </c>
      <c r="D198" s="34">
        <v>0</v>
      </c>
      <c r="E198" s="34">
        <v>0</v>
      </c>
      <c r="F198" s="34">
        <v>0</v>
      </c>
      <c r="G198" s="34">
        <v>0</v>
      </c>
      <c r="H198" s="34">
        <v>0</v>
      </c>
      <c r="I198" s="34">
        <v>0</v>
      </c>
      <c r="J198" s="34">
        <v>0</v>
      </c>
      <c r="K198" s="34">
        <v>0</v>
      </c>
      <c r="L198" s="34">
        <v>0</v>
      </c>
      <c r="M198" s="34">
        <v>0</v>
      </c>
      <c r="N198" s="34">
        <v>0</v>
      </c>
      <c r="O198" s="34">
        <v>0</v>
      </c>
      <c r="P198" s="34">
        <v>0</v>
      </c>
      <c r="Q198" s="34">
        <v>0</v>
      </c>
      <c r="R198" s="34">
        <v>0</v>
      </c>
      <c r="S198" s="34">
        <v>0</v>
      </c>
      <c r="T198" s="34">
        <v>0</v>
      </c>
      <c r="U198" s="34">
        <v>0</v>
      </c>
      <c r="V198" s="34">
        <v>0</v>
      </c>
      <c r="W198" s="34">
        <v>0</v>
      </c>
      <c r="X198" s="34">
        <v>0</v>
      </c>
      <c r="Y198" s="34">
        <v>0</v>
      </c>
      <c r="Z198" s="34">
        <v>0</v>
      </c>
      <c r="AA198" s="34">
        <v>0</v>
      </c>
      <c r="AB198" s="34">
        <v>0</v>
      </c>
      <c r="AC198" s="34">
        <v>0</v>
      </c>
      <c r="AD198" s="34">
        <v>0</v>
      </c>
      <c r="AE198" s="34">
        <v>0</v>
      </c>
      <c r="AF198" s="34">
        <v>0</v>
      </c>
      <c r="AG198" s="34">
        <v>0</v>
      </c>
      <c r="AH198" s="34">
        <v>0</v>
      </c>
      <c r="AI198" s="34">
        <v>0</v>
      </c>
      <c r="AJ198" s="34">
        <v>0</v>
      </c>
      <c r="AK198" s="34">
        <v>0</v>
      </c>
      <c r="AL198" s="34">
        <v>0</v>
      </c>
      <c r="AM198" s="34">
        <v>0</v>
      </c>
      <c r="AN198" s="34">
        <v>0</v>
      </c>
      <c r="AO198" s="34">
        <v>0</v>
      </c>
      <c r="AP198" s="34">
        <v>0</v>
      </c>
      <c r="AQ198" s="34">
        <v>0</v>
      </c>
      <c r="AR198" s="34">
        <v>0</v>
      </c>
      <c r="AS198" s="34">
        <v>0</v>
      </c>
      <c r="AT198" s="34">
        <v>0</v>
      </c>
      <c r="AU198" s="34">
        <v>0</v>
      </c>
      <c r="AV198" s="34">
        <v>0</v>
      </c>
      <c r="AW198" s="34">
        <v>0</v>
      </c>
      <c r="AX198" s="34">
        <v>0</v>
      </c>
      <c r="AY198" s="34">
        <v>0</v>
      </c>
      <c r="AZ198" s="34">
        <v>0</v>
      </c>
      <c r="BA198" s="34">
        <v>0</v>
      </c>
      <c r="BB198" s="34">
        <v>0</v>
      </c>
      <c r="BC198" s="34">
        <v>0</v>
      </c>
      <c r="BD198" s="34">
        <v>0</v>
      </c>
      <c r="BE198" s="34">
        <v>0</v>
      </c>
      <c r="BF198" s="34">
        <v>0</v>
      </c>
      <c r="BG198" s="34">
        <v>0</v>
      </c>
      <c r="BH198" s="34">
        <v>0</v>
      </c>
      <c r="BI198" s="34">
        <v>1</v>
      </c>
      <c r="BJ198" s="34">
        <v>1</v>
      </c>
      <c r="BK198" s="34">
        <v>1</v>
      </c>
      <c r="BL198" s="34">
        <v>1</v>
      </c>
      <c r="BM198" s="34">
        <v>1</v>
      </c>
      <c r="BN198" s="34">
        <v>1</v>
      </c>
      <c r="BO198" s="34">
        <v>1</v>
      </c>
      <c r="BP198" s="34">
        <v>1</v>
      </c>
      <c r="BQ198" s="34">
        <v>1</v>
      </c>
      <c r="BR198" s="34">
        <v>1</v>
      </c>
      <c r="BS198" s="34">
        <v>1</v>
      </c>
      <c r="BT198" s="34">
        <v>1</v>
      </c>
      <c r="BU198" s="34">
        <v>1</v>
      </c>
      <c r="BV198" s="34">
        <v>1</v>
      </c>
      <c r="BW198" s="34">
        <v>1</v>
      </c>
      <c r="BX198" s="34">
        <v>1</v>
      </c>
      <c r="BY198" s="34">
        <v>1</v>
      </c>
      <c r="BZ198" s="34">
        <v>1</v>
      </c>
      <c r="CA198" s="34">
        <v>1</v>
      </c>
      <c r="CB198" s="34">
        <v>1</v>
      </c>
      <c r="CC198" s="34">
        <v>1</v>
      </c>
      <c r="CD198" s="34">
        <v>1</v>
      </c>
      <c r="CE198" s="34">
        <v>1</v>
      </c>
      <c r="CF198" s="34">
        <v>1</v>
      </c>
      <c r="CG198" s="34">
        <v>1</v>
      </c>
      <c r="CH198" s="34">
        <v>1</v>
      </c>
      <c r="CI198" s="34">
        <v>1</v>
      </c>
      <c r="CJ198" s="34">
        <v>1</v>
      </c>
      <c r="CK198" s="34">
        <v>1</v>
      </c>
      <c r="CL198" s="34">
        <v>1</v>
      </c>
      <c r="CM198" s="34">
        <v>1</v>
      </c>
      <c r="CN198" s="34">
        <v>1</v>
      </c>
      <c r="CO198" s="34">
        <v>0</v>
      </c>
      <c r="CP198" s="34">
        <v>0</v>
      </c>
      <c r="CQ198" s="34">
        <v>0</v>
      </c>
      <c r="CR198" s="34">
        <v>0</v>
      </c>
      <c r="CS198" s="34">
        <v>0</v>
      </c>
      <c r="CT198" s="34">
        <v>0</v>
      </c>
      <c r="CU198" s="34">
        <v>0</v>
      </c>
      <c r="CV198" s="34">
        <v>0</v>
      </c>
      <c r="CW198" s="34">
        <v>0</v>
      </c>
      <c r="CX198" s="34">
        <v>0</v>
      </c>
      <c r="CY198" s="34">
        <v>0</v>
      </c>
      <c r="CZ198" s="34">
        <v>0</v>
      </c>
      <c r="DA198" s="34">
        <v>0</v>
      </c>
      <c r="DB198" s="34">
        <v>0</v>
      </c>
      <c r="DC198" s="34">
        <v>0</v>
      </c>
      <c r="DD198" s="34">
        <v>0</v>
      </c>
      <c r="DE198" s="34">
        <v>0</v>
      </c>
      <c r="DF198" s="34">
        <v>0</v>
      </c>
      <c r="DG198" s="34">
        <v>0</v>
      </c>
      <c r="DH198" s="34">
        <v>0</v>
      </c>
      <c r="DI198" s="34">
        <v>0</v>
      </c>
      <c r="DJ198" s="34">
        <v>0</v>
      </c>
      <c r="DK198" s="34">
        <v>0</v>
      </c>
      <c r="DL198" s="34">
        <v>0</v>
      </c>
      <c r="DM198" s="34">
        <v>0</v>
      </c>
      <c r="DN198" s="34">
        <v>0</v>
      </c>
      <c r="DO198" s="34">
        <v>0</v>
      </c>
      <c r="DP198" s="34">
        <v>0</v>
      </c>
      <c r="DQ198" s="34">
        <v>0</v>
      </c>
      <c r="DR198" s="34">
        <v>0</v>
      </c>
    </row>
    <row r="199" spans="1:122" s="13" customFormat="1" hidden="1" outlineLevel="1" x14ac:dyDescent="0.35">
      <c r="A199" s="14">
        <v>60</v>
      </c>
      <c r="B199" s="34">
        <v>0</v>
      </c>
      <c r="C199" s="34">
        <v>0</v>
      </c>
      <c r="D199" s="34">
        <v>0</v>
      </c>
      <c r="E199" s="34">
        <v>0</v>
      </c>
      <c r="F199" s="34">
        <v>0</v>
      </c>
      <c r="G199" s="34">
        <v>0</v>
      </c>
      <c r="H199" s="34">
        <v>0</v>
      </c>
      <c r="I199" s="34">
        <v>0</v>
      </c>
      <c r="J199" s="34">
        <v>0</v>
      </c>
      <c r="K199" s="34">
        <v>0</v>
      </c>
      <c r="L199" s="34">
        <v>0</v>
      </c>
      <c r="M199" s="34">
        <v>0</v>
      </c>
      <c r="N199" s="34">
        <v>0</v>
      </c>
      <c r="O199" s="34">
        <v>0</v>
      </c>
      <c r="P199" s="34">
        <v>0</v>
      </c>
      <c r="Q199" s="34">
        <v>0</v>
      </c>
      <c r="R199" s="34">
        <v>0</v>
      </c>
      <c r="S199" s="34">
        <v>0</v>
      </c>
      <c r="T199" s="34">
        <v>0</v>
      </c>
      <c r="U199" s="34">
        <v>0</v>
      </c>
      <c r="V199" s="34">
        <v>0</v>
      </c>
      <c r="W199" s="34">
        <v>0</v>
      </c>
      <c r="X199" s="34">
        <v>0</v>
      </c>
      <c r="Y199" s="34">
        <v>0</v>
      </c>
      <c r="Z199" s="34">
        <v>0</v>
      </c>
      <c r="AA199" s="34">
        <v>0</v>
      </c>
      <c r="AB199" s="34">
        <v>0</v>
      </c>
      <c r="AC199" s="34">
        <v>0</v>
      </c>
      <c r="AD199" s="34">
        <v>0</v>
      </c>
      <c r="AE199" s="34">
        <v>0</v>
      </c>
      <c r="AF199" s="34">
        <v>0</v>
      </c>
      <c r="AG199" s="34">
        <v>0</v>
      </c>
      <c r="AH199" s="34">
        <v>0</v>
      </c>
      <c r="AI199" s="34">
        <v>0</v>
      </c>
      <c r="AJ199" s="34">
        <v>0</v>
      </c>
      <c r="AK199" s="34">
        <v>0</v>
      </c>
      <c r="AL199" s="34">
        <v>0</v>
      </c>
      <c r="AM199" s="34">
        <v>0</v>
      </c>
      <c r="AN199" s="34">
        <v>0</v>
      </c>
      <c r="AO199" s="34">
        <v>0</v>
      </c>
      <c r="AP199" s="34">
        <v>0</v>
      </c>
      <c r="AQ199" s="34">
        <v>0</v>
      </c>
      <c r="AR199" s="34">
        <v>0</v>
      </c>
      <c r="AS199" s="34">
        <v>0</v>
      </c>
      <c r="AT199" s="34">
        <v>0</v>
      </c>
      <c r="AU199" s="34">
        <v>0</v>
      </c>
      <c r="AV199" s="34">
        <v>0</v>
      </c>
      <c r="AW199" s="34">
        <v>0</v>
      </c>
      <c r="AX199" s="34">
        <v>0</v>
      </c>
      <c r="AY199" s="34">
        <v>0</v>
      </c>
      <c r="AZ199" s="34">
        <v>0</v>
      </c>
      <c r="BA199" s="34">
        <v>0</v>
      </c>
      <c r="BB199" s="34">
        <v>0</v>
      </c>
      <c r="BC199" s="34">
        <v>0</v>
      </c>
      <c r="BD199" s="34">
        <v>0</v>
      </c>
      <c r="BE199" s="34">
        <v>0</v>
      </c>
      <c r="BF199" s="34">
        <v>0</v>
      </c>
      <c r="BG199" s="34">
        <v>0</v>
      </c>
      <c r="BH199" s="34">
        <v>0</v>
      </c>
      <c r="BI199" s="34">
        <v>0</v>
      </c>
      <c r="BJ199" s="34">
        <v>1</v>
      </c>
      <c r="BK199" s="34">
        <v>1</v>
      </c>
      <c r="BL199" s="34">
        <v>1</v>
      </c>
      <c r="BM199" s="34">
        <v>1</v>
      </c>
      <c r="BN199" s="34">
        <v>1</v>
      </c>
      <c r="BO199" s="34">
        <v>1</v>
      </c>
      <c r="BP199" s="34">
        <v>1</v>
      </c>
      <c r="BQ199" s="34">
        <v>1</v>
      </c>
      <c r="BR199" s="34">
        <v>1</v>
      </c>
      <c r="BS199" s="34">
        <v>1</v>
      </c>
      <c r="BT199" s="34">
        <v>1</v>
      </c>
      <c r="BU199" s="34">
        <v>1</v>
      </c>
      <c r="BV199" s="34">
        <v>1</v>
      </c>
      <c r="BW199" s="34">
        <v>1</v>
      </c>
      <c r="BX199" s="34">
        <v>1</v>
      </c>
      <c r="BY199" s="34">
        <v>1</v>
      </c>
      <c r="BZ199" s="34">
        <v>1</v>
      </c>
      <c r="CA199" s="34">
        <v>1</v>
      </c>
      <c r="CB199" s="34">
        <v>1</v>
      </c>
      <c r="CC199" s="34">
        <v>1</v>
      </c>
      <c r="CD199" s="34">
        <v>1</v>
      </c>
      <c r="CE199" s="34">
        <v>1</v>
      </c>
      <c r="CF199" s="34">
        <v>1</v>
      </c>
      <c r="CG199" s="34">
        <v>1</v>
      </c>
      <c r="CH199" s="34">
        <v>1</v>
      </c>
      <c r="CI199" s="34">
        <v>1</v>
      </c>
      <c r="CJ199" s="34">
        <v>1</v>
      </c>
      <c r="CK199" s="34">
        <v>1</v>
      </c>
      <c r="CL199" s="34">
        <v>1</v>
      </c>
      <c r="CM199" s="34">
        <v>1</v>
      </c>
      <c r="CN199" s="34">
        <v>1</v>
      </c>
      <c r="CO199" s="34">
        <v>0</v>
      </c>
      <c r="CP199" s="34">
        <v>0</v>
      </c>
      <c r="CQ199" s="34">
        <v>0</v>
      </c>
      <c r="CR199" s="34">
        <v>0</v>
      </c>
      <c r="CS199" s="34">
        <v>0</v>
      </c>
      <c r="CT199" s="34">
        <v>0</v>
      </c>
      <c r="CU199" s="34">
        <v>0</v>
      </c>
      <c r="CV199" s="34">
        <v>0</v>
      </c>
      <c r="CW199" s="34">
        <v>0</v>
      </c>
      <c r="CX199" s="34">
        <v>0</v>
      </c>
      <c r="CY199" s="34">
        <v>0</v>
      </c>
      <c r="CZ199" s="34">
        <v>0</v>
      </c>
      <c r="DA199" s="34">
        <v>0</v>
      </c>
      <c r="DB199" s="34">
        <v>0</v>
      </c>
      <c r="DC199" s="34">
        <v>0</v>
      </c>
      <c r="DD199" s="34">
        <v>0</v>
      </c>
      <c r="DE199" s="34">
        <v>0</v>
      </c>
      <c r="DF199" s="34">
        <v>0</v>
      </c>
      <c r="DG199" s="34">
        <v>0</v>
      </c>
      <c r="DH199" s="34">
        <v>0</v>
      </c>
      <c r="DI199" s="34">
        <v>0</v>
      </c>
      <c r="DJ199" s="34">
        <v>0</v>
      </c>
      <c r="DK199" s="34">
        <v>0</v>
      </c>
      <c r="DL199" s="34">
        <v>0</v>
      </c>
      <c r="DM199" s="34">
        <v>0</v>
      </c>
      <c r="DN199" s="34">
        <v>0</v>
      </c>
      <c r="DO199" s="34">
        <v>0</v>
      </c>
      <c r="DP199" s="34">
        <v>0</v>
      </c>
      <c r="DQ199" s="34">
        <v>0</v>
      </c>
      <c r="DR199" s="34">
        <v>0</v>
      </c>
    </row>
    <row r="200" spans="1:122" s="13" customFormat="1" hidden="1" outlineLevel="1" x14ac:dyDescent="0.35">
      <c r="A200" s="14">
        <v>61</v>
      </c>
      <c r="B200" s="34">
        <v>0</v>
      </c>
      <c r="C200" s="34">
        <v>0</v>
      </c>
      <c r="D200" s="34">
        <v>0</v>
      </c>
      <c r="E200" s="34">
        <v>0</v>
      </c>
      <c r="F200" s="34">
        <v>0</v>
      </c>
      <c r="G200" s="34">
        <v>0</v>
      </c>
      <c r="H200" s="34">
        <v>0</v>
      </c>
      <c r="I200" s="34">
        <v>0</v>
      </c>
      <c r="J200" s="34">
        <v>0</v>
      </c>
      <c r="K200" s="34">
        <v>0</v>
      </c>
      <c r="L200" s="34">
        <v>0</v>
      </c>
      <c r="M200" s="34">
        <v>0</v>
      </c>
      <c r="N200" s="34">
        <v>0</v>
      </c>
      <c r="O200" s="34">
        <v>0</v>
      </c>
      <c r="P200" s="34">
        <v>0</v>
      </c>
      <c r="Q200" s="34">
        <v>0</v>
      </c>
      <c r="R200" s="34">
        <v>0</v>
      </c>
      <c r="S200" s="34">
        <v>0</v>
      </c>
      <c r="T200" s="34">
        <v>0</v>
      </c>
      <c r="U200" s="34">
        <v>0</v>
      </c>
      <c r="V200" s="34">
        <v>0</v>
      </c>
      <c r="W200" s="34">
        <v>0</v>
      </c>
      <c r="X200" s="34">
        <v>0</v>
      </c>
      <c r="Y200" s="34">
        <v>0</v>
      </c>
      <c r="Z200" s="34">
        <v>0</v>
      </c>
      <c r="AA200" s="34">
        <v>0</v>
      </c>
      <c r="AB200" s="34">
        <v>0</v>
      </c>
      <c r="AC200" s="34">
        <v>0</v>
      </c>
      <c r="AD200" s="34">
        <v>0</v>
      </c>
      <c r="AE200" s="34">
        <v>0</v>
      </c>
      <c r="AF200" s="34">
        <v>0</v>
      </c>
      <c r="AG200" s="34">
        <v>0</v>
      </c>
      <c r="AH200" s="34">
        <v>0</v>
      </c>
      <c r="AI200" s="34">
        <v>0</v>
      </c>
      <c r="AJ200" s="34">
        <v>0</v>
      </c>
      <c r="AK200" s="34">
        <v>0</v>
      </c>
      <c r="AL200" s="34">
        <v>0</v>
      </c>
      <c r="AM200" s="34">
        <v>0</v>
      </c>
      <c r="AN200" s="34">
        <v>0</v>
      </c>
      <c r="AO200" s="34">
        <v>0</v>
      </c>
      <c r="AP200" s="34">
        <v>0</v>
      </c>
      <c r="AQ200" s="34">
        <v>0</v>
      </c>
      <c r="AR200" s="34">
        <v>0</v>
      </c>
      <c r="AS200" s="34">
        <v>0</v>
      </c>
      <c r="AT200" s="34">
        <v>0</v>
      </c>
      <c r="AU200" s="34">
        <v>0</v>
      </c>
      <c r="AV200" s="34">
        <v>0</v>
      </c>
      <c r="AW200" s="34">
        <v>0</v>
      </c>
      <c r="AX200" s="34">
        <v>0</v>
      </c>
      <c r="AY200" s="34">
        <v>0</v>
      </c>
      <c r="AZ200" s="34">
        <v>0</v>
      </c>
      <c r="BA200" s="34">
        <v>0</v>
      </c>
      <c r="BB200" s="34">
        <v>0</v>
      </c>
      <c r="BC200" s="34">
        <v>0</v>
      </c>
      <c r="BD200" s="34">
        <v>0</v>
      </c>
      <c r="BE200" s="34">
        <v>0</v>
      </c>
      <c r="BF200" s="34">
        <v>0</v>
      </c>
      <c r="BG200" s="34">
        <v>0</v>
      </c>
      <c r="BH200" s="34">
        <v>0</v>
      </c>
      <c r="BI200" s="34">
        <v>0</v>
      </c>
      <c r="BJ200" s="34">
        <v>0</v>
      </c>
      <c r="BK200" s="34">
        <v>1</v>
      </c>
      <c r="BL200" s="34">
        <v>1</v>
      </c>
      <c r="BM200" s="34">
        <v>1</v>
      </c>
      <c r="BN200" s="34">
        <v>1</v>
      </c>
      <c r="BO200" s="34">
        <v>1</v>
      </c>
      <c r="BP200" s="34">
        <v>1</v>
      </c>
      <c r="BQ200" s="34">
        <v>1</v>
      </c>
      <c r="BR200" s="34">
        <v>1</v>
      </c>
      <c r="BS200" s="34">
        <v>1</v>
      </c>
      <c r="BT200" s="34">
        <v>1</v>
      </c>
      <c r="BU200" s="34">
        <v>1</v>
      </c>
      <c r="BV200" s="34">
        <v>1</v>
      </c>
      <c r="BW200" s="34">
        <v>1</v>
      </c>
      <c r="BX200" s="34">
        <v>1</v>
      </c>
      <c r="BY200" s="34">
        <v>1</v>
      </c>
      <c r="BZ200" s="34">
        <v>1</v>
      </c>
      <c r="CA200" s="34">
        <v>1</v>
      </c>
      <c r="CB200" s="34">
        <v>1</v>
      </c>
      <c r="CC200" s="34">
        <v>1</v>
      </c>
      <c r="CD200" s="34">
        <v>1</v>
      </c>
      <c r="CE200" s="34">
        <v>1</v>
      </c>
      <c r="CF200" s="34">
        <v>1</v>
      </c>
      <c r="CG200" s="34">
        <v>1</v>
      </c>
      <c r="CH200" s="34">
        <v>1</v>
      </c>
      <c r="CI200" s="34">
        <v>1</v>
      </c>
      <c r="CJ200" s="34">
        <v>1</v>
      </c>
      <c r="CK200" s="34">
        <v>1</v>
      </c>
      <c r="CL200" s="34">
        <v>1</v>
      </c>
      <c r="CM200" s="34">
        <v>1</v>
      </c>
      <c r="CN200" s="34">
        <v>1</v>
      </c>
      <c r="CO200" s="34">
        <v>0</v>
      </c>
      <c r="CP200" s="34">
        <v>0</v>
      </c>
      <c r="CQ200" s="34">
        <v>0</v>
      </c>
      <c r="CR200" s="34">
        <v>0</v>
      </c>
      <c r="CS200" s="34">
        <v>0</v>
      </c>
      <c r="CT200" s="34">
        <v>0</v>
      </c>
      <c r="CU200" s="34">
        <v>0</v>
      </c>
      <c r="CV200" s="34">
        <v>0</v>
      </c>
      <c r="CW200" s="34">
        <v>0</v>
      </c>
      <c r="CX200" s="34">
        <v>0</v>
      </c>
      <c r="CY200" s="34">
        <v>0</v>
      </c>
      <c r="CZ200" s="34">
        <v>0</v>
      </c>
      <c r="DA200" s="34">
        <v>0</v>
      </c>
      <c r="DB200" s="34">
        <v>0</v>
      </c>
      <c r="DC200" s="34">
        <v>0</v>
      </c>
      <c r="DD200" s="34">
        <v>0</v>
      </c>
      <c r="DE200" s="34">
        <v>0</v>
      </c>
      <c r="DF200" s="34">
        <v>0</v>
      </c>
      <c r="DG200" s="34">
        <v>0</v>
      </c>
      <c r="DH200" s="34">
        <v>0</v>
      </c>
      <c r="DI200" s="34">
        <v>0</v>
      </c>
      <c r="DJ200" s="34">
        <v>0</v>
      </c>
      <c r="DK200" s="34">
        <v>0</v>
      </c>
      <c r="DL200" s="34">
        <v>0</v>
      </c>
      <c r="DM200" s="34">
        <v>0</v>
      </c>
      <c r="DN200" s="34">
        <v>0</v>
      </c>
      <c r="DO200" s="34">
        <v>0</v>
      </c>
      <c r="DP200" s="34">
        <v>0</v>
      </c>
      <c r="DQ200" s="34">
        <v>0</v>
      </c>
      <c r="DR200" s="34">
        <v>0</v>
      </c>
    </row>
    <row r="201" spans="1:122" s="13" customFormat="1" hidden="1" outlineLevel="1" x14ac:dyDescent="0.35">
      <c r="A201" s="14">
        <v>62</v>
      </c>
      <c r="B201" s="34">
        <v>0</v>
      </c>
      <c r="C201" s="34">
        <v>0</v>
      </c>
      <c r="D201" s="34">
        <v>0</v>
      </c>
      <c r="E201" s="34">
        <v>0</v>
      </c>
      <c r="F201" s="34">
        <v>0</v>
      </c>
      <c r="G201" s="34">
        <v>0</v>
      </c>
      <c r="H201" s="34">
        <v>0</v>
      </c>
      <c r="I201" s="34">
        <v>0</v>
      </c>
      <c r="J201" s="34">
        <v>0</v>
      </c>
      <c r="K201" s="34">
        <v>0</v>
      </c>
      <c r="L201" s="34">
        <v>0</v>
      </c>
      <c r="M201" s="34">
        <v>0</v>
      </c>
      <c r="N201" s="34">
        <v>0</v>
      </c>
      <c r="O201" s="34">
        <v>0</v>
      </c>
      <c r="P201" s="34">
        <v>0</v>
      </c>
      <c r="Q201" s="34">
        <v>0</v>
      </c>
      <c r="R201" s="34">
        <v>0</v>
      </c>
      <c r="S201" s="34">
        <v>0</v>
      </c>
      <c r="T201" s="34">
        <v>0</v>
      </c>
      <c r="U201" s="34">
        <v>0</v>
      </c>
      <c r="V201" s="34">
        <v>0</v>
      </c>
      <c r="W201" s="34">
        <v>0</v>
      </c>
      <c r="X201" s="34">
        <v>0</v>
      </c>
      <c r="Y201" s="34">
        <v>0</v>
      </c>
      <c r="Z201" s="34">
        <v>0</v>
      </c>
      <c r="AA201" s="34">
        <v>0</v>
      </c>
      <c r="AB201" s="34">
        <v>0</v>
      </c>
      <c r="AC201" s="34">
        <v>0</v>
      </c>
      <c r="AD201" s="34">
        <v>0</v>
      </c>
      <c r="AE201" s="34">
        <v>0</v>
      </c>
      <c r="AF201" s="34">
        <v>0</v>
      </c>
      <c r="AG201" s="34">
        <v>0</v>
      </c>
      <c r="AH201" s="34">
        <v>0</v>
      </c>
      <c r="AI201" s="34">
        <v>0</v>
      </c>
      <c r="AJ201" s="34">
        <v>0</v>
      </c>
      <c r="AK201" s="34">
        <v>0</v>
      </c>
      <c r="AL201" s="34">
        <v>0</v>
      </c>
      <c r="AM201" s="34">
        <v>0</v>
      </c>
      <c r="AN201" s="34">
        <v>0</v>
      </c>
      <c r="AO201" s="34">
        <v>0</v>
      </c>
      <c r="AP201" s="34">
        <v>0</v>
      </c>
      <c r="AQ201" s="34">
        <v>0</v>
      </c>
      <c r="AR201" s="34">
        <v>0</v>
      </c>
      <c r="AS201" s="34">
        <v>0</v>
      </c>
      <c r="AT201" s="34">
        <v>0</v>
      </c>
      <c r="AU201" s="34">
        <v>0</v>
      </c>
      <c r="AV201" s="34">
        <v>0</v>
      </c>
      <c r="AW201" s="34">
        <v>0</v>
      </c>
      <c r="AX201" s="34">
        <v>0</v>
      </c>
      <c r="AY201" s="34">
        <v>0</v>
      </c>
      <c r="AZ201" s="34">
        <v>0</v>
      </c>
      <c r="BA201" s="34">
        <v>0</v>
      </c>
      <c r="BB201" s="34">
        <v>0</v>
      </c>
      <c r="BC201" s="34">
        <v>0</v>
      </c>
      <c r="BD201" s="34">
        <v>0</v>
      </c>
      <c r="BE201" s="34">
        <v>0</v>
      </c>
      <c r="BF201" s="34">
        <v>0</v>
      </c>
      <c r="BG201" s="34">
        <v>0</v>
      </c>
      <c r="BH201" s="34">
        <v>0</v>
      </c>
      <c r="BI201" s="34">
        <v>0</v>
      </c>
      <c r="BJ201" s="34">
        <v>0</v>
      </c>
      <c r="BK201" s="34">
        <v>0</v>
      </c>
      <c r="BL201" s="34">
        <v>1</v>
      </c>
      <c r="BM201" s="34">
        <v>1</v>
      </c>
      <c r="BN201" s="34">
        <v>1</v>
      </c>
      <c r="BO201" s="34">
        <v>1</v>
      </c>
      <c r="BP201" s="34">
        <v>1</v>
      </c>
      <c r="BQ201" s="34">
        <v>1</v>
      </c>
      <c r="BR201" s="34">
        <v>1</v>
      </c>
      <c r="BS201" s="34">
        <v>1</v>
      </c>
      <c r="BT201" s="34">
        <v>1</v>
      </c>
      <c r="BU201" s="34">
        <v>1</v>
      </c>
      <c r="BV201" s="34">
        <v>1</v>
      </c>
      <c r="BW201" s="34">
        <v>1</v>
      </c>
      <c r="BX201" s="34">
        <v>1</v>
      </c>
      <c r="BY201" s="34">
        <v>1</v>
      </c>
      <c r="BZ201" s="34">
        <v>1</v>
      </c>
      <c r="CA201" s="34">
        <v>1</v>
      </c>
      <c r="CB201" s="34">
        <v>1</v>
      </c>
      <c r="CC201" s="34">
        <v>1</v>
      </c>
      <c r="CD201" s="34">
        <v>1</v>
      </c>
      <c r="CE201" s="34">
        <v>1</v>
      </c>
      <c r="CF201" s="34">
        <v>1</v>
      </c>
      <c r="CG201" s="34">
        <v>1</v>
      </c>
      <c r="CH201" s="34">
        <v>1</v>
      </c>
      <c r="CI201" s="34">
        <v>1</v>
      </c>
      <c r="CJ201" s="34">
        <v>1</v>
      </c>
      <c r="CK201" s="34">
        <v>1</v>
      </c>
      <c r="CL201" s="34">
        <v>1</v>
      </c>
      <c r="CM201" s="34">
        <v>1</v>
      </c>
      <c r="CN201" s="34">
        <v>1</v>
      </c>
      <c r="CO201" s="34">
        <v>0</v>
      </c>
      <c r="CP201" s="34">
        <v>0</v>
      </c>
      <c r="CQ201" s="34">
        <v>0</v>
      </c>
      <c r="CR201" s="34">
        <v>0</v>
      </c>
      <c r="CS201" s="34">
        <v>0</v>
      </c>
      <c r="CT201" s="34">
        <v>0</v>
      </c>
      <c r="CU201" s="34">
        <v>0</v>
      </c>
      <c r="CV201" s="34">
        <v>0</v>
      </c>
      <c r="CW201" s="34">
        <v>0</v>
      </c>
      <c r="CX201" s="34">
        <v>0</v>
      </c>
      <c r="CY201" s="34">
        <v>0</v>
      </c>
      <c r="CZ201" s="34">
        <v>0</v>
      </c>
      <c r="DA201" s="34">
        <v>0</v>
      </c>
      <c r="DB201" s="34">
        <v>0</v>
      </c>
      <c r="DC201" s="34">
        <v>0</v>
      </c>
      <c r="DD201" s="34">
        <v>0</v>
      </c>
      <c r="DE201" s="34">
        <v>0</v>
      </c>
      <c r="DF201" s="34">
        <v>0</v>
      </c>
      <c r="DG201" s="34">
        <v>0</v>
      </c>
      <c r="DH201" s="34">
        <v>0</v>
      </c>
      <c r="DI201" s="34">
        <v>0</v>
      </c>
      <c r="DJ201" s="34">
        <v>0</v>
      </c>
      <c r="DK201" s="34">
        <v>0</v>
      </c>
      <c r="DL201" s="34">
        <v>0</v>
      </c>
      <c r="DM201" s="34">
        <v>0</v>
      </c>
      <c r="DN201" s="34">
        <v>0</v>
      </c>
      <c r="DO201" s="34">
        <v>0</v>
      </c>
      <c r="DP201" s="34">
        <v>0</v>
      </c>
      <c r="DQ201" s="34">
        <v>0</v>
      </c>
      <c r="DR201" s="34">
        <v>0</v>
      </c>
    </row>
    <row r="202" spans="1:122" s="13" customFormat="1" hidden="1" outlineLevel="1" x14ac:dyDescent="0.35">
      <c r="A202" s="14">
        <v>63</v>
      </c>
      <c r="B202" s="34">
        <v>0</v>
      </c>
      <c r="C202" s="34">
        <v>0</v>
      </c>
      <c r="D202" s="34">
        <v>0</v>
      </c>
      <c r="E202" s="34">
        <v>0</v>
      </c>
      <c r="F202" s="34">
        <v>0</v>
      </c>
      <c r="G202" s="34">
        <v>0</v>
      </c>
      <c r="H202" s="34">
        <v>0</v>
      </c>
      <c r="I202" s="34">
        <v>0</v>
      </c>
      <c r="J202" s="34">
        <v>0</v>
      </c>
      <c r="K202" s="34">
        <v>0</v>
      </c>
      <c r="L202" s="34">
        <v>0</v>
      </c>
      <c r="M202" s="34">
        <v>0</v>
      </c>
      <c r="N202" s="34">
        <v>0</v>
      </c>
      <c r="O202" s="34">
        <v>0</v>
      </c>
      <c r="P202" s="34">
        <v>0</v>
      </c>
      <c r="Q202" s="34">
        <v>0</v>
      </c>
      <c r="R202" s="34">
        <v>0</v>
      </c>
      <c r="S202" s="34">
        <v>0</v>
      </c>
      <c r="T202" s="34">
        <v>0</v>
      </c>
      <c r="U202" s="34">
        <v>0</v>
      </c>
      <c r="V202" s="34">
        <v>0</v>
      </c>
      <c r="W202" s="34">
        <v>0</v>
      </c>
      <c r="X202" s="34">
        <v>0</v>
      </c>
      <c r="Y202" s="34">
        <v>0</v>
      </c>
      <c r="Z202" s="34">
        <v>0</v>
      </c>
      <c r="AA202" s="34">
        <v>0</v>
      </c>
      <c r="AB202" s="34">
        <v>0</v>
      </c>
      <c r="AC202" s="34">
        <v>0</v>
      </c>
      <c r="AD202" s="34">
        <v>0</v>
      </c>
      <c r="AE202" s="34">
        <v>0</v>
      </c>
      <c r="AF202" s="34">
        <v>0</v>
      </c>
      <c r="AG202" s="34">
        <v>0</v>
      </c>
      <c r="AH202" s="34">
        <v>0</v>
      </c>
      <c r="AI202" s="34">
        <v>0</v>
      </c>
      <c r="AJ202" s="34">
        <v>0</v>
      </c>
      <c r="AK202" s="34">
        <v>0</v>
      </c>
      <c r="AL202" s="34">
        <v>0</v>
      </c>
      <c r="AM202" s="34">
        <v>0</v>
      </c>
      <c r="AN202" s="34">
        <v>0</v>
      </c>
      <c r="AO202" s="34">
        <v>0</v>
      </c>
      <c r="AP202" s="34">
        <v>0</v>
      </c>
      <c r="AQ202" s="34">
        <v>0</v>
      </c>
      <c r="AR202" s="34">
        <v>0</v>
      </c>
      <c r="AS202" s="34">
        <v>0</v>
      </c>
      <c r="AT202" s="34">
        <v>0</v>
      </c>
      <c r="AU202" s="34">
        <v>0</v>
      </c>
      <c r="AV202" s="34">
        <v>0</v>
      </c>
      <c r="AW202" s="34">
        <v>0</v>
      </c>
      <c r="AX202" s="34">
        <v>0</v>
      </c>
      <c r="AY202" s="34">
        <v>0</v>
      </c>
      <c r="AZ202" s="34">
        <v>0</v>
      </c>
      <c r="BA202" s="34">
        <v>0</v>
      </c>
      <c r="BB202" s="34">
        <v>0</v>
      </c>
      <c r="BC202" s="34">
        <v>0</v>
      </c>
      <c r="BD202" s="34">
        <v>0</v>
      </c>
      <c r="BE202" s="34">
        <v>0</v>
      </c>
      <c r="BF202" s="34">
        <v>0</v>
      </c>
      <c r="BG202" s="34">
        <v>0</v>
      </c>
      <c r="BH202" s="34">
        <v>0</v>
      </c>
      <c r="BI202" s="34">
        <v>0</v>
      </c>
      <c r="BJ202" s="34">
        <v>0</v>
      </c>
      <c r="BK202" s="34">
        <v>0</v>
      </c>
      <c r="BL202" s="34">
        <v>0</v>
      </c>
      <c r="BM202" s="34">
        <v>1</v>
      </c>
      <c r="BN202" s="34">
        <v>1</v>
      </c>
      <c r="BO202" s="34">
        <v>1</v>
      </c>
      <c r="BP202" s="34">
        <v>1</v>
      </c>
      <c r="BQ202" s="34">
        <v>1</v>
      </c>
      <c r="BR202" s="34">
        <v>1</v>
      </c>
      <c r="BS202" s="34">
        <v>1</v>
      </c>
      <c r="BT202" s="34">
        <v>1</v>
      </c>
      <c r="BU202" s="34">
        <v>1</v>
      </c>
      <c r="BV202" s="34">
        <v>1</v>
      </c>
      <c r="BW202" s="34">
        <v>1</v>
      </c>
      <c r="BX202" s="34">
        <v>1</v>
      </c>
      <c r="BY202" s="34">
        <v>1</v>
      </c>
      <c r="BZ202" s="34">
        <v>1</v>
      </c>
      <c r="CA202" s="34">
        <v>1</v>
      </c>
      <c r="CB202" s="34">
        <v>1</v>
      </c>
      <c r="CC202" s="34">
        <v>1</v>
      </c>
      <c r="CD202" s="34">
        <v>1</v>
      </c>
      <c r="CE202" s="34">
        <v>1</v>
      </c>
      <c r="CF202" s="34">
        <v>1</v>
      </c>
      <c r="CG202" s="34">
        <v>1</v>
      </c>
      <c r="CH202" s="34">
        <v>1</v>
      </c>
      <c r="CI202" s="34">
        <v>1</v>
      </c>
      <c r="CJ202" s="34">
        <v>1</v>
      </c>
      <c r="CK202" s="34">
        <v>1</v>
      </c>
      <c r="CL202" s="34">
        <v>1</v>
      </c>
      <c r="CM202" s="34">
        <v>1</v>
      </c>
      <c r="CN202" s="34">
        <v>1</v>
      </c>
      <c r="CO202" s="34">
        <v>0</v>
      </c>
      <c r="CP202" s="34">
        <v>0</v>
      </c>
      <c r="CQ202" s="34">
        <v>0</v>
      </c>
      <c r="CR202" s="34">
        <v>0</v>
      </c>
      <c r="CS202" s="34">
        <v>0</v>
      </c>
      <c r="CT202" s="34">
        <v>0</v>
      </c>
      <c r="CU202" s="34">
        <v>0</v>
      </c>
      <c r="CV202" s="34">
        <v>0</v>
      </c>
      <c r="CW202" s="34">
        <v>0</v>
      </c>
      <c r="CX202" s="34">
        <v>0</v>
      </c>
      <c r="CY202" s="34">
        <v>0</v>
      </c>
      <c r="CZ202" s="34">
        <v>0</v>
      </c>
      <c r="DA202" s="34">
        <v>0</v>
      </c>
      <c r="DB202" s="34">
        <v>0</v>
      </c>
      <c r="DC202" s="34">
        <v>0</v>
      </c>
      <c r="DD202" s="34">
        <v>0</v>
      </c>
      <c r="DE202" s="34">
        <v>0</v>
      </c>
      <c r="DF202" s="34">
        <v>0</v>
      </c>
      <c r="DG202" s="34">
        <v>0</v>
      </c>
      <c r="DH202" s="34">
        <v>0</v>
      </c>
      <c r="DI202" s="34">
        <v>0</v>
      </c>
      <c r="DJ202" s="34">
        <v>0</v>
      </c>
      <c r="DK202" s="34">
        <v>0</v>
      </c>
      <c r="DL202" s="34">
        <v>0</v>
      </c>
      <c r="DM202" s="34">
        <v>0</v>
      </c>
      <c r="DN202" s="34">
        <v>0</v>
      </c>
      <c r="DO202" s="34">
        <v>0</v>
      </c>
      <c r="DP202" s="34">
        <v>0</v>
      </c>
      <c r="DQ202" s="34">
        <v>0</v>
      </c>
      <c r="DR202" s="34">
        <v>0</v>
      </c>
    </row>
    <row r="203" spans="1:122" s="13" customFormat="1" hidden="1" outlineLevel="1" x14ac:dyDescent="0.35">
      <c r="A203" s="14">
        <v>64</v>
      </c>
      <c r="B203" s="34">
        <v>0</v>
      </c>
      <c r="C203" s="34">
        <v>0</v>
      </c>
      <c r="D203" s="34">
        <v>0</v>
      </c>
      <c r="E203" s="34">
        <v>0</v>
      </c>
      <c r="F203" s="34">
        <v>0</v>
      </c>
      <c r="G203" s="34">
        <v>0</v>
      </c>
      <c r="H203" s="34">
        <v>0</v>
      </c>
      <c r="I203" s="34">
        <v>0</v>
      </c>
      <c r="J203" s="34">
        <v>0</v>
      </c>
      <c r="K203" s="34">
        <v>0</v>
      </c>
      <c r="L203" s="34">
        <v>0</v>
      </c>
      <c r="M203" s="34">
        <v>0</v>
      </c>
      <c r="N203" s="34">
        <v>0</v>
      </c>
      <c r="O203" s="34">
        <v>0</v>
      </c>
      <c r="P203" s="34">
        <v>0</v>
      </c>
      <c r="Q203" s="34">
        <v>0</v>
      </c>
      <c r="R203" s="34">
        <v>0</v>
      </c>
      <c r="S203" s="34">
        <v>0</v>
      </c>
      <c r="T203" s="34">
        <v>0</v>
      </c>
      <c r="U203" s="34">
        <v>0</v>
      </c>
      <c r="V203" s="34">
        <v>0</v>
      </c>
      <c r="W203" s="34">
        <v>0</v>
      </c>
      <c r="X203" s="34">
        <v>0</v>
      </c>
      <c r="Y203" s="34">
        <v>0</v>
      </c>
      <c r="Z203" s="34">
        <v>0</v>
      </c>
      <c r="AA203" s="34">
        <v>0</v>
      </c>
      <c r="AB203" s="34">
        <v>0</v>
      </c>
      <c r="AC203" s="34">
        <v>0</v>
      </c>
      <c r="AD203" s="34">
        <v>0</v>
      </c>
      <c r="AE203" s="34">
        <v>0</v>
      </c>
      <c r="AF203" s="34">
        <v>0</v>
      </c>
      <c r="AG203" s="34">
        <v>0</v>
      </c>
      <c r="AH203" s="34">
        <v>0</v>
      </c>
      <c r="AI203" s="34">
        <v>0</v>
      </c>
      <c r="AJ203" s="34">
        <v>0</v>
      </c>
      <c r="AK203" s="34">
        <v>0</v>
      </c>
      <c r="AL203" s="34">
        <v>0</v>
      </c>
      <c r="AM203" s="34">
        <v>0</v>
      </c>
      <c r="AN203" s="34">
        <v>0</v>
      </c>
      <c r="AO203" s="34">
        <v>0</v>
      </c>
      <c r="AP203" s="34">
        <v>0</v>
      </c>
      <c r="AQ203" s="34">
        <v>0</v>
      </c>
      <c r="AR203" s="34">
        <v>0</v>
      </c>
      <c r="AS203" s="34">
        <v>0</v>
      </c>
      <c r="AT203" s="34">
        <v>0</v>
      </c>
      <c r="AU203" s="34">
        <v>0</v>
      </c>
      <c r="AV203" s="34">
        <v>0</v>
      </c>
      <c r="AW203" s="34">
        <v>0</v>
      </c>
      <c r="AX203" s="34">
        <v>0</v>
      </c>
      <c r="AY203" s="34">
        <v>0</v>
      </c>
      <c r="AZ203" s="34">
        <v>0</v>
      </c>
      <c r="BA203" s="34">
        <v>0</v>
      </c>
      <c r="BB203" s="34">
        <v>0</v>
      </c>
      <c r="BC203" s="34">
        <v>0</v>
      </c>
      <c r="BD203" s="34">
        <v>0</v>
      </c>
      <c r="BE203" s="34">
        <v>0</v>
      </c>
      <c r="BF203" s="34">
        <v>0</v>
      </c>
      <c r="BG203" s="34">
        <v>0</v>
      </c>
      <c r="BH203" s="34">
        <v>0</v>
      </c>
      <c r="BI203" s="34">
        <v>0</v>
      </c>
      <c r="BJ203" s="34">
        <v>0</v>
      </c>
      <c r="BK203" s="34">
        <v>0</v>
      </c>
      <c r="BL203" s="34">
        <v>0</v>
      </c>
      <c r="BM203" s="34">
        <v>0</v>
      </c>
      <c r="BN203" s="34">
        <v>1</v>
      </c>
      <c r="BO203" s="34">
        <v>1</v>
      </c>
      <c r="BP203" s="34">
        <v>1</v>
      </c>
      <c r="BQ203" s="34">
        <v>1</v>
      </c>
      <c r="BR203" s="34">
        <v>1</v>
      </c>
      <c r="BS203" s="34">
        <v>1</v>
      </c>
      <c r="BT203" s="34">
        <v>1</v>
      </c>
      <c r="BU203" s="34">
        <v>1</v>
      </c>
      <c r="BV203" s="34">
        <v>1</v>
      </c>
      <c r="BW203" s="34">
        <v>1</v>
      </c>
      <c r="BX203" s="34">
        <v>1</v>
      </c>
      <c r="BY203" s="34">
        <v>1</v>
      </c>
      <c r="BZ203" s="34">
        <v>1</v>
      </c>
      <c r="CA203" s="34">
        <v>1</v>
      </c>
      <c r="CB203" s="34">
        <v>1</v>
      </c>
      <c r="CC203" s="34">
        <v>1</v>
      </c>
      <c r="CD203" s="34">
        <v>1</v>
      </c>
      <c r="CE203" s="34">
        <v>1</v>
      </c>
      <c r="CF203" s="34">
        <v>1</v>
      </c>
      <c r="CG203" s="34">
        <v>1</v>
      </c>
      <c r="CH203" s="34">
        <v>1</v>
      </c>
      <c r="CI203" s="34">
        <v>1</v>
      </c>
      <c r="CJ203" s="34">
        <v>1</v>
      </c>
      <c r="CK203" s="34">
        <v>1</v>
      </c>
      <c r="CL203" s="34">
        <v>1</v>
      </c>
      <c r="CM203" s="34">
        <v>1</v>
      </c>
      <c r="CN203" s="34">
        <v>1</v>
      </c>
      <c r="CO203" s="34">
        <v>0</v>
      </c>
      <c r="CP203" s="34">
        <v>0</v>
      </c>
      <c r="CQ203" s="34">
        <v>0</v>
      </c>
      <c r="CR203" s="34">
        <v>0</v>
      </c>
      <c r="CS203" s="34">
        <v>0</v>
      </c>
      <c r="CT203" s="34">
        <v>0</v>
      </c>
      <c r="CU203" s="34">
        <v>0</v>
      </c>
      <c r="CV203" s="34">
        <v>0</v>
      </c>
      <c r="CW203" s="34">
        <v>0</v>
      </c>
      <c r="CX203" s="34">
        <v>0</v>
      </c>
      <c r="CY203" s="34">
        <v>0</v>
      </c>
      <c r="CZ203" s="34">
        <v>0</v>
      </c>
      <c r="DA203" s="34">
        <v>0</v>
      </c>
      <c r="DB203" s="34">
        <v>0</v>
      </c>
      <c r="DC203" s="34">
        <v>0</v>
      </c>
      <c r="DD203" s="34">
        <v>0</v>
      </c>
      <c r="DE203" s="34">
        <v>0</v>
      </c>
      <c r="DF203" s="34">
        <v>0</v>
      </c>
      <c r="DG203" s="34">
        <v>0</v>
      </c>
      <c r="DH203" s="34">
        <v>0</v>
      </c>
      <c r="DI203" s="34">
        <v>0</v>
      </c>
      <c r="DJ203" s="34">
        <v>0</v>
      </c>
      <c r="DK203" s="34">
        <v>0</v>
      </c>
      <c r="DL203" s="34">
        <v>0</v>
      </c>
      <c r="DM203" s="34">
        <v>0</v>
      </c>
      <c r="DN203" s="34">
        <v>0</v>
      </c>
      <c r="DO203" s="34">
        <v>0</v>
      </c>
      <c r="DP203" s="34">
        <v>0</v>
      </c>
      <c r="DQ203" s="34">
        <v>0</v>
      </c>
      <c r="DR203" s="34">
        <v>0</v>
      </c>
    </row>
    <row r="204" spans="1:122" s="13" customFormat="1" hidden="1" outlineLevel="1" x14ac:dyDescent="0.35">
      <c r="A204" s="14">
        <v>65</v>
      </c>
      <c r="B204" s="34">
        <v>0</v>
      </c>
      <c r="C204" s="34">
        <v>0</v>
      </c>
      <c r="D204" s="34">
        <v>0</v>
      </c>
      <c r="E204" s="34">
        <v>0</v>
      </c>
      <c r="F204" s="34">
        <v>0</v>
      </c>
      <c r="G204" s="34">
        <v>0</v>
      </c>
      <c r="H204" s="34">
        <v>0</v>
      </c>
      <c r="I204" s="34">
        <v>0</v>
      </c>
      <c r="J204" s="34">
        <v>0</v>
      </c>
      <c r="K204" s="34">
        <v>0</v>
      </c>
      <c r="L204" s="34">
        <v>0</v>
      </c>
      <c r="M204" s="34">
        <v>0</v>
      </c>
      <c r="N204" s="34">
        <v>0</v>
      </c>
      <c r="O204" s="34">
        <v>0</v>
      </c>
      <c r="P204" s="34">
        <v>0</v>
      </c>
      <c r="Q204" s="34">
        <v>0</v>
      </c>
      <c r="R204" s="34">
        <v>0</v>
      </c>
      <c r="S204" s="34">
        <v>0</v>
      </c>
      <c r="T204" s="34">
        <v>0</v>
      </c>
      <c r="U204" s="34">
        <v>0</v>
      </c>
      <c r="V204" s="34">
        <v>0</v>
      </c>
      <c r="W204" s="34">
        <v>0</v>
      </c>
      <c r="X204" s="34">
        <v>0</v>
      </c>
      <c r="Y204" s="34">
        <v>0</v>
      </c>
      <c r="Z204" s="34">
        <v>0</v>
      </c>
      <c r="AA204" s="34">
        <v>0</v>
      </c>
      <c r="AB204" s="34">
        <v>0</v>
      </c>
      <c r="AC204" s="34">
        <v>0</v>
      </c>
      <c r="AD204" s="34">
        <v>0</v>
      </c>
      <c r="AE204" s="34">
        <v>0</v>
      </c>
      <c r="AF204" s="34">
        <v>0</v>
      </c>
      <c r="AG204" s="34">
        <v>0</v>
      </c>
      <c r="AH204" s="34">
        <v>0</v>
      </c>
      <c r="AI204" s="34">
        <v>0</v>
      </c>
      <c r="AJ204" s="34">
        <v>0</v>
      </c>
      <c r="AK204" s="34">
        <v>0</v>
      </c>
      <c r="AL204" s="34">
        <v>0</v>
      </c>
      <c r="AM204" s="34">
        <v>0</v>
      </c>
      <c r="AN204" s="34">
        <v>0</v>
      </c>
      <c r="AO204" s="34">
        <v>0</v>
      </c>
      <c r="AP204" s="34">
        <v>0</v>
      </c>
      <c r="AQ204" s="34">
        <v>0</v>
      </c>
      <c r="AR204" s="34">
        <v>0</v>
      </c>
      <c r="AS204" s="34">
        <v>0</v>
      </c>
      <c r="AT204" s="34">
        <v>0</v>
      </c>
      <c r="AU204" s="34">
        <v>0</v>
      </c>
      <c r="AV204" s="34">
        <v>0</v>
      </c>
      <c r="AW204" s="34">
        <v>0</v>
      </c>
      <c r="AX204" s="34">
        <v>0</v>
      </c>
      <c r="AY204" s="34">
        <v>0</v>
      </c>
      <c r="AZ204" s="34">
        <v>0</v>
      </c>
      <c r="BA204" s="34">
        <v>0</v>
      </c>
      <c r="BB204" s="34">
        <v>0</v>
      </c>
      <c r="BC204" s="34">
        <v>0</v>
      </c>
      <c r="BD204" s="34">
        <v>0</v>
      </c>
      <c r="BE204" s="34">
        <v>0</v>
      </c>
      <c r="BF204" s="34">
        <v>0</v>
      </c>
      <c r="BG204" s="34">
        <v>0</v>
      </c>
      <c r="BH204" s="34">
        <v>0</v>
      </c>
      <c r="BI204" s="34">
        <v>0</v>
      </c>
      <c r="BJ204" s="34">
        <v>0</v>
      </c>
      <c r="BK204" s="34">
        <v>0</v>
      </c>
      <c r="BL204" s="34">
        <v>0</v>
      </c>
      <c r="BM204" s="34">
        <v>0</v>
      </c>
      <c r="BN204" s="34">
        <v>0</v>
      </c>
      <c r="BO204" s="34">
        <v>1</v>
      </c>
      <c r="BP204" s="34">
        <v>1</v>
      </c>
      <c r="BQ204" s="34">
        <v>1</v>
      </c>
      <c r="BR204" s="34">
        <v>1</v>
      </c>
      <c r="BS204" s="34">
        <v>1</v>
      </c>
      <c r="BT204" s="34">
        <v>1</v>
      </c>
      <c r="BU204" s="34">
        <v>1</v>
      </c>
      <c r="BV204" s="34">
        <v>1</v>
      </c>
      <c r="BW204" s="34">
        <v>1</v>
      </c>
      <c r="BX204" s="34">
        <v>1</v>
      </c>
      <c r="BY204" s="34">
        <v>1</v>
      </c>
      <c r="BZ204" s="34">
        <v>1</v>
      </c>
      <c r="CA204" s="34">
        <v>1</v>
      </c>
      <c r="CB204" s="34">
        <v>1</v>
      </c>
      <c r="CC204" s="34">
        <v>1</v>
      </c>
      <c r="CD204" s="34">
        <v>1</v>
      </c>
      <c r="CE204" s="34">
        <v>1</v>
      </c>
      <c r="CF204" s="34">
        <v>1</v>
      </c>
      <c r="CG204" s="34">
        <v>1</v>
      </c>
      <c r="CH204" s="34">
        <v>1</v>
      </c>
      <c r="CI204" s="34">
        <v>1</v>
      </c>
      <c r="CJ204" s="34">
        <v>1</v>
      </c>
      <c r="CK204" s="34">
        <v>1</v>
      </c>
      <c r="CL204" s="34">
        <v>1</v>
      </c>
      <c r="CM204" s="34">
        <v>1</v>
      </c>
      <c r="CN204" s="34">
        <v>1</v>
      </c>
      <c r="CO204" s="34">
        <v>0</v>
      </c>
      <c r="CP204" s="34">
        <v>0</v>
      </c>
      <c r="CQ204" s="34">
        <v>0</v>
      </c>
      <c r="CR204" s="34">
        <v>0</v>
      </c>
      <c r="CS204" s="34">
        <v>0</v>
      </c>
      <c r="CT204" s="34">
        <v>0</v>
      </c>
      <c r="CU204" s="34">
        <v>0</v>
      </c>
      <c r="CV204" s="34">
        <v>0</v>
      </c>
      <c r="CW204" s="34">
        <v>0</v>
      </c>
      <c r="CX204" s="34">
        <v>0</v>
      </c>
      <c r="CY204" s="34">
        <v>0</v>
      </c>
      <c r="CZ204" s="34">
        <v>0</v>
      </c>
      <c r="DA204" s="34">
        <v>0</v>
      </c>
      <c r="DB204" s="34">
        <v>0</v>
      </c>
      <c r="DC204" s="34">
        <v>0</v>
      </c>
      <c r="DD204" s="34">
        <v>0</v>
      </c>
      <c r="DE204" s="34">
        <v>0</v>
      </c>
      <c r="DF204" s="34">
        <v>0</v>
      </c>
      <c r="DG204" s="34">
        <v>0</v>
      </c>
      <c r="DH204" s="34">
        <v>0</v>
      </c>
      <c r="DI204" s="34">
        <v>0</v>
      </c>
      <c r="DJ204" s="34">
        <v>0</v>
      </c>
      <c r="DK204" s="34">
        <v>0</v>
      </c>
      <c r="DL204" s="34">
        <v>0</v>
      </c>
      <c r="DM204" s="34">
        <v>0</v>
      </c>
      <c r="DN204" s="34">
        <v>0</v>
      </c>
      <c r="DO204" s="34">
        <v>0</v>
      </c>
      <c r="DP204" s="34">
        <v>0</v>
      </c>
      <c r="DQ204" s="34">
        <v>0</v>
      </c>
      <c r="DR204" s="34">
        <v>0</v>
      </c>
    </row>
    <row r="205" spans="1:122" s="13" customFormat="1" hidden="1" outlineLevel="1" x14ac:dyDescent="0.35">
      <c r="A205" s="14">
        <v>66</v>
      </c>
      <c r="B205" s="34">
        <v>0</v>
      </c>
      <c r="C205" s="34">
        <v>0</v>
      </c>
      <c r="D205" s="34">
        <v>0</v>
      </c>
      <c r="E205" s="34">
        <v>0</v>
      </c>
      <c r="F205" s="34">
        <v>0</v>
      </c>
      <c r="G205" s="34">
        <v>0</v>
      </c>
      <c r="H205" s="34">
        <v>0</v>
      </c>
      <c r="I205" s="34">
        <v>0</v>
      </c>
      <c r="J205" s="34">
        <v>0</v>
      </c>
      <c r="K205" s="34">
        <v>0</v>
      </c>
      <c r="L205" s="34">
        <v>0</v>
      </c>
      <c r="M205" s="34">
        <v>0</v>
      </c>
      <c r="N205" s="34">
        <v>0</v>
      </c>
      <c r="O205" s="34">
        <v>0</v>
      </c>
      <c r="P205" s="34">
        <v>0</v>
      </c>
      <c r="Q205" s="34">
        <v>0</v>
      </c>
      <c r="R205" s="34">
        <v>0</v>
      </c>
      <c r="S205" s="34">
        <v>0</v>
      </c>
      <c r="T205" s="34">
        <v>0</v>
      </c>
      <c r="U205" s="34">
        <v>0</v>
      </c>
      <c r="V205" s="34">
        <v>0</v>
      </c>
      <c r="W205" s="34">
        <v>0</v>
      </c>
      <c r="X205" s="34">
        <v>0</v>
      </c>
      <c r="Y205" s="34">
        <v>0</v>
      </c>
      <c r="Z205" s="34">
        <v>0</v>
      </c>
      <c r="AA205" s="34">
        <v>0</v>
      </c>
      <c r="AB205" s="34">
        <v>0</v>
      </c>
      <c r="AC205" s="34">
        <v>0</v>
      </c>
      <c r="AD205" s="34">
        <v>0</v>
      </c>
      <c r="AE205" s="34">
        <v>0</v>
      </c>
      <c r="AF205" s="34">
        <v>0</v>
      </c>
      <c r="AG205" s="34">
        <v>0</v>
      </c>
      <c r="AH205" s="34">
        <v>0</v>
      </c>
      <c r="AI205" s="34">
        <v>0</v>
      </c>
      <c r="AJ205" s="34">
        <v>0</v>
      </c>
      <c r="AK205" s="34">
        <v>0</v>
      </c>
      <c r="AL205" s="34">
        <v>0</v>
      </c>
      <c r="AM205" s="34">
        <v>0</v>
      </c>
      <c r="AN205" s="34">
        <v>0</v>
      </c>
      <c r="AO205" s="34">
        <v>0</v>
      </c>
      <c r="AP205" s="34">
        <v>0</v>
      </c>
      <c r="AQ205" s="34">
        <v>0</v>
      </c>
      <c r="AR205" s="34">
        <v>0</v>
      </c>
      <c r="AS205" s="34">
        <v>0</v>
      </c>
      <c r="AT205" s="34">
        <v>0</v>
      </c>
      <c r="AU205" s="34">
        <v>0</v>
      </c>
      <c r="AV205" s="34">
        <v>0</v>
      </c>
      <c r="AW205" s="34">
        <v>0</v>
      </c>
      <c r="AX205" s="34">
        <v>0</v>
      </c>
      <c r="AY205" s="34">
        <v>0</v>
      </c>
      <c r="AZ205" s="34">
        <v>0</v>
      </c>
      <c r="BA205" s="34">
        <v>0</v>
      </c>
      <c r="BB205" s="34">
        <v>0</v>
      </c>
      <c r="BC205" s="34">
        <v>0</v>
      </c>
      <c r="BD205" s="34">
        <v>0</v>
      </c>
      <c r="BE205" s="34">
        <v>0</v>
      </c>
      <c r="BF205" s="34">
        <v>0</v>
      </c>
      <c r="BG205" s="34">
        <v>0</v>
      </c>
      <c r="BH205" s="34">
        <v>0</v>
      </c>
      <c r="BI205" s="34">
        <v>0</v>
      </c>
      <c r="BJ205" s="34">
        <v>0</v>
      </c>
      <c r="BK205" s="34">
        <v>0</v>
      </c>
      <c r="BL205" s="34">
        <v>0</v>
      </c>
      <c r="BM205" s="34">
        <v>0</v>
      </c>
      <c r="BN205" s="34">
        <v>0</v>
      </c>
      <c r="BO205" s="34">
        <v>0</v>
      </c>
      <c r="BP205" s="34">
        <v>1</v>
      </c>
      <c r="BQ205" s="34">
        <v>1</v>
      </c>
      <c r="BR205" s="34">
        <v>1</v>
      </c>
      <c r="BS205" s="34">
        <v>1</v>
      </c>
      <c r="BT205" s="34">
        <v>1</v>
      </c>
      <c r="BU205" s="34">
        <v>1</v>
      </c>
      <c r="BV205" s="34">
        <v>1</v>
      </c>
      <c r="BW205" s="34">
        <v>1</v>
      </c>
      <c r="BX205" s="34">
        <v>1</v>
      </c>
      <c r="BY205" s="34">
        <v>1</v>
      </c>
      <c r="BZ205" s="34">
        <v>1</v>
      </c>
      <c r="CA205" s="34">
        <v>1</v>
      </c>
      <c r="CB205" s="34">
        <v>1</v>
      </c>
      <c r="CC205" s="34">
        <v>1</v>
      </c>
      <c r="CD205" s="34">
        <v>1</v>
      </c>
      <c r="CE205" s="34">
        <v>1</v>
      </c>
      <c r="CF205" s="34">
        <v>1</v>
      </c>
      <c r="CG205" s="34">
        <v>1</v>
      </c>
      <c r="CH205" s="34">
        <v>1</v>
      </c>
      <c r="CI205" s="34">
        <v>1</v>
      </c>
      <c r="CJ205" s="34">
        <v>1</v>
      </c>
      <c r="CK205" s="34">
        <v>1</v>
      </c>
      <c r="CL205" s="34">
        <v>1</v>
      </c>
      <c r="CM205" s="34">
        <v>1</v>
      </c>
      <c r="CN205" s="34">
        <v>1</v>
      </c>
      <c r="CO205" s="34">
        <v>0</v>
      </c>
      <c r="CP205" s="34">
        <v>0</v>
      </c>
      <c r="CQ205" s="34">
        <v>0</v>
      </c>
      <c r="CR205" s="34">
        <v>0</v>
      </c>
      <c r="CS205" s="34">
        <v>0</v>
      </c>
      <c r="CT205" s="34">
        <v>0</v>
      </c>
      <c r="CU205" s="34">
        <v>0</v>
      </c>
      <c r="CV205" s="34">
        <v>0</v>
      </c>
      <c r="CW205" s="34">
        <v>0</v>
      </c>
      <c r="CX205" s="34">
        <v>0</v>
      </c>
      <c r="CY205" s="34">
        <v>0</v>
      </c>
      <c r="CZ205" s="34">
        <v>0</v>
      </c>
      <c r="DA205" s="34">
        <v>0</v>
      </c>
      <c r="DB205" s="34">
        <v>0</v>
      </c>
      <c r="DC205" s="34">
        <v>0</v>
      </c>
      <c r="DD205" s="34">
        <v>0</v>
      </c>
      <c r="DE205" s="34">
        <v>0</v>
      </c>
      <c r="DF205" s="34">
        <v>0</v>
      </c>
      <c r="DG205" s="34">
        <v>0</v>
      </c>
      <c r="DH205" s="34">
        <v>0</v>
      </c>
      <c r="DI205" s="34">
        <v>0</v>
      </c>
      <c r="DJ205" s="34">
        <v>0</v>
      </c>
      <c r="DK205" s="34">
        <v>0</v>
      </c>
      <c r="DL205" s="34">
        <v>0</v>
      </c>
      <c r="DM205" s="34">
        <v>0</v>
      </c>
      <c r="DN205" s="34">
        <v>0</v>
      </c>
      <c r="DO205" s="34">
        <v>0</v>
      </c>
      <c r="DP205" s="34">
        <v>0</v>
      </c>
      <c r="DQ205" s="34">
        <v>0</v>
      </c>
      <c r="DR205" s="34">
        <v>0</v>
      </c>
    </row>
    <row r="206" spans="1:122" s="13" customFormat="1" hidden="1" outlineLevel="1" x14ac:dyDescent="0.35">
      <c r="A206" s="14">
        <v>67</v>
      </c>
      <c r="B206" s="34">
        <v>0</v>
      </c>
      <c r="C206" s="34">
        <v>0</v>
      </c>
      <c r="D206" s="34">
        <v>0</v>
      </c>
      <c r="E206" s="34">
        <v>0</v>
      </c>
      <c r="F206" s="34">
        <v>0</v>
      </c>
      <c r="G206" s="34">
        <v>0</v>
      </c>
      <c r="H206" s="34">
        <v>0</v>
      </c>
      <c r="I206" s="34">
        <v>0</v>
      </c>
      <c r="J206" s="34">
        <v>0</v>
      </c>
      <c r="K206" s="34">
        <v>0</v>
      </c>
      <c r="L206" s="34">
        <v>0</v>
      </c>
      <c r="M206" s="34">
        <v>0</v>
      </c>
      <c r="N206" s="34">
        <v>0</v>
      </c>
      <c r="O206" s="34">
        <v>0</v>
      </c>
      <c r="P206" s="34">
        <v>0</v>
      </c>
      <c r="Q206" s="34">
        <v>0</v>
      </c>
      <c r="R206" s="34">
        <v>0</v>
      </c>
      <c r="S206" s="34">
        <v>0</v>
      </c>
      <c r="T206" s="34">
        <v>0</v>
      </c>
      <c r="U206" s="34">
        <v>0</v>
      </c>
      <c r="V206" s="34">
        <v>0</v>
      </c>
      <c r="W206" s="34">
        <v>0</v>
      </c>
      <c r="X206" s="34">
        <v>0</v>
      </c>
      <c r="Y206" s="34">
        <v>0</v>
      </c>
      <c r="Z206" s="34">
        <v>0</v>
      </c>
      <c r="AA206" s="34">
        <v>0</v>
      </c>
      <c r="AB206" s="34">
        <v>0</v>
      </c>
      <c r="AC206" s="34">
        <v>0</v>
      </c>
      <c r="AD206" s="34">
        <v>0</v>
      </c>
      <c r="AE206" s="34">
        <v>0</v>
      </c>
      <c r="AF206" s="34">
        <v>0</v>
      </c>
      <c r="AG206" s="34">
        <v>0</v>
      </c>
      <c r="AH206" s="34">
        <v>0</v>
      </c>
      <c r="AI206" s="34">
        <v>0</v>
      </c>
      <c r="AJ206" s="34">
        <v>0</v>
      </c>
      <c r="AK206" s="34">
        <v>0</v>
      </c>
      <c r="AL206" s="34">
        <v>0</v>
      </c>
      <c r="AM206" s="34">
        <v>0</v>
      </c>
      <c r="AN206" s="34">
        <v>0</v>
      </c>
      <c r="AO206" s="34">
        <v>0</v>
      </c>
      <c r="AP206" s="34">
        <v>0</v>
      </c>
      <c r="AQ206" s="34">
        <v>0</v>
      </c>
      <c r="AR206" s="34">
        <v>0</v>
      </c>
      <c r="AS206" s="34">
        <v>0</v>
      </c>
      <c r="AT206" s="34">
        <v>0</v>
      </c>
      <c r="AU206" s="34">
        <v>0</v>
      </c>
      <c r="AV206" s="34">
        <v>0</v>
      </c>
      <c r="AW206" s="34">
        <v>0</v>
      </c>
      <c r="AX206" s="34">
        <v>0</v>
      </c>
      <c r="AY206" s="34">
        <v>0</v>
      </c>
      <c r="AZ206" s="34">
        <v>0</v>
      </c>
      <c r="BA206" s="34">
        <v>0</v>
      </c>
      <c r="BB206" s="34">
        <v>0</v>
      </c>
      <c r="BC206" s="34">
        <v>0</v>
      </c>
      <c r="BD206" s="34">
        <v>0</v>
      </c>
      <c r="BE206" s="34">
        <v>0</v>
      </c>
      <c r="BF206" s="34">
        <v>0</v>
      </c>
      <c r="BG206" s="34">
        <v>0</v>
      </c>
      <c r="BH206" s="34">
        <v>0</v>
      </c>
      <c r="BI206" s="34">
        <v>0</v>
      </c>
      <c r="BJ206" s="34">
        <v>0</v>
      </c>
      <c r="BK206" s="34">
        <v>0</v>
      </c>
      <c r="BL206" s="34">
        <v>0</v>
      </c>
      <c r="BM206" s="34">
        <v>0</v>
      </c>
      <c r="BN206" s="34">
        <v>0</v>
      </c>
      <c r="BO206" s="34">
        <v>0</v>
      </c>
      <c r="BP206" s="34">
        <v>0</v>
      </c>
      <c r="BQ206" s="34">
        <v>1</v>
      </c>
      <c r="BR206" s="34">
        <v>1</v>
      </c>
      <c r="BS206" s="34">
        <v>1</v>
      </c>
      <c r="BT206" s="34">
        <v>1</v>
      </c>
      <c r="BU206" s="34">
        <v>1</v>
      </c>
      <c r="BV206" s="34">
        <v>1</v>
      </c>
      <c r="BW206" s="34">
        <v>1</v>
      </c>
      <c r="BX206" s="34">
        <v>1</v>
      </c>
      <c r="BY206" s="34">
        <v>1</v>
      </c>
      <c r="BZ206" s="34">
        <v>1</v>
      </c>
      <c r="CA206" s="34">
        <v>1</v>
      </c>
      <c r="CB206" s="34">
        <v>1</v>
      </c>
      <c r="CC206" s="34">
        <v>1</v>
      </c>
      <c r="CD206" s="34">
        <v>1</v>
      </c>
      <c r="CE206" s="34">
        <v>1</v>
      </c>
      <c r="CF206" s="34">
        <v>1</v>
      </c>
      <c r="CG206" s="34">
        <v>1</v>
      </c>
      <c r="CH206" s="34">
        <v>1</v>
      </c>
      <c r="CI206" s="34">
        <v>1</v>
      </c>
      <c r="CJ206" s="34">
        <v>1</v>
      </c>
      <c r="CK206" s="34">
        <v>1</v>
      </c>
      <c r="CL206" s="34">
        <v>1</v>
      </c>
      <c r="CM206" s="34">
        <v>1</v>
      </c>
      <c r="CN206" s="34">
        <v>1</v>
      </c>
      <c r="CO206" s="34">
        <v>0</v>
      </c>
      <c r="CP206" s="34">
        <v>0</v>
      </c>
      <c r="CQ206" s="34">
        <v>0</v>
      </c>
      <c r="CR206" s="34">
        <v>0</v>
      </c>
      <c r="CS206" s="34">
        <v>0</v>
      </c>
      <c r="CT206" s="34">
        <v>0</v>
      </c>
      <c r="CU206" s="34">
        <v>0</v>
      </c>
      <c r="CV206" s="34">
        <v>0</v>
      </c>
      <c r="CW206" s="34">
        <v>0</v>
      </c>
      <c r="CX206" s="34">
        <v>0</v>
      </c>
      <c r="CY206" s="34">
        <v>0</v>
      </c>
      <c r="CZ206" s="34">
        <v>0</v>
      </c>
      <c r="DA206" s="34">
        <v>0</v>
      </c>
      <c r="DB206" s="34">
        <v>0</v>
      </c>
      <c r="DC206" s="34">
        <v>0</v>
      </c>
      <c r="DD206" s="34">
        <v>0</v>
      </c>
      <c r="DE206" s="34">
        <v>0</v>
      </c>
      <c r="DF206" s="34">
        <v>0</v>
      </c>
      <c r="DG206" s="34">
        <v>0</v>
      </c>
      <c r="DH206" s="34">
        <v>0</v>
      </c>
      <c r="DI206" s="34">
        <v>0</v>
      </c>
      <c r="DJ206" s="34">
        <v>0</v>
      </c>
      <c r="DK206" s="34">
        <v>0</v>
      </c>
      <c r="DL206" s="34">
        <v>0</v>
      </c>
      <c r="DM206" s="34">
        <v>0</v>
      </c>
      <c r="DN206" s="34">
        <v>0</v>
      </c>
      <c r="DO206" s="34">
        <v>0</v>
      </c>
      <c r="DP206" s="34">
        <v>0</v>
      </c>
      <c r="DQ206" s="34">
        <v>0</v>
      </c>
      <c r="DR206" s="34">
        <v>0</v>
      </c>
    </row>
    <row r="207" spans="1:122" s="13" customFormat="1" hidden="1" outlineLevel="1" x14ac:dyDescent="0.35">
      <c r="A207" s="14">
        <v>68</v>
      </c>
      <c r="B207" s="34">
        <v>0</v>
      </c>
      <c r="C207" s="34">
        <v>0</v>
      </c>
      <c r="D207" s="34">
        <v>0</v>
      </c>
      <c r="E207" s="34">
        <v>0</v>
      </c>
      <c r="F207" s="34">
        <v>0</v>
      </c>
      <c r="G207" s="34">
        <v>0</v>
      </c>
      <c r="H207" s="34">
        <v>0</v>
      </c>
      <c r="I207" s="34">
        <v>0</v>
      </c>
      <c r="J207" s="34">
        <v>0</v>
      </c>
      <c r="K207" s="34">
        <v>0</v>
      </c>
      <c r="L207" s="34">
        <v>0</v>
      </c>
      <c r="M207" s="34">
        <v>0</v>
      </c>
      <c r="N207" s="34">
        <v>0</v>
      </c>
      <c r="O207" s="34">
        <v>0</v>
      </c>
      <c r="P207" s="34">
        <v>0</v>
      </c>
      <c r="Q207" s="34">
        <v>0</v>
      </c>
      <c r="R207" s="34">
        <v>0</v>
      </c>
      <c r="S207" s="34">
        <v>0</v>
      </c>
      <c r="T207" s="34">
        <v>0</v>
      </c>
      <c r="U207" s="34">
        <v>0</v>
      </c>
      <c r="V207" s="34">
        <v>0</v>
      </c>
      <c r="W207" s="34">
        <v>0</v>
      </c>
      <c r="X207" s="34">
        <v>0</v>
      </c>
      <c r="Y207" s="34">
        <v>0</v>
      </c>
      <c r="Z207" s="34">
        <v>0</v>
      </c>
      <c r="AA207" s="34">
        <v>0</v>
      </c>
      <c r="AB207" s="34">
        <v>0</v>
      </c>
      <c r="AC207" s="34">
        <v>0</v>
      </c>
      <c r="AD207" s="34">
        <v>0</v>
      </c>
      <c r="AE207" s="34">
        <v>0</v>
      </c>
      <c r="AF207" s="34">
        <v>0</v>
      </c>
      <c r="AG207" s="34">
        <v>0</v>
      </c>
      <c r="AH207" s="34">
        <v>0</v>
      </c>
      <c r="AI207" s="34">
        <v>0</v>
      </c>
      <c r="AJ207" s="34">
        <v>0</v>
      </c>
      <c r="AK207" s="34">
        <v>0</v>
      </c>
      <c r="AL207" s="34">
        <v>0</v>
      </c>
      <c r="AM207" s="34">
        <v>0</v>
      </c>
      <c r="AN207" s="34">
        <v>0</v>
      </c>
      <c r="AO207" s="34">
        <v>0</v>
      </c>
      <c r="AP207" s="34">
        <v>0</v>
      </c>
      <c r="AQ207" s="34">
        <v>0</v>
      </c>
      <c r="AR207" s="34">
        <v>0</v>
      </c>
      <c r="AS207" s="34">
        <v>0</v>
      </c>
      <c r="AT207" s="34">
        <v>0</v>
      </c>
      <c r="AU207" s="34">
        <v>0</v>
      </c>
      <c r="AV207" s="34">
        <v>0</v>
      </c>
      <c r="AW207" s="34">
        <v>0</v>
      </c>
      <c r="AX207" s="34">
        <v>0</v>
      </c>
      <c r="AY207" s="34">
        <v>0</v>
      </c>
      <c r="AZ207" s="34">
        <v>0</v>
      </c>
      <c r="BA207" s="34">
        <v>0</v>
      </c>
      <c r="BB207" s="34">
        <v>0</v>
      </c>
      <c r="BC207" s="34">
        <v>0</v>
      </c>
      <c r="BD207" s="34">
        <v>0</v>
      </c>
      <c r="BE207" s="34">
        <v>0</v>
      </c>
      <c r="BF207" s="34">
        <v>0</v>
      </c>
      <c r="BG207" s="34">
        <v>0</v>
      </c>
      <c r="BH207" s="34">
        <v>0</v>
      </c>
      <c r="BI207" s="34">
        <v>0</v>
      </c>
      <c r="BJ207" s="34">
        <v>0</v>
      </c>
      <c r="BK207" s="34">
        <v>0</v>
      </c>
      <c r="BL207" s="34">
        <v>0</v>
      </c>
      <c r="BM207" s="34">
        <v>0</v>
      </c>
      <c r="BN207" s="34">
        <v>0</v>
      </c>
      <c r="BO207" s="34">
        <v>0</v>
      </c>
      <c r="BP207" s="34">
        <v>0</v>
      </c>
      <c r="BQ207" s="34">
        <v>0</v>
      </c>
      <c r="BR207" s="34">
        <v>1</v>
      </c>
      <c r="BS207" s="34">
        <v>1</v>
      </c>
      <c r="BT207" s="34">
        <v>1</v>
      </c>
      <c r="BU207" s="34">
        <v>1</v>
      </c>
      <c r="BV207" s="34">
        <v>1</v>
      </c>
      <c r="BW207" s="34">
        <v>1</v>
      </c>
      <c r="BX207" s="34">
        <v>1</v>
      </c>
      <c r="BY207" s="34">
        <v>1</v>
      </c>
      <c r="BZ207" s="34">
        <v>1</v>
      </c>
      <c r="CA207" s="34">
        <v>1</v>
      </c>
      <c r="CB207" s="34">
        <v>1</v>
      </c>
      <c r="CC207" s="34">
        <v>1</v>
      </c>
      <c r="CD207" s="34">
        <v>1</v>
      </c>
      <c r="CE207" s="34">
        <v>1</v>
      </c>
      <c r="CF207" s="34">
        <v>1</v>
      </c>
      <c r="CG207" s="34">
        <v>1</v>
      </c>
      <c r="CH207" s="34">
        <v>1</v>
      </c>
      <c r="CI207" s="34">
        <v>1</v>
      </c>
      <c r="CJ207" s="34">
        <v>1</v>
      </c>
      <c r="CK207" s="34">
        <v>1</v>
      </c>
      <c r="CL207" s="34">
        <v>1</v>
      </c>
      <c r="CM207" s="34">
        <v>1</v>
      </c>
      <c r="CN207" s="34">
        <v>1</v>
      </c>
      <c r="CO207" s="34">
        <v>0</v>
      </c>
      <c r="CP207" s="34">
        <v>0</v>
      </c>
      <c r="CQ207" s="34">
        <v>0</v>
      </c>
      <c r="CR207" s="34">
        <v>0</v>
      </c>
      <c r="CS207" s="34">
        <v>0</v>
      </c>
      <c r="CT207" s="34">
        <v>0</v>
      </c>
      <c r="CU207" s="34">
        <v>0</v>
      </c>
      <c r="CV207" s="34">
        <v>0</v>
      </c>
      <c r="CW207" s="34">
        <v>0</v>
      </c>
      <c r="CX207" s="34">
        <v>0</v>
      </c>
      <c r="CY207" s="34">
        <v>0</v>
      </c>
      <c r="CZ207" s="34">
        <v>0</v>
      </c>
      <c r="DA207" s="34">
        <v>0</v>
      </c>
      <c r="DB207" s="34">
        <v>0</v>
      </c>
      <c r="DC207" s="34">
        <v>0</v>
      </c>
      <c r="DD207" s="34">
        <v>0</v>
      </c>
      <c r="DE207" s="34">
        <v>0</v>
      </c>
      <c r="DF207" s="34">
        <v>0</v>
      </c>
      <c r="DG207" s="34">
        <v>0</v>
      </c>
      <c r="DH207" s="34">
        <v>0</v>
      </c>
      <c r="DI207" s="34">
        <v>0</v>
      </c>
      <c r="DJ207" s="34">
        <v>0</v>
      </c>
      <c r="DK207" s="34">
        <v>0</v>
      </c>
      <c r="DL207" s="34">
        <v>0</v>
      </c>
      <c r="DM207" s="34">
        <v>0</v>
      </c>
      <c r="DN207" s="34">
        <v>0</v>
      </c>
      <c r="DO207" s="34">
        <v>0</v>
      </c>
      <c r="DP207" s="34">
        <v>0</v>
      </c>
      <c r="DQ207" s="34">
        <v>0</v>
      </c>
      <c r="DR207" s="34">
        <v>0</v>
      </c>
    </row>
    <row r="208" spans="1:122" s="13" customFormat="1" hidden="1" outlineLevel="1" x14ac:dyDescent="0.35">
      <c r="A208" s="14">
        <v>69</v>
      </c>
      <c r="B208" s="34">
        <v>0</v>
      </c>
      <c r="C208" s="34">
        <v>0</v>
      </c>
      <c r="D208" s="34">
        <v>0</v>
      </c>
      <c r="E208" s="34">
        <v>0</v>
      </c>
      <c r="F208" s="34">
        <v>0</v>
      </c>
      <c r="G208" s="34">
        <v>0</v>
      </c>
      <c r="H208" s="34">
        <v>0</v>
      </c>
      <c r="I208" s="34">
        <v>0</v>
      </c>
      <c r="J208" s="34">
        <v>0</v>
      </c>
      <c r="K208" s="34">
        <v>0</v>
      </c>
      <c r="L208" s="34">
        <v>0</v>
      </c>
      <c r="M208" s="34">
        <v>0</v>
      </c>
      <c r="N208" s="34">
        <v>0</v>
      </c>
      <c r="O208" s="34">
        <v>0</v>
      </c>
      <c r="P208" s="34">
        <v>0</v>
      </c>
      <c r="Q208" s="34">
        <v>0</v>
      </c>
      <c r="R208" s="34">
        <v>0</v>
      </c>
      <c r="S208" s="34">
        <v>0</v>
      </c>
      <c r="T208" s="34">
        <v>0</v>
      </c>
      <c r="U208" s="34">
        <v>0</v>
      </c>
      <c r="V208" s="34">
        <v>0</v>
      </c>
      <c r="W208" s="34">
        <v>0</v>
      </c>
      <c r="X208" s="34">
        <v>0</v>
      </c>
      <c r="Y208" s="34">
        <v>0</v>
      </c>
      <c r="Z208" s="34">
        <v>0</v>
      </c>
      <c r="AA208" s="34">
        <v>0</v>
      </c>
      <c r="AB208" s="34">
        <v>0</v>
      </c>
      <c r="AC208" s="34">
        <v>0</v>
      </c>
      <c r="AD208" s="34">
        <v>0</v>
      </c>
      <c r="AE208" s="34">
        <v>0</v>
      </c>
      <c r="AF208" s="34">
        <v>0</v>
      </c>
      <c r="AG208" s="34">
        <v>0</v>
      </c>
      <c r="AH208" s="34">
        <v>0</v>
      </c>
      <c r="AI208" s="34">
        <v>0</v>
      </c>
      <c r="AJ208" s="34">
        <v>0</v>
      </c>
      <c r="AK208" s="34">
        <v>0</v>
      </c>
      <c r="AL208" s="34">
        <v>0</v>
      </c>
      <c r="AM208" s="34">
        <v>0</v>
      </c>
      <c r="AN208" s="34">
        <v>0</v>
      </c>
      <c r="AO208" s="34">
        <v>0</v>
      </c>
      <c r="AP208" s="34">
        <v>0</v>
      </c>
      <c r="AQ208" s="34">
        <v>0</v>
      </c>
      <c r="AR208" s="34">
        <v>0</v>
      </c>
      <c r="AS208" s="34">
        <v>0</v>
      </c>
      <c r="AT208" s="34">
        <v>0</v>
      </c>
      <c r="AU208" s="34">
        <v>0</v>
      </c>
      <c r="AV208" s="34">
        <v>0</v>
      </c>
      <c r="AW208" s="34">
        <v>0</v>
      </c>
      <c r="AX208" s="34">
        <v>0</v>
      </c>
      <c r="AY208" s="34">
        <v>0</v>
      </c>
      <c r="AZ208" s="34">
        <v>0</v>
      </c>
      <c r="BA208" s="34">
        <v>0</v>
      </c>
      <c r="BB208" s="34">
        <v>0</v>
      </c>
      <c r="BC208" s="34">
        <v>0</v>
      </c>
      <c r="BD208" s="34">
        <v>0</v>
      </c>
      <c r="BE208" s="34">
        <v>0</v>
      </c>
      <c r="BF208" s="34">
        <v>0</v>
      </c>
      <c r="BG208" s="34">
        <v>0</v>
      </c>
      <c r="BH208" s="34">
        <v>0</v>
      </c>
      <c r="BI208" s="34">
        <v>0</v>
      </c>
      <c r="BJ208" s="34">
        <v>0</v>
      </c>
      <c r="BK208" s="34">
        <v>0</v>
      </c>
      <c r="BL208" s="34">
        <v>0</v>
      </c>
      <c r="BM208" s="34">
        <v>0</v>
      </c>
      <c r="BN208" s="34">
        <v>0</v>
      </c>
      <c r="BO208" s="34">
        <v>0</v>
      </c>
      <c r="BP208" s="34">
        <v>0</v>
      </c>
      <c r="BQ208" s="34">
        <v>0</v>
      </c>
      <c r="BR208" s="34">
        <v>0</v>
      </c>
      <c r="BS208" s="34">
        <v>1</v>
      </c>
      <c r="BT208" s="34">
        <v>1</v>
      </c>
      <c r="BU208" s="34">
        <v>1</v>
      </c>
      <c r="BV208" s="34">
        <v>1</v>
      </c>
      <c r="BW208" s="34">
        <v>1</v>
      </c>
      <c r="BX208" s="34">
        <v>1</v>
      </c>
      <c r="BY208" s="34">
        <v>1</v>
      </c>
      <c r="BZ208" s="34">
        <v>1</v>
      </c>
      <c r="CA208" s="34">
        <v>1</v>
      </c>
      <c r="CB208" s="34">
        <v>1</v>
      </c>
      <c r="CC208" s="34">
        <v>1</v>
      </c>
      <c r="CD208" s="34">
        <v>1</v>
      </c>
      <c r="CE208" s="34">
        <v>1</v>
      </c>
      <c r="CF208" s="34">
        <v>1</v>
      </c>
      <c r="CG208" s="34">
        <v>1</v>
      </c>
      <c r="CH208" s="34">
        <v>1</v>
      </c>
      <c r="CI208" s="34">
        <v>1</v>
      </c>
      <c r="CJ208" s="34">
        <v>1</v>
      </c>
      <c r="CK208" s="34">
        <v>1</v>
      </c>
      <c r="CL208" s="34">
        <v>1</v>
      </c>
      <c r="CM208" s="34">
        <v>1</v>
      </c>
      <c r="CN208" s="34">
        <v>1</v>
      </c>
      <c r="CO208" s="34">
        <v>0</v>
      </c>
      <c r="CP208" s="34">
        <v>0</v>
      </c>
      <c r="CQ208" s="34">
        <v>0</v>
      </c>
      <c r="CR208" s="34">
        <v>0</v>
      </c>
      <c r="CS208" s="34">
        <v>0</v>
      </c>
      <c r="CT208" s="34">
        <v>0</v>
      </c>
      <c r="CU208" s="34">
        <v>0</v>
      </c>
      <c r="CV208" s="34">
        <v>0</v>
      </c>
      <c r="CW208" s="34">
        <v>0</v>
      </c>
      <c r="CX208" s="34">
        <v>0</v>
      </c>
      <c r="CY208" s="34">
        <v>0</v>
      </c>
      <c r="CZ208" s="34">
        <v>0</v>
      </c>
      <c r="DA208" s="34">
        <v>0</v>
      </c>
      <c r="DB208" s="34">
        <v>0</v>
      </c>
      <c r="DC208" s="34">
        <v>0</v>
      </c>
      <c r="DD208" s="34">
        <v>0</v>
      </c>
      <c r="DE208" s="34">
        <v>0</v>
      </c>
      <c r="DF208" s="34">
        <v>0</v>
      </c>
      <c r="DG208" s="34">
        <v>0</v>
      </c>
      <c r="DH208" s="34">
        <v>0</v>
      </c>
      <c r="DI208" s="34">
        <v>0</v>
      </c>
      <c r="DJ208" s="34">
        <v>0</v>
      </c>
      <c r="DK208" s="34">
        <v>0</v>
      </c>
      <c r="DL208" s="34">
        <v>0</v>
      </c>
      <c r="DM208" s="34">
        <v>0</v>
      </c>
      <c r="DN208" s="34">
        <v>0</v>
      </c>
      <c r="DO208" s="34">
        <v>0</v>
      </c>
      <c r="DP208" s="34">
        <v>0</v>
      </c>
      <c r="DQ208" s="34">
        <v>0</v>
      </c>
      <c r="DR208" s="34">
        <v>0</v>
      </c>
    </row>
    <row r="209" spans="1:122" s="13" customFormat="1" hidden="1" outlineLevel="1" x14ac:dyDescent="0.35">
      <c r="A209" s="14">
        <v>70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34">
        <v>0</v>
      </c>
      <c r="H209" s="34">
        <v>0</v>
      </c>
      <c r="I209" s="34">
        <v>0</v>
      </c>
      <c r="J209" s="34">
        <v>0</v>
      </c>
      <c r="K209" s="34">
        <v>0</v>
      </c>
      <c r="L209" s="34">
        <v>0</v>
      </c>
      <c r="M209" s="34">
        <v>0</v>
      </c>
      <c r="N209" s="34">
        <v>0</v>
      </c>
      <c r="O209" s="34">
        <v>0</v>
      </c>
      <c r="P209" s="34">
        <v>0</v>
      </c>
      <c r="Q209" s="34">
        <v>0</v>
      </c>
      <c r="R209" s="34">
        <v>0</v>
      </c>
      <c r="S209" s="34">
        <v>0</v>
      </c>
      <c r="T209" s="34">
        <v>0</v>
      </c>
      <c r="U209" s="34">
        <v>0</v>
      </c>
      <c r="V209" s="34">
        <v>0</v>
      </c>
      <c r="W209" s="34">
        <v>0</v>
      </c>
      <c r="X209" s="34">
        <v>0</v>
      </c>
      <c r="Y209" s="34">
        <v>0</v>
      </c>
      <c r="Z209" s="34">
        <v>0</v>
      </c>
      <c r="AA209" s="34">
        <v>0</v>
      </c>
      <c r="AB209" s="34">
        <v>0</v>
      </c>
      <c r="AC209" s="34">
        <v>0</v>
      </c>
      <c r="AD209" s="34">
        <v>0</v>
      </c>
      <c r="AE209" s="34">
        <v>0</v>
      </c>
      <c r="AF209" s="34">
        <v>0</v>
      </c>
      <c r="AG209" s="34">
        <v>0</v>
      </c>
      <c r="AH209" s="34">
        <v>0</v>
      </c>
      <c r="AI209" s="34">
        <v>0</v>
      </c>
      <c r="AJ209" s="34">
        <v>0</v>
      </c>
      <c r="AK209" s="34">
        <v>0</v>
      </c>
      <c r="AL209" s="34">
        <v>0</v>
      </c>
      <c r="AM209" s="34">
        <v>0</v>
      </c>
      <c r="AN209" s="34">
        <v>0</v>
      </c>
      <c r="AO209" s="34">
        <v>0</v>
      </c>
      <c r="AP209" s="34">
        <v>0</v>
      </c>
      <c r="AQ209" s="34">
        <v>0</v>
      </c>
      <c r="AR209" s="34">
        <v>0</v>
      </c>
      <c r="AS209" s="34">
        <v>0</v>
      </c>
      <c r="AT209" s="34">
        <v>0</v>
      </c>
      <c r="AU209" s="34">
        <v>0</v>
      </c>
      <c r="AV209" s="34">
        <v>0</v>
      </c>
      <c r="AW209" s="34">
        <v>0</v>
      </c>
      <c r="AX209" s="34">
        <v>0</v>
      </c>
      <c r="AY209" s="34">
        <v>0</v>
      </c>
      <c r="AZ209" s="34">
        <v>0</v>
      </c>
      <c r="BA209" s="34">
        <v>0</v>
      </c>
      <c r="BB209" s="34">
        <v>0</v>
      </c>
      <c r="BC209" s="34">
        <v>0</v>
      </c>
      <c r="BD209" s="34">
        <v>0</v>
      </c>
      <c r="BE209" s="34">
        <v>0</v>
      </c>
      <c r="BF209" s="34">
        <v>0</v>
      </c>
      <c r="BG209" s="34">
        <v>0</v>
      </c>
      <c r="BH209" s="34">
        <v>0</v>
      </c>
      <c r="BI209" s="34">
        <v>0</v>
      </c>
      <c r="BJ209" s="34">
        <v>0</v>
      </c>
      <c r="BK209" s="34">
        <v>0</v>
      </c>
      <c r="BL209" s="34">
        <v>0</v>
      </c>
      <c r="BM209" s="34">
        <v>0</v>
      </c>
      <c r="BN209" s="34">
        <v>0</v>
      </c>
      <c r="BO209" s="34">
        <v>0</v>
      </c>
      <c r="BP209" s="34">
        <v>0</v>
      </c>
      <c r="BQ209" s="34">
        <v>0</v>
      </c>
      <c r="BR209" s="34">
        <v>0</v>
      </c>
      <c r="BS209" s="34">
        <v>0</v>
      </c>
      <c r="BT209" s="34">
        <v>1</v>
      </c>
      <c r="BU209" s="34">
        <v>1</v>
      </c>
      <c r="BV209" s="34">
        <v>1</v>
      </c>
      <c r="BW209" s="34">
        <v>1</v>
      </c>
      <c r="BX209" s="34">
        <v>1</v>
      </c>
      <c r="BY209" s="34">
        <v>1</v>
      </c>
      <c r="BZ209" s="34">
        <v>1</v>
      </c>
      <c r="CA209" s="34">
        <v>1</v>
      </c>
      <c r="CB209" s="34">
        <v>1</v>
      </c>
      <c r="CC209" s="34">
        <v>1</v>
      </c>
      <c r="CD209" s="34">
        <v>1</v>
      </c>
      <c r="CE209" s="34">
        <v>1</v>
      </c>
      <c r="CF209" s="34">
        <v>1</v>
      </c>
      <c r="CG209" s="34">
        <v>1</v>
      </c>
      <c r="CH209" s="34">
        <v>1</v>
      </c>
      <c r="CI209" s="34">
        <v>1</v>
      </c>
      <c r="CJ209" s="34">
        <v>1</v>
      </c>
      <c r="CK209" s="34">
        <v>1</v>
      </c>
      <c r="CL209" s="34">
        <v>1</v>
      </c>
      <c r="CM209" s="34">
        <v>1</v>
      </c>
      <c r="CN209" s="34">
        <v>1</v>
      </c>
      <c r="CO209" s="34">
        <v>0</v>
      </c>
      <c r="CP209" s="34">
        <v>0</v>
      </c>
      <c r="CQ209" s="34">
        <v>0</v>
      </c>
      <c r="CR209" s="34">
        <v>0</v>
      </c>
      <c r="CS209" s="34">
        <v>0</v>
      </c>
      <c r="CT209" s="34">
        <v>0</v>
      </c>
      <c r="CU209" s="34">
        <v>0</v>
      </c>
      <c r="CV209" s="34">
        <v>0</v>
      </c>
      <c r="CW209" s="34">
        <v>0</v>
      </c>
      <c r="CX209" s="34">
        <v>0</v>
      </c>
      <c r="CY209" s="34">
        <v>0</v>
      </c>
      <c r="CZ209" s="34">
        <v>0</v>
      </c>
      <c r="DA209" s="34">
        <v>0</v>
      </c>
      <c r="DB209" s="34">
        <v>0</v>
      </c>
      <c r="DC209" s="34">
        <v>0</v>
      </c>
      <c r="DD209" s="34">
        <v>0</v>
      </c>
      <c r="DE209" s="34">
        <v>0</v>
      </c>
      <c r="DF209" s="34">
        <v>0</v>
      </c>
      <c r="DG209" s="34">
        <v>0</v>
      </c>
      <c r="DH209" s="34">
        <v>0</v>
      </c>
      <c r="DI209" s="34">
        <v>0</v>
      </c>
      <c r="DJ209" s="34">
        <v>0</v>
      </c>
      <c r="DK209" s="34">
        <v>0</v>
      </c>
      <c r="DL209" s="34">
        <v>0</v>
      </c>
      <c r="DM209" s="34">
        <v>0</v>
      </c>
      <c r="DN209" s="34">
        <v>0</v>
      </c>
      <c r="DO209" s="34">
        <v>0</v>
      </c>
      <c r="DP209" s="34">
        <v>0</v>
      </c>
      <c r="DQ209" s="34">
        <v>0</v>
      </c>
      <c r="DR209" s="34">
        <v>0</v>
      </c>
    </row>
    <row r="210" spans="1:122" s="13" customFormat="1" hidden="1" outlineLevel="1" x14ac:dyDescent="0.35">
      <c r="A210" s="14">
        <v>71</v>
      </c>
      <c r="B210" s="34">
        <v>0</v>
      </c>
      <c r="C210" s="34">
        <v>0</v>
      </c>
      <c r="D210" s="34">
        <v>0</v>
      </c>
      <c r="E210" s="34">
        <v>0</v>
      </c>
      <c r="F210" s="34">
        <v>0</v>
      </c>
      <c r="G210" s="34">
        <v>0</v>
      </c>
      <c r="H210" s="34">
        <v>0</v>
      </c>
      <c r="I210" s="34">
        <v>0</v>
      </c>
      <c r="J210" s="34">
        <v>0</v>
      </c>
      <c r="K210" s="34">
        <v>0</v>
      </c>
      <c r="L210" s="34">
        <v>0</v>
      </c>
      <c r="M210" s="34">
        <v>0</v>
      </c>
      <c r="N210" s="34">
        <v>0</v>
      </c>
      <c r="O210" s="34">
        <v>0</v>
      </c>
      <c r="P210" s="34">
        <v>0</v>
      </c>
      <c r="Q210" s="34">
        <v>0</v>
      </c>
      <c r="R210" s="34">
        <v>0</v>
      </c>
      <c r="S210" s="34">
        <v>0</v>
      </c>
      <c r="T210" s="34">
        <v>0</v>
      </c>
      <c r="U210" s="34">
        <v>0</v>
      </c>
      <c r="V210" s="34">
        <v>0</v>
      </c>
      <c r="W210" s="34">
        <v>0</v>
      </c>
      <c r="X210" s="34">
        <v>0</v>
      </c>
      <c r="Y210" s="34">
        <v>0</v>
      </c>
      <c r="Z210" s="34">
        <v>0</v>
      </c>
      <c r="AA210" s="34">
        <v>0</v>
      </c>
      <c r="AB210" s="34">
        <v>0</v>
      </c>
      <c r="AC210" s="34">
        <v>0</v>
      </c>
      <c r="AD210" s="34">
        <v>0</v>
      </c>
      <c r="AE210" s="34">
        <v>0</v>
      </c>
      <c r="AF210" s="34">
        <v>0</v>
      </c>
      <c r="AG210" s="34">
        <v>0</v>
      </c>
      <c r="AH210" s="34">
        <v>0</v>
      </c>
      <c r="AI210" s="34">
        <v>0</v>
      </c>
      <c r="AJ210" s="34">
        <v>0</v>
      </c>
      <c r="AK210" s="34">
        <v>0</v>
      </c>
      <c r="AL210" s="34">
        <v>0</v>
      </c>
      <c r="AM210" s="34">
        <v>0</v>
      </c>
      <c r="AN210" s="34">
        <v>0</v>
      </c>
      <c r="AO210" s="34">
        <v>0</v>
      </c>
      <c r="AP210" s="34">
        <v>0</v>
      </c>
      <c r="AQ210" s="34">
        <v>0</v>
      </c>
      <c r="AR210" s="34">
        <v>0</v>
      </c>
      <c r="AS210" s="34">
        <v>0</v>
      </c>
      <c r="AT210" s="34">
        <v>0</v>
      </c>
      <c r="AU210" s="34">
        <v>0</v>
      </c>
      <c r="AV210" s="34">
        <v>0</v>
      </c>
      <c r="AW210" s="34">
        <v>0</v>
      </c>
      <c r="AX210" s="34">
        <v>0</v>
      </c>
      <c r="AY210" s="34">
        <v>0</v>
      </c>
      <c r="AZ210" s="34">
        <v>0</v>
      </c>
      <c r="BA210" s="34">
        <v>0</v>
      </c>
      <c r="BB210" s="34">
        <v>0</v>
      </c>
      <c r="BC210" s="34">
        <v>0</v>
      </c>
      <c r="BD210" s="34">
        <v>0</v>
      </c>
      <c r="BE210" s="34">
        <v>0</v>
      </c>
      <c r="BF210" s="34">
        <v>0</v>
      </c>
      <c r="BG210" s="34">
        <v>0</v>
      </c>
      <c r="BH210" s="34">
        <v>0</v>
      </c>
      <c r="BI210" s="34">
        <v>0</v>
      </c>
      <c r="BJ210" s="34">
        <v>0</v>
      </c>
      <c r="BK210" s="34">
        <v>0</v>
      </c>
      <c r="BL210" s="34">
        <v>0</v>
      </c>
      <c r="BM210" s="34">
        <v>0</v>
      </c>
      <c r="BN210" s="34">
        <v>0</v>
      </c>
      <c r="BO210" s="34">
        <v>0</v>
      </c>
      <c r="BP210" s="34">
        <v>0</v>
      </c>
      <c r="BQ210" s="34">
        <v>0</v>
      </c>
      <c r="BR210" s="34">
        <v>0</v>
      </c>
      <c r="BS210" s="34">
        <v>0</v>
      </c>
      <c r="BT210" s="34">
        <v>0</v>
      </c>
      <c r="BU210" s="34">
        <v>1</v>
      </c>
      <c r="BV210" s="34">
        <v>1</v>
      </c>
      <c r="BW210" s="34">
        <v>1</v>
      </c>
      <c r="BX210" s="34">
        <v>1</v>
      </c>
      <c r="BY210" s="34">
        <v>1</v>
      </c>
      <c r="BZ210" s="34">
        <v>1</v>
      </c>
      <c r="CA210" s="34">
        <v>1</v>
      </c>
      <c r="CB210" s="34">
        <v>1</v>
      </c>
      <c r="CC210" s="34">
        <v>1</v>
      </c>
      <c r="CD210" s="34">
        <v>1</v>
      </c>
      <c r="CE210" s="34">
        <v>1</v>
      </c>
      <c r="CF210" s="34">
        <v>1</v>
      </c>
      <c r="CG210" s="34">
        <v>1</v>
      </c>
      <c r="CH210" s="34">
        <v>1</v>
      </c>
      <c r="CI210" s="34">
        <v>1</v>
      </c>
      <c r="CJ210" s="34">
        <v>1</v>
      </c>
      <c r="CK210" s="34">
        <v>1</v>
      </c>
      <c r="CL210" s="34">
        <v>1</v>
      </c>
      <c r="CM210" s="34">
        <v>1</v>
      </c>
      <c r="CN210" s="34">
        <v>1</v>
      </c>
      <c r="CO210" s="34">
        <v>0</v>
      </c>
      <c r="CP210" s="34">
        <v>0</v>
      </c>
      <c r="CQ210" s="34">
        <v>0</v>
      </c>
      <c r="CR210" s="34">
        <v>0</v>
      </c>
      <c r="CS210" s="34">
        <v>0</v>
      </c>
      <c r="CT210" s="34">
        <v>0</v>
      </c>
      <c r="CU210" s="34">
        <v>0</v>
      </c>
      <c r="CV210" s="34">
        <v>0</v>
      </c>
      <c r="CW210" s="34">
        <v>0</v>
      </c>
      <c r="CX210" s="34">
        <v>0</v>
      </c>
      <c r="CY210" s="34">
        <v>0</v>
      </c>
      <c r="CZ210" s="34">
        <v>0</v>
      </c>
      <c r="DA210" s="34">
        <v>0</v>
      </c>
      <c r="DB210" s="34">
        <v>0</v>
      </c>
      <c r="DC210" s="34">
        <v>0</v>
      </c>
      <c r="DD210" s="34">
        <v>0</v>
      </c>
      <c r="DE210" s="34">
        <v>0</v>
      </c>
      <c r="DF210" s="34">
        <v>0</v>
      </c>
      <c r="DG210" s="34">
        <v>0</v>
      </c>
      <c r="DH210" s="34">
        <v>0</v>
      </c>
      <c r="DI210" s="34">
        <v>0</v>
      </c>
      <c r="DJ210" s="34">
        <v>0</v>
      </c>
      <c r="DK210" s="34">
        <v>0</v>
      </c>
      <c r="DL210" s="34">
        <v>0</v>
      </c>
      <c r="DM210" s="34">
        <v>0</v>
      </c>
      <c r="DN210" s="34">
        <v>0</v>
      </c>
      <c r="DO210" s="34">
        <v>0</v>
      </c>
      <c r="DP210" s="34">
        <v>0</v>
      </c>
      <c r="DQ210" s="34">
        <v>0</v>
      </c>
      <c r="DR210" s="34">
        <v>0</v>
      </c>
    </row>
    <row r="211" spans="1:122" s="13" customFormat="1" hidden="1" outlineLevel="1" x14ac:dyDescent="0.35">
      <c r="A211" s="14">
        <v>72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34">
        <v>0</v>
      </c>
      <c r="H211" s="34">
        <v>0</v>
      </c>
      <c r="I211" s="34">
        <v>0</v>
      </c>
      <c r="J211" s="34">
        <v>0</v>
      </c>
      <c r="K211" s="34">
        <v>0</v>
      </c>
      <c r="L211" s="34">
        <v>0</v>
      </c>
      <c r="M211" s="34">
        <v>0</v>
      </c>
      <c r="N211" s="34">
        <v>0</v>
      </c>
      <c r="O211" s="34">
        <v>0</v>
      </c>
      <c r="P211" s="34">
        <v>0</v>
      </c>
      <c r="Q211" s="34">
        <v>0</v>
      </c>
      <c r="R211" s="34">
        <v>0</v>
      </c>
      <c r="S211" s="34">
        <v>0</v>
      </c>
      <c r="T211" s="34">
        <v>0</v>
      </c>
      <c r="U211" s="34">
        <v>0</v>
      </c>
      <c r="V211" s="34">
        <v>0</v>
      </c>
      <c r="W211" s="34">
        <v>0</v>
      </c>
      <c r="X211" s="34">
        <v>0</v>
      </c>
      <c r="Y211" s="34">
        <v>0</v>
      </c>
      <c r="Z211" s="34">
        <v>0</v>
      </c>
      <c r="AA211" s="34">
        <v>0</v>
      </c>
      <c r="AB211" s="34">
        <v>0</v>
      </c>
      <c r="AC211" s="34">
        <v>0</v>
      </c>
      <c r="AD211" s="34">
        <v>0</v>
      </c>
      <c r="AE211" s="34">
        <v>0</v>
      </c>
      <c r="AF211" s="34">
        <v>0</v>
      </c>
      <c r="AG211" s="34">
        <v>0</v>
      </c>
      <c r="AH211" s="34">
        <v>0</v>
      </c>
      <c r="AI211" s="34">
        <v>0</v>
      </c>
      <c r="AJ211" s="34">
        <v>0</v>
      </c>
      <c r="AK211" s="34">
        <v>0</v>
      </c>
      <c r="AL211" s="34">
        <v>0</v>
      </c>
      <c r="AM211" s="34">
        <v>0</v>
      </c>
      <c r="AN211" s="34">
        <v>0</v>
      </c>
      <c r="AO211" s="34">
        <v>0</v>
      </c>
      <c r="AP211" s="34">
        <v>0</v>
      </c>
      <c r="AQ211" s="34">
        <v>0</v>
      </c>
      <c r="AR211" s="34">
        <v>0</v>
      </c>
      <c r="AS211" s="34">
        <v>0</v>
      </c>
      <c r="AT211" s="34">
        <v>0</v>
      </c>
      <c r="AU211" s="34">
        <v>0</v>
      </c>
      <c r="AV211" s="34">
        <v>0</v>
      </c>
      <c r="AW211" s="34">
        <v>0</v>
      </c>
      <c r="AX211" s="34">
        <v>0</v>
      </c>
      <c r="AY211" s="34">
        <v>0</v>
      </c>
      <c r="AZ211" s="34">
        <v>0</v>
      </c>
      <c r="BA211" s="34">
        <v>0</v>
      </c>
      <c r="BB211" s="34">
        <v>0</v>
      </c>
      <c r="BC211" s="34">
        <v>0</v>
      </c>
      <c r="BD211" s="34">
        <v>0</v>
      </c>
      <c r="BE211" s="34">
        <v>0</v>
      </c>
      <c r="BF211" s="34">
        <v>0</v>
      </c>
      <c r="BG211" s="34">
        <v>0</v>
      </c>
      <c r="BH211" s="34">
        <v>0</v>
      </c>
      <c r="BI211" s="34">
        <v>0</v>
      </c>
      <c r="BJ211" s="34">
        <v>0</v>
      </c>
      <c r="BK211" s="34">
        <v>0</v>
      </c>
      <c r="BL211" s="34">
        <v>0</v>
      </c>
      <c r="BM211" s="34">
        <v>0</v>
      </c>
      <c r="BN211" s="34">
        <v>0</v>
      </c>
      <c r="BO211" s="34">
        <v>0</v>
      </c>
      <c r="BP211" s="34">
        <v>0</v>
      </c>
      <c r="BQ211" s="34">
        <v>0</v>
      </c>
      <c r="BR211" s="34">
        <v>0</v>
      </c>
      <c r="BS211" s="34">
        <v>0</v>
      </c>
      <c r="BT211" s="34">
        <v>0</v>
      </c>
      <c r="BU211" s="34">
        <v>0</v>
      </c>
      <c r="BV211" s="34">
        <v>1</v>
      </c>
      <c r="BW211" s="34">
        <v>1</v>
      </c>
      <c r="BX211" s="34">
        <v>1</v>
      </c>
      <c r="BY211" s="34">
        <v>1</v>
      </c>
      <c r="BZ211" s="34">
        <v>1</v>
      </c>
      <c r="CA211" s="34">
        <v>1</v>
      </c>
      <c r="CB211" s="34">
        <v>1</v>
      </c>
      <c r="CC211" s="34">
        <v>1</v>
      </c>
      <c r="CD211" s="34">
        <v>1</v>
      </c>
      <c r="CE211" s="34">
        <v>1</v>
      </c>
      <c r="CF211" s="34">
        <v>1</v>
      </c>
      <c r="CG211" s="34">
        <v>1</v>
      </c>
      <c r="CH211" s="34">
        <v>1</v>
      </c>
      <c r="CI211" s="34">
        <v>1</v>
      </c>
      <c r="CJ211" s="34">
        <v>1</v>
      </c>
      <c r="CK211" s="34">
        <v>1</v>
      </c>
      <c r="CL211" s="34">
        <v>1</v>
      </c>
      <c r="CM211" s="34">
        <v>1</v>
      </c>
      <c r="CN211" s="34">
        <v>1</v>
      </c>
      <c r="CO211" s="34">
        <v>0</v>
      </c>
      <c r="CP211" s="34">
        <v>0</v>
      </c>
      <c r="CQ211" s="34">
        <v>0</v>
      </c>
      <c r="CR211" s="34">
        <v>0</v>
      </c>
      <c r="CS211" s="34">
        <v>0</v>
      </c>
      <c r="CT211" s="34">
        <v>0</v>
      </c>
      <c r="CU211" s="34">
        <v>0</v>
      </c>
      <c r="CV211" s="34">
        <v>0</v>
      </c>
      <c r="CW211" s="34">
        <v>0</v>
      </c>
      <c r="CX211" s="34">
        <v>0</v>
      </c>
      <c r="CY211" s="34">
        <v>0</v>
      </c>
      <c r="CZ211" s="34">
        <v>0</v>
      </c>
      <c r="DA211" s="34">
        <v>0</v>
      </c>
      <c r="DB211" s="34">
        <v>0</v>
      </c>
      <c r="DC211" s="34">
        <v>0</v>
      </c>
      <c r="DD211" s="34">
        <v>0</v>
      </c>
      <c r="DE211" s="34">
        <v>0</v>
      </c>
      <c r="DF211" s="34">
        <v>0</v>
      </c>
      <c r="DG211" s="34">
        <v>0</v>
      </c>
      <c r="DH211" s="34">
        <v>0</v>
      </c>
      <c r="DI211" s="34">
        <v>0</v>
      </c>
      <c r="DJ211" s="34">
        <v>0</v>
      </c>
      <c r="DK211" s="34">
        <v>0</v>
      </c>
      <c r="DL211" s="34">
        <v>0</v>
      </c>
      <c r="DM211" s="34">
        <v>0</v>
      </c>
      <c r="DN211" s="34">
        <v>0</v>
      </c>
      <c r="DO211" s="34">
        <v>0</v>
      </c>
      <c r="DP211" s="34">
        <v>0</v>
      </c>
      <c r="DQ211" s="34">
        <v>0</v>
      </c>
      <c r="DR211" s="34">
        <v>0</v>
      </c>
    </row>
    <row r="212" spans="1:122" s="13" customFormat="1" hidden="1" outlineLevel="1" x14ac:dyDescent="0.35">
      <c r="A212" s="14">
        <v>73</v>
      </c>
      <c r="B212" s="34">
        <v>0</v>
      </c>
      <c r="C212" s="34">
        <v>0</v>
      </c>
      <c r="D212" s="34">
        <v>0</v>
      </c>
      <c r="E212" s="34">
        <v>0</v>
      </c>
      <c r="F212" s="34">
        <v>0</v>
      </c>
      <c r="G212" s="34">
        <v>0</v>
      </c>
      <c r="H212" s="34">
        <v>0</v>
      </c>
      <c r="I212" s="34">
        <v>0</v>
      </c>
      <c r="J212" s="34">
        <v>0</v>
      </c>
      <c r="K212" s="34">
        <v>0</v>
      </c>
      <c r="L212" s="34">
        <v>0</v>
      </c>
      <c r="M212" s="34">
        <v>0</v>
      </c>
      <c r="N212" s="34">
        <v>0</v>
      </c>
      <c r="O212" s="34">
        <v>0</v>
      </c>
      <c r="P212" s="34">
        <v>0</v>
      </c>
      <c r="Q212" s="34">
        <v>0</v>
      </c>
      <c r="R212" s="34">
        <v>0</v>
      </c>
      <c r="S212" s="34">
        <v>0</v>
      </c>
      <c r="T212" s="34">
        <v>0</v>
      </c>
      <c r="U212" s="34">
        <v>0</v>
      </c>
      <c r="V212" s="34">
        <v>0</v>
      </c>
      <c r="W212" s="34">
        <v>0</v>
      </c>
      <c r="X212" s="34">
        <v>0</v>
      </c>
      <c r="Y212" s="34">
        <v>0</v>
      </c>
      <c r="Z212" s="34">
        <v>0</v>
      </c>
      <c r="AA212" s="34">
        <v>0</v>
      </c>
      <c r="AB212" s="34">
        <v>0</v>
      </c>
      <c r="AC212" s="34">
        <v>0</v>
      </c>
      <c r="AD212" s="34">
        <v>0</v>
      </c>
      <c r="AE212" s="34">
        <v>0</v>
      </c>
      <c r="AF212" s="34">
        <v>0</v>
      </c>
      <c r="AG212" s="34">
        <v>0</v>
      </c>
      <c r="AH212" s="34">
        <v>0</v>
      </c>
      <c r="AI212" s="34">
        <v>0</v>
      </c>
      <c r="AJ212" s="34">
        <v>0</v>
      </c>
      <c r="AK212" s="34">
        <v>0</v>
      </c>
      <c r="AL212" s="34">
        <v>0</v>
      </c>
      <c r="AM212" s="34">
        <v>0</v>
      </c>
      <c r="AN212" s="34">
        <v>0</v>
      </c>
      <c r="AO212" s="34">
        <v>0</v>
      </c>
      <c r="AP212" s="34">
        <v>0</v>
      </c>
      <c r="AQ212" s="34">
        <v>0</v>
      </c>
      <c r="AR212" s="34">
        <v>0</v>
      </c>
      <c r="AS212" s="34">
        <v>0</v>
      </c>
      <c r="AT212" s="34">
        <v>0</v>
      </c>
      <c r="AU212" s="34">
        <v>0</v>
      </c>
      <c r="AV212" s="34">
        <v>0</v>
      </c>
      <c r="AW212" s="34">
        <v>0</v>
      </c>
      <c r="AX212" s="34">
        <v>0</v>
      </c>
      <c r="AY212" s="34">
        <v>0</v>
      </c>
      <c r="AZ212" s="34">
        <v>0</v>
      </c>
      <c r="BA212" s="34">
        <v>0</v>
      </c>
      <c r="BB212" s="34">
        <v>0</v>
      </c>
      <c r="BC212" s="34">
        <v>0</v>
      </c>
      <c r="BD212" s="34">
        <v>0</v>
      </c>
      <c r="BE212" s="34">
        <v>0</v>
      </c>
      <c r="BF212" s="34">
        <v>0</v>
      </c>
      <c r="BG212" s="34">
        <v>0</v>
      </c>
      <c r="BH212" s="34">
        <v>0</v>
      </c>
      <c r="BI212" s="34">
        <v>0</v>
      </c>
      <c r="BJ212" s="34">
        <v>0</v>
      </c>
      <c r="BK212" s="34">
        <v>0</v>
      </c>
      <c r="BL212" s="34">
        <v>0</v>
      </c>
      <c r="BM212" s="34">
        <v>0</v>
      </c>
      <c r="BN212" s="34">
        <v>0</v>
      </c>
      <c r="BO212" s="34">
        <v>0</v>
      </c>
      <c r="BP212" s="34">
        <v>0</v>
      </c>
      <c r="BQ212" s="34">
        <v>0</v>
      </c>
      <c r="BR212" s="34">
        <v>0</v>
      </c>
      <c r="BS212" s="34">
        <v>0</v>
      </c>
      <c r="BT212" s="34">
        <v>0</v>
      </c>
      <c r="BU212" s="34">
        <v>0</v>
      </c>
      <c r="BV212" s="34">
        <v>0</v>
      </c>
      <c r="BW212" s="34">
        <v>1</v>
      </c>
      <c r="BX212" s="34">
        <v>1</v>
      </c>
      <c r="BY212" s="34">
        <v>1</v>
      </c>
      <c r="BZ212" s="34">
        <v>1</v>
      </c>
      <c r="CA212" s="34">
        <v>1</v>
      </c>
      <c r="CB212" s="34">
        <v>1</v>
      </c>
      <c r="CC212" s="34">
        <v>1</v>
      </c>
      <c r="CD212" s="34">
        <v>1</v>
      </c>
      <c r="CE212" s="34">
        <v>1</v>
      </c>
      <c r="CF212" s="34">
        <v>1</v>
      </c>
      <c r="CG212" s="34">
        <v>1</v>
      </c>
      <c r="CH212" s="34">
        <v>1</v>
      </c>
      <c r="CI212" s="34">
        <v>1</v>
      </c>
      <c r="CJ212" s="34">
        <v>1</v>
      </c>
      <c r="CK212" s="34">
        <v>1</v>
      </c>
      <c r="CL212" s="34">
        <v>1</v>
      </c>
      <c r="CM212" s="34">
        <v>1</v>
      </c>
      <c r="CN212" s="34">
        <v>1</v>
      </c>
      <c r="CO212" s="34">
        <v>0</v>
      </c>
      <c r="CP212" s="34">
        <v>0</v>
      </c>
      <c r="CQ212" s="34">
        <v>0</v>
      </c>
      <c r="CR212" s="34">
        <v>0</v>
      </c>
      <c r="CS212" s="34">
        <v>0</v>
      </c>
      <c r="CT212" s="34">
        <v>0</v>
      </c>
      <c r="CU212" s="34">
        <v>0</v>
      </c>
      <c r="CV212" s="34">
        <v>0</v>
      </c>
      <c r="CW212" s="34">
        <v>0</v>
      </c>
      <c r="CX212" s="34">
        <v>0</v>
      </c>
      <c r="CY212" s="34">
        <v>0</v>
      </c>
      <c r="CZ212" s="34">
        <v>0</v>
      </c>
      <c r="DA212" s="34">
        <v>0</v>
      </c>
      <c r="DB212" s="34">
        <v>0</v>
      </c>
      <c r="DC212" s="34">
        <v>0</v>
      </c>
      <c r="DD212" s="34">
        <v>0</v>
      </c>
      <c r="DE212" s="34">
        <v>0</v>
      </c>
      <c r="DF212" s="34">
        <v>0</v>
      </c>
      <c r="DG212" s="34">
        <v>0</v>
      </c>
      <c r="DH212" s="34">
        <v>0</v>
      </c>
      <c r="DI212" s="34">
        <v>0</v>
      </c>
      <c r="DJ212" s="34">
        <v>0</v>
      </c>
      <c r="DK212" s="34">
        <v>0</v>
      </c>
      <c r="DL212" s="34">
        <v>0</v>
      </c>
      <c r="DM212" s="34">
        <v>0</v>
      </c>
      <c r="DN212" s="34">
        <v>0</v>
      </c>
      <c r="DO212" s="34">
        <v>0</v>
      </c>
      <c r="DP212" s="34">
        <v>0</v>
      </c>
      <c r="DQ212" s="34">
        <v>0</v>
      </c>
      <c r="DR212" s="34">
        <v>0</v>
      </c>
    </row>
    <row r="213" spans="1:122" s="13" customFormat="1" hidden="1" outlineLevel="1" x14ac:dyDescent="0.35">
      <c r="A213" s="14">
        <v>74</v>
      </c>
      <c r="B213" s="34">
        <v>0</v>
      </c>
      <c r="C213" s="34">
        <v>0</v>
      </c>
      <c r="D213" s="34">
        <v>0</v>
      </c>
      <c r="E213" s="34">
        <v>0</v>
      </c>
      <c r="F213" s="34">
        <v>0</v>
      </c>
      <c r="G213" s="34">
        <v>0</v>
      </c>
      <c r="H213" s="34">
        <v>0</v>
      </c>
      <c r="I213" s="34">
        <v>0</v>
      </c>
      <c r="J213" s="34">
        <v>0</v>
      </c>
      <c r="K213" s="34">
        <v>0</v>
      </c>
      <c r="L213" s="34">
        <v>0</v>
      </c>
      <c r="M213" s="34">
        <v>0</v>
      </c>
      <c r="N213" s="34">
        <v>0</v>
      </c>
      <c r="O213" s="34">
        <v>0</v>
      </c>
      <c r="P213" s="34">
        <v>0</v>
      </c>
      <c r="Q213" s="34">
        <v>0</v>
      </c>
      <c r="R213" s="34">
        <v>0</v>
      </c>
      <c r="S213" s="34">
        <v>0</v>
      </c>
      <c r="T213" s="34">
        <v>0</v>
      </c>
      <c r="U213" s="34">
        <v>0</v>
      </c>
      <c r="V213" s="34">
        <v>0</v>
      </c>
      <c r="W213" s="34">
        <v>0</v>
      </c>
      <c r="X213" s="34">
        <v>0</v>
      </c>
      <c r="Y213" s="34">
        <v>0</v>
      </c>
      <c r="Z213" s="34">
        <v>0</v>
      </c>
      <c r="AA213" s="34">
        <v>0</v>
      </c>
      <c r="AB213" s="34">
        <v>0</v>
      </c>
      <c r="AC213" s="34">
        <v>0</v>
      </c>
      <c r="AD213" s="34">
        <v>0</v>
      </c>
      <c r="AE213" s="34">
        <v>0</v>
      </c>
      <c r="AF213" s="34">
        <v>0</v>
      </c>
      <c r="AG213" s="34">
        <v>0</v>
      </c>
      <c r="AH213" s="34">
        <v>0</v>
      </c>
      <c r="AI213" s="34">
        <v>0</v>
      </c>
      <c r="AJ213" s="34">
        <v>0</v>
      </c>
      <c r="AK213" s="34">
        <v>0</v>
      </c>
      <c r="AL213" s="34">
        <v>0</v>
      </c>
      <c r="AM213" s="34">
        <v>0</v>
      </c>
      <c r="AN213" s="34">
        <v>0</v>
      </c>
      <c r="AO213" s="34">
        <v>0</v>
      </c>
      <c r="AP213" s="34">
        <v>0</v>
      </c>
      <c r="AQ213" s="34">
        <v>0</v>
      </c>
      <c r="AR213" s="34">
        <v>0</v>
      </c>
      <c r="AS213" s="34">
        <v>0</v>
      </c>
      <c r="AT213" s="34">
        <v>0</v>
      </c>
      <c r="AU213" s="34">
        <v>0</v>
      </c>
      <c r="AV213" s="34">
        <v>0</v>
      </c>
      <c r="AW213" s="34">
        <v>0</v>
      </c>
      <c r="AX213" s="34">
        <v>0</v>
      </c>
      <c r="AY213" s="34">
        <v>0</v>
      </c>
      <c r="AZ213" s="34">
        <v>0</v>
      </c>
      <c r="BA213" s="34">
        <v>0</v>
      </c>
      <c r="BB213" s="34">
        <v>0</v>
      </c>
      <c r="BC213" s="34">
        <v>0</v>
      </c>
      <c r="BD213" s="34">
        <v>0</v>
      </c>
      <c r="BE213" s="34">
        <v>0</v>
      </c>
      <c r="BF213" s="34">
        <v>0</v>
      </c>
      <c r="BG213" s="34">
        <v>0</v>
      </c>
      <c r="BH213" s="34">
        <v>0</v>
      </c>
      <c r="BI213" s="34">
        <v>0</v>
      </c>
      <c r="BJ213" s="34">
        <v>0</v>
      </c>
      <c r="BK213" s="34">
        <v>0</v>
      </c>
      <c r="BL213" s="34">
        <v>0</v>
      </c>
      <c r="BM213" s="34">
        <v>0</v>
      </c>
      <c r="BN213" s="34">
        <v>0</v>
      </c>
      <c r="BO213" s="34">
        <v>0</v>
      </c>
      <c r="BP213" s="34">
        <v>0</v>
      </c>
      <c r="BQ213" s="34">
        <v>0</v>
      </c>
      <c r="BR213" s="34">
        <v>0</v>
      </c>
      <c r="BS213" s="34">
        <v>0</v>
      </c>
      <c r="BT213" s="34">
        <v>0</v>
      </c>
      <c r="BU213" s="34">
        <v>0</v>
      </c>
      <c r="BV213" s="34">
        <v>0</v>
      </c>
      <c r="BW213" s="34">
        <v>0</v>
      </c>
      <c r="BX213" s="34">
        <v>1</v>
      </c>
      <c r="BY213" s="34">
        <v>1</v>
      </c>
      <c r="BZ213" s="34">
        <v>1</v>
      </c>
      <c r="CA213" s="34">
        <v>1</v>
      </c>
      <c r="CB213" s="34">
        <v>1</v>
      </c>
      <c r="CC213" s="34">
        <v>1</v>
      </c>
      <c r="CD213" s="34">
        <v>1</v>
      </c>
      <c r="CE213" s="34">
        <v>1</v>
      </c>
      <c r="CF213" s="34">
        <v>1</v>
      </c>
      <c r="CG213" s="34">
        <v>1</v>
      </c>
      <c r="CH213" s="34">
        <v>1</v>
      </c>
      <c r="CI213" s="34">
        <v>1</v>
      </c>
      <c r="CJ213" s="34">
        <v>1</v>
      </c>
      <c r="CK213" s="34">
        <v>1</v>
      </c>
      <c r="CL213" s="34">
        <v>1</v>
      </c>
      <c r="CM213" s="34">
        <v>1</v>
      </c>
      <c r="CN213" s="34">
        <v>1</v>
      </c>
      <c r="CO213" s="34">
        <v>0</v>
      </c>
      <c r="CP213" s="34">
        <v>0</v>
      </c>
      <c r="CQ213" s="34">
        <v>0</v>
      </c>
      <c r="CR213" s="34">
        <v>0</v>
      </c>
      <c r="CS213" s="34">
        <v>0</v>
      </c>
      <c r="CT213" s="34">
        <v>0</v>
      </c>
      <c r="CU213" s="34">
        <v>0</v>
      </c>
      <c r="CV213" s="34">
        <v>0</v>
      </c>
      <c r="CW213" s="34">
        <v>0</v>
      </c>
      <c r="CX213" s="34">
        <v>0</v>
      </c>
      <c r="CY213" s="34">
        <v>0</v>
      </c>
      <c r="CZ213" s="34">
        <v>0</v>
      </c>
      <c r="DA213" s="34">
        <v>0</v>
      </c>
      <c r="DB213" s="34">
        <v>0</v>
      </c>
      <c r="DC213" s="34">
        <v>0</v>
      </c>
      <c r="DD213" s="34">
        <v>0</v>
      </c>
      <c r="DE213" s="34">
        <v>0</v>
      </c>
      <c r="DF213" s="34">
        <v>0</v>
      </c>
      <c r="DG213" s="34">
        <v>0</v>
      </c>
      <c r="DH213" s="34">
        <v>0</v>
      </c>
      <c r="DI213" s="34">
        <v>0</v>
      </c>
      <c r="DJ213" s="34">
        <v>0</v>
      </c>
      <c r="DK213" s="34">
        <v>0</v>
      </c>
      <c r="DL213" s="34">
        <v>0</v>
      </c>
      <c r="DM213" s="34">
        <v>0</v>
      </c>
      <c r="DN213" s="34">
        <v>0</v>
      </c>
      <c r="DO213" s="34">
        <v>0</v>
      </c>
      <c r="DP213" s="34">
        <v>0</v>
      </c>
      <c r="DQ213" s="34">
        <v>0</v>
      </c>
      <c r="DR213" s="34">
        <v>0</v>
      </c>
    </row>
    <row r="214" spans="1:122" s="13" customFormat="1" hidden="1" outlineLevel="1" x14ac:dyDescent="0.35">
      <c r="A214" s="14">
        <v>75</v>
      </c>
      <c r="B214" s="34">
        <v>0</v>
      </c>
      <c r="C214" s="34">
        <v>0</v>
      </c>
      <c r="D214" s="34">
        <v>0</v>
      </c>
      <c r="E214" s="34">
        <v>0</v>
      </c>
      <c r="F214" s="34">
        <v>0</v>
      </c>
      <c r="G214" s="34">
        <v>0</v>
      </c>
      <c r="H214" s="34">
        <v>0</v>
      </c>
      <c r="I214" s="34">
        <v>0</v>
      </c>
      <c r="J214" s="34">
        <v>0</v>
      </c>
      <c r="K214" s="34">
        <v>0</v>
      </c>
      <c r="L214" s="34">
        <v>0</v>
      </c>
      <c r="M214" s="34">
        <v>0</v>
      </c>
      <c r="N214" s="34">
        <v>0</v>
      </c>
      <c r="O214" s="34">
        <v>0</v>
      </c>
      <c r="P214" s="34">
        <v>0</v>
      </c>
      <c r="Q214" s="34">
        <v>0</v>
      </c>
      <c r="R214" s="34">
        <v>0</v>
      </c>
      <c r="S214" s="34">
        <v>0</v>
      </c>
      <c r="T214" s="34">
        <v>0</v>
      </c>
      <c r="U214" s="34">
        <v>0</v>
      </c>
      <c r="V214" s="34">
        <v>0</v>
      </c>
      <c r="W214" s="34">
        <v>0</v>
      </c>
      <c r="X214" s="34">
        <v>0</v>
      </c>
      <c r="Y214" s="34">
        <v>0</v>
      </c>
      <c r="Z214" s="34">
        <v>0</v>
      </c>
      <c r="AA214" s="34">
        <v>0</v>
      </c>
      <c r="AB214" s="34">
        <v>0</v>
      </c>
      <c r="AC214" s="34">
        <v>0</v>
      </c>
      <c r="AD214" s="34">
        <v>0</v>
      </c>
      <c r="AE214" s="34">
        <v>0</v>
      </c>
      <c r="AF214" s="34">
        <v>0</v>
      </c>
      <c r="AG214" s="34">
        <v>0</v>
      </c>
      <c r="AH214" s="34">
        <v>0</v>
      </c>
      <c r="AI214" s="34">
        <v>0</v>
      </c>
      <c r="AJ214" s="34">
        <v>0</v>
      </c>
      <c r="AK214" s="34">
        <v>0</v>
      </c>
      <c r="AL214" s="34">
        <v>0</v>
      </c>
      <c r="AM214" s="34">
        <v>0</v>
      </c>
      <c r="AN214" s="34">
        <v>0</v>
      </c>
      <c r="AO214" s="34">
        <v>0</v>
      </c>
      <c r="AP214" s="34">
        <v>0</v>
      </c>
      <c r="AQ214" s="34">
        <v>0</v>
      </c>
      <c r="AR214" s="34">
        <v>0</v>
      </c>
      <c r="AS214" s="34">
        <v>0</v>
      </c>
      <c r="AT214" s="34">
        <v>0</v>
      </c>
      <c r="AU214" s="34">
        <v>0</v>
      </c>
      <c r="AV214" s="34">
        <v>0</v>
      </c>
      <c r="AW214" s="34">
        <v>0</v>
      </c>
      <c r="AX214" s="34">
        <v>0</v>
      </c>
      <c r="AY214" s="34">
        <v>0</v>
      </c>
      <c r="AZ214" s="34">
        <v>0</v>
      </c>
      <c r="BA214" s="34">
        <v>0</v>
      </c>
      <c r="BB214" s="34">
        <v>0</v>
      </c>
      <c r="BC214" s="34">
        <v>0</v>
      </c>
      <c r="BD214" s="34">
        <v>0</v>
      </c>
      <c r="BE214" s="34">
        <v>0</v>
      </c>
      <c r="BF214" s="34">
        <v>0</v>
      </c>
      <c r="BG214" s="34">
        <v>0</v>
      </c>
      <c r="BH214" s="34">
        <v>0</v>
      </c>
      <c r="BI214" s="34">
        <v>0</v>
      </c>
      <c r="BJ214" s="34">
        <v>0</v>
      </c>
      <c r="BK214" s="34">
        <v>0</v>
      </c>
      <c r="BL214" s="34">
        <v>0</v>
      </c>
      <c r="BM214" s="34">
        <v>0</v>
      </c>
      <c r="BN214" s="34">
        <v>0</v>
      </c>
      <c r="BO214" s="34">
        <v>0</v>
      </c>
      <c r="BP214" s="34">
        <v>0</v>
      </c>
      <c r="BQ214" s="34">
        <v>0</v>
      </c>
      <c r="BR214" s="34">
        <v>0</v>
      </c>
      <c r="BS214" s="34">
        <v>0</v>
      </c>
      <c r="BT214" s="34">
        <v>0</v>
      </c>
      <c r="BU214" s="34">
        <v>0</v>
      </c>
      <c r="BV214" s="34">
        <v>0</v>
      </c>
      <c r="BW214" s="34">
        <v>0</v>
      </c>
      <c r="BX214" s="34">
        <v>0</v>
      </c>
      <c r="BY214" s="34">
        <v>1</v>
      </c>
      <c r="BZ214" s="34">
        <v>1</v>
      </c>
      <c r="CA214" s="34">
        <v>1</v>
      </c>
      <c r="CB214" s="34">
        <v>1</v>
      </c>
      <c r="CC214" s="34">
        <v>1</v>
      </c>
      <c r="CD214" s="34">
        <v>1</v>
      </c>
      <c r="CE214" s="34">
        <v>1</v>
      </c>
      <c r="CF214" s="34">
        <v>1</v>
      </c>
      <c r="CG214" s="34">
        <v>1</v>
      </c>
      <c r="CH214" s="34">
        <v>1</v>
      </c>
      <c r="CI214" s="34">
        <v>1</v>
      </c>
      <c r="CJ214" s="34">
        <v>1</v>
      </c>
      <c r="CK214" s="34">
        <v>1</v>
      </c>
      <c r="CL214" s="34">
        <v>1</v>
      </c>
      <c r="CM214" s="34">
        <v>1</v>
      </c>
      <c r="CN214" s="34">
        <v>1</v>
      </c>
      <c r="CO214" s="34">
        <v>0</v>
      </c>
      <c r="CP214" s="34">
        <v>0</v>
      </c>
      <c r="CQ214" s="34">
        <v>0</v>
      </c>
      <c r="CR214" s="34">
        <v>0</v>
      </c>
      <c r="CS214" s="34">
        <v>0</v>
      </c>
      <c r="CT214" s="34">
        <v>0</v>
      </c>
      <c r="CU214" s="34">
        <v>0</v>
      </c>
      <c r="CV214" s="34">
        <v>0</v>
      </c>
      <c r="CW214" s="34">
        <v>0</v>
      </c>
      <c r="CX214" s="34">
        <v>0</v>
      </c>
      <c r="CY214" s="34">
        <v>0</v>
      </c>
      <c r="CZ214" s="34">
        <v>0</v>
      </c>
      <c r="DA214" s="34">
        <v>0</v>
      </c>
      <c r="DB214" s="34">
        <v>0</v>
      </c>
      <c r="DC214" s="34">
        <v>0</v>
      </c>
      <c r="DD214" s="34">
        <v>0</v>
      </c>
      <c r="DE214" s="34">
        <v>0</v>
      </c>
      <c r="DF214" s="34">
        <v>0</v>
      </c>
      <c r="DG214" s="34">
        <v>0</v>
      </c>
      <c r="DH214" s="34">
        <v>0</v>
      </c>
      <c r="DI214" s="34">
        <v>0</v>
      </c>
      <c r="DJ214" s="34">
        <v>0</v>
      </c>
      <c r="DK214" s="34">
        <v>0</v>
      </c>
      <c r="DL214" s="34">
        <v>0</v>
      </c>
      <c r="DM214" s="34">
        <v>0</v>
      </c>
      <c r="DN214" s="34">
        <v>0</v>
      </c>
      <c r="DO214" s="34">
        <v>0</v>
      </c>
      <c r="DP214" s="34">
        <v>0</v>
      </c>
      <c r="DQ214" s="34">
        <v>0</v>
      </c>
      <c r="DR214" s="34">
        <v>0</v>
      </c>
    </row>
    <row r="215" spans="1:122" s="13" customFormat="1" hidden="1" outlineLevel="1" x14ac:dyDescent="0.35">
      <c r="A215" s="14">
        <v>76</v>
      </c>
      <c r="B215" s="34">
        <v>0</v>
      </c>
      <c r="C215" s="34">
        <v>0</v>
      </c>
      <c r="D215" s="34">
        <v>0</v>
      </c>
      <c r="E215" s="34">
        <v>0</v>
      </c>
      <c r="F215" s="34">
        <v>0</v>
      </c>
      <c r="G215" s="34">
        <v>0</v>
      </c>
      <c r="H215" s="34">
        <v>0</v>
      </c>
      <c r="I215" s="34">
        <v>0</v>
      </c>
      <c r="J215" s="34">
        <v>0</v>
      </c>
      <c r="K215" s="34">
        <v>0</v>
      </c>
      <c r="L215" s="34">
        <v>0</v>
      </c>
      <c r="M215" s="34">
        <v>0</v>
      </c>
      <c r="N215" s="34">
        <v>0</v>
      </c>
      <c r="O215" s="34">
        <v>0</v>
      </c>
      <c r="P215" s="34">
        <v>0</v>
      </c>
      <c r="Q215" s="34">
        <v>0</v>
      </c>
      <c r="R215" s="34">
        <v>0</v>
      </c>
      <c r="S215" s="34">
        <v>0</v>
      </c>
      <c r="T215" s="34">
        <v>0</v>
      </c>
      <c r="U215" s="34">
        <v>0</v>
      </c>
      <c r="V215" s="34">
        <v>0</v>
      </c>
      <c r="W215" s="34">
        <v>0</v>
      </c>
      <c r="X215" s="34">
        <v>0</v>
      </c>
      <c r="Y215" s="34">
        <v>0</v>
      </c>
      <c r="Z215" s="34">
        <v>0</v>
      </c>
      <c r="AA215" s="34">
        <v>0</v>
      </c>
      <c r="AB215" s="34">
        <v>0</v>
      </c>
      <c r="AC215" s="34">
        <v>0</v>
      </c>
      <c r="AD215" s="34">
        <v>0</v>
      </c>
      <c r="AE215" s="34">
        <v>0</v>
      </c>
      <c r="AF215" s="34">
        <v>0</v>
      </c>
      <c r="AG215" s="34">
        <v>0</v>
      </c>
      <c r="AH215" s="34">
        <v>0</v>
      </c>
      <c r="AI215" s="34">
        <v>0</v>
      </c>
      <c r="AJ215" s="34">
        <v>0</v>
      </c>
      <c r="AK215" s="34">
        <v>0</v>
      </c>
      <c r="AL215" s="34">
        <v>0</v>
      </c>
      <c r="AM215" s="34">
        <v>0</v>
      </c>
      <c r="AN215" s="34">
        <v>0</v>
      </c>
      <c r="AO215" s="34">
        <v>0</v>
      </c>
      <c r="AP215" s="34">
        <v>0</v>
      </c>
      <c r="AQ215" s="34">
        <v>0</v>
      </c>
      <c r="AR215" s="34">
        <v>0</v>
      </c>
      <c r="AS215" s="34">
        <v>0</v>
      </c>
      <c r="AT215" s="34">
        <v>0</v>
      </c>
      <c r="AU215" s="34">
        <v>0</v>
      </c>
      <c r="AV215" s="34">
        <v>0</v>
      </c>
      <c r="AW215" s="34">
        <v>0</v>
      </c>
      <c r="AX215" s="34">
        <v>0</v>
      </c>
      <c r="AY215" s="34">
        <v>0</v>
      </c>
      <c r="AZ215" s="34">
        <v>0</v>
      </c>
      <c r="BA215" s="34">
        <v>0</v>
      </c>
      <c r="BB215" s="34">
        <v>0</v>
      </c>
      <c r="BC215" s="34">
        <v>0</v>
      </c>
      <c r="BD215" s="34">
        <v>0</v>
      </c>
      <c r="BE215" s="34">
        <v>0</v>
      </c>
      <c r="BF215" s="34">
        <v>0</v>
      </c>
      <c r="BG215" s="34">
        <v>0</v>
      </c>
      <c r="BH215" s="34">
        <v>0</v>
      </c>
      <c r="BI215" s="34">
        <v>0</v>
      </c>
      <c r="BJ215" s="34">
        <v>0</v>
      </c>
      <c r="BK215" s="34">
        <v>0</v>
      </c>
      <c r="BL215" s="34">
        <v>0</v>
      </c>
      <c r="BM215" s="34">
        <v>0</v>
      </c>
      <c r="BN215" s="34">
        <v>0</v>
      </c>
      <c r="BO215" s="34">
        <v>0</v>
      </c>
      <c r="BP215" s="34">
        <v>0</v>
      </c>
      <c r="BQ215" s="34">
        <v>0</v>
      </c>
      <c r="BR215" s="34">
        <v>0</v>
      </c>
      <c r="BS215" s="34">
        <v>0</v>
      </c>
      <c r="BT215" s="34">
        <v>0</v>
      </c>
      <c r="BU215" s="34">
        <v>0</v>
      </c>
      <c r="BV215" s="34">
        <v>0</v>
      </c>
      <c r="BW215" s="34">
        <v>0</v>
      </c>
      <c r="BX215" s="34">
        <v>0</v>
      </c>
      <c r="BY215" s="34">
        <v>0</v>
      </c>
      <c r="BZ215" s="34">
        <v>1</v>
      </c>
      <c r="CA215" s="34">
        <v>1</v>
      </c>
      <c r="CB215" s="34">
        <v>1</v>
      </c>
      <c r="CC215" s="34">
        <v>1</v>
      </c>
      <c r="CD215" s="34">
        <v>1</v>
      </c>
      <c r="CE215" s="34">
        <v>1</v>
      </c>
      <c r="CF215" s="34">
        <v>1</v>
      </c>
      <c r="CG215" s="34">
        <v>1</v>
      </c>
      <c r="CH215" s="34">
        <v>1</v>
      </c>
      <c r="CI215" s="34">
        <v>1</v>
      </c>
      <c r="CJ215" s="34">
        <v>1</v>
      </c>
      <c r="CK215" s="34">
        <v>1</v>
      </c>
      <c r="CL215" s="34">
        <v>1</v>
      </c>
      <c r="CM215" s="34">
        <v>1</v>
      </c>
      <c r="CN215" s="34">
        <v>1</v>
      </c>
      <c r="CO215" s="34">
        <v>0</v>
      </c>
      <c r="CP215" s="34">
        <v>0</v>
      </c>
      <c r="CQ215" s="34">
        <v>0</v>
      </c>
      <c r="CR215" s="34">
        <v>0</v>
      </c>
      <c r="CS215" s="34">
        <v>0</v>
      </c>
      <c r="CT215" s="34">
        <v>0</v>
      </c>
      <c r="CU215" s="34">
        <v>0</v>
      </c>
      <c r="CV215" s="34">
        <v>0</v>
      </c>
      <c r="CW215" s="34">
        <v>0</v>
      </c>
      <c r="CX215" s="34">
        <v>0</v>
      </c>
      <c r="CY215" s="34">
        <v>0</v>
      </c>
      <c r="CZ215" s="34">
        <v>0</v>
      </c>
      <c r="DA215" s="34">
        <v>0</v>
      </c>
      <c r="DB215" s="34">
        <v>0</v>
      </c>
      <c r="DC215" s="34">
        <v>0</v>
      </c>
      <c r="DD215" s="34">
        <v>0</v>
      </c>
      <c r="DE215" s="34">
        <v>0</v>
      </c>
      <c r="DF215" s="34">
        <v>0</v>
      </c>
      <c r="DG215" s="34">
        <v>0</v>
      </c>
      <c r="DH215" s="34">
        <v>0</v>
      </c>
      <c r="DI215" s="34">
        <v>0</v>
      </c>
      <c r="DJ215" s="34">
        <v>0</v>
      </c>
      <c r="DK215" s="34">
        <v>0</v>
      </c>
      <c r="DL215" s="34">
        <v>0</v>
      </c>
      <c r="DM215" s="34">
        <v>0</v>
      </c>
      <c r="DN215" s="34">
        <v>0</v>
      </c>
      <c r="DO215" s="34">
        <v>0</v>
      </c>
      <c r="DP215" s="34">
        <v>0</v>
      </c>
      <c r="DQ215" s="34">
        <v>0</v>
      </c>
      <c r="DR215" s="34">
        <v>0</v>
      </c>
    </row>
    <row r="216" spans="1:122" s="13" customFormat="1" hidden="1" outlineLevel="1" x14ac:dyDescent="0.35">
      <c r="A216" s="14">
        <v>77</v>
      </c>
      <c r="B216" s="34">
        <v>0</v>
      </c>
      <c r="C216" s="34">
        <v>0</v>
      </c>
      <c r="D216" s="34">
        <v>0</v>
      </c>
      <c r="E216" s="34">
        <v>0</v>
      </c>
      <c r="F216" s="34">
        <v>0</v>
      </c>
      <c r="G216" s="34">
        <v>0</v>
      </c>
      <c r="H216" s="34">
        <v>0</v>
      </c>
      <c r="I216" s="34">
        <v>0</v>
      </c>
      <c r="J216" s="34">
        <v>0</v>
      </c>
      <c r="K216" s="34">
        <v>0</v>
      </c>
      <c r="L216" s="34">
        <v>0</v>
      </c>
      <c r="M216" s="34">
        <v>0</v>
      </c>
      <c r="N216" s="34">
        <v>0</v>
      </c>
      <c r="O216" s="34">
        <v>0</v>
      </c>
      <c r="P216" s="34">
        <v>0</v>
      </c>
      <c r="Q216" s="34">
        <v>0</v>
      </c>
      <c r="R216" s="34">
        <v>0</v>
      </c>
      <c r="S216" s="34">
        <v>0</v>
      </c>
      <c r="T216" s="34">
        <v>0</v>
      </c>
      <c r="U216" s="34">
        <v>0</v>
      </c>
      <c r="V216" s="34">
        <v>0</v>
      </c>
      <c r="W216" s="34">
        <v>0</v>
      </c>
      <c r="X216" s="34">
        <v>0</v>
      </c>
      <c r="Y216" s="34">
        <v>0</v>
      </c>
      <c r="Z216" s="34">
        <v>0</v>
      </c>
      <c r="AA216" s="34">
        <v>0</v>
      </c>
      <c r="AB216" s="34">
        <v>0</v>
      </c>
      <c r="AC216" s="34">
        <v>0</v>
      </c>
      <c r="AD216" s="34">
        <v>0</v>
      </c>
      <c r="AE216" s="34">
        <v>0</v>
      </c>
      <c r="AF216" s="34">
        <v>0</v>
      </c>
      <c r="AG216" s="34">
        <v>0</v>
      </c>
      <c r="AH216" s="34">
        <v>0</v>
      </c>
      <c r="AI216" s="34">
        <v>0</v>
      </c>
      <c r="AJ216" s="34">
        <v>0</v>
      </c>
      <c r="AK216" s="34">
        <v>0</v>
      </c>
      <c r="AL216" s="34">
        <v>0</v>
      </c>
      <c r="AM216" s="34">
        <v>0</v>
      </c>
      <c r="AN216" s="34">
        <v>0</v>
      </c>
      <c r="AO216" s="34">
        <v>0</v>
      </c>
      <c r="AP216" s="34">
        <v>0</v>
      </c>
      <c r="AQ216" s="34">
        <v>0</v>
      </c>
      <c r="AR216" s="34">
        <v>0</v>
      </c>
      <c r="AS216" s="34">
        <v>0</v>
      </c>
      <c r="AT216" s="34">
        <v>0</v>
      </c>
      <c r="AU216" s="34">
        <v>0</v>
      </c>
      <c r="AV216" s="34">
        <v>0</v>
      </c>
      <c r="AW216" s="34">
        <v>0</v>
      </c>
      <c r="AX216" s="34">
        <v>0</v>
      </c>
      <c r="AY216" s="34">
        <v>0</v>
      </c>
      <c r="AZ216" s="34">
        <v>0</v>
      </c>
      <c r="BA216" s="34">
        <v>0</v>
      </c>
      <c r="BB216" s="34">
        <v>0</v>
      </c>
      <c r="BC216" s="34">
        <v>0</v>
      </c>
      <c r="BD216" s="34">
        <v>0</v>
      </c>
      <c r="BE216" s="34">
        <v>0</v>
      </c>
      <c r="BF216" s="34">
        <v>0</v>
      </c>
      <c r="BG216" s="34">
        <v>0</v>
      </c>
      <c r="BH216" s="34">
        <v>0</v>
      </c>
      <c r="BI216" s="34">
        <v>0</v>
      </c>
      <c r="BJ216" s="34">
        <v>0</v>
      </c>
      <c r="BK216" s="34">
        <v>0</v>
      </c>
      <c r="BL216" s="34">
        <v>0</v>
      </c>
      <c r="BM216" s="34">
        <v>0</v>
      </c>
      <c r="BN216" s="34">
        <v>0</v>
      </c>
      <c r="BO216" s="34">
        <v>0</v>
      </c>
      <c r="BP216" s="34">
        <v>0</v>
      </c>
      <c r="BQ216" s="34">
        <v>0</v>
      </c>
      <c r="BR216" s="34">
        <v>0</v>
      </c>
      <c r="BS216" s="34">
        <v>0</v>
      </c>
      <c r="BT216" s="34">
        <v>0</v>
      </c>
      <c r="BU216" s="34">
        <v>0</v>
      </c>
      <c r="BV216" s="34">
        <v>0</v>
      </c>
      <c r="BW216" s="34">
        <v>0</v>
      </c>
      <c r="BX216" s="34">
        <v>0</v>
      </c>
      <c r="BY216" s="34">
        <v>0</v>
      </c>
      <c r="BZ216" s="34">
        <v>0</v>
      </c>
      <c r="CA216" s="34">
        <v>1</v>
      </c>
      <c r="CB216" s="34">
        <v>1</v>
      </c>
      <c r="CC216" s="34">
        <v>1</v>
      </c>
      <c r="CD216" s="34">
        <v>1</v>
      </c>
      <c r="CE216" s="34">
        <v>1</v>
      </c>
      <c r="CF216" s="34">
        <v>1</v>
      </c>
      <c r="CG216" s="34">
        <v>1</v>
      </c>
      <c r="CH216" s="34">
        <v>1</v>
      </c>
      <c r="CI216" s="34">
        <v>1</v>
      </c>
      <c r="CJ216" s="34">
        <v>1</v>
      </c>
      <c r="CK216" s="34">
        <v>1</v>
      </c>
      <c r="CL216" s="34">
        <v>1</v>
      </c>
      <c r="CM216" s="34">
        <v>1</v>
      </c>
      <c r="CN216" s="34">
        <v>1</v>
      </c>
      <c r="CO216" s="34">
        <v>0</v>
      </c>
      <c r="CP216" s="34">
        <v>0</v>
      </c>
      <c r="CQ216" s="34">
        <v>0</v>
      </c>
      <c r="CR216" s="34">
        <v>0</v>
      </c>
      <c r="CS216" s="34">
        <v>0</v>
      </c>
      <c r="CT216" s="34">
        <v>0</v>
      </c>
      <c r="CU216" s="34">
        <v>0</v>
      </c>
      <c r="CV216" s="34">
        <v>0</v>
      </c>
      <c r="CW216" s="34">
        <v>0</v>
      </c>
      <c r="CX216" s="34">
        <v>0</v>
      </c>
      <c r="CY216" s="34">
        <v>0</v>
      </c>
      <c r="CZ216" s="34">
        <v>0</v>
      </c>
      <c r="DA216" s="34">
        <v>0</v>
      </c>
      <c r="DB216" s="34">
        <v>0</v>
      </c>
      <c r="DC216" s="34">
        <v>0</v>
      </c>
      <c r="DD216" s="34">
        <v>0</v>
      </c>
      <c r="DE216" s="34">
        <v>0</v>
      </c>
      <c r="DF216" s="34">
        <v>0</v>
      </c>
      <c r="DG216" s="34">
        <v>0</v>
      </c>
      <c r="DH216" s="34">
        <v>0</v>
      </c>
      <c r="DI216" s="34">
        <v>0</v>
      </c>
      <c r="DJ216" s="34">
        <v>0</v>
      </c>
      <c r="DK216" s="34">
        <v>0</v>
      </c>
      <c r="DL216" s="34">
        <v>0</v>
      </c>
      <c r="DM216" s="34">
        <v>0</v>
      </c>
      <c r="DN216" s="34">
        <v>0</v>
      </c>
      <c r="DO216" s="34">
        <v>0</v>
      </c>
      <c r="DP216" s="34">
        <v>0</v>
      </c>
      <c r="DQ216" s="34">
        <v>0</v>
      </c>
      <c r="DR216" s="34">
        <v>0</v>
      </c>
    </row>
    <row r="217" spans="1:122" s="13" customFormat="1" hidden="1" outlineLevel="1" x14ac:dyDescent="0.35">
      <c r="A217" s="14">
        <v>78</v>
      </c>
      <c r="B217" s="34">
        <v>0</v>
      </c>
      <c r="C217" s="34">
        <v>0</v>
      </c>
      <c r="D217" s="34">
        <v>0</v>
      </c>
      <c r="E217" s="34">
        <v>0</v>
      </c>
      <c r="F217" s="34">
        <v>0</v>
      </c>
      <c r="G217" s="34">
        <v>0</v>
      </c>
      <c r="H217" s="34">
        <v>0</v>
      </c>
      <c r="I217" s="34">
        <v>0</v>
      </c>
      <c r="J217" s="34">
        <v>0</v>
      </c>
      <c r="K217" s="34">
        <v>0</v>
      </c>
      <c r="L217" s="34">
        <v>0</v>
      </c>
      <c r="M217" s="34">
        <v>0</v>
      </c>
      <c r="N217" s="34">
        <v>0</v>
      </c>
      <c r="O217" s="34">
        <v>0</v>
      </c>
      <c r="P217" s="34">
        <v>0</v>
      </c>
      <c r="Q217" s="34">
        <v>0</v>
      </c>
      <c r="R217" s="34">
        <v>0</v>
      </c>
      <c r="S217" s="34">
        <v>0</v>
      </c>
      <c r="T217" s="34">
        <v>0</v>
      </c>
      <c r="U217" s="34">
        <v>0</v>
      </c>
      <c r="V217" s="34">
        <v>0</v>
      </c>
      <c r="W217" s="34">
        <v>0</v>
      </c>
      <c r="X217" s="34">
        <v>0</v>
      </c>
      <c r="Y217" s="34">
        <v>0</v>
      </c>
      <c r="Z217" s="34">
        <v>0</v>
      </c>
      <c r="AA217" s="34">
        <v>0</v>
      </c>
      <c r="AB217" s="34">
        <v>0</v>
      </c>
      <c r="AC217" s="34">
        <v>0</v>
      </c>
      <c r="AD217" s="34">
        <v>0</v>
      </c>
      <c r="AE217" s="34">
        <v>0</v>
      </c>
      <c r="AF217" s="34">
        <v>0</v>
      </c>
      <c r="AG217" s="34">
        <v>0</v>
      </c>
      <c r="AH217" s="34">
        <v>0</v>
      </c>
      <c r="AI217" s="34">
        <v>0</v>
      </c>
      <c r="AJ217" s="34">
        <v>0</v>
      </c>
      <c r="AK217" s="34">
        <v>0</v>
      </c>
      <c r="AL217" s="34">
        <v>0</v>
      </c>
      <c r="AM217" s="34">
        <v>0</v>
      </c>
      <c r="AN217" s="34">
        <v>0</v>
      </c>
      <c r="AO217" s="34">
        <v>0</v>
      </c>
      <c r="AP217" s="34">
        <v>0</v>
      </c>
      <c r="AQ217" s="34">
        <v>0</v>
      </c>
      <c r="AR217" s="34">
        <v>0</v>
      </c>
      <c r="AS217" s="34">
        <v>0</v>
      </c>
      <c r="AT217" s="34">
        <v>0</v>
      </c>
      <c r="AU217" s="34">
        <v>0</v>
      </c>
      <c r="AV217" s="34">
        <v>0</v>
      </c>
      <c r="AW217" s="34">
        <v>0</v>
      </c>
      <c r="AX217" s="34">
        <v>0</v>
      </c>
      <c r="AY217" s="34">
        <v>0</v>
      </c>
      <c r="AZ217" s="34">
        <v>0</v>
      </c>
      <c r="BA217" s="34">
        <v>0</v>
      </c>
      <c r="BB217" s="34">
        <v>0</v>
      </c>
      <c r="BC217" s="34">
        <v>0</v>
      </c>
      <c r="BD217" s="34">
        <v>0</v>
      </c>
      <c r="BE217" s="34">
        <v>0</v>
      </c>
      <c r="BF217" s="34">
        <v>0</v>
      </c>
      <c r="BG217" s="34">
        <v>0</v>
      </c>
      <c r="BH217" s="34">
        <v>0</v>
      </c>
      <c r="BI217" s="34">
        <v>0</v>
      </c>
      <c r="BJ217" s="34">
        <v>0</v>
      </c>
      <c r="BK217" s="34">
        <v>0</v>
      </c>
      <c r="BL217" s="34">
        <v>0</v>
      </c>
      <c r="BM217" s="34">
        <v>0</v>
      </c>
      <c r="BN217" s="34">
        <v>0</v>
      </c>
      <c r="BO217" s="34">
        <v>0</v>
      </c>
      <c r="BP217" s="34">
        <v>0</v>
      </c>
      <c r="BQ217" s="34">
        <v>0</v>
      </c>
      <c r="BR217" s="34">
        <v>0</v>
      </c>
      <c r="BS217" s="34">
        <v>0</v>
      </c>
      <c r="BT217" s="34">
        <v>0</v>
      </c>
      <c r="BU217" s="34">
        <v>0</v>
      </c>
      <c r="BV217" s="34">
        <v>0</v>
      </c>
      <c r="BW217" s="34">
        <v>0</v>
      </c>
      <c r="BX217" s="34">
        <v>0</v>
      </c>
      <c r="BY217" s="34">
        <v>0</v>
      </c>
      <c r="BZ217" s="34">
        <v>0</v>
      </c>
      <c r="CA217" s="34">
        <v>0</v>
      </c>
      <c r="CB217" s="34">
        <v>1</v>
      </c>
      <c r="CC217" s="34">
        <v>1</v>
      </c>
      <c r="CD217" s="34">
        <v>1</v>
      </c>
      <c r="CE217" s="34">
        <v>1</v>
      </c>
      <c r="CF217" s="34">
        <v>1</v>
      </c>
      <c r="CG217" s="34">
        <v>1</v>
      </c>
      <c r="CH217" s="34">
        <v>1</v>
      </c>
      <c r="CI217" s="34">
        <v>1</v>
      </c>
      <c r="CJ217" s="34">
        <v>1</v>
      </c>
      <c r="CK217" s="34">
        <v>1</v>
      </c>
      <c r="CL217" s="34">
        <v>1</v>
      </c>
      <c r="CM217" s="34">
        <v>1</v>
      </c>
      <c r="CN217" s="34">
        <v>1</v>
      </c>
      <c r="CO217" s="34">
        <v>0</v>
      </c>
      <c r="CP217" s="34">
        <v>0</v>
      </c>
      <c r="CQ217" s="34">
        <v>0</v>
      </c>
      <c r="CR217" s="34">
        <v>0</v>
      </c>
      <c r="CS217" s="34">
        <v>0</v>
      </c>
      <c r="CT217" s="34">
        <v>0</v>
      </c>
      <c r="CU217" s="34">
        <v>0</v>
      </c>
      <c r="CV217" s="34">
        <v>0</v>
      </c>
      <c r="CW217" s="34">
        <v>0</v>
      </c>
      <c r="CX217" s="34">
        <v>0</v>
      </c>
      <c r="CY217" s="34">
        <v>0</v>
      </c>
      <c r="CZ217" s="34">
        <v>0</v>
      </c>
      <c r="DA217" s="34">
        <v>0</v>
      </c>
      <c r="DB217" s="34">
        <v>0</v>
      </c>
      <c r="DC217" s="34">
        <v>0</v>
      </c>
      <c r="DD217" s="34">
        <v>0</v>
      </c>
      <c r="DE217" s="34">
        <v>0</v>
      </c>
      <c r="DF217" s="34">
        <v>0</v>
      </c>
      <c r="DG217" s="34">
        <v>0</v>
      </c>
      <c r="DH217" s="34">
        <v>0</v>
      </c>
      <c r="DI217" s="34">
        <v>0</v>
      </c>
      <c r="DJ217" s="34">
        <v>0</v>
      </c>
      <c r="DK217" s="34">
        <v>0</v>
      </c>
      <c r="DL217" s="34">
        <v>0</v>
      </c>
      <c r="DM217" s="34">
        <v>0</v>
      </c>
      <c r="DN217" s="34">
        <v>0</v>
      </c>
      <c r="DO217" s="34">
        <v>0</v>
      </c>
      <c r="DP217" s="34">
        <v>0</v>
      </c>
      <c r="DQ217" s="34">
        <v>0</v>
      </c>
      <c r="DR217" s="34">
        <v>0</v>
      </c>
    </row>
    <row r="218" spans="1:122" s="13" customFormat="1" hidden="1" outlineLevel="1" x14ac:dyDescent="0.35">
      <c r="A218" s="14">
        <v>79</v>
      </c>
      <c r="B218" s="34">
        <v>0</v>
      </c>
      <c r="C218" s="34">
        <v>0</v>
      </c>
      <c r="D218" s="34">
        <v>0</v>
      </c>
      <c r="E218" s="34">
        <v>0</v>
      </c>
      <c r="F218" s="34">
        <v>0</v>
      </c>
      <c r="G218" s="34">
        <v>0</v>
      </c>
      <c r="H218" s="34">
        <v>0</v>
      </c>
      <c r="I218" s="34">
        <v>0</v>
      </c>
      <c r="J218" s="34">
        <v>0</v>
      </c>
      <c r="K218" s="34">
        <v>0</v>
      </c>
      <c r="L218" s="34">
        <v>0</v>
      </c>
      <c r="M218" s="34">
        <v>0</v>
      </c>
      <c r="N218" s="34">
        <v>0</v>
      </c>
      <c r="O218" s="34">
        <v>0</v>
      </c>
      <c r="P218" s="34">
        <v>0</v>
      </c>
      <c r="Q218" s="34">
        <v>0</v>
      </c>
      <c r="R218" s="34">
        <v>0</v>
      </c>
      <c r="S218" s="34">
        <v>0</v>
      </c>
      <c r="T218" s="34">
        <v>0</v>
      </c>
      <c r="U218" s="34">
        <v>0</v>
      </c>
      <c r="V218" s="34">
        <v>0</v>
      </c>
      <c r="W218" s="34">
        <v>0</v>
      </c>
      <c r="X218" s="34">
        <v>0</v>
      </c>
      <c r="Y218" s="34">
        <v>0</v>
      </c>
      <c r="Z218" s="34">
        <v>0</v>
      </c>
      <c r="AA218" s="34">
        <v>0</v>
      </c>
      <c r="AB218" s="34">
        <v>0</v>
      </c>
      <c r="AC218" s="34">
        <v>0</v>
      </c>
      <c r="AD218" s="34">
        <v>0</v>
      </c>
      <c r="AE218" s="34">
        <v>0</v>
      </c>
      <c r="AF218" s="34">
        <v>0</v>
      </c>
      <c r="AG218" s="34">
        <v>0</v>
      </c>
      <c r="AH218" s="34">
        <v>0</v>
      </c>
      <c r="AI218" s="34">
        <v>0</v>
      </c>
      <c r="AJ218" s="34">
        <v>0</v>
      </c>
      <c r="AK218" s="34">
        <v>0</v>
      </c>
      <c r="AL218" s="34">
        <v>0</v>
      </c>
      <c r="AM218" s="34">
        <v>0</v>
      </c>
      <c r="AN218" s="34">
        <v>0</v>
      </c>
      <c r="AO218" s="34">
        <v>0</v>
      </c>
      <c r="AP218" s="34">
        <v>0</v>
      </c>
      <c r="AQ218" s="34">
        <v>0</v>
      </c>
      <c r="AR218" s="34">
        <v>0</v>
      </c>
      <c r="AS218" s="34">
        <v>0</v>
      </c>
      <c r="AT218" s="34">
        <v>0</v>
      </c>
      <c r="AU218" s="34">
        <v>0</v>
      </c>
      <c r="AV218" s="34">
        <v>0</v>
      </c>
      <c r="AW218" s="34">
        <v>0</v>
      </c>
      <c r="AX218" s="34">
        <v>0</v>
      </c>
      <c r="AY218" s="34">
        <v>0</v>
      </c>
      <c r="AZ218" s="34">
        <v>0</v>
      </c>
      <c r="BA218" s="34">
        <v>0</v>
      </c>
      <c r="BB218" s="34">
        <v>0</v>
      </c>
      <c r="BC218" s="34">
        <v>0</v>
      </c>
      <c r="BD218" s="34">
        <v>0</v>
      </c>
      <c r="BE218" s="34">
        <v>0</v>
      </c>
      <c r="BF218" s="34">
        <v>0</v>
      </c>
      <c r="BG218" s="34">
        <v>0</v>
      </c>
      <c r="BH218" s="34">
        <v>0</v>
      </c>
      <c r="BI218" s="34">
        <v>0</v>
      </c>
      <c r="BJ218" s="34">
        <v>0</v>
      </c>
      <c r="BK218" s="34">
        <v>0</v>
      </c>
      <c r="BL218" s="34">
        <v>0</v>
      </c>
      <c r="BM218" s="34">
        <v>0</v>
      </c>
      <c r="BN218" s="34">
        <v>0</v>
      </c>
      <c r="BO218" s="34">
        <v>0</v>
      </c>
      <c r="BP218" s="34">
        <v>0</v>
      </c>
      <c r="BQ218" s="34">
        <v>0</v>
      </c>
      <c r="BR218" s="34">
        <v>0</v>
      </c>
      <c r="BS218" s="34">
        <v>0</v>
      </c>
      <c r="BT218" s="34">
        <v>0</v>
      </c>
      <c r="BU218" s="34">
        <v>0</v>
      </c>
      <c r="BV218" s="34">
        <v>0</v>
      </c>
      <c r="BW218" s="34">
        <v>0</v>
      </c>
      <c r="BX218" s="34">
        <v>0</v>
      </c>
      <c r="BY218" s="34">
        <v>0</v>
      </c>
      <c r="BZ218" s="34">
        <v>0</v>
      </c>
      <c r="CA218" s="34">
        <v>0</v>
      </c>
      <c r="CB218" s="34">
        <v>0</v>
      </c>
      <c r="CC218" s="34">
        <v>1</v>
      </c>
      <c r="CD218" s="34">
        <v>1</v>
      </c>
      <c r="CE218" s="34">
        <v>1</v>
      </c>
      <c r="CF218" s="34">
        <v>1</v>
      </c>
      <c r="CG218" s="34">
        <v>1</v>
      </c>
      <c r="CH218" s="34">
        <v>1</v>
      </c>
      <c r="CI218" s="34">
        <v>1</v>
      </c>
      <c r="CJ218" s="34">
        <v>1</v>
      </c>
      <c r="CK218" s="34">
        <v>1</v>
      </c>
      <c r="CL218" s="34">
        <v>1</v>
      </c>
      <c r="CM218" s="34">
        <v>1</v>
      </c>
      <c r="CN218" s="34">
        <v>1</v>
      </c>
      <c r="CO218" s="34">
        <v>0</v>
      </c>
      <c r="CP218" s="34">
        <v>0</v>
      </c>
      <c r="CQ218" s="34">
        <v>0</v>
      </c>
      <c r="CR218" s="34">
        <v>0</v>
      </c>
      <c r="CS218" s="34">
        <v>0</v>
      </c>
      <c r="CT218" s="34">
        <v>0</v>
      </c>
      <c r="CU218" s="34">
        <v>0</v>
      </c>
      <c r="CV218" s="34">
        <v>0</v>
      </c>
      <c r="CW218" s="34">
        <v>0</v>
      </c>
      <c r="CX218" s="34">
        <v>0</v>
      </c>
      <c r="CY218" s="34">
        <v>0</v>
      </c>
      <c r="CZ218" s="34">
        <v>0</v>
      </c>
      <c r="DA218" s="34">
        <v>0</v>
      </c>
      <c r="DB218" s="34">
        <v>0</v>
      </c>
      <c r="DC218" s="34">
        <v>0</v>
      </c>
      <c r="DD218" s="34">
        <v>0</v>
      </c>
      <c r="DE218" s="34">
        <v>0</v>
      </c>
      <c r="DF218" s="34">
        <v>0</v>
      </c>
      <c r="DG218" s="34">
        <v>0</v>
      </c>
      <c r="DH218" s="34">
        <v>0</v>
      </c>
      <c r="DI218" s="34">
        <v>0</v>
      </c>
      <c r="DJ218" s="34">
        <v>0</v>
      </c>
      <c r="DK218" s="34">
        <v>0</v>
      </c>
      <c r="DL218" s="34">
        <v>0</v>
      </c>
      <c r="DM218" s="34">
        <v>0</v>
      </c>
      <c r="DN218" s="34">
        <v>0</v>
      </c>
      <c r="DO218" s="34">
        <v>0</v>
      </c>
      <c r="DP218" s="34">
        <v>0</v>
      </c>
      <c r="DQ218" s="34">
        <v>0</v>
      </c>
      <c r="DR218" s="34">
        <v>0</v>
      </c>
    </row>
    <row r="219" spans="1:122" s="13" customFormat="1" hidden="1" outlineLevel="1" x14ac:dyDescent="0.35">
      <c r="A219" s="14">
        <v>80</v>
      </c>
      <c r="B219" s="34">
        <v>0</v>
      </c>
      <c r="C219" s="34">
        <v>0</v>
      </c>
      <c r="D219" s="34">
        <v>0</v>
      </c>
      <c r="E219" s="34">
        <v>0</v>
      </c>
      <c r="F219" s="34">
        <v>0</v>
      </c>
      <c r="G219" s="34">
        <v>0</v>
      </c>
      <c r="H219" s="34">
        <v>0</v>
      </c>
      <c r="I219" s="34">
        <v>0</v>
      </c>
      <c r="J219" s="34">
        <v>0</v>
      </c>
      <c r="K219" s="34">
        <v>0</v>
      </c>
      <c r="L219" s="34">
        <v>0</v>
      </c>
      <c r="M219" s="34">
        <v>0</v>
      </c>
      <c r="N219" s="34">
        <v>0</v>
      </c>
      <c r="O219" s="34">
        <v>0</v>
      </c>
      <c r="P219" s="34">
        <v>0</v>
      </c>
      <c r="Q219" s="34">
        <v>0</v>
      </c>
      <c r="R219" s="34">
        <v>0</v>
      </c>
      <c r="S219" s="34">
        <v>0</v>
      </c>
      <c r="T219" s="34">
        <v>0</v>
      </c>
      <c r="U219" s="34">
        <v>0</v>
      </c>
      <c r="V219" s="34">
        <v>0</v>
      </c>
      <c r="W219" s="34">
        <v>0</v>
      </c>
      <c r="X219" s="34">
        <v>0</v>
      </c>
      <c r="Y219" s="34">
        <v>0</v>
      </c>
      <c r="Z219" s="34">
        <v>0</v>
      </c>
      <c r="AA219" s="34">
        <v>0</v>
      </c>
      <c r="AB219" s="34">
        <v>0</v>
      </c>
      <c r="AC219" s="34">
        <v>0</v>
      </c>
      <c r="AD219" s="34">
        <v>0</v>
      </c>
      <c r="AE219" s="34">
        <v>0</v>
      </c>
      <c r="AF219" s="34">
        <v>0</v>
      </c>
      <c r="AG219" s="34">
        <v>0</v>
      </c>
      <c r="AH219" s="34">
        <v>0</v>
      </c>
      <c r="AI219" s="34">
        <v>0</v>
      </c>
      <c r="AJ219" s="34">
        <v>0</v>
      </c>
      <c r="AK219" s="34">
        <v>0</v>
      </c>
      <c r="AL219" s="34">
        <v>0</v>
      </c>
      <c r="AM219" s="34">
        <v>0</v>
      </c>
      <c r="AN219" s="34">
        <v>0</v>
      </c>
      <c r="AO219" s="34">
        <v>0</v>
      </c>
      <c r="AP219" s="34">
        <v>0</v>
      </c>
      <c r="AQ219" s="34">
        <v>0</v>
      </c>
      <c r="AR219" s="34">
        <v>0</v>
      </c>
      <c r="AS219" s="34">
        <v>0</v>
      </c>
      <c r="AT219" s="34">
        <v>0</v>
      </c>
      <c r="AU219" s="34">
        <v>0</v>
      </c>
      <c r="AV219" s="34">
        <v>0</v>
      </c>
      <c r="AW219" s="34">
        <v>0</v>
      </c>
      <c r="AX219" s="34">
        <v>0</v>
      </c>
      <c r="AY219" s="34">
        <v>0</v>
      </c>
      <c r="AZ219" s="34">
        <v>0</v>
      </c>
      <c r="BA219" s="34">
        <v>0</v>
      </c>
      <c r="BB219" s="34">
        <v>0</v>
      </c>
      <c r="BC219" s="34">
        <v>0</v>
      </c>
      <c r="BD219" s="34">
        <v>0</v>
      </c>
      <c r="BE219" s="34">
        <v>0</v>
      </c>
      <c r="BF219" s="34">
        <v>0</v>
      </c>
      <c r="BG219" s="34">
        <v>0</v>
      </c>
      <c r="BH219" s="34">
        <v>0</v>
      </c>
      <c r="BI219" s="34">
        <v>0</v>
      </c>
      <c r="BJ219" s="34">
        <v>0</v>
      </c>
      <c r="BK219" s="34">
        <v>0</v>
      </c>
      <c r="BL219" s="34">
        <v>0</v>
      </c>
      <c r="BM219" s="34">
        <v>0</v>
      </c>
      <c r="BN219" s="34">
        <v>0</v>
      </c>
      <c r="BO219" s="34">
        <v>0</v>
      </c>
      <c r="BP219" s="34">
        <v>0</v>
      </c>
      <c r="BQ219" s="34">
        <v>0</v>
      </c>
      <c r="BR219" s="34">
        <v>0</v>
      </c>
      <c r="BS219" s="34">
        <v>0</v>
      </c>
      <c r="BT219" s="34">
        <v>0</v>
      </c>
      <c r="BU219" s="34">
        <v>0</v>
      </c>
      <c r="BV219" s="34">
        <v>0</v>
      </c>
      <c r="BW219" s="34">
        <v>0</v>
      </c>
      <c r="BX219" s="34">
        <v>0</v>
      </c>
      <c r="BY219" s="34">
        <v>0</v>
      </c>
      <c r="BZ219" s="34">
        <v>0</v>
      </c>
      <c r="CA219" s="34">
        <v>0</v>
      </c>
      <c r="CB219" s="34">
        <v>0</v>
      </c>
      <c r="CC219" s="34">
        <v>0</v>
      </c>
      <c r="CD219" s="34">
        <v>1</v>
      </c>
      <c r="CE219" s="34">
        <v>1</v>
      </c>
      <c r="CF219" s="34">
        <v>1</v>
      </c>
      <c r="CG219" s="34">
        <v>1</v>
      </c>
      <c r="CH219" s="34">
        <v>1</v>
      </c>
      <c r="CI219" s="34">
        <v>1</v>
      </c>
      <c r="CJ219" s="34">
        <v>1</v>
      </c>
      <c r="CK219" s="34">
        <v>1</v>
      </c>
      <c r="CL219" s="34">
        <v>1</v>
      </c>
      <c r="CM219" s="34">
        <v>1</v>
      </c>
      <c r="CN219" s="34">
        <v>1</v>
      </c>
      <c r="CO219" s="34">
        <v>0</v>
      </c>
      <c r="CP219" s="34">
        <v>0</v>
      </c>
      <c r="CQ219" s="34">
        <v>0</v>
      </c>
      <c r="CR219" s="34">
        <v>0</v>
      </c>
      <c r="CS219" s="34">
        <v>0</v>
      </c>
      <c r="CT219" s="34">
        <v>0</v>
      </c>
      <c r="CU219" s="34">
        <v>0</v>
      </c>
      <c r="CV219" s="34">
        <v>0</v>
      </c>
      <c r="CW219" s="34">
        <v>0</v>
      </c>
      <c r="CX219" s="34">
        <v>0</v>
      </c>
      <c r="CY219" s="34">
        <v>0</v>
      </c>
      <c r="CZ219" s="34">
        <v>0</v>
      </c>
      <c r="DA219" s="34">
        <v>0</v>
      </c>
      <c r="DB219" s="34">
        <v>0</v>
      </c>
      <c r="DC219" s="34">
        <v>0</v>
      </c>
      <c r="DD219" s="34">
        <v>0</v>
      </c>
      <c r="DE219" s="34">
        <v>0</v>
      </c>
      <c r="DF219" s="34">
        <v>0</v>
      </c>
      <c r="DG219" s="34">
        <v>0</v>
      </c>
      <c r="DH219" s="34">
        <v>0</v>
      </c>
      <c r="DI219" s="34">
        <v>0</v>
      </c>
      <c r="DJ219" s="34">
        <v>0</v>
      </c>
      <c r="DK219" s="34">
        <v>0</v>
      </c>
      <c r="DL219" s="34">
        <v>0</v>
      </c>
      <c r="DM219" s="34">
        <v>0</v>
      </c>
      <c r="DN219" s="34">
        <v>0</v>
      </c>
      <c r="DO219" s="34">
        <v>0</v>
      </c>
      <c r="DP219" s="34">
        <v>0</v>
      </c>
      <c r="DQ219" s="34">
        <v>0</v>
      </c>
      <c r="DR219" s="34">
        <v>0</v>
      </c>
    </row>
    <row r="220" spans="1:122" s="13" customFormat="1" hidden="1" outlineLevel="1" x14ac:dyDescent="0.35">
      <c r="A220" s="14">
        <v>81</v>
      </c>
      <c r="B220" s="34">
        <v>0</v>
      </c>
      <c r="C220" s="34">
        <v>0</v>
      </c>
      <c r="D220" s="34">
        <v>0</v>
      </c>
      <c r="E220" s="34">
        <v>0</v>
      </c>
      <c r="F220" s="34">
        <v>0</v>
      </c>
      <c r="G220" s="34">
        <v>0</v>
      </c>
      <c r="H220" s="34">
        <v>0</v>
      </c>
      <c r="I220" s="34">
        <v>0</v>
      </c>
      <c r="J220" s="34">
        <v>0</v>
      </c>
      <c r="K220" s="34">
        <v>0</v>
      </c>
      <c r="L220" s="34">
        <v>0</v>
      </c>
      <c r="M220" s="34">
        <v>0</v>
      </c>
      <c r="N220" s="34">
        <v>0</v>
      </c>
      <c r="O220" s="34">
        <v>0</v>
      </c>
      <c r="P220" s="34">
        <v>0</v>
      </c>
      <c r="Q220" s="34">
        <v>0</v>
      </c>
      <c r="R220" s="34">
        <v>0</v>
      </c>
      <c r="S220" s="34">
        <v>0</v>
      </c>
      <c r="T220" s="34">
        <v>0</v>
      </c>
      <c r="U220" s="34">
        <v>0</v>
      </c>
      <c r="V220" s="34">
        <v>0</v>
      </c>
      <c r="W220" s="34">
        <v>0</v>
      </c>
      <c r="X220" s="34">
        <v>0</v>
      </c>
      <c r="Y220" s="34">
        <v>0</v>
      </c>
      <c r="Z220" s="34">
        <v>0</v>
      </c>
      <c r="AA220" s="34">
        <v>0</v>
      </c>
      <c r="AB220" s="34">
        <v>0</v>
      </c>
      <c r="AC220" s="34">
        <v>0</v>
      </c>
      <c r="AD220" s="34">
        <v>0</v>
      </c>
      <c r="AE220" s="34">
        <v>0</v>
      </c>
      <c r="AF220" s="34">
        <v>0</v>
      </c>
      <c r="AG220" s="34">
        <v>0</v>
      </c>
      <c r="AH220" s="34">
        <v>0</v>
      </c>
      <c r="AI220" s="34">
        <v>0</v>
      </c>
      <c r="AJ220" s="34">
        <v>0</v>
      </c>
      <c r="AK220" s="34">
        <v>0</v>
      </c>
      <c r="AL220" s="34">
        <v>0</v>
      </c>
      <c r="AM220" s="34">
        <v>0</v>
      </c>
      <c r="AN220" s="34">
        <v>0</v>
      </c>
      <c r="AO220" s="34">
        <v>0</v>
      </c>
      <c r="AP220" s="34">
        <v>0</v>
      </c>
      <c r="AQ220" s="34">
        <v>0</v>
      </c>
      <c r="AR220" s="34">
        <v>0</v>
      </c>
      <c r="AS220" s="34">
        <v>0</v>
      </c>
      <c r="AT220" s="34">
        <v>0</v>
      </c>
      <c r="AU220" s="34">
        <v>0</v>
      </c>
      <c r="AV220" s="34">
        <v>0</v>
      </c>
      <c r="AW220" s="34">
        <v>0</v>
      </c>
      <c r="AX220" s="34">
        <v>0</v>
      </c>
      <c r="AY220" s="34">
        <v>0</v>
      </c>
      <c r="AZ220" s="34">
        <v>0</v>
      </c>
      <c r="BA220" s="34">
        <v>0</v>
      </c>
      <c r="BB220" s="34">
        <v>0</v>
      </c>
      <c r="BC220" s="34">
        <v>0</v>
      </c>
      <c r="BD220" s="34">
        <v>0</v>
      </c>
      <c r="BE220" s="34">
        <v>0</v>
      </c>
      <c r="BF220" s="34">
        <v>0</v>
      </c>
      <c r="BG220" s="34">
        <v>0</v>
      </c>
      <c r="BH220" s="34">
        <v>0</v>
      </c>
      <c r="BI220" s="34">
        <v>0</v>
      </c>
      <c r="BJ220" s="34">
        <v>0</v>
      </c>
      <c r="BK220" s="34">
        <v>0</v>
      </c>
      <c r="BL220" s="34">
        <v>0</v>
      </c>
      <c r="BM220" s="34">
        <v>0</v>
      </c>
      <c r="BN220" s="34">
        <v>0</v>
      </c>
      <c r="BO220" s="34">
        <v>0</v>
      </c>
      <c r="BP220" s="34">
        <v>0</v>
      </c>
      <c r="BQ220" s="34">
        <v>0</v>
      </c>
      <c r="BR220" s="34">
        <v>0</v>
      </c>
      <c r="BS220" s="34">
        <v>0</v>
      </c>
      <c r="BT220" s="34">
        <v>0</v>
      </c>
      <c r="BU220" s="34">
        <v>0</v>
      </c>
      <c r="BV220" s="34">
        <v>0</v>
      </c>
      <c r="BW220" s="34">
        <v>0</v>
      </c>
      <c r="BX220" s="34">
        <v>0</v>
      </c>
      <c r="BY220" s="34">
        <v>0</v>
      </c>
      <c r="BZ220" s="34">
        <v>0</v>
      </c>
      <c r="CA220" s="34">
        <v>0</v>
      </c>
      <c r="CB220" s="34">
        <v>0</v>
      </c>
      <c r="CC220" s="34">
        <v>0</v>
      </c>
      <c r="CD220" s="34">
        <v>0</v>
      </c>
      <c r="CE220" s="34">
        <v>1</v>
      </c>
      <c r="CF220" s="34">
        <v>1</v>
      </c>
      <c r="CG220" s="34">
        <v>1</v>
      </c>
      <c r="CH220" s="34">
        <v>1</v>
      </c>
      <c r="CI220" s="34">
        <v>1</v>
      </c>
      <c r="CJ220" s="34">
        <v>1</v>
      </c>
      <c r="CK220" s="34">
        <v>1</v>
      </c>
      <c r="CL220" s="34">
        <v>1</v>
      </c>
      <c r="CM220" s="34">
        <v>1</v>
      </c>
      <c r="CN220" s="34">
        <v>1</v>
      </c>
      <c r="CO220" s="34">
        <v>0</v>
      </c>
      <c r="CP220" s="34">
        <v>0</v>
      </c>
      <c r="CQ220" s="34">
        <v>0</v>
      </c>
      <c r="CR220" s="34">
        <v>0</v>
      </c>
      <c r="CS220" s="34">
        <v>0</v>
      </c>
      <c r="CT220" s="34">
        <v>0</v>
      </c>
      <c r="CU220" s="34">
        <v>0</v>
      </c>
      <c r="CV220" s="34">
        <v>0</v>
      </c>
      <c r="CW220" s="34">
        <v>0</v>
      </c>
      <c r="CX220" s="34">
        <v>0</v>
      </c>
      <c r="CY220" s="34">
        <v>0</v>
      </c>
      <c r="CZ220" s="34">
        <v>0</v>
      </c>
      <c r="DA220" s="34">
        <v>0</v>
      </c>
      <c r="DB220" s="34">
        <v>0</v>
      </c>
      <c r="DC220" s="34">
        <v>0</v>
      </c>
      <c r="DD220" s="34">
        <v>0</v>
      </c>
      <c r="DE220" s="34">
        <v>0</v>
      </c>
      <c r="DF220" s="34">
        <v>0</v>
      </c>
      <c r="DG220" s="34">
        <v>0</v>
      </c>
      <c r="DH220" s="34">
        <v>0</v>
      </c>
      <c r="DI220" s="34">
        <v>0</v>
      </c>
      <c r="DJ220" s="34">
        <v>0</v>
      </c>
      <c r="DK220" s="34">
        <v>0</v>
      </c>
      <c r="DL220" s="34">
        <v>0</v>
      </c>
      <c r="DM220" s="34">
        <v>0</v>
      </c>
      <c r="DN220" s="34">
        <v>0</v>
      </c>
      <c r="DO220" s="34">
        <v>0</v>
      </c>
      <c r="DP220" s="34">
        <v>0</v>
      </c>
      <c r="DQ220" s="34">
        <v>0</v>
      </c>
      <c r="DR220" s="34">
        <v>0</v>
      </c>
    </row>
    <row r="221" spans="1:122" s="13" customFormat="1" hidden="1" outlineLevel="1" x14ac:dyDescent="0.35">
      <c r="A221" s="14">
        <v>82</v>
      </c>
      <c r="B221" s="34">
        <v>0</v>
      </c>
      <c r="C221" s="34">
        <v>0</v>
      </c>
      <c r="D221" s="34">
        <v>0</v>
      </c>
      <c r="E221" s="34">
        <v>0</v>
      </c>
      <c r="F221" s="34">
        <v>0</v>
      </c>
      <c r="G221" s="34">
        <v>0</v>
      </c>
      <c r="H221" s="34">
        <v>0</v>
      </c>
      <c r="I221" s="34">
        <v>0</v>
      </c>
      <c r="J221" s="34">
        <v>0</v>
      </c>
      <c r="K221" s="34">
        <v>0</v>
      </c>
      <c r="L221" s="34">
        <v>0</v>
      </c>
      <c r="M221" s="34">
        <v>0</v>
      </c>
      <c r="N221" s="34">
        <v>0</v>
      </c>
      <c r="O221" s="34">
        <v>0</v>
      </c>
      <c r="P221" s="34">
        <v>0</v>
      </c>
      <c r="Q221" s="34">
        <v>0</v>
      </c>
      <c r="R221" s="34">
        <v>0</v>
      </c>
      <c r="S221" s="34">
        <v>0</v>
      </c>
      <c r="T221" s="34">
        <v>0</v>
      </c>
      <c r="U221" s="34">
        <v>0</v>
      </c>
      <c r="V221" s="34">
        <v>0</v>
      </c>
      <c r="W221" s="34">
        <v>0</v>
      </c>
      <c r="X221" s="34">
        <v>0</v>
      </c>
      <c r="Y221" s="34">
        <v>0</v>
      </c>
      <c r="Z221" s="34">
        <v>0</v>
      </c>
      <c r="AA221" s="34">
        <v>0</v>
      </c>
      <c r="AB221" s="34">
        <v>0</v>
      </c>
      <c r="AC221" s="34">
        <v>0</v>
      </c>
      <c r="AD221" s="34">
        <v>0</v>
      </c>
      <c r="AE221" s="34">
        <v>0</v>
      </c>
      <c r="AF221" s="34">
        <v>0</v>
      </c>
      <c r="AG221" s="34">
        <v>0</v>
      </c>
      <c r="AH221" s="34">
        <v>0</v>
      </c>
      <c r="AI221" s="34">
        <v>0</v>
      </c>
      <c r="AJ221" s="34">
        <v>0</v>
      </c>
      <c r="AK221" s="34">
        <v>0</v>
      </c>
      <c r="AL221" s="34">
        <v>0</v>
      </c>
      <c r="AM221" s="34">
        <v>0</v>
      </c>
      <c r="AN221" s="34">
        <v>0</v>
      </c>
      <c r="AO221" s="34">
        <v>0</v>
      </c>
      <c r="AP221" s="34">
        <v>0</v>
      </c>
      <c r="AQ221" s="34">
        <v>0</v>
      </c>
      <c r="AR221" s="34">
        <v>0</v>
      </c>
      <c r="AS221" s="34">
        <v>0</v>
      </c>
      <c r="AT221" s="34">
        <v>0</v>
      </c>
      <c r="AU221" s="34">
        <v>0</v>
      </c>
      <c r="AV221" s="34">
        <v>0</v>
      </c>
      <c r="AW221" s="34">
        <v>0</v>
      </c>
      <c r="AX221" s="34">
        <v>0</v>
      </c>
      <c r="AY221" s="34">
        <v>0</v>
      </c>
      <c r="AZ221" s="34">
        <v>0</v>
      </c>
      <c r="BA221" s="34">
        <v>0</v>
      </c>
      <c r="BB221" s="34">
        <v>0</v>
      </c>
      <c r="BC221" s="34">
        <v>0</v>
      </c>
      <c r="BD221" s="34">
        <v>0</v>
      </c>
      <c r="BE221" s="34">
        <v>0</v>
      </c>
      <c r="BF221" s="34">
        <v>0</v>
      </c>
      <c r="BG221" s="34">
        <v>0</v>
      </c>
      <c r="BH221" s="34">
        <v>0</v>
      </c>
      <c r="BI221" s="34">
        <v>0</v>
      </c>
      <c r="BJ221" s="34">
        <v>0</v>
      </c>
      <c r="BK221" s="34">
        <v>0</v>
      </c>
      <c r="BL221" s="34">
        <v>0</v>
      </c>
      <c r="BM221" s="34">
        <v>0</v>
      </c>
      <c r="BN221" s="34">
        <v>0</v>
      </c>
      <c r="BO221" s="34">
        <v>0</v>
      </c>
      <c r="BP221" s="34">
        <v>0</v>
      </c>
      <c r="BQ221" s="34">
        <v>0</v>
      </c>
      <c r="BR221" s="34">
        <v>0</v>
      </c>
      <c r="BS221" s="34">
        <v>0</v>
      </c>
      <c r="BT221" s="34">
        <v>0</v>
      </c>
      <c r="BU221" s="34">
        <v>0</v>
      </c>
      <c r="BV221" s="34">
        <v>0</v>
      </c>
      <c r="BW221" s="34">
        <v>0</v>
      </c>
      <c r="BX221" s="34">
        <v>0</v>
      </c>
      <c r="BY221" s="34">
        <v>0</v>
      </c>
      <c r="BZ221" s="34">
        <v>0</v>
      </c>
      <c r="CA221" s="34">
        <v>0</v>
      </c>
      <c r="CB221" s="34">
        <v>0</v>
      </c>
      <c r="CC221" s="34">
        <v>0</v>
      </c>
      <c r="CD221" s="34">
        <v>0</v>
      </c>
      <c r="CE221" s="34">
        <v>0</v>
      </c>
      <c r="CF221" s="34">
        <v>1</v>
      </c>
      <c r="CG221" s="34">
        <v>1</v>
      </c>
      <c r="CH221" s="34">
        <v>1</v>
      </c>
      <c r="CI221" s="34">
        <v>1</v>
      </c>
      <c r="CJ221" s="34">
        <v>1</v>
      </c>
      <c r="CK221" s="34">
        <v>1</v>
      </c>
      <c r="CL221" s="34">
        <v>1</v>
      </c>
      <c r="CM221" s="34">
        <v>1</v>
      </c>
      <c r="CN221" s="34">
        <v>1</v>
      </c>
      <c r="CO221" s="34">
        <v>0</v>
      </c>
      <c r="CP221" s="34">
        <v>0</v>
      </c>
      <c r="CQ221" s="34">
        <v>0</v>
      </c>
      <c r="CR221" s="34">
        <v>0</v>
      </c>
      <c r="CS221" s="34">
        <v>0</v>
      </c>
      <c r="CT221" s="34">
        <v>0</v>
      </c>
      <c r="CU221" s="34">
        <v>0</v>
      </c>
      <c r="CV221" s="34">
        <v>0</v>
      </c>
      <c r="CW221" s="34">
        <v>0</v>
      </c>
      <c r="CX221" s="34">
        <v>0</v>
      </c>
      <c r="CY221" s="34">
        <v>0</v>
      </c>
      <c r="CZ221" s="34">
        <v>0</v>
      </c>
      <c r="DA221" s="34">
        <v>0</v>
      </c>
      <c r="DB221" s="34">
        <v>0</v>
      </c>
      <c r="DC221" s="34">
        <v>0</v>
      </c>
      <c r="DD221" s="34">
        <v>0</v>
      </c>
      <c r="DE221" s="34">
        <v>0</v>
      </c>
      <c r="DF221" s="34">
        <v>0</v>
      </c>
      <c r="DG221" s="34">
        <v>0</v>
      </c>
      <c r="DH221" s="34">
        <v>0</v>
      </c>
      <c r="DI221" s="34">
        <v>0</v>
      </c>
      <c r="DJ221" s="34">
        <v>0</v>
      </c>
      <c r="DK221" s="34">
        <v>0</v>
      </c>
      <c r="DL221" s="34">
        <v>0</v>
      </c>
      <c r="DM221" s="34">
        <v>0</v>
      </c>
      <c r="DN221" s="34">
        <v>0</v>
      </c>
      <c r="DO221" s="34">
        <v>0</v>
      </c>
      <c r="DP221" s="34">
        <v>0</v>
      </c>
      <c r="DQ221" s="34">
        <v>0</v>
      </c>
      <c r="DR221" s="34">
        <v>0</v>
      </c>
    </row>
    <row r="222" spans="1:122" s="13" customFormat="1" hidden="1" outlineLevel="1" x14ac:dyDescent="0.35">
      <c r="A222" s="14">
        <v>83</v>
      </c>
      <c r="B222" s="34">
        <v>0</v>
      </c>
      <c r="C222" s="34">
        <v>0</v>
      </c>
      <c r="D222" s="34">
        <v>0</v>
      </c>
      <c r="E222" s="34">
        <v>0</v>
      </c>
      <c r="F222" s="34">
        <v>0</v>
      </c>
      <c r="G222" s="34">
        <v>0</v>
      </c>
      <c r="H222" s="34">
        <v>0</v>
      </c>
      <c r="I222" s="34">
        <v>0</v>
      </c>
      <c r="J222" s="34">
        <v>0</v>
      </c>
      <c r="K222" s="34">
        <v>0</v>
      </c>
      <c r="L222" s="34">
        <v>0</v>
      </c>
      <c r="M222" s="34">
        <v>0</v>
      </c>
      <c r="N222" s="34">
        <v>0</v>
      </c>
      <c r="O222" s="34">
        <v>0</v>
      </c>
      <c r="P222" s="34">
        <v>0</v>
      </c>
      <c r="Q222" s="34">
        <v>0</v>
      </c>
      <c r="R222" s="34">
        <v>0</v>
      </c>
      <c r="S222" s="34">
        <v>0</v>
      </c>
      <c r="T222" s="34">
        <v>0</v>
      </c>
      <c r="U222" s="34">
        <v>0</v>
      </c>
      <c r="V222" s="34">
        <v>0</v>
      </c>
      <c r="W222" s="34">
        <v>0</v>
      </c>
      <c r="X222" s="34">
        <v>0</v>
      </c>
      <c r="Y222" s="34">
        <v>0</v>
      </c>
      <c r="Z222" s="34">
        <v>0</v>
      </c>
      <c r="AA222" s="34">
        <v>0</v>
      </c>
      <c r="AB222" s="34">
        <v>0</v>
      </c>
      <c r="AC222" s="34">
        <v>0</v>
      </c>
      <c r="AD222" s="34">
        <v>0</v>
      </c>
      <c r="AE222" s="34">
        <v>0</v>
      </c>
      <c r="AF222" s="34">
        <v>0</v>
      </c>
      <c r="AG222" s="34">
        <v>0</v>
      </c>
      <c r="AH222" s="34">
        <v>0</v>
      </c>
      <c r="AI222" s="34">
        <v>0</v>
      </c>
      <c r="AJ222" s="34">
        <v>0</v>
      </c>
      <c r="AK222" s="34">
        <v>0</v>
      </c>
      <c r="AL222" s="34">
        <v>0</v>
      </c>
      <c r="AM222" s="34">
        <v>0</v>
      </c>
      <c r="AN222" s="34">
        <v>0</v>
      </c>
      <c r="AO222" s="34">
        <v>0</v>
      </c>
      <c r="AP222" s="34">
        <v>0</v>
      </c>
      <c r="AQ222" s="34">
        <v>0</v>
      </c>
      <c r="AR222" s="34">
        <v>0</v>
      </c>
      <c r="AS222" s="34">
        <v>0</v>
      </c>
      <c r="AT222" s="34">
        <v>0</v>
      </c>
      <c r="AU222" s="34">
        <v>0</v>
      </c>
      <c r="AV222" s="34">
        <v>0</v>
      </c>
      <c r="AW222" s="34">
        <v>0</v>
      </c>
      <c r="AX222" s="34">
        <v>0</v>
      </c>
      <c r="AY222" s="34">
        <v>0</v>
      </c>
      <c r="AZ222" s="34">
        <v>0</v>
      </c>
      <c r="BA222" s="34">
        <v>0</v>
      </c>
      <c r="BB222" s="34">
        <v>0</v>
      </c>
      <c r="BC222" s="34">
        <v>0</v>
      </c>
      <c r="BD222" s="34">
        <v>0</v>
      </c>
      <c r="BE222" s="34">
        <v>0</v>
      </c>
      <c r="BF222" s="34">
        <v>0</v>
      </c>
      <c r="BG222" s="34">
        <v>0</v>
      </c>
      <c r="BH222" s="34">
        <v>0</v>
      </c>
      <c r="BI222" s="34">
        <v>0</v>
      </c>
      <c r="BJ222" s="34">
        <v>0</v>
      </c>
      <c r="BK222" s="34">
        <v>0</v>
      </c>
      <c r="BL222" s="34">
        <v>0</v>
      </c>
      <c r="BM222" s="34">
        <v>0</v>
      </c>
      <c r="BN222" s="34">
        <v>0</v>
      </c>
      <c r="BO222" s="34">
        <v>0</v>
      </c>
      <c r="BP222" s="34">
        <v>0</v>
      </c>
      <c r="BQ222" s="34">
        <v>0</v>
      </c>
      <c r="BR222" s="34">
        <v>0</v>
      </c>
      <c r="BS222" s="34">
        <v>0</v>
      </c>
      <c r="BT222" s="34">
        <v>0</v>
      </c>
      <c r="BU222" s="34">
        <v>0</v>
      </c>
      <c r="BV222" s="34">
        <v>0</v>
      </c>
      <c r="BW222" s="34">
        <v>0</v>
      </c>
      <c r="BX222" s="34">
        <v>0</v>
      </c>
      <c r="BY222" s="34">
        <v>0</v>
      </c>
      <c r="BZ222" s="34">
        <v>0</v>
      </c>
      <c r="CA222" s="34">
        <v>0</v>
      </c>
      <c r="CB222" s="34">
        <v>0</v>
      </c>
      <c r="CC222" s="34">
        <v>0</v>
      </c>
      <c r="CD222" s="34">
        <v>0</v>
      </c>
      <c r="CE222" s="34">
        <v>0</v>
      </c>
      <c r="CF222" s="34">
        <v>0</v>
      </c>
      <c r="CG222" s="34">
        <v>1</v>
      </c>
      <c r="CH222" s="34">
        <v>1</v>
      </c>
      <c r="CI222" s="34">
        <v>1</v>
      </c>
      <c r="CJ222" s="34">
        <v>1</v>
      </c>
      <c r="CK222" s="34">
        <v>1</v>
      </c>
      <c r="CL222" s="34">
        <v>1</v>
      </c>
      <c r="CM222" s="34">
        <v>1</v>
      </c>
      <c r="CN222" s="34">
        <v>1</v>
      </c>
      <c r="CO222" s="34">
        <v>0</v>
      </c>
      <c r="CP222" s="34">
        <v>0</v>
      </c>
      <c r="CQ222" s="34">
        <v>0</v>
      </c>
      <c r="CR222" s="34">
        <v>0</v>
      </c>
      <c r="CS222" s="34">
        <v>0</v>
      </c>
      <c r="CT222" s="34">
        <v>0</v>
      </c>
      <c r="CU222" s="34">
        <v>0</v>
      </c>
      <c r="CV222" s="34">
        <v>0</v>
      </c>
      <c r="CW222" s="34">
        <v>0</v>
      </c>
      <c r="CX222" s="34">
        <v>0</v>
      </c>
      <c r="CY222" s="34">
        <v>0</v>
      </c>
      <c r="CZ222" s="34">
        <v>0</v>
      </c>
      <c r="DA222" s="34">
        <v>0</v>
      </c>
      <c r="DB222" s="34">
        <v>0</v>
      </c>
      <c r="DC222" s="34">
        <v>0</v>
      </c>
      <c r="DD222" s="34">
        <v>0</v>
      </c>
      <c r="DE222" s="34">
        <v>0</v>
      </c>
      <c r="DF222" s="34">
        <v>0</v>
      </c>
      <c r="DG222" s="34">
        <v>0</v>
      </c>
      <c r="DH222" s="34">
        <v>0</v>
      </c>
      <c r="DI222" s="34">
        <v>0</v>
      </c>
      <c r="DJ222" s="34">
        <v>0</v>
      </c>
      <c r="DK222" s="34">
        <v>0</v>
      </c>
      <c r="DL222" s="34">
        <v>0</v>
      </c>
      <c r="DM222" s="34">
        <v>0</v>
      </c>
      <c r="DN222" s="34">
        <v>0</v>
      </c>
      <c r="DO222" s="34">
        <v>0</v>
      </c>
      <c r="DP222" s="34">
        <v>0</v>
      </c>
      <c r="DQ222" s="34">
        <v>0</v>
      </c>
      <c r="DR222" s="34">
        <v>0</v>
      </c>
    </row>
    <row r="223" spans="1:122" s="13" customFormat="1" hidden="1" outlineLevel="1" x14ac:dyDescent="0.35">
      <c r="A223" s="14">
        <v>84</v>
      </c>
      <c r="B223" s="34">
        <v>0</v>
      </c>
      <c r="C223" s="34">
        <v>0</v>
      </c>
      <c r="D223" s="34">
        <v>0</v>
      </c>
      <c r="E223" s="34">
        <v>0</v>
      </c>
      <c r="F223" s="34">
        <v>0</v>
      </c>
      <c r="G223" s="34">
        <v>0</v>
      </c>
      <c r="H223" s="34">
        <v>0</v>
      </c>
      <c r="I223" s="34">
        <v>0</v>
      </c>
      <c r="J223" s="34">
        <v>0</v>
      </c>
      <c r="K223" s="34">
        <v>0</v>
      </c>
      <c r="L223" s="34">
        <v>0</v>
      </c>
      <c r="M223" s="34">
        <v>0</v>
      </c>
      <c r="N223" s="34">
        <v>0</v>
      </c>
      <c r="O223" s="34">
        <v>0</v>
      </c>
      <c r="P223" s="34">
        <v>0</v>
      </c>
      <c r="Q223" s="34">
        <v>0</v>
      </c>
      <c r="R223" s="34">
        <v>0</v>
      </c>
      <c r="S223" s="34">
        <v>0</v>
      </c>
      <c r="T223" s="34">
        <v>0</v>
      </c>
      <c r="U223" s="34">
        <v>0</v>
      </c>
      <c r="V223" s="34">
        <v>0</v>
      </c>
      <c r="W223" s="34">
        <v>0</v>
      </c>
      <c r="X223" s="34">
        <v>0</v>
      </c>
      <c r="Y223" s="34">
        <v>0</v>
      </c>
      <c r="Z223" s="34">
        <v>0</v>
      </c>
      <c r="AA223" s="34">
        <v>0</v>
      </c>
      <c r="AB223" s="34">
        <v>0</v>
      </c>
      <c r="AC223" s="34">
        <v>0</v>
      </c>
      <c r="AD223" s="34">
        <v>0</v>
      </c>
      <c r="AE223" s="34">
        <v>0</v>
      </c>
      <c r="AF223" s="34">
        <v>0</v>
      </c>
      <c r="AG223" s="34">
        <v>0</v>
      </c>
      <c r="AH223" s="34">
        <v>0</v>
      </c>
      <c r="AI223" s="34">
        <v>0</v>
      </c>
      <c r="AJ223" s="34">
        <v>0</v>
      </c>
      <c r="AK223" s="34">
        <v>0</v>
      </c>
      <c r="AL223" s="34">
        <v>0</v>
      </c>
      <c r="AM223" s="34">
        <v>0</v>
      </c>
      <c r="AN223" s="34">
        <v>0</v>
      </c>
      <c r="AO223" s="34">
        <v>0</v>
      </c>
      <c r="AP223" s="34">
        <v>0</v>
      </c>
      <c r="AQ223" s="34">
        <v>0</v>
      </c>
      <c r="AR223" s="34">
        <v>0</v>
      </c>
      <c r="AS223" s="34">
        <v>0</v>
      </c>
      <c r="AT223" s="34">
        <v>0</v>
      </c>
      <c r="AU223" s="34">
        <v>0</v>
      </c>
      <c r="AV223" s="34">
        <v>0</v>
      </c>
      <c r="AW223" s="34">
        <v>0</v>
      </c>
      <c r="AX223" s="34">
        <v>0</v>
      </c>
      <c r="AY223" s="34">
        <v>0</v>
      </c>
      <c r="AZ223" s="34">
        <v>0</v>
      </c>
      <c r="BA223" s="34">
        <v>0</v>
      </c>
      <c r="BB223" s="34">
        <v>0</v>
      </c>
      <c r="BC223" s="34">
        <v>0</v>
      </c>
      <c r="BD223" s="34">
        <v>0</v>
      </c>
      <c r="BE223" s="34">
        <v>0</v>
      </c>
      <c r="BF223" s="34">
        <v>0</v>
      </c>
      <c r="BG223" s="34">
        <v>0</v>
      </c>
      <c r="BH223" s="34">
        <v>0</v>
      </c>
      <c r="BI223" s="34">
        <v>0</v>
      </c>
      <c r="BJ223" s="34">
        <v>0</v>
      </c>
      <c r="BK223" s="34">
        <v>0</v>
      </c>
      <c r="BL223" s="34">
        <v>0</v>
      </c>
      <c r="BM223" s="34">
        <v>0</v>
      </c>
      <c r="BN223" s="34">
        <v>0</v>
      </c>
      <c r="BO223" s="34">
        <v>0</v>
      </c>
      <c r="BP223" s="34">
        <v>0</v>
      </c>
      <c r="BQ223" s="34">
        <v>0</v>
      </c>
      <c r="BR223" s="34">
        <v>0</v>
      </c>
      <c r="BS223" s="34">
        <v>0</v>
      </c>
      <c r="BT223" s="34">
        <v>0</v>
      </c>
      <c r="BU223" s="34">
        <v>0</v>
      </c>
      <c r="BV223" s="34">
        <v>0</v>
      </c>
      <c r="BW223" s="34">
        <v>0</v>
      </c>
      <c r="BX223" s="34">
        <v>0</v>
      </c>
      <c r="BY223" s="34">
        <v>0</v>
      </c>
      <c r="BZ223" s="34">
        <v>0</v>
      </c>
      <c r="CA223" s="34">
        <v>0</v>
      </c>
      <c r="CB223" s="34">
        <v>0</v>
      </c>
      <c r="CC223" s="34">
        <v>0</v>
      </c>
      <c r="CD223" s="34">
        <v>0</v>
      </c>
      <c r="CE223" s="34">
        <v>0</v>
      </c>
      <c r="CF223" s="34">
        <v>0</v>
      </c>
      <c r="CG223" s="34">
        <v>0</v>
      </c>
      <c r="CH223" s="34">
        <v>1</v>
      </c>
      <c r="CI223" s="34">
        <v>1</v>
      </c>
      <c r="CJ223" s="34">
        <v>1</v>
      </c>
      <c r="CK223" s="34">
        <v>1</v>
      </c>
      <c r="CL223" s="34">
        <v>1</v>
      </c>
      <c r="CM223" s="34">
        <v>1</v>
      </c>
      <c r="CN223" s="34">
        <v>1</v>
      </c>
      <c r="CO223" s="34">
        <v>0</v>
      </c>
      <c r="CP223" s="34">
        <v>0</v>
      </c>
      <c r="CQ223" s="34">
        <v>0</v>
      </c>
      <c r="CR223" s="34">
        <v>0</v>
      </c>
      <c r="CS223" s="34">
        <v>0</v>
      </c>
      <c r="CT223" s="34">
        <v>0</v>
      </c>
      <c r="CU223" s="34">
        <v>0</v>
      </c>
      <c r="CV223" s="34">
        <v>0</v>
      </c>
      <c r="CW223" s="34">
        <v>0</v>
      </c>
      <c r="CX223" s="34">
        <v>0</v>
      </c>
      <c r="CY223" s="34">
        <v>0</v>
      </c>
      <c r="CZ223" s="34">
        <v>0</v>
      </c>
      <c r="DA223" s="34">
        <v>0</v>
      </c>
      <c r="DB223" s="34">
        <v>0</v>
      </c>
      <c r="DC223" s="34">
        <v>0</v>
      </c>
      <c r="DD223" s="34">
        <v>0</v>
      </c>
      <c r="DE223" s="34">
        <v>0</v>
      </c>
      <c r="DF223" s="34">
        <v>0</v>
      </c>
      <c r="DG223" s="34">
        <v>0</v>
      </c>
      <c r="DH223" s="34">
        <v>0</v>
      </c>
      <c r="DI223" s="34">
        <v>0</v>
      </c>
      <c r="DJ223" s="34">
        <v>0</v>
      </c>
      <c r="DK223" s="34">
        <v>0</v>
      </c>
      <c r="DL223" s="34">
        <v>0</v>
      </c>
      <c r="DM223" s="34">
        <v>0</v>
      </c>
      <c r="DN223" s="34">
        <v>0</v>
      </c>
      <c r="DO223" s="34">
        <v>0</v>
      </c>
      <c r="DP223" s="34">
        <v>0</v>
      </c>
      <c r="DQ223" s="34">
        <v>0</v>
      </c>
      <c r="DR223" s="34">
        <v>0</v>
      </c>
    </row>
    <row r="224" spans="1:122" s="13" customFormat="1" hidden="1" outlineLevel="1" x14ac:dyDescent="0.35">
      <c r="A224" s="14">
        <v>85</v>
      </c>
      <c r="B224" s="34">
        <v>0</v>
      </c>
      <c r="C224" s="34">
        <v>0</v>
      </c>
      <c r="D224" s="34">
        <v>0</v>
      </c>
      <c r="E224" s="34">
        <v>0</v>
      </c>
      <c r="F224" s="34">
        <v>0</v>
      </c>
      <c r="G224" s="34">
        <v>0</v>
      </c>
      <c r="H224" s="34">
        <v>0</v>
      </c>
      <c r="I224" s="34">
        <v>0</v>
      </c>
      <c r="J224" s="34">
        <v>0</v>
      </c>
      <c r="K224" s="34">
        <v>0</v>
      </c>
      <c r="L224" s="34">
        <v>0</v>
      </c>
      <c r="M224" s="34">
        <v>0</v>
      </c>
      <c r="N224" s="34">
        <v>0</v>
      </c>
      <c r="O224" s="34">
        <v>0</v>
      </c>
      <c r="P224" s="34">
        <v>0</v>
      </c>
      <c r="Q224" s="34">
        <v>0</v>
      </c>
      <c r="R224" s="34">
        <v>0</v>
      </c>
      <c r="S224" s="34">
        <v>0</v>
      </c>
      <c r="T224" s="34">
        <v>0</v>
      </c>
      <c r="U224" s="34">
        <v>0</v>
      </c>
      <c r="V224" s="34">
        <v>0</v>
      </c>
      <c r="W224" s="34">
        <v>0</v>
      </c>
      <c r="X224" s="34">
        <v>0</v>
      </c>
      <c r="Y224" s="34">
        <v>0</v>
      </c>
      <c r="Z224" s="34">
        <v>0</v>
      </c>
      <c r="AA224" s="34">
        <v>0</v>
      </c>
      <c r="AB224" s="34">
        <v>0</v>
      </c>
      <c r="AC224" s="34">
        <v>0</v>
      </c>
      <c r="AD224" s="34">
        <v>0</v>
      </c>
      <c r="AE224" s="34">
        <v>0</v>
      </c>
      <c r="AF224" s="34">
        <v>0</v>
      </c>
      <c r="AG224" s="34">
        <v>0</v>
      </c>
      <c r="AH224" s="34">
        <v>0</v>
      </c>
      <c r="AI224" s="34">
        <v>0</v>
      </c>
      <c r="AJ224" s="34">
        <v>0</v>
      </c>
      <c r="AK224" s="34">
        <v>0</v>
      </c>
      <c r="AL224" s="34">
        <v>0</v>
      </c>
      <c r="AM224" s="34">
        <v>0</v>
      </c>
      <c r="AN224" s="34">
        <v>0</v>
      </c>
      <c r="AO224" s="34">
        <v>0</v>
      </c>
      <c r="AP224" s="34">
        <v>0</v>
      </c>
      <c r="AQ224" s="34">
        <v>0</v>
      </c>
      <c r="AR224" s="34">
        <v>0</v>
      </c>
      <c r="AS224" s="34">
        <v>0</v>
      </c>
      <c r="AT224" s="34">
        <v>0</v>
      </c>
      <c r="AU224" s="34">
        <v>0</v>
      </c>
      <c r="AV224" s="34">
        <v>0</v>
      </c>
      <c r="AW224" s="34">
        <v>0</v>
      </c>
      <c r="AX224" s="34">
        <v>0</v>
      </c>
      <c r="AY224" s="34">
        <v>0</v>
      </c>
      <c r="AZ224" s="34">
        <v>0</v>
      </c>
      <c r="BA224" s="34">
        <v>0</v>
      </c>
      <c r="BB224" s="34">
        <v>0</v>
      </c>
      <c r="BC224" s="34">
        <v>0</v>
      </c>
      <c r="BD224" s="34">
        <v>0</v>
      </c>
      <c r="BE224" s="34">
        <v>0</v>
      </c>
      <c r="BF224" s="34">
        <v>0</v>
      </c>
      <c r="BG224" s="34">
        <v>0</v>
      </c>
      <c r="BH224" s="34">
        <v>0</v>
      </c>
      <c r="BI224" s="34">
        <v>0</v>
      </c>
      <c r="BJ224" s="34">
        <v>0</v>
      </c>
      <c r="BK224" s="34">
        <v>0</v>
      </c>
      <c r="BL224" s="34">
        <v>0</v>
      </c>
      <c r="BM224" s="34">
        <v>0</v>
      </c>
      <c r="BN224" s="34">
        <v>0</v>
      </c>
      <c r="BO224" s="34">
        <v>0</v>
      </c>
      <c r="BP224" s="34">
        <v>0</v>
      </c>
      <c r="BQ224" s="34">
        <v>0</v>
      </c>
      <c r="BR224" s="34">
        <v>0</v>
      </c>
      <c r="BS224" s="34">
        <v>0</v>
      </c>
      <c r="BT224" s="34">
        <v>0</v>
      </c>
      <c r="BU224" s="34">
        <v>0</v>
      </c>
      <c r="BV224" s="34">
        <v>0</v>
      </c>
      <c r="BW224" s="34">
        <v>0</v>
      </c>
      <c r="BX224" s="34">
        <v>0</v>
      </c>
      <c r="BY224" s="34">
        <v>0</v>
      </c>
      <c r="BZ224" s="34">
        <v>0</v>
      </c>
      <c r="CA224" s="34">
        <v>0</v>
      </c>
      <c r="CB224" s="34">
        <v>0</v>
      </c>
      <c r="CC224" s="34">
        <v>0</v>
      </c>
      <c r="CD224" s="34">
        <v>0</v>
      </c>
      <c r="CE224" s="34">
        <v>0</v>
      </c>
      <c r="CF224" s="34">
        <v>0</v>
      </c>
      <c r="CG224" s="34">
        <v>0</v>
      </c>
      <c r="CH224" s="34">
        <v>0</v>
      </c>
      <c r="CI224" s="34">
        <v>1</v>
      </c>
      <c r="CJ224" s="34">
        <v>1</v>
      </c>
      <c r="CK224" s="34">
        <v>1</v>
      </c>
      <c r="CL224" s="34">
        <v>1</v>
      </c>
      <c r="CM224" s="34">
        <v>1</v>
      </c>
      <c r="CN224" s="34">
        <v>1</v>
      </c>
      <c r="CO224" s="34">
        <v>0</v>
      </c>
      <c r="CP224" s="34">
        <v>0</v>
      </c>
      <c r="CQ224" s="34">
        <v>0</v>
      </c>
      <c r="CR224" s="34">
        <v>0</v>
      </c>
      <c r="CS224" s="34">
        <v>0</v>
      </c>
      <c r="CT224" s="34">
        <v>0</v>
      </c>
      <c r="CU224" s="34">
        <v>0</v>
      </c>
      <c r="CV224" s="34">
        <v>0</v>
      </c>
      <c r="CW224" s="34">
        <v>0</v>
      </c>
      <c r="CX224" s="34">
        <v>0</v>
      </c>
      <c r="CY224" s="34">
        <v>0</v>
      </c>
      <c r="CZ224" s="34">
        <v>0</v>
      </c>
      <c r="DA224" s="34">
        <v>0</v>
      </c>
      <c r="DB224" s="34">
        <v>0</v>
      </c>
      <c r="DC224" s="34">
        <v>0</v>
      </c>
      <c r="DD224" s="34">
        <v>0</v>
      </c>
      <c r="DE224" s="34">
        <v>0</v>
      </c>
      <c r="DF224" s="34">
        <v>0</v>
      </c>
      <c r="DG224" s="34">
        <v>0</v>
      </c>
      <c r="DH224" s="34">
        <v>0</v>
      </c>
      <c r="DI224" s="34">
        <v>0</v>
      </c>
      <c r="DJ224" s="34">
        <v>0</v>
      </c>
      <c r="DK224" s="34">
        <v>0</v>
      </c>
      <c r="DL224" s="34">
        <v>0</v>
      </c>
      <c r="DM224" s="34">
        <v>0</v>
      </c>
      <c r="DN224" s="34">
        <v>0</v>
      </c>
      <c r="DO224" s="34">
        <v>0</v>
      </c>
      <c r="DP224" s="34">
        <v>0</v>
      </c>
      <c r="DQ224" s="34">
        <v>0</v>
      </c>
      <c r="DR224" s="34">
        <v>0</v>
      </c>
    </row>
    <row r="225" spans="1:122" s="13" customFormat="1" hidden="1" outlineLevel="1" x14ac:dyDescent="0.35">
      <c r="A225" s="14">
        <v>86</v>
      </c>
      <c r="B225" s="34">
        <v>0</v>
      </c>
      <c r="C225" s="34">
        <v>0</v>
      </c>
      <c r="D225" s="34">
        <v>0</v>
      </c>
      <c r="E225" s="34">
        <v>0</v>
      </c>
      <c r="F225" s="34">
        <v>0</v>
      </c>
      <c r="G225" s="34">
        <v>0</v>
      </c>
      <c r="H225" s="34">
        <v>0</v>
      </c>
      <c r="I225" s="34">
        <v>0</v>
      </c>
      <c r="J225" s="34">
        <v>0</v>
      </c>
      <c r="K225" s="34">
        <v>0</v>
      </c>
      <c r="L225" s="34">
        <v>0</v>
      </c>
      <c r="M225" s="34">
        <v>0</v>
      </c>
      <c r="N225" s="34">
        <v>0</v>
      </c>
      <c r="O225" s="34">
        <v>0</v>
      </c>
      <c r="P225" s="34">
        <v>0</v>
      </c>
      <c r="Q225" s="34">
        <v>0</v>
      </c>
      <c r="R225" s="34">
        <v>0</v>
      </c>
      <c r="S225" s="34">
        <v>0</v>
      </c>
      <c r="T225" s="34">
        <v>0</v>
      </c>
      <c r="U225" s="34">
        <v>0</v>
      </c>
      <c r="V225" s="34">
        <v>0</v>
      </c>
      <c r="W225" s="34">
        <v>0</v>
      </c>
      <c r="X225" s="34">
        <v>0</v>
      </c>
      <c r="Y225" s="34">
        <v>0</v>
      </c>
      <c r="Z225" s="34">
        <v>0</v>
      </c>
      <c r="AA225" s="34">
        <v>0</v>
      </c>
      <c r="AB225" s="34">
        <v>0</v>
      </c>
      <c r="AC225" s="34">
        <v>0</v>
      </c>
      <c r="AD225" s="34">
        <v>0</v>
      </c>
      <c r="AE225" s="34">
        <v>0</v>
      </c>
      <c r="AF225" s="34">
        <v>0</v>
      </c>
      <c r="AG225" s="34">
        <v>0</v>
      </c>
      <c r="AH225" s="34">
        <v>0</v>
      </c>
      <c r="AI225" s="34">
        <v>0</v>
      </c>
      <c r="AJ225" s="34">
        <v>0</v>
      </c>
      <c r="AK225" s="34">
        <v>0</v>
      </c>
      <c r="AL225" s="34">
        <v>0</v>
      </c>
      <c r="AM225" s="34">
        <v>0</v>
      </c>
      <c r="AN225" s="34">
        <v>0</v>
      </c>
      <c r="AO225" s="34">
        <v>0</v>
      </c>
      <c r="AP225" s="34">
        <v>0</v>
      </c>
      <c r="AQ225" s="34">
        <v>0</v>
      </c>
      <c r="AR225" s="34">
        <v>0</v>
      </c>
      <c r="AS225" s="34">
        <v>0</v>
      </c>
      <c r="AT225" s="34">
        <v>0</v>
      </c>
      <c r="AU225" s="34">
        <v>0</v>
      </c>
      <c r="AV225" s="34">
        <v>0</v>
      </c>
      <c r="AW225" s="34">
        <v>0</v>
      </c>
      <c r="AX225" s="34">
        <v>0</v>
      </c>
      <c r="AY225" s="34">
        <v>0</v>
      </c>
      <c r="AZ225" s="34">
        <v>0</v>
      </c>
      <c r="BA225" s="34">
        <v>0</v>
      </c>
      <c r="BB225" s="34">
        <v>0</v>
      </c>
      <c r="BC225" s="34">
        <v>0</v>
      </c>
      <c r="BD225" s="34">
        <v>0</v>
      </c>
      <c r="BE225" s="34">
        <v>0</v>
      </c>
      <c r="BF225" s="34">
        <v>0</v>
      </c>
      <c r="BG225" s="34">
        <v>0</v>
      </c>
      <c r="BH225" s="34">
        <v>0</v>
      </c>
      <c r="BI225" s="34">
        <v>0</v>
      </c>
      <c r="BJ225" s="34">
        <v>0</v>
      </c>
      <c r="BK225" s="34">
        <v>0</v>
      </c>
      <c r="BL225" s="34">
        <v>0</v>
      </c>
      <c r="BM225" s="34">
        <v>0</v>
      </c>
      <c r="BN225" s="34">
        <v>0</v>
      </c>
      <c r="BO225" s="34">
        <v>0</v>
      </c>
      <c r="BP225" s="34">
        <v>0</v>
      </c>
      <c r="BQ225" s="34">
        <v>0</v>
      </c>
      <c r="BR225" s="34">
        <v>0</v>
      </c>
      <c r="BS225" s="34">
        <v>0</v>
      </c>
      <c r="BT225" s="34">
        <v>0</v>
      </c>
      <c r="BU225" s="34">
        <v>0</v>
      </c>
      <c r="BV225" s="34">
        <v>0</v>
      </c>
      <c r="BW225" s="34">
        <v>0</v>
      </c>
      <c r="BX225" s="34">
        <v>0</v>
      </c>
      <c r="BY225" s="34">
        <v>0</v>
      </c>
      <c r="BZ225" s="34">
        <v>0</v>
      </c>
      <c r="CA225" s="34">
        <v>0</v>
      </c>
      <c r="CB225" s="34">
        <v>0</v>
      </c>
      <c r="CC225" s="34">
        <v>0</v>
      </c>
      <c r="CD225" s="34">
        <v>0</v>
      </c>
      <c r="CE225" s="34">
        <v>0</v>
      </c>
      <c r="CF225" s="34">
        <v>0</v>
      </c>
      <c r="CG225" s="34">
        <v>0</v>
      </c>
      <c r="CH225" s="34">
        <v>0</v>
      </c>
      <c r="CI225" s="34">
        <v>0</v>
      </c>
      <c r="CJ225" s="34">
        <v>1</v>
      </c>
      <c r="CK225" s="34">
        <v>1</v>
      </c>
      <c r="CL225" s="34">
        <v>1</v>
      </c>
      <c r="CM225" s="34">
        <v>1</v>
      </c>
      <c r="CN225" s="34">
        <v>1</v>
      </c>
      <c r="CO225" s="34">
        <v>0</v>
      </c>
      <c r="CP225" s="34">
        <v>0</v>
      </c>
      <c r="CQ225" s="34">
        <v>0</v>
      </c>
      <c r="CR225" s="34">
        <v>0</v>
      </c>
      <c r="CS225" s="34">
        <v>0</v>
      </c>
      <c r="CT225" s="34">
        <v>0</v>
      </c>
      <c r="CU225" s="34">
        <v>0</v>
      </c>
      <c r="CV225" s="34">
        <v>0</v>
      </c>
      <c r="CW225" s="34">
        <v>0</v>
      </c>
      <c r="CX225" s="34">
        <v>0</v>
      </c>
      <c r="CY225" s="34">
        <v>0</v>
      </c>
      <c r="CZ225" s="34">
        <v>0</v>
      </c>
      <c r="DA225" s="34">
        <v>0</v>
      </c>
      <c r="DB225" s="34">
        <v>0</v>
      </c>
      <c r="DC225" s="34">
        <v>0</v>
      </c>
      <c r="DD225" s="34">
        <v>0</v>
      </c>
      <c r="DE225" s="34">
        <v>0</v>
      </c>
      <c r="DF225" s="34">
        <v>0</v>
      </c>
      <c r="DG225" s="34">
        <v>0</v>
      </c>
      <c r="DH225" s="34">
        <v>0</v>
      </c>
      <c r="DI225" s="34">
        <v>0</v>
      </c>
      <c r="DJ225" s="34">
        <v>0</v>
      </c>
      <c r="DK225" s="34">
        <v>0</v>
      </c>
      <c r="DL225" s="34">
        <v>0</v>
      </c>
      <c r="DM225" s="34">
        <v>0</v>
      </c>
      <c r="DN225" s="34">
        <v>0</v>
      </c>
      <c r="DO225" s="34">
        <v>0</v>
      </c>
      <c r="DP225" s="34">
        <v>0</v>
      </c>
      <c r="DQ225" s="34">
        <v>0</v>
      </c>
      <c r="DR225" s="34">
        <v>0</v>
      </c>
    </row>
    <row r="226" spans="1:122" s="13" customFormat="1" hidden="1" outlineLevel="1" x14ac:dyDescent="0.35">
      <c r="A226" s="14">
        <v>87</v>
      </c>
      <c r="B226" s="34">
        <v>0</v>
      </c>
      <c r="C226" s="34">
        <v>0</v>
      </c>
      <c r="D226" s="34">
        <v>0</v>
      </c>
      <c r="E226" s="34">
        <v>0</v>
      </c>
      <c r="F226" s="34">
        <v>0</v>
      </c>
      <c r="G226" s="34">
        <v>0</v>
      </c>
      <c r="H226" s="34">
        <v>0</v>
      </c>
      <c r="I226" s="34">
        <v>0</v>
      </c>
      <c r="J226" s="34">
        <v>0</v>
      </c>
      <c r="K226" s="34">
        <v>0</v>
      </c>
      <c r="L226" s="34">
        <v>0</v>
      </c>
      <c r="M226" s="34">
        <v>0</v>
      </c>
      <c r="N226" s="34">
        <v>0</v>
      </c>
      <c r="O226" s="34">
        <v>0</v>
      </c>
      <c r="P226" s="34">
        <v>0</v>
      </c>
      <c r="Q226" s="34">
        <v>0</v>
      </c>
      <c r="R226" s="34">
        <v>0</v>
      </c>
      <c r="S226" s="34">
        <v>0</v>
      </c>
      <c r="T226" s="34">
        <v>0</v>
      </c>
      <c r="U226" s="34">
        <v>0</v>
      </c>
      <c r="V226" s="34">
        <v>0</v>
      </c>
      <c r="W226" s="34">
        <v>0</v>
      </c>
      <c r="X226" s="34">
        <v>0</v>
      </c>
      <c r="Y226" s="34">
        <v>0</v>
      </c>
      <c r="Z226" s="34">
        <v>0</v>
      </c>
      <c r="AA226" s="34">
        <v>0</v>
      </c>
      <c r="AB226" s="34">
        <v>0</v>
      </c>
      <c r="AC226" s="34">
        <v>0</v>
      </c>
      <c r="AD226" s="34">
        <v>0</v>
      </c>
      <c r="AE226" s="34">
        <v>0</v>
      </c>
      <c r="AF226" s="34">
        <v>0</v>
      </c>
      <c r="AG226" s="34">
        <v>0</v>
      </c>
      <c r="AH226" s="34">
        <v>0</v>
      </c>
      <c r="AI226" s="34">
        <v>0</v>
      </c>
      <c r="AJ226" s="34">
        <v>0</v>
      </c>
      <c r="AK226" s="34">
        <v>0</v>
      </c>
      <c r="AL226" s="34">
        <v>0</v>
      </c>
      <c r="AM226" s="34">
        <v>0</v>
      </c>
      <c r="AN226" s="34">
        <v>0</v>
      </c>
      <c r="AO226" s="34">
        <v>0</v>
      </c>
      <c r="AP226" s="34">
        <v>0</v>
      </c>
      <c r="AQ226" s="34">
        <v>0</v>
      </c>
      <c r="AR226" s="34">
        <v>0</v>
      </c>
      <c r="AS226" s="34">
        <v>0</v>
      </c>
      <c r="AT226" s="34">
        <v>0</v>
      </c>
      <c r="AU226" s="34">
        <v>0</v>
      </c>
      <c r="AV226" s="34">
        <v>0</v>
      </c>
      <c r="AW226" s="34">
        <v>0</v>
      </c>
      <c r="AX226" s="34">
        <v>0</v>
      </c>
      <c r="AY226" s="34">
        <v>0</v>
      </c>
      <c r="AZ226" s="34">
        <v>0</v>
      </c>
      <c r="BA226" s="34">
        <v>0</v>
      </c>
      <c r="BB226" s="34">
        <v>0</v>
      </c>
      <c r="BC226" s="34">
        <v>0</v>
      </c>
      <c r="BD226" s="34">
        <v>0</v>
      </c>
      <c r="BE226" s="34">
        <v>0</v>
      </c>
      <c r="BF226" s="34">
        <v>0</v>
      </c>
      <c r="BG226" s="34">
        <v>0</v>
      </c>
      <c r="BH226" s="34">
        <v>0</v>
      </c>
      <c r="BI226" s="34">
        <v>0</v>
      </c>
      <c r="BJ226" s="34">
        <v>0</v>
      </c>
      <c r="BK226" s="34">
        <v>0</v>
      </c>
      <c r="BL226" s="34">
        <v>0</v>
      </c>
      <c r="BM226" s="34">
        <v>0</v>
      </c>
      <c r="BN226" s="34">
        <v>0</v>
      </c>
      <c r="BO226" s="34">
        <v>0</v>
      </c>
      <c r="BP226" s="34">
        <v>0</v>
      </c>
      <c r="BQ226" s="34">
        <v>0</v>
      </c>
      <c r="BR226" s="34">
        <v>0</v>
      </c>
      <c r="BS226" s="34">
        <v>0</v>
      </c>
      <c r="BT226" s="34">
        <v>0</v>
      </c>
      <c r="BU226" s="34">
        <v>0</v>
      </c>
      <c r="BV226" s="34">
        <v>0</v>
      </c>
      <c r="BW226" s="34">
        <v>0</v>
      </c>
      <c r="BX226" s="34">
        <v>0</v>
      </c>
      <c r="BY226" s="34">
        <v>0</v>
      </c>
      <c r="BZ226" s="34">
        <v>0</v>
      </c>
      <c r="CA226" s="34">
        <v>0</v>
      </c>
      <c r="CB226" s="34">
        <v>0</v>
      </c>
      <c r="CC226" s="34">
        <v>0</v>
      </c>
      <c r="CD226" s="34">
        <v>0</v>
      </c>
      <c r="CE226" s="34">
        <v>0</v>
      </c>
      <c r="CF226" s="34">
        <v>0</v>
      </c>
      <c r="CG226" s="34">
        <v>0</v>
      </c>
      <c r="CH226" s="34">
        <v>0</v>
      </c>
      <c r="CI226" s="34">
        <v>0</v>
      </c>
      <c r="CJ226" s="34">
        <v>0</v>
      </c>
      <c r="CK226" s="34">
        <v>1</v>
      </c>
      <c r="CL226" s="34">
        <v>1</v>
      </c>
      <c r="CM226" s="34">
        <v>1</v>
      </c>
      <c r="CN226" s="34">
        <v>1</v>
      </c>
      <c r="CO226" s="34">
        <v>0</v>
      </c>
      <c r="CP226" s="34">
        <v>0</v>
      </c>
      <c r="CQ226" s="34">
        <v>0</v>
      </c>
      <c r="CR226" s="34">
        <v>0</v>
      </c>
      <c r="CS226" s="34">
        <v>0</v>
      </c>
      <c r="CT226" s="34">
        <v>0</v>
      </c>
      <c r="CU226" s="34">
        <v>0</v>
      </c>
      <c r="CV226" s="34">
        <v>0</v>
      </c>
      <c r="CW226" s="34">
        <v>0</v>
      </c>
      <c r="CX226" s="34">
        <v>0</v>
      </c>
      <c r="CY226" s="34">
        <v>0</v>
      </c>
      <c r="CZ226" s="34">
        <v>0</v>
      </c>
      <c r="DA226" s="34">
        <v>0</v>
      </c>
      <c r="DB226" s="34">
        <v>0</v>
      </c>
      <c r="DC226" s="34">
        <v>0</v>
      </c>
      <c r="DD226" s="34">
        <v>0</v>
      </c>
      <c r="DE226" s="34">
        <v>0</v>
      </c>
      <c r="DF226" s="34">
        <v>0</v>
      </c>
      <c r="DG226" s="34">
        <v>0</v>
      </c>
      <c r="DH226" s="34">
        <v>0</v>
      </c>
      <c r="DI226" s="34">
        <v>0</v>
      </c>
      <c r="DJ226" s="34">
        <v>0</v>
      </c>
      <c r="DK226" s="34">
        <v>0</v>
      </c>
      <c r="DL226" s="34">
        <v>0</v>
      </c>
      <c r="DM226" s="34">
        <v>0</v>
      </c>
      <c r="DN226" s="34">
        <v>0</v>
      </c>
      <c r="DO226" s="34">
        <v>0</v>
      </c>
      <c r="DP226" s="34">
        <v>0</v>
      </c>
      <c r="DQ226" s="34">
        <v>0</v>
      </c>
      <c r="DR226" s="34">
        <v>0</v>
      </c>
    </row>
    <row r="227" spans="1:122" s="13" customFormat="1" hidden="1" outlineLevel="1" x14ac:dyDescent="0.35">
      <c r="A227" s="14">
        <v>88</v>
      </c>
      <c r="B227" s="34">
        <v>0</v>
      </c>
      <c r="C227" s="34">
        <v>0</v>
      </c>
      <c r="D227" s="34">
        <v>0</v>
      </c>
      <c r="E227" s="34">
        <v>0</v>
      </c>
      <c r="F227" s="34">
        <v>0</v>
      </c>
      <c r="G227" s="34">
        <v>0</v>
      </c>
      <c r="H227" s="34">
        <v>0</v>
      </c>
      <c r="I227" s="34">
        <v>0</v>
      </c>
      <c r="J227" s="34">
        <v>0</v>
      </c>
      <c r="K227" s="34">
        <v>0</v>
      </c>
      <c r="L227" s="34">
        <v>0</v>
      </c>
      <c r="M227" s="34">
        <v>0</v>
      </c>
      <c r="N227" s="34">
        <v>0</v>
      </c>
      <c r="O227" s="34">
        <v>0</v>
      </c>
      <c r="P227" s="34">
        <v>0</v>
      </c>
      <c r="Q227" s="34">
        <v>0</v>
      </c>
      <c r="R227" s="34">
        <v>0</v>
      </c>
      <c r="S227" s="34">
        <v>0</v>
      </c>
      <c r="T227" s="34">
        <v>0</v>
      </c>
      <c r="U227" s="34">
        <v>0</v>
      </c>
      <c r="V227" s="34">
        <v>0</v>
      </c>
      <c r="W227" s="34">
        <v>0</v>
      </c>
      <c r="X227" s="34">
        <v>0</v>
      </c>
      <c r="Y227" s="34">
        <v>0</v>
      </c>
      <c r="Z227" s="34">
        <v>0</v>
      </c>
      <c r="AA227" s="34">
        <v>0</v>
      </c>
      <c r="AB227" s="34">
        <v>0</v>
      </c>
      <c r="AC227" s="34">
        <v>0</v>
      </c>
      <c r="AD227" s="34">
        <v>0</v>
      </c>
      <c r="AE227" s="34">
        <v>0</v>
      </c>
      <c r="AF227" s="34">
        <v>0</v>
      </c>
      <c r="AG227" s="34">
        <v>0</v>
      </c>
      <c r="AH227" s="34">
        <v>0</v>
      </c>
      <c r="AI227" s="34">
        <v>0</v>
      </c>
      <c r="AJ227" s="34">
        <v>0</v>
      </c>
      <c r="AK227" s="34">
        <v>0</v>
      </c>
      <c r="AL227" s="34">
        <v>0</v>
      </c>
      <c r="AM227" s="34">
        <v>0</v>
      </c>
      <c r="AN227" s="34">
        <v>0</v>
      </c>
      <c r="AO227" s="34">
        <v>0</v>
      </c>
      <c r="AP227" s="34">
        <v>0</v>
      </c>
      <c r="AQ227" s="34">
        <v>0</v>
      </c>
      <c r="AR227" s="34">
        <v>0</v>
      </c>
      <c r="AS227" s="34">
        <v>0</v>
      </c>
      <c r="AT227" s="34">
        <v>0</v>
      </c>
      <c r="AU227" s="34">
        <v>0</v>
      </c>
      <c r="AV227" s="34">
        <v>0</v>
      </c>
      <c r="AW227" s="34">
        <v>0</v>
      </c>
      <c r="AX227" s="34">
        <v>0</v>
      </c>
      <c r="AY227" s="34">
        <v>0</v>
      </c>
      <c r="AZ227" s="34">
        <v>0</v>
      </c>
      <c r="BA227" s="34">
        <v>0</v>
      </c>
      <c r="BB227" s="34">
        <v>0</v>
      </c>
      <c r="BC227" s="34">
        <v>0</v>
      </c>
      <c r="BD227" s="34">
        <v>0</v>
      </c>
      <c r="BE227" s="34">
        <v>0</v>
      </c>
      <c r="BF227" s="34">
        <v>0</v>
      </c>
      <c r="BG227" s="34">
        <v>0</v>
      </c>
      <c r="BH227" s="34">
        <v>0</v>
      </c>
      <c r="BI227" s="34">
        <v>0</v>
      </c>
      <c r="BJ227" s="34">
        <v>0</v>
      </c>
      <c r="BK227" s="34">
        <v>0</v>
      </c>
      <c r="BL227" s="34">
        <v>0</v>
      </c>
      <c r="BM227" s="34">
        <v>0</v>
      </c>
      <c r="BN227" s="34">
        <v>0</v>
      </c>
      <c r="BO227" s="34">
        <v>0</v>
      </c>
      <c r="BP227" s="34">
        <v>0</v>
      </c>
      <c r="BQ227" s="34">
        <v>0</v>
      </c>
      <c r="BR227" s="34">
        <v>0</v>
      </c>
      <c r="BS227" s="34">
        <v>0</v>
      </c>
      <c r="BT227" s="34">
        <v>0</v>
      </c>
      <c r="BU227" s="34">
        <v>0</v>
      </c>
      <c r="BV227" s="34">
        <v>0</v>
      </c>
      <c r="BW227" s="34">
        <v>0</v>
      </c>
      <c r="BX227" s="34">
        <v>0</v>
      </c>
      <c r="BY227" s="34">
        <v>0</v>
      </c>
      <c r="BZ227" s="34">
        <v>0</v>
      </c>
      <c r="CA227" s="34">
        <v>0</v>
      </c>
      <c r="CB227" s="34">
        <v>0</v>
      </c>
      <c r="CC227" s="34">
        <v>0</v>
      </c>
      <c r="CD227" s="34">
        <v>0</v>
      </c>
      <c r="CE227" s="34">
        <v>0</v>
      </c>
      <c r="CF227" s="34">
        <v>0</v>
      </c>
      <c r="CG227" s="34">
        <v>0</v>
      </c>
      <c r="CH227" s="34">
        <v>0</v>
      </c>
      <c r="CI227" s="34">
        <v>0</v>
      </c>
      <c r="CJ227" s="34">
        <v>0</v>
      </c>
      <c r="CK227" s="34">
        <v>0</v>
      </c>
      <c r="CL227" s="34">
        <v>1</v>
      </c>
      <c r="CM227" s="34">
        <v>1</v>
      </c>
      <c r="CN227" s="34">
        <v>1</v>
      </c>
      <c r="CO227" s="34">
        <v>0</v>
      </c>
      <c r="CP227" s="34">
        <v>0</v>
      </c>
      <c r="CQ227" s="34">
        <v>0</v>
      </c>
      <c r="CR227" s="34">
        <v>0</v>
      </c>
      <c r="CS227" s="34">
        <v>0</v>
      </c>
      <c r="CT227" s="34">
        <v>0</v>
      </c>
      <c r="CU227" s="34">
        <v>0</v>
      </c>
      <c r="CV227" s="34">
        <v>0</v>
      </c>
      <c r="CW227" s="34">
        <v>0</v>
      </c>
      <c r="CX227" s="34">
        <v>0</v>
      </c>
      <c r="CY227" s="34">
        <v>0</v>
      </c>
      <c r="CZ227" s="34">
        <v>0</v>
      </c>
      <c r="DA227" s="34">
        <v>0</v>
      </c>
      <c r="DB227" s="34">
        <v>0</v>
      </c>
      <c r="DC227" s="34">
        <v>0</v>
      </c>
      <c r="DD227" s="34">
        <v>0</v>
      </c>
      <c r="DE227" s="34">
        <v>0</v>
      </c>
      <c r="DF227" s="34">
        <v>0</v>
      </c>
      <c r="DG227" s="34">
        <v>0</v>
      </c>
      <c r="DH227" s="34">
        <v>0</v>
      </c>
      <c r="DI227" s="34">
        <v>0</v>
      </c>
      <c r="DJ227" s="34">
        <v>0</v>
      </c>
      <c r="DK227" s="34">
        <v>0</v>
      </c>
      <c r="DL227" s="34">
        <v>0</v>
      </c>
      <c r="DM227" s="34">
        <v>0</v>
      </c>
      <c r="DN227" s="34">
        <v>0</v>
      </c>
      <c r="DO227" s="34">
        <v>0</v>
      </c>
      <c r="DP227" s="34">
        <v>0</v>
      </c>
      <c r="DQ227" s="34">
        <v>0</v>
      </c>
      <c r="DR227" s="34">
        <v>0</v>
      </c>
    </row>
    <row r="228" spans="1:122" s="13" customFormat="1" hidden="1" outlineLevel="1" x14ac:dyDescent="0.35">
      <c r="A228" s="14">
        <v>89</v>
      </c>
      <c r="B228" s="34">
        <v>0</v>
      </c>
      <c r="C228" s="34">
        <v>0</v>
      </c>
      <c r="D228" s="34">
        <v>0</v>
      </c>
      <c r="E228" s="34">
        <v>0</v>
      </c>
      <c r="F228" s="34">
        <v>0</v>
      </c>
      <c r="G228" s="34">
        <v>0</v>
      </c>
      <c r="H228" s="34">
        <v>0</v>
      </c>
      <c r="I228" s="34">
        <v>0</v>
      </c>
      <c r="J228" s="34">
        <v>0</v>
      </c>
      <c r="K228" s="34">
        <v>0</v>
      </c>
      <c r="L228" s="34">
        <v>0</v>
      </c>
      <c r="M228" s="34">
        <v>0</v>
      </c>
      <c r="N228" s="34">
        <v>0</v>
      </c>
      <c r="O228" s="34">
        <v>0</v>
      </c>
      <c r="P228" s="34">
        <v>0</v>
      </c>
      <c r="Q228" s="34">
        <v>0</v>
      </c>
      <c r="R228" s="34">
        <v>0</v>
      </c>
      <c r="S228" s="34">
        <v>0</v>
      </c>
      <c r="T228" s="34">
        <v>0</v>
      </c>
      <c r="U228" s="34">
        <v>0</v>
      </c>
      <c r="V228" s="34">
        <v>0</v>
      </c>
      <c r="W228" s="34">
        <v>0</v>
      </c>
      <c r="X228" s="34">
        <v>0</v>
      </c>
      <c r="Y228" s="34">
        <v>0</v>
      </c>
      <c r="Z228" s="34">
        <v>0</v>
      </c>
      <c r="AA228" s="34">
        <v>0</v>
      </c>
      <c r="AB228" s="34">
        <v>0</v>
      </c>
      <c r="AC228" s="34">
        <v>0</v>
      </c>
      <c r="AD228" s="34">
        <v>0</v>
      </c>
      <c r="AE228" s="34">
        <v>0</v>
      </c>
      <c r="AF228" s="34">
        <v>0</v>
      </c>
      <c r="AG228" s="34">
        <v>0</v>
      </c>
      <c r="AH228" s="34">
        <v>0</v>
      </c>
      <c r="AI228" s="34">
        <v>0</v>
      </c>
      <c r="AJ228" s="34">
        <v>0</v>
      </c>
      <c r="AK228" s="34">
        <v>0</v>
      </c>
      <c r="AL228" s="34">
        <v>0</v>
      </c>
      <c r="AM228" s="34">
        <v>0</v>
      </c>
      <c r="AN228" s="34">
        <v>0</v>
      </c>
      <c r="AO228" s="34">
        <v>0</v>
      </c>
      <c r="AP228" s="34">
        <v>0</v>
      </c>
      <c r="AQ228" s="34">
        <v>0</v>
      </c>
      <c r="AR228" s="34">
        <v>0</v>
      </c>
      <c r="AS228" s="34">
        <v>0</v>
      </c>
      <c r="AT228" s="34">
        <v>0</v>
      </c>
      <c r="AU228" s="34">
        <v>0</v>
      </c>
      <c r="AV228" s="34">
        <v>0</v>
      </c>
      <c r="AW228" s="34">
        <v>0</v>
      </c>
      <c r="AX228" s="34">
        <v>0</v>
      </c>
      <c r="AY228" s="34">
        <v>0</v>
      </c>
      <c r="AZ228" s="34">
        <v>0</v>
      </c>
      <c r="BA228" s="34">
        <v>0</v>
      </c>
      <c r="BB228" s="34">
        <v>0</v>
      </c>
      <c r="BC228" s="34">
        <v>0</v>
      </c>
      <c r="BD228" s="34">
        <v>0</v>
      </c>
      <c r="BE228" s="34">
        <v>0</v>
      </c>
      <c r="BF228" s="34">
        <v>0</v>
      </c>
      <c r="BG228" s="34">
        <v>0</v>
      </c>
      <c r="BH228" s="34">
        <v>0</v>
      </c>
      <c r="BI228" s="34">
        <v>0</v>
      </c>
      <c r="BJ228" s="34">
        <v>0</v>
      </c>
      <c r="BK228" s="34">
        <v>0</v>
      </c>
      <c r="BL228" s="34">
        <v>0</v>
      </c>
      <c r="BM228" s="34">
        <v>0</v>
      </c>
      <c r="BN228" s="34">
        <v>0</v>
      </c>
      <c r="BO228" s="34">
        <v>0</v>
      </c>
      <c r="BP228" s="34">
        <v>0</v>
      </c>
      <c r="BQ228" s="34">
        <v>0</v>
      </c>
      <c r="BR228" s="34">
        <v>0</v>
      </c>
      <c r="BS228" s="34">
        <v>0</v>
      </c>
      <c r="BT228" s="34">
        <v>0</v>
      </c>
      <c r="BU228" s="34">
        <v>0</v>
      </c>
      <c r="BV228" s="34">
        <v>0</v>
      </c>
      <c r="BW228" s="34">
        <v>0</v>
      </c>
      <c r="BX228" s="34">
        <v>0</v>
      </c>
      <c r="BY228" s="34">
        <v>0</v>
      </c>
      <c r="BZ228" s="34">
        <v>0</v>
      </c>
      <c r="CA228" s="34">
        <v>0</v>
      </c>
      <c r="CB228" s="34">
        <v>0</v>
      </c>
      <c r="CC228" s="34">
        <v>0</v>
      </c>
      <c r="CD228" s="34">
        <v>0</v>
      </c>
      <c r="CE228" s="34">
        <v>0</v>
      </c>
      <c r="CF228" s="34">
        <v>0</v>
      </c>
      <c r="CG228" s="34">
        <v>0</v>
      </c>
      <c r="CH228" s="34">
        <v>0</v>
      </c>
      <c r="CI228" s="34">
        <v>0</v>
      </c>
      <c r="CJ228" s="34">
        <v>0</v>
      </c>
      <c r="CK228" s="34">
        <v>0</v>
      </c>
      <c r="CL228" s="34">
        <v>0</v>
      </c>
      <c r="CM228" s="34">
        <v>1</v>
      </c>
      <c r="CN228" s="34">
        <v>1</v>
      </c>
      <c r="CO228" s="34">
        <v>0</v>
      </c>
      <c r="CP228" s="34">
        <v>0</v>
      </c>
      <c r="CQ228" s="34">
        <v>0</v>
      </c>
      <c r="CR228" s="34">
        <v>0</v>
      </c>
      <c r="CS228" s="34">
        <v>0</v>
      </c>
      <c r="CT228" s="34">
        <v>0</v>
      </c>
      <c r="CU228" s="34">
        <v>0</v>
      </c>
      <c r="CV228" s="34">
        <v>0</v>
      </c>
      <c r="CW228" s="34">
        <v>0</v>
      </c>
      <c r="CX228" s="34">
        <v>0</v>
      </c>
      <c r="CY228" s="34">
        <v>0</v>
      </c>
      <c r="CZ228" s="34">
        <v>0</v>
      </c>
      <c r="DA228" s="34">
        <v>0</v>
      </c>
      <c r="DB228" s="34">
        <v>0</v>
      </c>
      <c r="DC228" s="34">
        <v>0</v>
      </c>
      <c r="DD228" s="34">
        <v>0</v>
      </c>
      <c r="DE228" s="34">
        <v>0</v>
      </c>
      <c r="DF228" s="34">
        <v>0</v>
      </c>
      <c r="DG228" s="34">
        <v>0</v>
      </c>
      <c r="DH228" s="34">
        <v>0</v>
      </c>
      <c r="DI228" s="34">
        <v>0</v>
      </c>
      <c r="DJ228" s="34">
        <v>0</v>
      </c>
      <c r="DK228" s="34">
        <v>0</v>
      </c>
      <c r="DL228" s="34">
        <v>0</v>
      </c>
      <c r="DM228" s="34">
        <v>0</v>
      </c>
      <c r="DN228" s="34">
        <v>0</v>
      </c>
      <c r="DO228" s="34">
        <v>0</v>
      </c>
      <c r="DP228" s="34">
        <v>0</v>
      </c>
      <c r="DQ228" s="34">
        <v>0</v>
      </c>
      <c r="DR228" s="34">
        <v>0</v>
      </c>
    </row>
    <row r="229" spans="1:122" s="13" customFormat="1" hidden="1" outlineLevel="1" x14ac:dyDescent="0.35">
      <c r="A229" s="14">
        <v>90</v>
      </c>
      <c r="B229" s="34">
        <v>0</v>
      </c>
      <c r="C229" s="34">
        <v>0</v>
      </c>
      <c r="D229" s="34">
        <v>0</v>
      </c>
      <c r="E229" s="34">
        <v>0</v>
      </c>
      <c r="F229" s="34">
        <v>0</v>
      </c>
      <c r="G229" s="34">
        <v>0</v>
      </c>
      <c r="H229" s="34">
        <v>0</v>
      </c>
      <c r="I229" s="34">
        <v>0</v>
      </c>
      <c r="J229" s="34">
        <v>0</v>
      </c>
      <c r="K229" s="34">
        <v>0</v>
      </c>
      <c r="L229" s="34">
        <v>0</v>
      </c>
      <c r="M229" s="34">
        <v>0</v>
      </c>
      <c r="N229" s="34">
        <v>0</v>
      </c>
      <c r="O229" s="34">
        <v>0</v>
      </c>
      <c r="P229" s="34">
        <v>0</v>
      </c>
      <c r="Q229" s="34">
        <v>0</v>
      </c>
      <c r="R229" s="34">
        <v>0</v>
      </c>
      <c r="S229" s="34">
        <v>0</v>
      </c>
      <c r="T229" s="34">
        <v>0</v>
      </c>
      <c r="U229" s="34">
        <v>0</v>
      </c>
      <c r="V229" s="34">
        <v>0</v>
      </c>
      <c r="W229" s="34">
        <v>0</v>
      </c>
      <c r="X229" s="34">
        <v>0</v>
      </c>
      <c r="Y229" s="34">
        <v>0</v>
      </c>
      <c r="Z229" s="34">
        <v>0</v>
      </c>
      <c r="AA229" s="34">
        <v>0</v>
      </c>
      <c r="AB229" s="34">
        <v>0</v>
      </c>
      <c r="AC229" s="34">
        <v>0</v>
      </c>
      <c r="AD229" s="34">
        <v>0</v>
      </c>
      <c r="AE229" s="34">
        <v>0</v>
      </c>
      <c r="AF229" s="34">
        <v>0</v>
      </c>
      <c r="AG229" s="34">
        <v>0</v>
      </c>
      <c r="AH229" s="34">
        <v>0</v>
      </c>
      <c r="AI229" s="34">
        <v>0</v>
      </c>
      <c r="AJ229" s="34">
        <v>0</v>
      </c>
      <c r="AK229" s="34">
        <v>0</v>
      </c>
      <c r="AL229" s="34">
        <v>0</v>
      </c>
      <c r="AM229" s="34">
        <v>0</v>
      </c>
      <c r="AN229" s="34">
        <v>0</v>
      </c>
      <c r="AO229" s="34">
        <v>0</v>
      </c>
      <c r="AP229" s="34">
        <v>0</v>
      </c>
      <c r="AQ229" s="34">
        <v>0</v>
      </c>
      <c r="AR229" s="34">
        <v>0</v>
      </c>
      <c r="AS229" s="34">
        <v>0</v>
      </c>
      <c r="AT229" s="34">
        <v>0</v>
      </c>
      <c r="AU229" s="34">
        <v>0</v>
      </c>
      <c r="AV229" s="34">
        <v>0</v>
      </c>
      <c r="AW229" s="34">
        <v>0</v>
      </c>
      <c r="AX229" s="34">
        <v>0</v>
      </c>
      <c r="AY229" s="34">
        <v>0</v>
      </c>
      <c r="AZ229" s="34">
        <v>0</v>
      </c>
      <c r="BA229" s="34">
        <v>0</v>
      </c>
      <c r="BB229" s="34">
        <v>0</v>
      </c>
      <c r="BC229" s="34">
        <v>0</v>
      </c>
      <c r="BD229" s="34">
        <v>0</v>
      </c>
      <c r="BE229" s="34">
        <v>0</v>
      </c>
      <c r="BF229" s="34">
        <v>0</v>
      </c>
      <c r="BG229" s="34">
        <v>0</v>
      </c>
      <c r="BH229" s="34">
        <v>0</v>
      </c>
      <c r="BI229" s="34">
        <v>0</v>
      </c>
      <c r="BJ229" s="34">
        <v>0</v>
      </c>
      <c r="BK229" s="34">
        <v>0</v>
      </c>
      <c r="BL229" s="34">
        <v>0</v>
      </c>
      <c r="BM229" s="34">
        <v>0</v>
      </c>
      <c r="BN229" s="34">
        <v>0</v>
      </c>
      <c r="BO229" s="34">
        <v>0</v>
      </c>
      <c r="BP229" s="34">
        <v>0</v>
      </c>
      <c r="BQ229" s="34">
        <v>0</v>
      </c>
      <c r="BR229" s="34">
        <v>0</v>
      </c>
      <c r="BS229" s="34">
        <v>0</v>
      </c>
      <c r="BT229" s="34">
        <v>0</v>
      </c>
      <c r="BU229" s="34">
        <v>0</v>
      </c>
      <c r="BV229" s="34">
        <v>0</v>
      </c>
      <c r="BW229" s="34">
        <v>0</v>
      </c>
      <c r="BX229" s="34">
        <v>0</v>
      </c>
      <c r="BY229" s="34">
        <v>0</v>
      </c>
      <c r="BZ229" s="34">
        <v>0</v>
      </c>
      <c r="CA229" s="34">
        <v>0</v>
      </c>
      <c r="CB229" s="34">
        <v>0</v>
      </c>
      <c r="CC229" s="34">
        <v>0</v>
      </c>
      <c r="CD229" s="34">
        <v>0</v>
      </c>
      <c r="CE229" s="34">
        <v>0</v>
      </c>
      <c r="CF229" s="34">
        <v>0</v>
      </c>
      <c r="CG229" s="34">
        <v>0</v>
      </c>
      <c r="CH229" s="34">
        <v>0</v>
      </c>
      <c r="CI229" s="34">
        <v>0</v>
      </c>
      <c r="CJ229" s="34">
        <v>0</v>
      </c>
      <c r="CK229" s="34">
        <v>0</v>
      </c>
      <c r="CL229" s="34">
        <v>0</v>
      </c>
      <c r="CM229" s="34">
        <v>0</v>
      </c>
      <c r="CN229" s="34">
        <v>1</v>
      </c>
      <c r="CO229" s="34">
        <v>0</v>
      </c>
      <c r="CP229" s="34">
        <v>0</v>
      </c>
      <c r="CQ229" s="34">
        <v>0</v>
      </c>
      <c r="CR229" s="34">
        <v>0</v>
      </c>
      <c r="CS229" s="34">
        <v>0</v>
      </c>
      <c r="CT229" s="34">
        <v>0</v>
      </c>
      <c r="CU229" s="34">
        <v>0</v>
      </c>
      <c r="CV229" s="34">
        <v>0</v>
      </c>
      <c r="CW229" s="34">
        <v>0</v>
      </c>
      <c r="CX229" s="34">
        <v>0</v>
      </c>
      <c r="CY229" s="34">
        <v>0</v>
      </c>
      <c r="CZ229" s="34">
        <v>0</v>
      </c>
      <c r="DA229" s="34">
        <v>0</v>
      </c>
      <c r="DB229" s="34">
        <v>0</v>
      </c>
      <c r="DC229" s="34">
        <v>0</v>
      </c>
      <c r="DD229" s="34">
        <v>0</v>
      </c>
      <c r="DE229" s="34">
        <v>0</v>
      </c>
      <c r="DF229" s="34">
        <v>0</v>
      </c>
      <c r="DG229" s="34">
        <v>0</v>
      </c>
      <c r="DH229" s="34">
        <v>0</v>
      </c>
      <c r="DI229" s="34">
        <v>0</v>
      </c>
      <c r="DJ229" s="34">
        <v>0</v>
      </c>
      <c r="DK229" s="34">
        <v>0</v>
      </c>
      <c r="DL229" s="34">
        <v>0</v>
      </c>
      <c r="DM229" s="34">
        <v>0</v>
      </c>
      <c r="DN229" s="34">
        <v>0</v>
      </c>
      <c r="DO229" s="34">
        <v>0</v>
      </c>
      <c r="DP229" s="34">
        <v>0</v>
      </c>
      <c r="DQ229" s="34">
        <v>0</v>
      </c>
      <c r="DR229" s="34">
        <v>0</v>
      </c>
    </row>
    <row r="230" spans="1:122" s="13" customFormat="1" hidden="1" outlineLevel="1" x14ac:dyDescent="0.35">
      <c r="A230" s="14">
        <v>91</v>
      </c>
      <c r="B230" s="34">
        <v>0</v>
      </c>
      <c r="C230" s="34">
        <v>0</v>
      </c>
      <c r="D230" s="34">
        <v>0</v>
      </c>
      <c r="E230" s="34">
        <v>0</v>
      </c>
      <c r="F230" s="34">
        <v>0</v>
      </c>
      <c r="G230" s="34">
        <v>0</v>
      </c>
      <c r="H230" s="34">
        <v>0</v>
      </c>
      <c r="I230" s="34">
        <v>0</v>
      </c>
      <c r="J230" s="34">
        <v>0</v>
      </c>
      <c r="K230" s="34">
        <v>0</v>
      </c>
      <c r="L230" s="34">
        <v>0</v>
      </c>
      <c r="M230" s="34">
        <v>0</v>
      </c>
      <c r="N230" s="34">
        <v>0</v>
      </c>
      <c r="O230" s="34">
        <v>0</v>
      </c>
      <c r="P230" s="34">
        <v>0</v>
      </c>
      <c r="Q230" s="34">
        <v>0</v>
      </c>
      <c r="R230" s="34">
        <v>0</v>
      </c>
      <c r="S230" s="34">
        <v>0</v>
      </c>
      <c r="T230" s="34">
        <v>0</v>
      </c>
      <c r="U230" s="34">
        <v>0</v>
      </c>
      <c r="V230" s="34">
        <v>0</v>
      </c>
      <c r="W230" s="34">
        <v>0</v>
      </c>
      <c r="X230" s="34">
        <v>0</v>
      </c>
      <c r="Y230" s="34">
        <v>0</v>
      </c>
      <c r="Z230" s="34">
        <v>0</v>
      </c>
      <c r="AA230" s="34">
        <v>0</v>
      </c>
      <c r="AB230" s="34">
        <v>0</v>
      </c>
      <c r="AC230" s="34">
        <v>0</v>
      </c>
      <c r="AD230" s="34">
        <v>0</v>
      </c>
      <c r="AE230" s="34">
        <v>0</v>
      </c>
      <c r="AF230" s="34">
        <v>0</v>
      </c>
      <c r="AG230" s="34">
        <v>0</v>
      </c>
      <c r="AH230" s="34">
        <v>0</v>
      </c>
      <c r="AI230" s="34">
        <v>0</v>
      </c>
      <c r="AJ230" s="34">
        <v>0</v>
      </c>
      <c r="AK230" s="34">
        <v>0</v>
      </c>
      <c r="AL230" s="34">
        <v>0</v>
      </c>
      <c r="AM230" s="34">
        <v>0</v>
      </c>
      <c r="AN230" s="34">
        <v>0</v>
      </c>
      <c r="AO230" s="34">
        <v>0</v>
      </c>
      <c r="AP230" s="34">
        <v>0</v>
      </c>
      <c r="AQ230" s="34">
        <v>0</v>
      </c>
      <c r="AR230" s="34">
        <v>0</v>
      </c>
      <c r="AS230" s="34">
        <v>0</v>
      </c>
      <c r="AT230" s="34">
        <v>0</v>
      </c>
      <c r="AU230" s="34">
        <v>0</v>
      </c>
      <c r="AV230" s="34">
        <v>0</v>
      </c>
      <c r="AW230" s="34">
        <v>0</v>
      </c>
      <c r="AX230" s="34">
        <v>0</v>
      </c>
      <c r="AY230" s="34">
        <v>0</v>
      </c>
      <c r="AZ230" s="34">
        <v>0</v>
      </c>
      <c r="BA230" s="34">
        <v>0</v>
      </c>
      <c r="BB230" s="34">
        <v>0</v>
      </c>
      <c r="BC230" s="34">
        <v>0</v>
      </c>
      <c r="BD230" s="34">
        <v>0</v>
      </c>
      <c r="BE230" s="34">
        <v>0</v>
      </c>
      <c r="BF230" s="34">
        <v>0</v>
      </c>
      <c r="BG230" s="34">
        <v>0</v>
      </c>
      <c r="BH230" s="34">
        <v>0</v>
      </c>
      <c r="BI230" s="34">
        <v>0</v>
      </c>
      <c r="BJ230" s="34">
        <v>0</v>
      </c>
      <c r="BK230" s="34">
        <v>0</v>
      </c>
      <c r="BL230" s="34">
        <v>0</v>
      </c>
      <c r="BM230" s="34">
        <v>0</v>
      </c>
      <c r="BN230" s="34">
        <v>0</v>
      </c>
      <c r="BO230" s="34">
        <v>0</v>
      </c>
      <c r="BP230" s="34">
        <v>0</v>
      </c>
      <c r="BQ230" s="34">
        <v>0</v>
      </c>
      <c r="BR230" s="34">
        <v>0</v>
      </c>
      <c r="BS230" s="34">
        <v>0</v>
      </c>
      <c r="BT230" s="34">
        <v>0</v>
      </c>
      <c r="BU230" s="34">
        <v>0</v>
      </c>
      <c r="BV230" s="34">
        <v>0</v>
      </c>
      <c r="BW230" s="34">
        <v>0</v>
      </c>
      <c r="BX230" s="34">
        <v>0</v>
      </c>
      <c r="BY230" s="34">
        <v>0</v>
      </c>
      <c r="BZ230" s="34">
        <v>0</v>
      </c>
      <c r="CA230" s="34">
        <v>0</v>
      </c>
      <c r="CB230" s="34">
        <v>0</v>
      </c>
      <c r="CC230" s="34">
        <v>0</v>
      </c>
      <c r="CD230" s="34">
        <v>0</v>
      </c>
      <c r="CE230" s="34">
        <v>0</v>
      </c>
      <c r="CF230" s="34">
        <v>0</v>
      </c>
      <c r="CG230" s="34">
        <v>0</v>
      </c>
      <c r="CH230" s="34">
        <v>0</v>
      </c>
      <c r="CI230" s="34">
        <v>0</v>
      </c>
      <c r="CJ230" s="34">
        <v>0</v>
      </c>
      <c r="CK230" s="34">
        <v>0</v>
      </c>
      <c r="CL230" s="34">
        <v>0</v>
      </c>
      <c r="CM230" s="34">
        <v>0</v>
      </c>
      <c r="CN230" s="34">
        <v>0</v>
      </c>
      <c r="CO230" s="34">
        <v>0</v>
      </c>
      <c r="CP230" s="34">
        <v>0</v>
      </c>
      <c r="CQ230" s="34">
        <v>0</v>
      </c>
      <c r="CR230" s="34">
        <v>0</v>
      </c>
      <c r="CS230" s="34">
        <v>0</v>
      </c>
      <c r="CT230" s="34">
        <v>0</v>
      </c>
      <c r="CU230" s="34">
        <v>0</v>
      </c>
      <c r="CV230" s="34">
        <v>0</v>
      </c>
      <c r="CW230" s="34">
        <v>0</v>
      </c>
      <c r="CX230" s="34">
        <v>0</v>
      </c>
      <c r="CY230" s="34">
        <v>0</v>
      </c>
      <c r="CZ230" s="34">
        <v>0</v>
      </c>
      <c r="DA230" s="34">
        <v>0</v>
      </c>
      <c r="DB230" s="34">
        <v>0</v>
      </c>
      <c r="DC230" s="34">
        <v>0</v>
      </c>
      <c r="DD230" s="34">
        <v>0</v>
      </c>
      <c r="DE230" s="34">
        <v>0</v>
      </c>
      <c r="DF230" s="34">
        <v>0</v>
      </c>
      <c r="DG230" s="34">
        <v>0</v>
      </c>
      <c r="DH230" s="34">
        <v>0</v>
      </c>
      <c r="DI230" s="34">
        <v>0</v>
      </c>
      <c r="DJ230" s="34">
        <v>0</v>
      </c>
      <c r="DK230" s="34">
        <v>0</v>
      </c>
      <c r="DL230" s="34">
        <v>0</v>
      </c>
      <c r="DM230" s="34">
        <v>0</v>
      </c>
      <c r="DN230" s="34">
        <v>0</v>
      </c>
      <c r="DO230" s="34">
        <v>0</v>
      </c>
      <c r="DP230" s="34">
        <v>0</v>
      </c>
      <c r="DQ230" s="34">
        <v>0</v>
      </c>
      <c r="DR230" s="34">
        <v>0</v>
      </c>
    </row>
    <row r="231" spans="1:122" s="13" customFormat="1" hidden="1" outlineLevel="1" x14ac:dyDescent="0.35">
      <c r="A231" s="14">
        <v>92</v>
      </c>
      <c r="B231" s="34">
        <v>0</v>
      </c>
      <c r="C231" s="34">
        <v>0</v>
      </c>
      <c r="D231" s="34">
        <v>0</v>
      </c>
      <c r="E231" s="34">
        <v>0</v>
      </c>
      <c r="F231" s="34">
        <v>0</v>
      </c>
      <c r="G231" s="34">
        <v>0</v>
      </c>
      <c r="H231" s="34">
        <v>0</v>
      </c>
      <c r="I231" s="34">
        <v>0</v>
      </c>
      <c r="J231" s="34">
        <v>0</v>
      </c>
      <c r="K231" s="34">
        <v>0</v>
      </c>
      <c r="L231" s="34">
        <v>0</v>
      </c>
      <c r="M231" s="34">
        <v>0</v>
      </c>
      <c r="N231" s="34">
        <v>0</v>
      </c>
      <c r="O231" s="34">
        <v>0</v>
      </c>
      <c r="P231" s="34">
        <v>0</v>
      </c>
      <c r="Q231" s="34">
        <v>0</v>
      </c>
      <c r="R231" s="34">
        <v>0</v>
      </c>
      <c r="S231" s="34">
        <v>0</v>
      </c>
      <c r="T231" s="34">
        <v>0</v>
      </c>
      <c r="U231" s="34">
        <v>0</v>
      </c>
      <c r="V231" s="34">
        <v>0</v>
      </c>
      <c r="W231" s="34">
        <v>0</v>
      </c>
      <c r="X231" s="34">
        <v>0</v>
      </c>
      <c r="Y231" s="34">
        <v>0</v>
      </c>
      <c r="Z231" s="34">
        <v>0</v>
      </c>
      <c r="AA231" s="34">
        <v>0</v>
      </c>
      <c r="AB231" s="34">
        <v>0</v>
      </c>
      <c r="AC231" s="34">
        <v>0</v>
      </c>
      <c r="AD231" s="34">
        <v>0</v>
      </c>
      <c r="AE231" s="34">
        <v>0</v>
      </c>
      <c r="AF231" s="34">
        <v>0</v>
      </c>
      <c r="AG231" s="34">
        <v>0</v>
      </c>
      <c r="AH231" s="34">
        <v>0</v>
      </c>
      <c r="AI231" s="34">
        <v>0</v>
      </c>
      <c r="AJ231" s="34">
        <v>0</v>
      </c>
      <c r="AK231" s="34">
        <v>0</v>
      </c>
      <c r="AL231" s="34">
        <v>0</v>
      </c>
      <c r="AM231" s="34">
        <v>0</v>
      </c>
      <c r="AN231" s="34">
        <v>0</v>
      </c>
      <c r="AO231" s="34">
        <v>0</v>
      </c>
      <c r="AP231" s="34">
        <v>0</v>
      </c>
      <c r="AQ231" s="34">
        <v>0</v>
      </c>
      <c r="AR231" s="34">
        <v>0</v>
      </c>
      <c r="AS231" s="34">
        <v>0</v>
      </c>
      <c r="AT231" s="34">
        <v>0</v>
      </c>
      <c r="AU231" s="34">
        <v>0</v>
      </c>
      <c r="AV231" s="34">
        <v>0</v>
      </c>
      <c r="AW231" s="34">
        <v>0</v>
      </c>
      <c r="AX231" s="34">
        <v>0</v>
      </c>
      <c r="AY231" s="34">
        <v>0</v>
      </c>
      <c r="AZ231" s="34">
        <v>0</v>
      </c>
      <c r="BA231" s="34">
        <v>0</v>
      </c>
      <c r="BB231" s="34">
        <v>0</v>
      </c>
      <c r="BC231" s="34">
        <v>0</v>
      </c>
      <c r="BD231" s="34">
        <v>0</v>
      </c>
      <c r="BE231" s="34">
        <v>0</v>
      </c>
      <c r="BF231" s="34">
        <v>0</v>
      </c>
      <c r="BG231" s="34">
        <v>0</v>
      </c>
      <c r="BH231" s="34">
        <v>0</v>
      </c>
      <c r="BI231" s="34">
        <v>0</v>
      </c>
      <c r="BJ231" s="34">
        <v>0</v>
      </c>
      <c r="BK231" s="34">
        <v>0</v>
      </c>
      <c r="BL231" s="34">
        <v>0</v>
      </c>
      <c r="BM231" s="34">
        <v>0</v>
      </c>
      <c r="BN231" s="34">
        <v>0</v>
      </c>
      <c r="BO231" s="34">
        <v>0</v>
      </c>
      <c r="BP231" s="34">
        <v>0</v>
      </c>
      <c r="BQ231" s="34">
        <v>0</v>
      </c>
      <c r="BR231" s="34">
        <v>0</v>
      </c>
      <c r="BS231" s="34">
        <v>0</v>
      </c>
      <c r="BT231" s="34">
        <v>0</v>
      </c>
      <c r="BU231" s="34">
        <v>0</v>
      </c>
      <c r="BV231" s="34">
        <v>0</v>
      </c>
      <c r="BW231" s="34">
        <v>0</v>
      </c>
      <c r="BX231" s="34">
        <v>0</v>
      </c>
      <c r="BY231" s="34">
        <v>0</v>
      </c>
      <c r="BZ231" s="34">
        <v>0</v>
      </c>
      <c r="CA231" s="34">
        <v>0</v>
      </c>
      <c r="CB231" s="34">
        <v>0</v>
      </c>
      <c r="CC231" s="34">
        <v>0</v>
      </c>
      <c r="CD231" s="34">
        <v>0</v>
      </c>
      <c r="CE231" s="34">
        <v>0</v>
      </c>
      <c r="CF231" s="34">
        <v>0</v>
      </c>
      <c r="CG231" s="34">
        <v>0</v>
      </c>
      <c r="CH231" s="34">
        <v>0</v>
      </c>
      <c r="CI231" s="34">
        <v>0</v>
      </c>
      <c r="CJ231" s="34">
        <v>0</v>
      </c>
      <c r="CK231" s="34">
        <v>0</v>
      </c>
      <c r="CL231" s="34">
        <v>0</v>
      </c>
      <c r="CM231" s="34">
        <v>0</v>
      </c>
      <c r="CN231" s="34">
        <v>0</v>
      </c>
      <c r="CO231" s="34">
        <v>0</v>
      </c>
      <c r="CP231" s="34">
        <v>0</v>
      </c>
      <c r="CQ231" s="34">
        <v>0</v>
      </c>
      <c r="CR231" s="34">
        <v>0</v>
      </c>
      <c r="CS231" s="34">
        <v>0</v>
      </c>
      <c r="CT231" s="34">
        <v>0</v>
      </c>
      <c r="CU231" s="34">
        <v>0</v>
      </c>
      <c r="CV231" s="34">
        <v>0</v>
      </c>
      <c r="CW231" s="34">
        <v>0</v>
      </c>
      <c r="CX231" s="34">
        <v>0</v>
      </c>
      <c r="CY231" s="34">
        <v>0</v>
      </c>
      <c r="CZ231" s="34">
        <v>0</v>
      </c>
      <c r="DA231" s="34">
        <v>0</v>
      </c>
      <c r="DB231" s="34">
        <v>0</v>
      </c>
      <c r="DC231" s="34">
        <v>0</v>
      </c>
      <c r="DD231" s="34">
        <v>0</v>
      </c>
      <c r="DE231" s="34">
        <v>0</v>
      </c>
      <c r="DF231" s="34">
        <v>0</v>
      </c>
      <c r="DG231" s="34">
        <v>0</v>
      </c>
      <c r="DH231" s="34">
        <v>0</v>
      </c>
      <c r="DI231" s="34">
        <v>0</v>
      </c>
      <c r="DJ231" s="34">
        <v>0</v>
      </c>
      <c r="DK231" s="34">
        <v>0</v>
      </c>
      <c r="DL231" s="34">
        <v>0</v>
      </c>
      <c r="DM231" s="34">
        <v>0</v>
      </c>
      <c r="DN231" s="34">
        <v>0</v>
      </c>
      <c r="DO231" s="34">
        <v>0</v>
      </c>
      <c r="DP231" s="34">
        <v>0</v>
      </c>
      <c r="DQ231" s="34">
        <v>0</v>
      </c>
      <c r="DR231" s="34">
        <v>0</v>
      </c>
    </row>
    <row r="232" spans="1:122" s="13" customFormat="1" hidden="1" outlineLevel="1" x14ac:dyDescent="0.35">
      <c r="A232" s="14">
        <v>93</v>
      </c>
      <c r="B232" s="34">
        <v>0</v>
      </c>
      <c r="C232" s="34">
        <v>0</v>
      </c>
      <c r="D232" s="34">
        <v>0</v>
      </c>
      <c r="E232" s="34">
        <v>0</v>
      </c>
      <c r="F232" s="34">
        <v>0</v>
      </c>
      <c r="G232" s="34">
        <v>0</v>
      </c>
      <c r="H232" s="34">
        <v>0</v>
      </c>
      <c r="I232" s="34">
        <v>0</v>
      </c>
      <c r="J232" s="34">
        <v>0</v>
      </c>
      <c r="K232" s="34">
        <v>0</v>
      </c>
      <c r="L232" s="34">
        <v>0</v>
      </c>
      <c r="M232" s="34">
        <v>0</v>
      </c>
      <c r="N232" s="34">
        <v>0</v>
      </c>
      <c r="O232" s="34">
        <v>0</v>
      </c>
      <c r="P232" s="34">
        <v>0</v>
      </c>
      <c r="Q232" s="34">
        <v>0</v>
      </c>
      <c r="R232" s="34">
        <v>0</v>
      </c>
      <c r="S232" s="34">
        <v>0</v>
      </c>
      <c r="T232" s="34">
        <v>0</v>
      </c>
      <c r="U232" s="34">
        <v>0</v>
      </c>
      <c r="V232" s="34">
        <v>0</v>
      </c>
      <c r="W232" s="34">
        <v>0</v>
      </c>
      <c r="X232" s="34">
        <v>0</v>
      </c>
      <c r="Y232" s="34">
        <v>0</v>
      </c>
      <c r="Z232" s="34">
        <v>0</v>
      </c>
      <c r="AA232" s="34">
        <v>0</v>
      </c>
      <c r="AB232" s="34">
        <v>0</v>
      </c>
      <c r="AC232" s="34">
        <v>0</v>
      </c>
      <c r="AD232" s="34">
        <v>0</v>
      </c>
      <c r="AE232" s="34">
        <v>0</v>
      </c>
      <c r="AF232" s="34">
        <v>0</v>
      </c>
      <c r="AG232" s="34">
        <v>0</v>
      </c>
      <c r="AH232" s="34">
        <v>0</v>
      </c>
      <c r="AI232" s="34">
        <v>0</v>
      </c>
      <c r="AJ232" s="34">
        <v>0</v>
      </c>
      <c r="AK232" s="34">
        <v>0</v>
      </c>
      <c r="AL232" s="34">
        <v>0</v>
      </c>
      <c r="AM232" s="34">
        <v>0</v>
      </c>
      <c r="AN232" s="34">
        <v>0</v>
      </c>
      <c r="AO232" s="34">
        <v>0</v>
      </c>
      <c r="AP232" s="34">
        <v>0</v>
      </c>
      <c r="AQ232" s="34">
        <v>0</v>
      </c>
      <c r="AR232" s="34">
        <v>0</v>
      </c>
      <c r="AS232" s="34">
        <v>0</v>
      </c>
      <c r="AT232" s="34">
        <v>0</v>
      </c>
      <c r="AU232" s="34">
        <v>0</v>
      </c>
      <c r="AV232" s="34">
        <v>0</v>
      </c>
      <c r="AW232" s="34">
        <v>0</v>
      </c>
      <c r="AX232" s="34">
        <v>0</v>
      </c>
      <c r="AY232" s="34">
        <v>0</v>
      </c>
      <c r="AZ232" s="34">
        <v>0</v>
      </c>
      <c r="BA232" s="34">
        <v>0</v>
      </c>
      <c r="BB232" s="34">
        <v>0</v>
      </c>
      <c r="BC232" s="34">
        <v>0</v>
      </c>
      <c r="BD232" s="34">
        <v>0</v>
      </c>
      <c r="BE232" s="34">
        <v>0</v>
      </c>
      <c r="BF232" s="34">
        <v>0</v>
      </c>
      <c r="BG232" s="34">
        <v>0</v>
      </c>
      <c r="BH232" s="34">
        <v>0</v>
      </c>
      <c r="BI232" s="34">
        <v>0</v>
      </c>
      <c r="BJ232" s="34">
        <v>0</v>
      </c>
      <c r="BK232" s="34">
        <v>0</v>
      </c>
      <c r="BL232" s="34">
        <v>0</v>
      </c>
      <c r="BM232" s="34">
        <v>0</v>
      </c>
      <c r="BN232" s="34">
        <v>0</v>
      </c>
      <c r="BO232" s="34">
        <v>0</v>
      </c>
      <c r="BP232" s="34">
        <v>0</v>
      </c>
      <c r="BQ232" s="34">
        <v>0</v>
      </c>
      <c r="BR232" s="34">
        <v>0</v>
      </c>
      <c r="BS232" s="34">
        <v>0</v>
      </c>
      <c r="BT232" s="34">
        <v>0</v>
      </c>
      <c r="BU232" s="34">
        <v>0</v>
      </c>
      <c r="BV232" s="34">
        <v>0</v>
      </c>
      <c r="BW232" s="34">
        <v>0</v>
      </c>
      <c r="BX232" s="34">
        <v>0</v>
      </c>
      <c r="BY232" s="34">
        <v>0</v>
      </c>
      <c r="BZ232" s="34">
        <v>0</v>
      </c>
      <c r="CA232" s="34">
        <v>0</v>
      </c>
      <c r="CB232" s="34">
        <v>0</v>
      </c>
      <c r="CC232" s="34">
        <v>0</v>
      </c>
      <c r="CD232" s="34">
        <v>0</v>
      </c>
      <c r="CE232" s="34">
        <v>0</v>
      </c>
      <c r="CF232" s="34">
        <v>0</v>
      </c>
      <c r="CG232" s="34">
        <v>0</v>
      </c>
      <c r="CH232" s="34">
        <v>0</v>
      </c>
      <c r="CI232" s="34">
        <v>0</v>
      </c>
      <c r="CJ232" s="34">
        <v>0</v>
      </c>
      <c r="CK232" s="34">
        <v>0</v>
      </c>
      <c r="CL232" s="34">
        <v>0</v>
      </c>
      <c r="CM232" s="34">
        <v>0</v>
      </c>
      <c r="CN232" s="34">
        <v>0</v>
      </c>
      <c r="CO232" s="34">
        <v>0</v>
      </c>
      <c r="CP232" s="34">
        <v>0</v>
      </c>
      <c r="CQ232" s="34">
        <v>0</v>
      </c>
      <c r="CR232" s="34">
        <v>0</v>
      </c>
      <c r="CS232" s="34">
        <v>0</v>
      </c>
      <c r="CT232" s="34">
        <v>0</v>
      </c>
      <c r="CU232" s="34">
        <v>0</v>
      </c>
      <c r="CV232" s="34">
        <v>0</v>
      </c>
      <c r="CW232" s="34">
        <v>0</v>
      </c>
      <c r="CX232" s="34">
        <v>0</v>
      </c>
      <c r="CY232" s="34">
        <v>0</v>
      </c>
      <c r="CZ232" s="34">
        <v>0</v>
      </c>
      <c r="DA232" s="34">
        <v>0</v>
      </c>
      <c r="DB232" s="34">
        <v>0</v>
      </c>
      <c r="DC232" s="34">
        <v>0</v>
      </c>
      <c r="DD232" s="34">
        <v>0</v>
      </c>
      <c r="DE232" s="34">
        <v>0</v>
      </c>
      <c r="DF232" s="34">
        <v>0</v>
      </c>
      <c r="DG232" s="34">
        <v>0</v>
      </c>
      <c r="DH232" s="34">
        <v>0</v>
      </c>
      <c r="DI232" s="34">
        <v>0</v>
      </c>
      <c r="DJ232" s="34">
        <v>0</v>
      </c>
      <c r="DK232" s="34">
        <v>0</v>
      </c>
      <c r="DL232" s="34">
        <v>0</v>
      </c>
      <c r="DM232" s="34">
        <v>0</v>
      </c>
      <c r="DN232" s="34">
        <v>0</v>
      </c>
      <c r="DO232" s="34">
        <v>0</v>
      </c>
      <c r="DP232" s="34">
        <v>0</v>
      </c>
      <c r="DQ232" s="34">
        <v>0</v>
      </c>
      <c r="DR232" s="34">
        <v>0</v>
      </c>
    </row>
    <row r="233" spans="1:122" s="13" customFormat="1" hidden="1" outlineLevel="1" x14ac:dyDescent="0.35">
      <c r="A233" s="14">
        <v>94</v>
      </c>
      <c r="B233" s="34">
        <v>0</v>
      </c>
      <c r="C233" s="34">
        <v>0</v>
      </c>
      <c r="D233" s="34">
        <v>0</v>
      </c>
      <c r="E233" s="34">
        <v>0</v>
      </c>
      <c r="F233" s="34">
        <v>0</v>
      </c>
      <c r="G233" s="34">
        <v>0</v>
      </c>
      <c r="H233" s="34">
        <v>0</v>
      </c>
      <c r="I233" s="34">
        <v>0</v>
      </c>
      <c r="J233" s="34">
        <v>0</v>
      </c>
      <c r="K233" s="34">
        <v>0</v>
      </c>
      <c r="L233" s="34">
        <v>0</v>
      </c>
      <c r="M233" s="34">
        <v>0</v>
      </c>
      <c r="N233" s="34">
        <v>0</v>
      </c>
      <c r="O233" s="34">
        <v>0</v>
      </c>
      <c r="P233" s="34">
        <v>0</v>
      </c>
      <c r="Q233" s="34">
        <v>0</v>
      </c>
      <c r="R233" s="34">
        <v>0</v>
      </c>
      <c r="S233" s="34">
        <v>0</v>
      </c>
      <c r="T233" s="34">
        <v>0</v>
      </c>
      <c r="U233" s="34">
        <v>0</v>
      </c>
      <c r="V233" s="34">
        <v>0</v>
      </c>
      <c r="W233" s="34">
        <v>0</v>
      </c>
      <c r="X233" s="34">
        <v>0</v>
      </c>
      <c r="Y233" s="34">
        <v>0</v>
      </c>
      <c r="Z233" s="34">
        <v>0</v>
      </c>
      <c r="AA233" s="34">
        <v>0</v>
      </c>
      <c r="AB233" s="34">
        <v>0</v>
      </c>
      <c r="AC233" s="34">
        <v>0</v>
      </c>
      <c r="AD233" s="34">
        <v>0</v>
      </c>
      <c r="AE233" s="34">
        <v>0</v>
      </c>
      <c r="AF233" s="34">
        <v>0</v>
      </c>
      <c r="AG233" s="34">
        <v>0</v>
      </c>
      <c r="AH233" s="34">
        <v>0</v>
      </c>
      <c r="AI233" s="34">
        <v>0</v>
      </c>
      <c r="AJ233" s="34">
        <v>0</v>
      </c>
      <c r="AK233" s="34">
        <v>0</v>
      </c>
      <c r="AL233" s="34">
        <v>0</v>
      </c>
      <c r="AM233" s="34">
        <v>0</v>
      </c>
      <c r="AN233" s="34">
        <v>0</v>
      </c>
      <c r="AO233" s="34">
        <v>0</v>
      </c>
      <c r="AP233" s="34">
        <v>0</v>
      </c>
      <c r="AQ233" s="34">
        <v>0</v>
      </c>
      <c r="AR233" s="34">
        <v>0</v>
      </c>
      <c r="AS233" s="34">
        <v>0</v>
      </c>
      <c r="AT233" s="34">
        <v>0</v>
      </c>
      <c r="AU233" s="34">
        <v>0</v>
      </c>
      <c r="AV233" s="34">
        <v>0</v>
      </c>
      <c r="AW233" s="34">
        <v>0</v>
      </c>
      <c r="AX233" s="34">
        <v>0</v>
      </c>
      <c r="AY233" s="34">
        <v>0</v>
      </c>
      <c r="AZ233" s="34">
        <v>0</v>
      </c>
      <c r="BA233" s="34">
        <v>0</v>
      </c>
      <c r="BB233" s="34">
        <v>0</v>
      </c>
      <c r="BC233" s="34">
        <v>0</v>
      </c>
      <c r="BD233" s="34">
        <v>0</v>
      </c>
      <c r="BE233" s="34">
        <v>0</v>
      </c>
      <c r="BF233" s="34">
        <v>0</v>
      </c>
      <c r="BG233" s="34">
        <v>0</v>
      </c>
      <c r="BH233" s="34">
        <v>0</v>
      </c>
      <c r="BI233" s="34">
        <v>0</v>
      </c>
      <c r="BJ233" s="34">
        <v>0</v>
      </c>
      <c r="BK233" s="34">
        <v>0</v>
      </c>
      <c r="BL233" s="34">
        <v>0</v>
      </c>
      <c r="BM233" s="34">
        <v>0</v>
      </c>
      <c r="BN233" s="34">
        <v>0</v>
      </c>
      <c r="BO233" s="34">
        <v>0</v>
      </c>
      <c r="BP233" s="34">
        <v>0</v>
      </c>
      <c r="BQ233" s="34">
        <v>0</v>
      </c>
      <c r="BR233" s="34">
        <v>0</v>
      </c>
      <c r="BS233" s="34">
        <v>0</v>
      </c>
      <c r="BT233" s="34">
        <v>0</v>
      </c>
      <c r="BU233" s="34">
        <v>0</v>
      </c>
      <c r="BV233" s="34">
        <v>0</v>
      </c>
      <c r="BW233" s="34">
        <v>0</v>
      </c>
      <c r="BX233" s="34">
        <v>0</v>
      </c>
      <c r="BY233" s="34">
        <v>0</v>
      </c>
      <c r="BZ233" s="34">
        <v>0</v>
      </c>
      <c r="CA233" s="34">
        <v>0</v>
      </c>
      <c r="CB233" s="34">
        <v>0</v>
      </c>
      <c r="CC233" s="34">
        <v>0</v>
      </c>
      <c r="CD233" s="34">
        <v>0</v>
      </c>
      <c r="CE233" s="34">
        <v>0</v>
      </c>
      <c r="CF233" s="34">
        <v>0</v>
      </c>
      <c r="CG233" s="34">
        <v>0</v>
      </c>
      <c r="CH233" s="34">
        <v>0</v>
      </c>
      <c r="CI233" s="34">
        <v>0</v>
      </c>
      <c r="CJ233" s="34">
        <v>0</v>
      </c>
      <c r="CK233" s="34">
        <v>0</v>
      </c>
      <c r="CL233" s="34">
        <v>0</v>
      </c>
      <c r="CM233" s="34">
        <v>0</v>
      </c>
      <c r="CN233" s="34">
        <v>0</v>
      </c>
      <c r="CO233" s="34">
        <v>0</v>
      </c>
      <c r="CP233" s="34">
        <v>0</v>
      </c>
      <c r="CQ233" s="34">
        <v>0</v>
      </c>
      <c r="CR233" s="34">
        <v>0</v>
      </c>
      <c r="CS233" s="34">
        <v>0</v>
      </c>
      <c r="CT233" s="34">
        <v>0</v>
      </c>
      <c r="CU233" s="34">
        <v>0</v>
      </c>
      <c r="CV233" s="34">
        <v>0</v>
      </c>
      <c r="CW233" s="34">
        <v>0</v>
      </c>
      <c r="CX233" s="34">
        <v>0</v>
      </c>
      <c r="CY233" s="34">
        <v>0</v>
      </c>
      <c r="CZ233" s="34">
        <v>0</v>
      </c>
      <c r="DA233" s="34">
        <v>0</v>
      </c>
      <c r="DB233" s="34">
        <v>0</v>
      </c>
      <c r="DC233" s="34">
        <v>0</v>
      </c>
      <c r="DD233" s="34">
        <v>0</v>
      </c>
      <c r="DE233" s="34">
        <v>0</v>
      </c>
      <c r="DF233" s="34">
        <v>0</v>
      </c>
      <c r="DG233" s="34">
        <v>0</v>
      </c>
      <c r="DH233" s="34">
        <v>0</v>
      </c>
      <c r="DI233" s="34">
        <v>0</v>
      </c>
      <c r="DJ233" s="34">
        <v>0</v>
      </c>
      <c r="DK233" s="34">
        <v>0</v>
      </c>
      <c r="DL233" s="34">
        <v>0</v>
      </c>
      <c r="DM233" s="34">
        <v>0</v>
      </c>
      <c r="DN233" s="34">
        <v>0</v>
      </c>
      <c r="DO233" s="34">
        <v>0</v>
      </c>
      <c r="DP233" s="34">
        <v>0</v>
      </c>
      <c r="DQ233" s="34">
        <v>0</v>
      </c>
      <c r="DR233" s="34">
        <v>0</v>
      </c>
    </row>
    <row r="234" spans="1:122" s="13" customFormat="1" hidden="1" outlineLevel="1" x14ac:dyDescent="0.35">
      <c r="A234" s="14">
        <v>95</v>
      </c>
      <c r="B234" s="34">
        <v>0</v>
      </c>
      <c r="C234" s="34">
        <v>0</v>
      </c>
      <c r="D234" s="34">
        <v>0</v>
      </c>
      <c r="E234" s="34">
        <v>0</v>
      </c>
      <c r="F234" s="34">
        <v>0</v>
      </c>
      <c r="G234" s="34">
        <v>0</v>
      </c>
      <c r="H234" s="34">
        <v>0</v>
      </c>
      <c r="I234" s="34">
        <v>0</v>
      </c>
      <c r="J234" s="34">
        <v>0</v>
      </c>
      <c r="K234" s="34">
        <v>0</v>
      </c>
      <c r="L234" s="34">
        <v>0</v>
      </c>
      <c r="M234" s="34">
        <v>0</v>
      </c>
      <c r="N234" s="34">
        <v>0</v>
      </c>
      <c r="O234" s="34">
        <v>0</v>
      </c>
      <c r="P234" s="34">
        <v>0</v>
      </c>
      <c r="Q234" s="34">
        <v>0</v>
      </c>
      <c r="R234" s="34">
        <v>0</v>
      </c>
      <c r="S234" s="34">
        <v>0</v>
      </c>
      <c r="T234" s="34">
        <v>0</v>
      </c>
      <c r="U234" s="34">
        <v>0</v>
      </c>
      <c r="V234" s="34">
        <v>0</v>
      </c>
      <c r="W234" s="34">
        <v>0</v>
      </c>
      <c r="X234" s="34">
        <v>0</v>
      </c>
      <c r="Y234" s="34">
        <v>0</v>
      </c>
      <c r="Z234" s="34">
        <v>0</v>
      </c>
      <c r="AA234" s="34">
        <v>0</v>
      </c>
      <c r="AB234" s="34">
        <v>0</v>
      </c>
      <c r="AC234" s="34">
        <v>0</v>
      </c>
      <c r="AD234" s="34">
        <v>0</v>
      </c>
      <c r="AE234" s="34">
        <v>0</v>
      </c>
      <c r="AF234" s="34">
        <v>0</v>
      </c>
      <c r="AG234" s="34">
        <v>0</v>
      </c>
      <c r="AH234" s="34">
        <v>0</v>
      </c>
      <c r="AI234" s="34">
        <v>0</v>
      </c>
      <c r="AJ234" s="34">
        <v>0</v>
      </c>
      <c r="AK234" s="34">
        <v>0</v>
      </c>
      <c r="AL234" s="34">
        <v>0</v>
      </c>
      <c r="AM234" s="34">
        <v>0</v>
      </c>
      <c r="AN234" s="34">
        <v>0</v>
      </c>
      <c r="AO234" s="34">
        <v>0</v>
      </c>
      <c r="AP234" s="34">
        <v>0</v>
      </c>
      <c r="AQ234" s="34">
        <v>0</v>
      </c>
      <c r="AR234" s="34">
        <v>0</v>
      </c>
      <c r="AS234" s="34">
        <v>0</v>
      </c>
      <c r="AT234" s="34">
        <v>0</v>
      </c>
      <c r="AU234" s="34">
        <v>0</v>
      </c>
      <c r="AV234" s="34">
        <v>0</v>
      </c>
      <c r="AW234" s="34">
        <v>0</v>
      </c>
      <c r="AX234" s="34">
        <v>0</v>
      </c>
      <c r="AY234" s="34">
        <v>0</v>
      </c>
      <c r="AZ234" s="34">
        <v>0</v>
      </c>
      <c r="BA234" s="34">
        <v>0</v>
      </c>
      <c r="BB234" s="34">
        <v>0</v>
      </c>
      <c r="BC234" s="34">
        <v>0</v>
      </c>
      <c r="BD234" s="34">
        <v>0</v>
      </c>
      <c r="BE234" s="34">
        <v>0</v>
      </c>
      <c r="BF234" s="34">
        <v>0</v>
      </c>
      <c r="BG234" s="34">
        <v>0</v>
      </c>
      <c r="BH234" s="34">
        <v>0</v>
      </c>
      <c r="BI234" s="34">
        <v>0</v>
      </c>
      <c r="BJ234" s="34">
        <v>0</v>
      </c>
      <c r="BK234" s="34">
        <v>0</v>
      </c>
      <c r="BL234" s="34">
        <v>0</v>
      </c>
      <c r="BM234" s="34">
        <v>0</v>
      </c>
      <c r="BN234" s="34">
        <v>0</v>
      </c>
      <c r="BO234" s="34">
        <v>0</v>
      </c>
      <c r="BP234" s="34">
        <v>0</v>
      </c>
      <c r="BQ234" s="34">
        <v>0</v>
      </c>
      <c r="BR234" s="34">
        <v>0</v>
      </c>
      <c r="BS234" s="34">
        <v>0</v>
      </c>
      <c r="BT234" s="34">
        <v>0</v>
      </c>
      <c r="BU234" s="34">
        <v>0</v>
      </c>
      <c r="BV234" s="34">
        <v>0</v>
      </c>
      <c r="BW234" s="34">
        <v>0</v>
      </c>
      <c r="BX234" s="34">
        <v>0</v>
      </c>
      <c r="BY234" s="34">
        <v>0</v>
      </c>
      <c r="BZ234" s="34">
        <v>0</v>
      </c>
      <c r="CA234" s="34">
        <v>0</v>
      </c>
      <c r="CB234" s="34">
        <v>0</v>
      </c>
      <c r="CC234" s="34">
        <v>0</v>
      </c>
      <c r="CD234" s="34">
        <v>0</v>
      </c>
      <c r="CE234" s="34">
        <v>0</v>
      </c>
      <c r="CF234" s="34">
        <v>0</v>
      </c>
      <c r="CG234" s="34">
        <v>0</v>
      </c>
      <c r="CH234" s="34">
        <v>0</v>
      </c>
      <c r="CI234" s="34">
        <v>0</v>
      </c>
      <c r="CJ234" s="34">
        <v>0</v>
      </c>
      <c r="CK234" s="34">
        <v>0</v>
      </c>
      <c r="CL234" s="34">
        <v>0</v>
      </c>
      <c r="CM234" s="34">
        <v>0</v>
      </c>
      <c r="CN234" s="34">
        <v>0</v>
      </c>
      <c r="CO234" s="34">
        <v>0</v>
      </c>
      <c r="CP234" s="34">
        <v>0</v>
      </c>
      <c r="CQ234" s="34">
        <v>0</v>
      </c>
      <c r="CR234" s="34">
        <v>0</v>
      </c>
      <c r="CS234" s="34">
        <v>0</v>
      </c>
      <c r="CT234" s="34">
        <v>0</v>
      </c>
      <c r="CU234" s="34">
        <v>0</v>
      </c>
      <c r="CV234" s="34">
        <v>0</v>
      </c>
      <c r="CW234" s="34">
        <v>0</v>
      </c>
      <c r="CX234" s="34">
        <v>0</v>
      </c>
      <c r="CY234" s="34">
        <v>0</v>
      </c>
      <c r="CZ234" s="34">
        <v>0</v>
      </c>
      <c r="DA234" s="34">
        <v>0</v>
      </c>
      <c r="DB234" s="34">
        <v>0</v>
      </c>
      <c r="DC234" s="34">
        <v>0</v>
      </c>
      <c r="DD234" s="34">
        <v>0</v>
      </c>
      <c r="DE234" s="34">
        <v>0</v>
      </c>
      <c r="DF234" s="34">
        <v>0</v>
      </c>
      <c r="DG234" s="34">
        <v>0</v>
      </c>
      <c r="DH234" s="34">
        <v>0</v>
      </c>
      <c r="DI234" s="34">
        <v>0</v>
      </c>
      <c r="DJ234" s="34">
        <v>0</v>
      </c>
      <c r="DK234" s="34">
        <v>0</v>
      </c>
      <c r="DL234" s="34">
        <v>0</v>
      </c>
      <c r="DM234" s="34">
        <v>0</v>
      </c>
      <c r="DN234" s="34">
        <v>0</v>
      </c>
      <c r="DO234" s="34">
        <v>0</v>
      </c>
      <c r="DP234" s="34">
        <v>0</v>
      </c>
      <c r="DQ234" s="34">
        <v>0</v>
      </c>
      <c r="DR234" s="34">
        <v>0</v>
      </c>
    </row>
    <row r="235" spans="1:122" s="13" customFormat="1" hidden="1" outlineLevel="1" x14ac:dyDescent="0.35">
      <c r="A235" s="14">
        <v>96</v>
      </c>
      <c r="B235" s="34">
        <v>0</v>
      </c>
      <c r="C235" s="34">
        <v>0</v>
      </c>
      <c r="D235" s="34">
        <v>0</v>
      </c>
      <c r="E235" s="34">
        <v>0</v>
      </c>
      <c r="F235" s="34">
        <v>0</v>
      </c>
      <c r="G235" s="34">
        <v>0</v>
      </c>
      <c r="H235" s="34">
        <v>0</v>
      </c>
      <c r="I235" s="34">
        <v>0</v>
      </c>
      <c r="J235" s="34">
        <v>0</v>
      </c>
      <c r="K235" s="34">
        <v>0</v>
      </c>
      <c r="L235" s="34">
        <v>0</v>
      </c>
      <c r="M235" s="34">
        <v>0</v>
      </c>
      <c r="N235" s="34">
        <v>0</v>
      </c>
      <c r="O235" s="34">
        <v>0</v>
      </c>
      <c r="P235" s="34">
        <v>0</v>
      </c>
      <c r="Q235" s="34">
        <v>0</v>
      </c>
      <c r="R235" s="34">
        <v>0</v>
      </c>
      <c r="S235" s="34">
        <v>0</v>
      </c>
      <c r="T235" s="34">
        <v>0</v>
      </c>
      <c r="U235" s="34">
        <v>0</v>
      </c>
      <c r="V235" s="34">
        <v>0</v>
      </c>
      <c r="W235" s="34">
        <v>0</v>
      </c>
      <c r="X235" s="34">
        <v>0</v>
      </c>
      <c r="Y235" s="34">
        <v>0</v>
      </c>
      <c r="Z235" s="34">
        <v>0</v>
      </c>
      <c r="AA235" s="34">
        <v>0</v>
      </c>
      <c r="AB235" s="34">
        <v>0</v>
      </c>
      <c r="AC235" s="34">
        <v>0</v>
      </c>
      <c r="AD235" s="34">
        <v>0</v>
      </c>
      <c r="AE235" s="34">
        <v>0</v>
      </c>
      <c r="AF235" s="34">
        <v>0</v>
      </c>
      <c r="AG235" s="34">
        <v>0</v>
      </c>
      <c r="AH235" s="34">
        <v>0</v>
      </c>
      <c r="AI235" s="34">
        <v>0</v>
      </c>
      <c r="AJ235" s="34">
        <v>0</v>
      </c>
      <c r="AK235" s="34">
        <v>0</v>
      </c>
      <c r="AL235" s="34">
        <v>0</v>
      </c>
      <c r="AM235" s="34">
        <v>0</v>
      </c>
      <c r="AN235" s="34">
        <v>0</v>
      </c>
      <c r="AO235" s="34">
        <v>0</v>
      </c>
      <c r="AP235" s="34">
        <v>0</v>
      </c>
      <c r="AQ235" s="34">
        <v>0</v>
      </c>
      <c r="AR235" s="34">
        <v>0</v>
      </c>
      <c r="AS235" s="34">
        <v>0</v>
      </c>
      <c r="AT235" s="34">
        <v>0</v>
      </c>
      <c r="AU235" s="34">
        <v>0</v>
      </c>
      <c r="AV235" s="34">
        <v>0</v>
      </c>
      <c r="AW235" s="34">
        <v>0</v>
      </c>
      <c r="AX235" s="34">
        <v>0</v>
      </c>
      <c r="AY235" s="34">
        <v>0</v>
      </c>
      <c r="AZ235" s="34">
        <v>0</v>
      </c>
      <c r="BA235" s="34">
        <v>0</v>
      </c>
      <c r="BB235" s="34">
        <v>0</v>
      </c>
      <c r="BC235" s="34">
        <v>0</v>
      </c>
      <c r="BD235" s="34">
        <v>0</v>
      </c>
      <c r="BE235" s="34">
        <v>0</v>
      </c>
      <c r="BF235" s="34">
        <v>0</v>
      </c>
      <c r="BG235" s="34">
        <v>0</v>
      </c>
      <c r="BH235" s="34">
        <v>0</v>
      </c>
      <c r="BI235" s="34">
        <v>0</v>
      </c>
      <c r="BJ235" s="34">
        <v>0</v>
      </c>
      <c r="BK235" s="34">
        <v>0</v>
      </c>
      <c r="BL235" s="34">
        <v>0</v>
      </c>
      <c r="BM235" s="34">
        <v>0</v>
      </c>
      <c r="BN235" s="34">
        <v>0</v>
      </c>
      <c r="BO235" s="34">
        <v>0</v>
      </c>
      <c r="BP235" s="34">
        <v>0</v>
      </c>
      <c r="BQ235" s="34">
        <v>0</v>
      </c>
      <c r="BR235" s="34">
        <v>0</v>
      </c>
      <c r="BS235" s="34">
        <v>0</v>
      </c>
      <c r="BT235" s="34">
        <v>0</v>
      </c>
      <c r="BU235" s="34">
        <v>0</v>
      </c>
      <c r="BV235" s="34">
        <v>0</v>
      </c>
      <c r="BW235" s="34">
        <v>0</v>
      </c>
      <c r="BX235" s="34">
        <v>0</v>
      </c>
      <c r="BY235" s="34">
        <v>0</v>
      </c>
      <c r="BZ235" s="34">
        <v>0</v>
      </c>
      <c r="CA235" s="34">
        <v>0</v>
      </c>
      <c r="CB235" s="34">
        <v>0</v>
      </c>
      <c r="CC235" s="34">
        <v>0</v>
      </c>
      <c r="CD235" s="34">
        <v>0</v>
      </c>
      <c r="CE235" s="34">
        <v>0</v>
      </c>
      <c r="CF235" s="34">
        <v>0</v>
      </c>
      <c r="CG235" s="34">
        <v>0</v>
      </c>
      <c r="CH235" s="34">
        <v>0</v>
      </c>
      <c r="CI235" s="34">
        <v>0</v>
      </c>
      <c r="CJ235" s="34">
        <v>0</v>
      </c>
      <c r="CK235" s="34">
        <v>0</v>
      </c>
      <c r="CL235" s="34">
        <v>0</v>
      </c>
      <c r="CM235" s="34">
        <v>0</v>
      </c>
      <c r="CN235" s="34">
        <v>0</v>
      </c>
      <c r="CO235" s="34">
        <v>0</v>
      </c>
      <c r="CP235" s="34">
        <v>0</v>
      </c>
      <c r="CQ235" s="34">
        <v>0</v>
      </c>
      <c r="CR235" s="34">
        <v>0</v>
      </c>
      <c r="CS235" s="34">
        <v>0</v>
      </c>
      <c r="CT235" s="34">
        <v>0</v>
      </c>
      <c r="CU235" s="34">
        <v>0</v>
      </c>
      <c r="CV235" s="34">
        <v>0</v>
      </c>
      <c r="CW235" s="34">
        <v>0</v>
      </c>
      <c r="CX235" s="34">
        <v>0</v>
      </c>
      <c r="CY235" s="34">
        <v>0</v>
      </c>
      <c r="CZ235" s="34">
        <v>0</v>
      </c>
      <c r="DA235" s="34">
        <v>0</v>
      </c>
      <c r="DB235" s="34">
        <v>0</v>
      </c>
      <c r="DC235" s="34">
        <v>0</v>
      </c>
      <c r="DD235" s="34">
        <v>0</v>
      </c>
      <c r="DE235" s="34">
        <v>0</v>
      </c>
      <c r="DF235" s="34">
        <v>0</v>
      </c>
      <c r="DG235" s="34">
        <v>0</v>
      </c>
      <c r="DH235" s="34">
        <v>0</v>
      </c>
      <c r="DI235" s="34">
        <v>0</v>
      </c>
      <c r="DJ235" s="34">
        <v>0</v>
      </c>
      <c r="DK235" s="34">
        <v>0</v>
      </c>
      <c r="DL235" s="34">
        <v>0</v>
      </c>
      <c r="DM235" s="34">
        <v>0</v>
      </c>
      <c r="DN235" s="34">
        <v>0</v>
      </c>
      <c r="DO235" s="34">
        <v>0</v>
      </c>
      <c r="DP235" s="34">
        <v>0</v>
      </c>
      <c r="DQ235" s="34">
        <v>0</v>
      </c>
      <c r="DR235" s="34">
        <v>0</v>
      </c>
    </row>
    <row r="236" spans="1:122" s="13" customFormat="1" hidden="1" outlineLevel="1" x14ac:dyDescent="0.35">
      <c r="A236" s="14">
        <v>97</v>
      </c>
      <c r="B236" s="34">
        <v>0</v>
      </c>
      <c r="C236" s="34">
        <v>0</v>
      </c>
      <c r="D236" s="34">
        <v>0</v>
      </c>
      <c r="E236" s="34">
        <v>0</v>
      </c>
      <c r="F236" s="34">
        <v>0</v>
      </c>
      <c r="G236" s="34">
        <v>0</v>
      </c>
      <c r="H236" s="34">
        <v>0</v>
      </c>
      <c r="I236" s="34">
        <v>0</v>
      </c>
      <c r="J236" s="34">
        <v>0</v>
      </c>
      <c r="K236" s="34">
        <v>0</v>
      </c>
      <c r="L236" s="34">
        <v>0</v>
      </c>
      <c r="M236" s="34">
        <v>0</v>
      </c>
      <c r="N236" s="34">
        <v>0</v>
      </c>
      <c r="O236" s="34">
        <v>0</v>
      </c>
      <c r="P236" s="34">
        <v>0</v>
      </c>
      <c r="Q236" s="34">
        <v>0</v>
      </c>
      <c r="R236" s="34">
        <v>0</v>
      </c>
      <c r="S236" s="34">
        <v>0</v>
      </c>
      <c r="T236" s="34">
        <v>0</v>
      </c>
      <c r="U236" s="34">
        <v>0</v>
      </c>
      <c r="V236" s="34">
        <v>0</v>
      </c>
      <c r="W236" s="34">
        <v>0</v>
      </c>
      <c r="X236" s="34">
        <v>0</v>
      </c>
      <c r="Y236" s="34">
        <v>0</v>
      </c>
      <c r="Z236" s="34">
        <v>0</v>
      </c>
      <c r="AA236" s="34">
        <v>0</v>
      </c>
      <c r="AB236" s="34">
        <v>0</v>
      </c>
      <c r="AC236" s="34">
        <v>0</v>
      </c>
      <c r="AD236" s="34">
        <v>0</v>
      </c>
      <c r="AE236" s="34">
        <v>0</v>
      </c>
      <c r="AF236" s="34">
        <v>0</v>
      </c>
      <c r="AG236" s="34">
        <v>0</v>
      </c>
      <c r="AH236" s="34">
        <v>0</v>
      </c>
      <c r="AI236" s="34">
        <v>0</v>
      </c>
      <c r="AJ236" s="34">
        <v>0</v>
      </c>
      <c r="AK236" s="34">
        <v>0</v>
      </c>
      <c r="AL236" s="34">
        <v>0</v>
      </c>
      <c r="AM236" s="34">
        <v>0</v>
      </c>
      <c r="AN236" s="34">
        <v>0</v>
      </c>
      <c r="AO236" s="34">
        <v>0</v>
      </c>
      <c r="AP236" s="34">
        <v>0</v>
      </c>
      <c r="AQ236" s="34">
        <v>0</v>
      </c>
      <c r="AR236" s="34">
        <v>0</v>
      </c>
      <c r="AS236" s="34">
        <v>0</v>
      </c>
      <c r="AT236" s="34">
        <v>0</v>
      </c>
      <c r="AU236" s="34">
        <v>0</v>
      </c>
      <c r="AV236" s="34">
        <v>0</v>
      </c>
      <c r="AW236" s="34">
        <v>0</v>
      </c>
      <c r="AX236" s="34">
        <v>0</v>
      </c>
      <c r="AY236" s="34">
        <v>0</v>
      </c>
      <c r="AZ236" s="34">
        <v>0</v>
      </c>
      <c r="BA236" s="34">
        <v>0</v>
      </c>
      <c r="BB236" s="34">
        <v>0</v>
      </c>
      <c r="BC236" s="34">
        <v>0</v>
      </c>
      <c r="BD236" s="34">
        <v>0</v>
      </c>
      <c r="BE236" s="34">
        <v>0</v>
      </c>
      <c r="BF236" s="34">
        <v>0</v>
      </c>
      <c r="BG236" s="34">
        <v>0</v>
      </c>
      <c r="BH236" s="34">
        <v>0</v>
      </c>
      <c r="BI236" s="34">
        <v>0</v>
      </c>
      <c r="BJ236" s="34">
        <v>0</v>
      </c>
      <c r="BK236" s="34">
        <v>0</v>
      </c>
      <c r="BL236" s="34">
        <v>0</v>
      </c>
      <c r="BM236" s="34">
        <v>0</v>
      </c>
      <c r="BN236" s="34">
        <v>0</v>
      </c>
      <c r="BO236" s="34">
        <v>0</v>
      </c>
      <c r="BP236" s="34">
        <v>0</v>
      </c>
      <c r="BQ236" s="34">
        <v>0</v>
      </c>
      <c r="BR236" s="34">
        <v>0</v>
      </c>
      <c r="BS236" s="34">
        <v>0</v>
      </c>
      <c r="BT236" s="34">
        <v>0</v>
      </c>
      <c r="BU236" s="34">
        <v>0</v>
      </c>
      <c r="BV236" s="34">
        <v>0</v>
      </c>
      <c r="BW236" s="34">
        <v>0</v>
      </c>
      <c r="BX236" s="34">
        <v>0</v>
      </c>
      <c r="BY236" s="34">
        <v>0</v>
      </c>
      <c r="BZ236" s="34">
        <v>0</v>
      </c>
      <c r="CA236" s="34">
        <v>0</v>
      </c>
      <c r="CB236" s="34">
        <v>0</v>
      </c>
      <c r="CC236" s="34">
        <v>0</v>
      </c>
      <c r="CD236" s="34">
        <v>0</v>
      </c>
      <c r="CE236" s="34">
        <v>0</v>
      </c>
      <c r="CF236" s="34">
        <v>0</v>
      </c>
      <c r="CG236" s="34">
        <v>0</v>
      </c>
      <c r="CH236" s="34">
        <v>0</v>
      </c>
      <c r="CI236" s="34">
        <v>0</v>
      </c>
      <c r="CJ236" s="34">
        <v>0</v>
      </c>
      <c r="CK236" s="34">
        <v>0</v>
      </c>
      <c r="CL236" s="34">
        <v>0</v>
      </c>
      <c r="CM236" s="34">
        <v>0</v>
      </c>
      <c r="CN236" s="34">
        <v>0</v>
      </c>
      <c r="CO236" s="34">
        <v>0</v>
      </c>
      <c r="CP236" s="34">
        <v>0</v>
      </c>
      <c r="CQ236" s="34">
        <v>0</v>
      </c>
      <c r="CR236" s="34">
        <v>0</v>
      </c>
      <c r="CS236" s="34">
        <v>0</v>
      </c>
      <c r="CT236" s="34">
        <v>0</v>
      </c>
      <c r="CU236" s="34">
        <v>0</v>
      </c>
      <c r="CV236" s="34">
        <v>0</v>
      </c>
      <c r="CW236" s="34">
        <v>0</v>
      </c>
      <c r="CX236" s="34">
        <v>0</v>
      </c>
      <c r="CY236" s="34">
        <v>0</v>
      </c>
      <c r="CZ236" s="34">
        <v>0</v>
      </c>
      <c r="DA236" s="34">
        <v>0</v>
      </c>
      <c r="DB236" s="34">
        <v>0</v>
      </c>
      <c r="DC236" s="34">
        <v>0</v>
      </c>
      <c r="DD236" s="34">
        <v>0</v>
      </c>
      <c r="DE236" s="34">
        <v>0</v>
      </c>
      <c r="DF236" s="34">
        <v>0</v>
      </c>
      <c r="DG236" s="34">
        <v>0</v>
      </c>
      <c r="DH236" s="34">
        <v>0</v>
      </c>
      <c r="DI236" s="34">
        <v>0</v>
      </c>
      <c r="DJ236" s="34">
        <v>0</v>
      </c>
      <c r="DK236" s="34">
        <v>0</v>
      </c>
      <c r="DL236" s="34">
        <v>0</v>
      </c>
      <c r="DM236" s="34">
        <v>0</v>
      </c>
      <c r="DN236" s="34">
        <v>0</v>
      </c>
      <c r="DO236" s="34">
        <v>0</v>
      </c>
      <c r="DP236" s="34">
        <v>0</v>
      </c>
      <c r="DQ236" s="34">
        <v>0</v>
      </c>
      <c r="DR236" s="34">
        <v>0</v>
      </c>
    </row>
    <row r="237" spans="1:122" s="13" customFormat="1" hidden="1" outlineLevel="1" x14ac:dyDescent="0.35">
      <c r="A237" s="14">
        <v>98</v>
      </c>
      <c r="B237" s="34">
        <v>0</v>
      </c>
      <c r="C237" s="34">
        <v>0</v>
      </c>
      <c r="D237" s="34">
        <v>0</v>
      </c>
      <c r="E237" s="34">
        <v>0</v>
      </c>
      <c r="F237" s="34">
        <v>0</v>
      </c>
      <c r="G237" s="34">
        <v>0</v>
      </c>
      <c r="H237" s="34">
        <v>0</v>
      </c>
      <c r="I237" s="34">
        <v>0</v>
      </c>
      <c r="J237" s="34">
        <v>0</v>
      </c>
      <c r="K237" s="34">
        <v>0</v>
      </c>
      <c r="L237" s="34">
        <v>0</v>
      </c>
      <c r="M237" s="34">
        <v>0</v>
      </c>
      <c r="N237" s="34">
        <v>0</v>
      </c>
      <c r="O237" s="34">
        <v>0</v>
      </c>
      <c r="P237" s="34">
        <v>0</v>
      </c>
      <c r="Q237" s="34">
        <v>0</v>
      </c>
      <c r="R237" s="34">
        <v>0</v>
      </c>
      <c r="S237" s="34">
        <v>0</v>
      </c>
      <c r="T237" s="34">
        <v>0</v>
      </c>
      <c r="U237" s="34">
        <v>0</v>
      </c>
      <c r="V237" s="34">
        <v>0</v>
      </c>
      <c r="W237" s="34">
        <v>0</v>
      </c>
      <c r="X237" s="34">
        <v>0</v>
      </c>
      <c r="Y237" s="34">
        <v>0</v>
      </c>
      <c r="Z237" s="34">
        <v>0</v>
      </c>
      <c r="AA237" s="34">
        <v>0</v>
      </c>
      <c r="AB237" s="34">
        <v>0</v>
      </c>
      <c r="AC237" s="34">
        <v>0</v>
      </c>
      <c r="AD237" s="34">
        <v>0</v>
      </c>
      <c r="AE237" s="34">
        <v>0</v>
      </c>
      <c r="AF237" s="34">
        <v>0</v>
      </c>
      <c r="AG237" s="34">
        <v>0</v>
      </c>
      <c r="AH237" s="34">
        <v>0</v>
      </c>
      <c r="AI237" s="34">
        <v>0</v>
      </c>
      <c r="AJ237" s="34">
        <v>0</v>
      </c>
      <c r="AK237" s="34">
        <v>0</v>
      </c>
      <c r="AL237" s="34">
        <v>0</v>
      </c>
      <c r="AM237" s="34">
        <v>0</v>
      </c>
      <c r="AN237" s="34">
        <v>0</v>
      </c>
      <c r="AO237" s="34">
        <v>0</v>
      </c>
      <c r="AP237" s="34">
        <v>0</v>
      </c>
      <c r="AQ237" s="34">
        <v>0</v>
      </c>
      <c r="AR237" s="34">
        <v>0</v>
      </c>
      <c r="AS237" s="34">
        <v>0</v>
      </c>
      <c r="AT237" s="34">
        <v>0</v>
      </c>
      <c r="AU237" s="34">
        <v>0</v>
      </c>
      <c r="AV237" s="34">
        <v>0</v>
      </c>
      <c r="AW237" s="34">
        <v>0</v>
      </c>
      <c r="AX237" s="34">
        <v>0</v>
      </c>
      <c r="AY237" s="34">
        <v>0</v>
      </c>
      <c r="AZ237" s="34">
        <v>0</v>
      </c>
      <c r="BA237" s="34">
        <v>0</v>
      </c>
      <c r="BB237" s="34">
        <v>0</v>
      </c>
      <c r="BC237" s="34">
        <v>0</v>
      </c>
      <c r="BD237" s="34">
        <v>0</v>
      </c>
      <c r="BE237" s="34">
        <v>0</v>
      </c>
      <c r="BF237" s="34">
        <v>0</v>
      </c>
      <c r="BG237" s="34">
        <v>0</v>
      </c>
      <c r="BH237" s="34">
        <v>0</v>
      </c>
      <c r="BI237" s="34">
        <v>0</v>
      </c>
      <c r="BJ237" s="34">
        <v>0</v>
      </c>
      <c r="BK237" s="34">
        <v>0</v>
      </c>
      <c r="BL237" s="34">
        <v>0</v>
      </c>
      <c r="BM237" s="34">
        <v>0</v>
      </c>
      <c r="BN237" s="34">
        <v>0</v>
      </c>
      <c r="BO237" s="34">
        <v>0</v>
      </c>
      <c r="BP237" s="34">
        <v>0</v>
      </c>
      <c r="BQ237" s="34">
        <v>0</v>
      </c>
      <c r="BR237" s="34">
        <v>0</v>
      </c>
      <c r="BS237" s="34">
        <v>0</v>
      </c>
      <c r="BT237" s="34">
        <v>0</v>
      </c>
      <c r="BU237" s="34">
        <v>0</v>
      </c>
      <c r="BV237" s="34">
        <v>0</v>
      </c>
      <c r="BW237" s="34">
        <v>0</v>
      </c>
      <c r="BX237" s="34">
        <v>0</v>
      </c>
      <c r="BY237" s="34">
        <v>0</v>
      </c>
      <c r="BZ237" s="34">
        <v>0</v>
      </c>
      <c r="CA237" s="34">
        <v>0</v>
      </c>
      <c r="CB237" s="34">
        <v>0</v>
      </c>
      <c r="CC237" s="34">
        <v>0</v>
      </c>
      <c r="CD237" s="34">
        <v>0</v>
      </c>
      <c r="CE237" s="34">
        <v>0</v>
      </c>
      <c r="CF237" s="34">
        <v>0</v>
      </c>
      <c r="CG237" s="34">
        <v>0</v>
      </c>
      <c r="CH237" s="34">
        <v>0</v>
      </c>
      <c r="CI237" s="34">
        <v>0</v>
      </c>
      <c r="CJ237" s="34">
        <v>0</v>
      </c>
      <c r="CK237" s="34">
        <v>0</v>
      </c>
      <c r="CL237" s="34">
        <v>0</v>
      </c>
      <c r="CM237" s="34">
        <v>0</v>
      </c>
      <c r="CN237" s="34">
        <v>0</v>
      </c>
      <c r="CO237" s="34">
        <v>0</v>
      </c>
      <c r="CP237" s="34">
        <v>0</v>
      </c>
      <c r="CQ237" s="34">
        <v>0</v>
      </c>
      <c r="CR237" s="34">
        <v>0</v>
      </c>
      <c r="CS237" s="34">
        <v>0</v>
      </c>
      <c r="CT237" s="34">
        <v>0</v>
      </c>
      <c r="CU237" s="34">
        <v>0</v>
      </c>
      <c r="CV237" s="34">
        <v>0</v>
      </c>
      <c r="CW237" s="34">
        <v>0</v>
      </c>
      <c r="CX237" s="34">
        <v>0</v>
      </c>
      <c r="CY237" s="34">
        <v>0</v>
      </c>
      <c r="CZ237" s="34">
        <v>0</v>
      </c>
      <c r="DA237" s="34">
        <v>0</v>
      </c>
      <c r="DB237" s="34">
        <v>0</v>
      </c>
      <c r="DC237" s="34">
        <v>0</v>
      </c>
      <c r="DD237" s="34">
        <v>0</v>
      </c>
      <c r="DE237" s="34">
        <v>0</v>
      </c>
      <c r="DF237" s="34">
        <v>0</v>
      </c>
      <c r="DG237" s="34">
        <v>0</v>
      </c>
      <c r="DH237" s="34">
        <v>0</v>
      </c>
      <c r="DI237" s="34">
        <v>0</v>
      </c>
      <c r="DJ237" s="34">
        <v>0</v>
      </c>
      <c r="DK237" s="34">
        <v>0</v>
      </c>
      <c r="DL237" s="34">
        <v>0</v>
      </c>
      <c r="DM237" s="34">
        <v>0</v>
      </c>
      <c r="DN237" s="34">
        <v>0</v>
      </c>
      <c r="DO237" s="34">
        <v>0</v>
      </c>
      <c r="DP237" s="34">
        <v>0</v>
      </c>
      <c r="DQ237" s="34">
        <v>0</v>
      </c>
      <c r="DR237" s="34">
        <v>0</v>
      </c>
    </row>
    <row r="238" spans="1:122" s="13" customFormat="1" hidden="1" outlineLevel="1" x14ac:dyDescent="0.35">
      <c r="A238" s="14">
        <v>99</v>
      </c>
      <c r="B238" s="34">
        <v>0</v>
      </c>
      <c r="C238" s="34">
        <v>0</v>
      </c>
      <c r="D238" s="34">
        <v>0</v>
      </c>
      <c r="E238" s="34">
        <v>0</v>
      </c>
      <c r="F238" s="34">
        <v>0</v>
      </c>
      <c r="G238" s="34">
        <v>0</v>
      </c>
      <c r="H238" s="34">
        <v>0</v>
      </c>
      <c r="I238" s="34">
        <v>0</v>
      </c>
      <c r="J238" s="34">
        <v>0</v>
      </c>
      <c r="K238" s="34">
        <v>0</v>
      </c>
      <c r="L238" s="34">
        <v>0</v>
      </c>
      <c r="M238" s="34">
        <v>0</v>
      </c>
      <c r="N238" s="34">
        <v>0</v>
      </c>
      <c r="O238" s="34">
        <v>0</v>
      </c>
      <c r="P238" s="34">
        <v>0</v>
      </c>
      <c r="Q238" s="34">
        <v>0</v>
      </c>
      <c r="R238" s="34">
        <v>0</v>
      </c>
      <c r="S238" s="34">
        <v>0</v>
      </c>
      <c r="T238" s="34">
        <v>0</v>
      </c>
      <c r="U238" s="34">
        <v>0</v>
      </c>
      <c r="V238" s="34">
        <v>0</v>
      </c>
      <c r="W238" s="34">
        <v>0</v>
      </c>
      <c r="X238" s="34">
        <v>0</v>
      </c>
      <c r="Y238" s="34">
        <v>0</v>
      </c>
      <c r="Z238" s="34">
        <v>0</v>
      </c>
      <c r="AA238" s="34">
        <v>0</v>
      </c>
      <c r="AB238" s="34">
        <v>0</v>
      </c>
      <c r="AC238" s="34">
        <v>0</v>
      </c>
      <c r="AD238" s="34">
        <v>0</v>
      </c>
      <c r="AE238" s="34">
        <v>0</v>
      </c>
      <c r="AF238" s="34">
        <v>0</v>
      </c>
      <c r="AG238" s="34">
        <v>0</v>
      </c>
      <c r="AH238" s="34">
        <v>0</v>
      </c>
      <c r="AI238" s="34">
        <v>0</v>
      </c>
      <c r="AJ238" s="34">
        <v>0</v>
      </c>
      <c r="AK238" s="34">
        <v>0</v>
      </c>
      <c r="AL238" s="34">
        <v>0</v>
      </c>
      <c r="AM238" s="34">
        <v>0</v>
      </c>
      <c r="AN238" s="34">
        <v>0</v>
      </c>
      <c r="AO238" s="34">
        <v>0</v>
      </c>
      <c r="AP238" s="34">
        <v>0</v>
      </c>
      <c r="AQ238" s="34">
        <v>0</v>
      </c>
      <c r="AR238" s="34">
        <v>0</v>
      </c>
      <c r="AS238" s="34">
        <v>0</v>
      </c>
      <c r="AT238" s="34">
        <v>0</v>
      </c>
      <c r="AU238" s="34">
        <v>0</v>
      </c>
      <c r="AV238" s="34">
        <v>0</v>
      </c>
      <c r="AW238" s="34">
        <v>0</v>
      </c>
      <c r="AX238" s="34">
        <v>0</v>
      </c>
      <c r="AY238" s="34">
        <v>0</v>
      </c>
      <c r="AZ238" s="34">
        <v>0</v>
      </c>
      <c r="BA238" s="34">
        <v>0</v>
      </c>
      <c r="BB238" s="34">
        <v>0</v>
      </c>
      <c r="BC238" s="34">
        <v>0</v>
      </c>
      <c r="BD238" s="34">
        <v>0</v>
      </c>
      <c r="BE238" s="34">
        <v>0</v>
      </c>
      <c r="BF238" s="34">
        <v>0</v>
      </c>
      <c r="BG238" s="34">
        <v>0</v>
      </c>
      <c r="BH238" s="34">
        <v>0</v>
      </c>
      <c r="BI238" s="34">
        <v>0</v>
      </c>
      <c r="BJ238" s="34">
        <v>0</v>
      </c>
      <c r="BK238" s="34">
        <v>0</v>
      </c>
      <c r="BL238" s="34">
        <v>0</v>
      </c>
      <c r="BM238" s="34">
        <v>0</v>
      </c>
      <c r="BN238" s="34">
        <v>0</v>
      </c>
      <c r="BO238" s="34">
        <v>0</v>
      </c>
      <c r="BP238" s="34">
        <v>0</v>
      </c>
      <c r="BQ238" s="34">
        <v>0</v>
      </c>
      <c r="BR238" s="34">
        <v>0</v>
      </c>
      <c r="BS238" s="34">
        <v>0</v>
      </c>
      <c r="BT238" s="34">
        <v>0</v>
      </c>
      <c r="BU238" s="34">
        <v>0</v>
      </c>
      <c r="BV238" s="34">
        <v>0</v>
      </c>
      <c r="BW238" s="34">
        <v>0</v>
      </c>
      <c r="BX238" s="34">
        <v>0</v>
      </c>
      <c r="BY238" s="34">
        <v>0</v>
      </c>
      <c r="BZ238" s="34">
        <v>0</v>
      </c>
      <c r="CA238" s="34">
        <v>0</v>
      </c>
      <c r="CB238" s="34">
        <v>0</v>
      </c>
      <c r="CC238" s="34">
        <v>0</v>
      </c>
      <c r="CD238" s="34">
        <v>0</v>
      </c>
      <c r="CE238" s="34">
        <v>0</v>
      </c>
      <c r="CF238" s="34">
        <v>0</v>
      </c>
      <c r="CG238" s="34">
        <v>0</v>
      </c>
      <c r="CH238" s="34">
        <v>0</v>
      </c>
      <c r="CI238" s="34">
        <v>0</v>
      </c>
      <c r="CJ238" s="34">
        <v>0</v>
      </c>
      <c r="CK238" s="34">
        <v>0</v>
      </c>
      <c r="CL238" s="34">
        <v>0</v>
      </c>
      <c r="CM238" s="34">
        <v>0</v>
      </c>
      <c r="CN238" s="34">
        <v>0</v>
      </c>
      <c r="CO238" s="34">
        <v>0</v>
      </c>
      <c r="CP238" s="34">
        <v>0</v>
      </c>
      <c r="CQ238" s="34">
        <v>0</v>
      </c>
      <c r="CR238" s="34">
        <v>0</v>
      </c>
      <c r="CS238" s="34">
        <v>0</v>
      </c>
      <c r="CT238" s="34">
        <v>0</v>
      </c>
      <c r="CU238" s="34">
        <v>0</v>
      </c>
      <c r="CV238" s="34">
        <v>0</v>
      </c>
      <c r="CW238" s="34">
        <v>0</v>
      </c>
      <c r="CX238" s="34">
        <v>0</v>
      </c>
      <c r="CY238" s="34">
        <v>0</v>
      </c>
      <c r="CZ238" s="34">
        <v>0</v>
      </c>
      <c r="DA238" s="34">
        <v>0</v>
      </c>
      <c r="DB238" s="34">
        <v>0</v>
      </c>
      <c r="DC238" s="34">
        <v>0</v>
      </c>
      <c r="DD238" s="34">
        <v>0</v>
      </c>
      <c r="DE238" s="34">
        <v>0</v>
      </c>
      <c r="DF238" s="34">
        <v>0</v>
      </c>
      <c r="DG238" s="34">
        <v>0</v>
      </c>
      <c r="DH238" s="34">
        <v>0</v>
      </c>
      <c r="DI238" s="34">
        <v>0</v>
      </c>
      <c r="DJ238" s="34">
        <v>0</v>
      </c>
      <c r="DK238" s="34">
        <v>0</v>
      </c>
      <c r="DL238" s="34">
        <v>0</v>
      </c>
      <c r="DM238" s="34">
        <v>0</v>
      </c>
      <c r="DN238" s="34">
        <v>0</v>
      </c>
      <c r="DO238" s="34">
        <v>0</v>
      </c>
      <c r="DP238" s="34">
        <v>0</v>
      </c>
      <c r="DQ238" s="34">
        <v>0</v>
      </c>
      <c r="DR238" s="34">
        <v>0</v>
      </c>
    </row>
    <row r="239" spans="1:122" s="13" customFormat="1" hidden="1" outlineLevel="1" x14ac:dyDescent="0.35">
      <c r="A239" s="14">
        <v>100</v>
      </c>
      <c r="B239" s="34">
        <v>0</v>
      </c>
      <c r="C239" s="34">
        <v>0</v>
      </c>
      <c r="D239" s="34">
        <v>0</v>
      </c>
      <c r="E239" s="34">
        <v>0</v>
      </c>
      <c r="F239" s="34">
        <v>0</v>
      </c>
      <c r="G239" s="34">
        <v>0</v>
      </c>
      <c r="H239" s="34">
        <v>0</v>
      </c>
      <c r="I239" s="34">
        <v>0</v>
      </c>
      <c r="J239" s="34">
        <v>0</v>
      </c>
      <c r="K239" s="34">
        <v>0</v>
      </c>
      <c r="L239" s="34">
        <v>0</v>
      </c>
      <c r="M239" s="34">
        <v>0</v>
      </c>
      <c r="N239" s="34">
        <v>0</v>
      </c>
      <c r="O239" s="34">
        <v>0</v>
      </c>
      <c r="P239" s="34">
        <v>0</v>
      </c>
      <c r="Q239" s="34">
        <v>0</v>
      </c>
      <c r="R239" s="34">
        <v>0</v>
      </c>
      <c r="S239" s="34">
        <v>0</v>
      </c>
      <c r="T239" s="34">
        <v>0</v>
      </c>
      <c r="U239" s="34">
        <v>0</v>
      </c>
      <c r="V239" s="34">
        <v>0</v>
      </c>
      <c r="W239" s="34">
        <v>0</v>
      </c>
      <c r="X239" s="34">
        <v>0</v>
      </c>
      <c r="Y239" s="34">
        <v>0</v>
      </c>
      <c r="Z239" s="34">
        <v>0</v>
      </c>
      <c r="AA239" s="34">
        <v>0</v>
      </c>
      <c r="AB239" s="34">
        <v>0</v>
      </c>
      <c r="AC239" s="34">
        <v>0</v>
      </c>
      <c r="AD239" s="34">
        <v>0</v>
      </c>
      <c r="AE239" s="34">
        <v>0</v>
      </c>
      <c r="AF239" s="34">
        <v>0</v>
      </c>
      <c r="AG239" s="34">
        <v>0</v>
      </c>
      <c r="AH239" s="34">
        <v>0</v>
      </c>
      <c r="AI239" s="34">
        <v>0</v>
      </c>
      <c r="AJ239" s="34">
        <v>0</v>
      </c>
      <c r="AK239" s="34">
        <v>0</v>
      </c>
      <c r="AL239" s="34">
        <v>0</v>
      </c>
      <c r="AM239" s="34">
        <v>0</v>
      </c>
      <c r="AN239" s="34">
        <v>0</v>
      </c>
      <c r="AO239" s="34">
        <v>0</v>
      </c>
      <c r="AP239" s="34">
        <v>0</v>
      </c>
      <c r="AQ239" s="34">
        <v>0</v>
      </c>
      <c r="AR239" s="34">
        <v>0</v>
      </c>
      <c r="AS239" s="34">
        <v>0</v>
      </c>
      <c r="AT239" s="34">
        <v>0</v>
      </c>
      <c r="AU239" s="34">
        <v>0</v>
      </c>
      <c r="AV239" s="34">
        <v>0</v>
      </c>
      <c r="AW239" s="34">
        <v>0</v>
      </c>
      <c r="AX239" s="34">
        <v>0</v>
      </c>
      <c r="AY239" s="34">
        <v>0</v>
      </c>
      <c r="AZ239" s="34">
        <v>0</v>
      </c>
      <c r="BA239" s="34">
        <v>0</v>
      </c>
      <c r="BB239" s="34">
        <v>0</v>
      </c>
      <c r="BC239" s="34">
        <v>0</v>
      </c>
      <c r="BD239" s="34">
        <v>0</v>
      </c>
      <c r="BE239" s="34">
        <v>0</v>
      </c>
      <c r="BF239" s="34">
        <v>0</v>
      </c>
      <c r="BG239" s="34">
        <v>0</v>
      </c>
      <c r="BH239" s="34">
        <v>0</v>
      </c>
      <c r="BI239" s="34">
        <v>0</v>
      </c>
      <c r="BJ239" s="34">
        <v>0</v>
      </c>
      <c r="BK239" s="34">
        <v>0</v>
      </c>
      <c r="BL239" s="34">
        <v>0</v>
      </c>
      <c r="BM239" s="34">
        <v>0</v>
      </c>
      <c r="BN239" s="34">
        <v>0</v>
      </c>
      <c r="BO239" s="34">
        <v>0</v>
      </c>
      <c r="BP239" s="34">
        <v>0</v>
      </c>
      <c r="BQ239" s="34">
        <v>0</v>
      </c>
      <c r="BR239" s="34">
        <v>0</v>
      </c>
      <c r="BS239" s="34">
        <v>0</v>
      </c>
      <c r="BT239" s="34">
        <v>0</v>
      </c>
      <c r="BU239" s="34">
        <v>0</v>
      </c>
      <c r="BV239" s="34">
        <v>0</v>
      </c>
      <c r="BW239" s="34">
        <v>0</v>
      </c>
      <c r="BX239" s="34">
        <v>0</v>
      </c>
      <c r="BY239" s="34">
        <v>0</v>
      </c>
      <c r="BZ239" s="34">
        <v>0</v>
      </c>
      <c r="CA239" s="34">
        <v>0</v>
      </c>
      <c r="CB239" s="34">
        <v>0</v>
      </c>
      <c r="CC239" s="34">
        <v>0</v>
      </c>
      <c r="CD239" s="34">
        <v>0</v>
      </c>
      <c r="CE239" s="34">
        <v>0</v>
      </c>
      <c r="CF239" s="34">
        <v>0</v>
      </c>
      <c r="CG239" s="34">
        <v>0</v>
      </c>
      <c r="CH239" s="34">
        <v>0</v>
      </c>
      <c r="CI239" s="34">
        <v>0</v>
      </c>
      <c r="CJ239" s="34">
        <v>0</v>
      </c>
      <c r="CK239" s="34">
        <v>0</v>
      </c>
      <c r="CL239" s="34">
        <v>0</v>
      </c>
      <c r="CM239" s="34">
        <v>0</v>
      </c>
      <c r="CN239" s="34">
        <v>0</v>
      </c>
      <c r="CO239" s="34">
        <v>0</v>
      </c>
      <c r="CP239" s="34">
        <v>0</v>
      </c>
      <c r="CQ239" s="34">
        <v>0</v>
      </c>
      <c r="CR239" s="34">
        <v>0</v>
      </c>
      <c r="CS239" s="34">
        <v>0</v>
      </c>
      <c r="CT239" s="34">
        <v>0</v>
      </c>
      <c r="CU239" s="34">
        <v>0</v>
      </c>
      <c r="CV239" s="34">
        <v>0</v>
      </c>
      <c r="CW239" s="34">
        <v>0</v>
      </c>
      <c r="CX239" s="34">
        <v>0</v>
      </c>
      <c r="CY239" s="34">
        <v>0</v>
      </c>
      <c r="CZ239" s="34">
        <v>0</v>
      </c>
      <c r="DA239" s="34">
        <v>0</v>
      </c>
      <c r="DB239" s="34">
        <v>0</v>
      </c>
      <c r="DC239" s="34">
        <v>0</v>
      </c>
      <c r="DD239" s="34">
        <v>0</v>
      </c>
      <c r="DE239" s="34">
        <v>0</v>
      </c>
      <c r="DF239" s="34">
        <v>0</v>
      </c>
      <c r="DG239" s="34">
        <v>0</v>
      </c>
      <c r="DH239" s="34">
        <v>0</v>
      </c>
      <c r="DI239" s="34">
        <v>0</v>
      </c>
      <c r="DJ239" s="34">
        <v>0</v>
      </c>
      <c r="DK239" s="34">
        <v>0</v>
      </c>
      <c r="DL239" s="34">
        <v>0</v>
      </c>
      <c r="DM239" s="34">
        <v>0</v>
      </c>
      <c r="DN239" s="34">
        <v>0</v>
      </c>
      <c r="DO239" s="34">
        <v>0</v>
      </c>
      <c r="DP239" s="34">
        <v>0</v>
      </c>
      <c r="DQ239" s="34">
        <v>0</v>
      </c>
      <c r="DR239" s="34">
        <v>0</v>
      </c>
    </row>
    <row r="240" spans="1:122" s="13" customFormat="1" hidden="1" outlineLevel="1" x14ac:dyDescent="0.35">
      <c r="A240" s="14">
        <v>101</v>
      </c>
      <c r="B240" s="34">
        <v>0</v>
      </c>
      <c r="C240" s="34">
        <v>0</v>
      </c>
      <c r="D240" s="34">
        <v>0</v>
      </c>
      <c r="E240" s="34">
        <v>0</v>
      </c>
      <c r="F240" s="34">
        <v>0</v>
      </c>
      <c r="G240" s="34">
        <v>0</v>
      </c>
      <c r="H240" s="34">
        <v>0</v>
      </c>
      <c r="I240" s="34">
        <v>0</v>
      </c>
      <c r="J240" s="34">
        <v>0</v>
      </c>
      <c r="K240" s="34">
        <v>0</v>
      </c>
      <c r="L240" s="34">
        <v>0</v>
      </c>
      <c r="M240" s="34">
        <v>0</v>
      </c>
      <c r="N240" s="34">
        <v>0</v>
      </c>
      <c r="O240" s="34">
        <v>0</v>
      </c>
      <c r="P240" s="34">
        <v>0</v>
      </c>
      <c r="Q240" s="34">
        <v>0</v>
      </c>
      <c r="R240" s="34">
        <v>0</v>
      </c>
      <c r="S240" s="34">
        <v>0</v>
      </c>
      <c r="T240" s="34">
        <v>0</v>
      </c>
      <c r="U240" s="34">
        <v>0</v>
      </c>
      <c r="V240" s="34">
        <v>0</v>
      </c>
      <c r="W240" s="34">
        <v>0</v>
      </c>
      <c r="X240" s="34">
        <v>0</v>
      </c>
      <c r="Y240" s="34">
        <v>0</v>
      </c>
      <c r="Z240" s="34">
        <v>0</v>
      </c>
      <c r="AA240" s="34">
        <v>0</v>
      </c>
      <c r="AB240" s="34">
        <v>0</v>
      </c>
      <c r="AC240" s="34">
        <v>0</v>
      </c>
      <c r="AD240" s="34">
        <v>0</v>
      </c>
      <c r="AE240" s="34">
        <v>0</v>
      </c>
      <c r="AF240" s="34">
        <v>0</v>
      </c>
      <c r="AG240" s="34">
        <v>0</v>
      </c>
      <c r="AH240" s="34">
        <v>0</v>
      </c>
      <c r="AI240" s="34">
        <v>0</v>
      </c>
      <c r="AJ240" s="34">
        <v>0</v>
      </c>
      <c r="AK240" s="34">
        <v>0</v>
      </c>
      <c r="AL240" s="34">
        <v>0</v>
      </c>
      <c r="AM240" s="34">
        <v>0</v>
      </c>
      <c r="AN240" s="34">
        <v>0</v>
      </c>
      <c r="AO240" s="34">
        <v>0</v>
      </c>
      <c r="AP240" s="34">
        <v>0</v>
      </c>
      <c r="AQ240" s="34">
        <v>0</v>
      </c>
      <c r="AR240" s="34">
        <v>0</v>
      </c>
      <c r="AS240" s="34">
        <v>0</v>
      </c>
      <c r="AT240" s="34">
        <v>0</v>
      </c>
      <c r="AU240" s="34">
        <v>0</v>
      </c>
      <c r="AV240" s="34">
        <v>0</v>
      </c>
      <c r="AW240" s="34">
        <v>0</v>
      </c>
      <c r="AX240" s="34">
        <v>0</v>
      </c>
      <c r="AY240" s="34">
        <v>0</v>
      </c>
      <c r="AZ240" s="34">
        <v>0</v>
      </c>
      <c r="BA240" s="34">
        <v>0</v>
      </c>
      <c r="BB240" s="34">
        <v>0</v>
      </c>
      <c r="BC240" s="34">
        <v>0</v>
      </c>
      <c r="BD240" s="34">
        <v>0</v>
      </c>
      <c r="BE240" s="34">
        <v>0</v>
      </c>
      <c r="BF240" s="34">
        <v>0</v>
      </c>
      <c r="BG240" s="34">
        <v>0</v>
      </c>
      <c r="BH240" s="34">
        <v>0</v>
      </c>
      <c r="BI240" s="34">
        <v>0</v>
      </c>
      <c r="BJ240" s="34">
        <v>0</v>
      </c>
      <c r="BK240" s="34">
        <v>0</v>
      </c>
      <c r="BL240" s="34">
        <v>0</v>
      </c>
      <c r="BM240" s="34">
        <v>0</v>
      </c>
      <c r="BN240" s="34">
        <v>0</v>
      </c>
      <c r="BO240" s="34">
        <v>0</v>
      </c>
      <c r="BP240" s="34">
        <v>0</v>
      </c>
      <c r="BQ240" s="34">
        <v>0</v>
      </c>
      <c r="BR240" s="34">
        <v>0</v>
      </c>
      <c r="BS240" s="34">
        <v>0</v>
      </c>
      <c r="BT240" s="34">
        <v>0</v>
      </c>
      <c r="BU240" s="34">
        <v>0</v>
      </c>
      <c r="BV240" s="34">
        <v>0</v>
      </c>
      <c r="BW240" s="34">
        <v>0</v>
      </c>
      <c r="BX240" s="34">
        <v>0</v>
      </c>
      <c r="BY240" s="34">
        <v>0</v>
      </c>
      <c r="BZ240" s="34">
        <v>0</v>
      </c>
      <c r="CA240" s="34">
        <v>0</v>
      </c>
      <c r="CB240" s="34">
        <v>0</v>
      </c>
      <c r="CC240" s="34">
        <v>0</v>
      </c>
      <c r="CD240" s="34">
        <v>0</v>
      </c>
      <c r="CE240" s="34">
        <v>0</v>
      </c>
      <c r="CF240" s="34">
        <v>0</v>
      </c>
      <c r="CG240" s="34">
        <v>0</v>
      </c>
      <c r="CH240" s="34">
        <v>0</v>
      </c>
      <c r="CI240" s="34">
        <v>0</v>
      </c>
      <c r="CJ240" s="34">
        <v>0</v>
      </c>
      <c r="CK240" s="34">
        <v>0</v>
      </c>
      <c r="CL240" s="34">
        <v>0</v>
      </c>
      <c r="CM240" s="34">
        <v>0</v>
      </c>
      <c r="CN240" s="34">
        <v>0</v>
      </c>
      <c r="CO240" s="34">
        <v>0</v>
      </c>
      <c r="CP240" s="34">
        <v>0</v>
      </c>
      <c r="CQ240" s="34">
        <v>0</v>
      </c>
      <c r="CR240" s="34">
        <v>0</v>
      </c>
      <c r="CS240" s="34">
        <v>0</v>
      </c>
      <c r="CT240" s="34">
        <v>0</v>
      </c>
      <c r="CU240" s="34">
        <v>0</v>
      </c>
      <c r="CV240" s="34">
        <v>0</v>
      </c>
      <c r="CW240" s="34">
        <v>0</v>
      </c>
      <c r="CX240" s="34">
        <v>0</v>
      </c>
      <c r="CY240" s="34">
        <v>0</v>
      </c>
      <c r="CZ240" s="34">
        <v>0</v>
      </c>
      <c r="DA240" s="34">
        <v>0</v>
      </c>
      <c r="DB240" s="34">
        <v>0</v>
      </c>
      <c r="DC240" s="34">
        <v>0</v>
      </c>
      <c r="DD240" s="34">
        <v>0</v>
      </c>
      <c r="DE240" s="34">
        <v>0</v>
      </c>
      <c r="DF240" s="34">
        <v>0</v>
      </c>
      <c r="DG240" s="34">
        <v>0</v>
      </c>
      <c r="DH240" s="34">
        <v>0</v>
      </c>
      <c r="DI240" s="34">
        <v>0</v>
      </c>
      <c r="DJ240" s="34">
        <v>0</v>
      </c>
      <c r="DK240" s="34">
        <v>0</v>
      </c>
      <c r="DL240" s="34">
        <v>0</v>
      </c>
      <c r="DM240" s="34">
        <v>0</v>
      </c>
      <c r="DN240" s="34">
        <v>0</v>
      </c>
      <c r="DO240" s="34">
        <v>0</v>
      </c>
      <c r="DP240" s="34">
        <v>0</v>
      </c>
      <c r="DQ240" s="34">
        <v>0</v>
      </c>
      <c r="DR240" s="34">
        <v>0</v>
      </c>
    </row>
    <row r="241" spans="1:122" s="13" customFormat="1" hidden="1" outlineLevel="1" x14ac:dyDescent="0.35">
      <c r="A241" s="14">
        <v>102</v>
      </c>
      <c r="B241" s="34">
        <v>0</v>
      </c>
      <c r="C241" s="34">
        <v>0</v>
      </c>
      <c r="D241" s="34">
        <v>0</v>
      </c>
      <c r="E241" s="34">
        <v>0</v>
      </c>
      <c r="F241" s="34">
        <v>0</v>
      </c>
      <c r="G241" s="34">
        <v>0</v>
      </c>
      <c r="H241" s="34">
        <v>0</v>
      </c>
      <c r="I241" s="34">
        <v>0</v>
      </c>
      <c r="J241" s="34">
        <v>0</v>
      </c>
      <c r="K241" s="34">
        <v>0</v>
      </c>
      <c r="L241" s="34">
        <v>0</v>
      </c>
      <c r="M241" s="34">
        <v>0</v>
      </c>
      <c r="N241" s="34">
        <v>0</v>
      </c>
      <c r="O241" s="34">
        <v>0</v>
      </c>
      <c r="P241" s="34">
        <v>0</v>
      </c>
      <c r="Q241" s="34">
        <v>0</v>
      </c>
      <c r="R241" s="34">
        <v>0</v>
      </c>
      <c r="S241" s="34">
        <v>0</v>
      </c>
      <c r="T241" s="34">
        <v>0</v>
      </c>
      <c r="U241" s="34">
        <v>0</v>
      </c>
      <c r="V241" s="34">
        <v>0</v>
      </c>
      <c r="W241" s="34">
        <v>0</v>
      </c>
      <c r="X241" s="34">
        <v>0</v>
      </c>
      <c r="Y241" s="34">
        <v>0</v>
      </c>
      <c r="Z241" s="34">
        <v>0</v>
      </c>
      <c r="AA241" s="34">
        <v>0</v>
      </c>
      <c r="AB241" s="34">
        <v>0</v>
      </c>
      <c r="AC241" s="34">
        <v>0</v>
      </c>
      <c r="AD241" s="34">
        <v>0</v>
      </c>
      <c r="AE241" s="34">
        <v>0</v>
      </c>
      <c r="AF241" s="34">
        <v>0</v>
      </c>
      <c r="AG241" s="34">
        <v>0</v>
      </c>
      <c r="AH241" s="34">
        <v>0</v>
      </c>
      <c r="AI241" s="34">
        <v>0</v>
      </c>
      <c r="AJ241" s="34">
        <v>0</v>
      </c>
      <c r="AK241" s="34">
        <v>0</v>
      </c>
      <c r="AL241" s="34">
        <v>0</v>
      </c>
      <c r="AM241" s="34">
        <v>0</v>
      </c>
      <c r="AN241" s="34">
        <v>0</v>
      </c>
      <c r="AO241" s="34">
        <v>0</v>
      </c>
      <c r="AP241" s="34">
        <v>0</v>
      </c>
      <c r="AQ241" s="34">
        <v>0</v>
      </c>
      <c r="AR241" s="34">
        <v>0</v>
      </c>
      <c r="AS241" s="34">
        <v>0</v>
      </c>
      <c r="AT241" s="34">
        <v>0</v>
      </c>
      <c r="AU241" s="34">
        <v>0</v>
      </c>
      <c r="AV241" s="34">
        <v>0</v>
      </c>
      <c r="AW241" s="34">
        <v>0</v>
      </c>
      <c r="AX241" s="34">
        <v>0</v>
      </c>
      <c r="AY241" s="34">
        <v>0</v>
      </c>
      <c r="AZ241" s="34">
        <v>0</v>
      </c>
      <c r="BA241" s="34">
        <v>0</v>
      </c>
      <c r="BB241" s="34">
        <v>0</v>
      </c>
      <c r="BC241" s="34">
        <v>0</v>
      </c>
      <c r="BD241" s="34">
        <v>0</v>
      </c>
      <c r="BE241" s="34">
        <v>0</v>
      </c>
      <c r="BF241" s="34">
        <v>0</v>
      </c>
      <c r="BG241" s="34">
        <v>0</v>
      </c>
      <c r="BH241" s="34">
        <v>0</v>
      </c>
      <c r="BI241" s="34">
        <v>0</v>
      </c>
      <c r="BJ241" s="34">
        <v>0</v>
      </c>
      <c r="BK241" s="34">
        <v>0</v>
      </c>
      <c r="BL241" s="34">
        <v>0</v>
      </c>
      <c r="BM241" s="34">
        <v>0</v>
      </c>
      <c r="BN241" s="34">
        <v>0</v>
      </c>
      <c r="BO241" s="34">
        <v>0</v>
      </c>
      <c r="BP241" s="34">
        <v>0</v>
      </c>
      <c r="BQ241" s="34">
        <v>0</v>
      </c>
      <c r="BR241" s="34">
        <v>0</v>
      </c>
      <c r="BS241" s="34">
        <v>0</v>
      </c>
      <c r="BT241" s="34">
        <v>0</v>
      </c>
      <c r="BU241" s="34">
        <v>0</v>
      </c>
      <c r="BV241" s="34">
        <v>0</v>
      </c>
      <c r="BW241" s="34">
        <v>0</v>
      </c>
      <c r="BX241" s="34">
        <v>0</v>
      </c>
      <c r="BY241" s="34">
        <v>0</v>
      </c>
      <c r="BZ241" s="34">
        <v>0</v>
      </c>
      <c r="CA241" s="34">
        <v>0</v>
      </c>
      <c r="CB241" s="34">
        <v>0</v>
      </c>
      <c r="CC241" s="34">
        <v>0</v>
      </c>
      <c r="CD241" s="34">
        <v>0</v>
      </c>
      <c r="CE241" s="34">
        <v>0</v>
      </c>
      <c r="CF241" s="34">
        <v>0</v>
      </c>
      <c r="CG241" s="34">
        <v>0</v>
      </c>
      <c r="CH241" s="34">
        <v>0</v>
      </c>
      <c r="CI241" s="34">
        <v>0</v>
      </c>
      <c r="CJ241" s="34">
        <v>0</v>
      </c>
      <c r="CK241" s="34">
        <v>0</v>
      </c>
      <c r="CL241" s="34">
        <v>0</v>
      </c>
      <c r="CM241" s="34">
        <v>0</v>
      </c>
      <c r="CN241" s="34">
        <v>0</v>
      </c>
      <c r="CO241" s="34">
        <v>0</v>
      </c>
      <c r="CP241" s="34">
        <v>0</v>
      </c>
      <c r="CQ241" s="34">
        <v>0</v>
      </c>
      <c r="CR241" s="34">
        <v>0</v>
      </c>
      <c r="CS241" s="34">
        <v>0</v>
      </c>
      <c r="CT241" s="34">
        <v>0</v>
      </c>
      <c r="CU241" s="34">
        <v>0</v>
      </c>
      <c r="CV241" s="34">
        <v>0</v>
      </c>
      <c r="CW241" s="34">
        <v>0</v>
      </c>
      <c r="CX241" s="34">
        <v>0</v>
      </c>
      <c r="CY241" s="34">
        <v>0</v>
      </c>
      <c r="CZ241" s="34">
        <v>0</v>
      </c>
      <c r="DA241" s="34">
        <v>0</v>
      </c>
      <c r="DB241" s="34">
        <v>0</v>
      </c>
      <c r="DC241" s="34">
        <v>0</v>
      </c>
      <c r="DD241" s="34">
        <v>0</v>
      </c>
      <c r="DE241" s="34">
        <v>0</v>
      </c>
      <c r="DF241" s="34">
        <v>0</v>
      </c>
      <c r="DG241" s="34">
        <v>0</v>
      </c>
      <c r="DH241" s="34">
        <v>0</v>
      </c>
      <c r="DI241" s="34">
        <v>0</v>
      </c>
      <c r="DJ241" s="34">
        <v>0</v>
      </c>
      <c r="DK241" s="34">
        <v>0</v>
      </c>
      <c r="DL241" s="34">
        <v>0</v>
      </c>
      <c r="DM241" s="34">
        <v>0</v>
      </c>
      <c r="DN241" s="34">
        <v>0</v>
      </c>
      <c r="DO241" s="34">
        <v>0</v>
      </c>
      <c r="DP241" s="34">
        <v>0</v>
      </c>
      <c r="DQ241" s="34">
        <v>0</v>
      </c>
      <c r="DR241" s="34">
        <v>0</v>
      </c>
    </row>
    <row r="242" spans="1:122" s="13" customFormat="1" hidden="1" outlineLevel="1" x14ac:dyDescent="0.35">
      <c r="A242" s="14">
        <v>103</v>
      </c>
      <c r="B242" s="34">
        <v>0</v>
      </c>
      <c r="C242" s="34">
        <v>0</v>
      </c>
      <c r="D242" s="34">
        <v>0</v>
      </c>
      <c r="E242" s="34">
        <v>0</v>
      </c>
      <c r="F242" s="34">
        <v>0</v>
      </c>
      <c r="G242" s="34">
        <v>0</v>
      </c>
      <c r="H242" s="34">
        <v>0</v>
      </c>
      <c r="I242" s="34">
        <v>0</v>
      </c>
      <c r="J242" s="34">
        <v>0</v>
      </c>
      <c r="K242" s="34">
        <v>0</v>
      </c>
      <c r="L242" s="34">
        <v>0</v>
      </c>
      <c r="M242" s="34">
        <v>0</v>
      </c>
      <c r="N242" s="34">
        <v>0</v>
      </c>
      <c r="O242" s="34">
        <v>0</v>
      </c>
      <c r="P242" s="34">
        <v>0</v>
      </c>
      <c r="Q242" s="34">
        <v>0</v>
      </c>
      <c r="R242" s="34">
        <v>0</v>
      </c>
      <c r="S242" s="34">
        <v>0</v>
      </c>
      <c r="T242" s="34">
        <v>0</v>
      </c>
      <c r="U242" s="34">
        <v>0</v>
      </c>
      <c r="V242" s="34">
        <v>0</v>
      </c>
      <c r="W242" s="34">
        <v>0</v>
      </c>
      <c r="X242" s="34">
        <v>0</v>
      </c>
      <c r="Y242" s="34">
        <v>0</v>
      </c>
      <c r="Z242" s="34">
        <v>0</v>
      </c>
      <c r="AA242" s="34">
        <v>0</v>
      </c>
      <c r="AB242" s="34">
        <v>0</v>
      </c>
      <c r="AC242" s="34">
        <v>0</v>
      </c>
      <c r="AD242" s="34">
        <v>0</v>
      </c>
      <c r="AE242" s="34">
        <v>0</v>
      </c>
      <c r="AF242" s="34">
        <v>0</v>
      </c>
      <c r="AG242" s="34">
        <v>0</v>
      </c>
      <c r="AH242" s="34">
        <v>0</v>
      </c>
      <c r="AI242" s="34">
        <v>0</v>
      </c>
      <c r="AJ242" s="34">
        <v>0</v>
      </c>
      <c r="AK242" s="34">
        <v>0</v>
      </c>
      <c r="AL242" s="34">
        <v>0</v>
      </c>
      <c r="AM242" s="34">
        <v>0</v>
      </c>
      <c r="AN242" s="34">
        <v>0</v>
      </c>
      <c r="AO242" s="34">
        <v>0</v>
      </c>
      <c r="AP242" s="34">
        <v>0</v>
      </c>
      <c r="AQ242" s="34">
        <v>0</v>
      </c>
      <c r="AR242" s="34">
        <v>0</v>
      </c>
      <c r="AS242" s="34">
        <v>0</v>
      </c>
      <c r="AT242" s="34">
        <v>0</v>
      </c>
      <c r="AU242" s="34">
        <v>0</v>
      </c>
      <c r="AV242" s="34">
        <v>0</v>
      </c>
      <c r="AW242" s="34">
        <v>0</v>
      </c>
      <c r="AX242" s="34">
        <v>0</v>
      </c>
      <c r="AY242" s="34">
        <v>0</v>
      </c>
      <c r="AZ242" s="34">
        <v>0</v>
      </c>
      <c r="BA242" s="34">
        <v>0</v>
      </c>
      <c r="BB242" s="34">
        <v>0</v>
      </c>
      <c r="BC242" s="34">
        <v>0</v>
      </c>
      <c r="BD242" s="34">
        <v>0</v>
      </c>
      <c r="BE242" s="34">
        <v>0</v>
      </c>
      <c r="BF242" s="34">
        <v>0</v>
      </c>
      <c r="BG242" s="34">
        <v>0</v>
      </c>
      <c r="BH242" s="34">
        <v>0</v>
      </c>
      <c r="BI242" s="34">
        <v>0</v>
      </c>
      <c r="BJ242" s="34">
        <v>0</v>
      </c>
      <c r="BK242" s="34">
        <v>0</v>
      </c>
      <c r="BL242" s="34">
        <v>0</v>
      </c>
      <c r="BM242" s="34">
        <v>0</v>
      </c>
      <c r="BN242" s="34">
        <v>0</v>
      </c>
      <c r="BO242" s="34">
        <v>0</v>
      </c>
      <c r="BP242" s="34">
        <v>0</v>
      </c>
      <c r="BQ242" s="34">
        <v>0</v>
      </c>
      <c r="BR242" s="34">
        <v>0</v>
      </c>
      <c r="BS242" s="34">
        <v>0</v>
      </c>
      <c r="BT242" s="34">
        <v>0</v>
      </c>
      <c r="BU242" s="34">
        <v>0</v>
      </c>
      <c r="BV242" s="34">
        <v>0</v>
      </c>
      <c r="BW242" s="34">
        <v>0</v>
      </c>
      <c r="BX242" s="34">
        <v>0</v>
      </c>
      <c r="BY242" s="34">
        <v>0</v>
      </c>
      <c r="BZ242" s="34">
        <v>0</v>
      </c>
      <c r="CA242" s="34">
        <v>0</v>
      </c>
      <c r="CB242" s="34">
        <v>0</v>
      </c>
      <c r="CC242" s="34">
        <v>0</v>
      </c>
      <c r="CD242" s="34">
        <v>0</v>
      </c>
      <c r="CE242" s="34">
        <v>0</v>
      </c>
      <c r="CF242" s="34">
        <v>0</v>
      </c>
      <c r="CG242" s="34">
        <v>0</v>
      </c>
      <c r="CH242" s="34">
        <v>0</v>
      </c>
      <c r="CI242" s="34">
        <v>0</v>
      </c>
      <c r="CJ242" s="34">
        <v>0</v>
      </c>
      <c r="CK242" s="34">
        <v>0</v>
      </c>
      <c r="CL242" s="34">
        <v>0</v>
      </c>
      <c r="CM242" s="34">
        <v>0</v>
      </c>
      <c r="CN242" s="34">
        <v>0</v>
      </c>
      <c r="CO242" s="34">
        <v>0</v>
      </c>
      <c r="CP242" s="34">
        <v>0</v>
      </c>
      <c r="CQ242" s="34">
        <v>0</v>
      </c>
      <c r="CR242" s="34">
        <v>0</v>
      </c>
      <c r="CS242" s="34">
        <v>0</v>
      </c>
      <c r="CT242" s="34">
        <v>0</v>
      </c>
      <c r="CU242" s="34">
        <v>0</v>
      </c>
      <c r="CV242" s="34">
        <v>0</v>
      </c>
      <c r="CW242" s="34">
        <v>0</v>
      </c>
      <c r="CX242" s="34">
        <v>0</v>
      </c>
      <c r="CY242" s="34">
        <v>0</v>
      </c>
      <c r="CZ242" s="34">
        <v>0</v>
      </c>
      <c r="DA242" s="34">
        <v>0</v>
      </c>
      <c r="DB242" s="34">
        <v>0</v>
      </c>
      <c r="DC242" s="34">
        <v>0</v>
      </c>
      <c r="DD242" s="34">
        <v>0</v>
      </c>
      <c r="DE242" s="34">
        <v>0</v>
      </c>
      <c r="DF242" s="34">
        <v>0</v>
      </c>
      <c r="DG242" s="34">
        <v>0</v>
      </c>
      <c r="DH242" s="34">
        <v>0</v>
      </c>
      <c r="DI242" s="34">
        <v>0</v>
      </c>
      <c r="DJ242" s="34">
        <v>0</v>
      </c>
      <c r="DK242" s="34">
        <v>0</v>
      </c>
      <c r="DL242" s="34">
        <v>0</v>
      </c>
      <c r="DM242" s="34">
        <v>0</v>
      </c>
      <c r="DN242" s="34">
        <v>0</v>
      </c>
      <c r="DO242" s="34">
        <v>0</v>
      </c>
      <c r="DP242" s="34">
        <v>0</v>
      </c>
      <c r="DQ242" s="34">
        <v>0</v>
      </c>
      <c r="DR242" s="34">
        <v>0</v>
      </c>
    </row>
    <row r="243" spans="1:122" s="13" customFormat="1" hidden="1" outlineLevel="1" x14ac:dyDescent="0.35">
      <c r="A243" s="14">
        <v>104</v>
      </c>
      <c r="B243" s="34">
        <v>0</v>
      </c>
      <c r="C243" s="34">
        <v>0</v>
      </c>
      <c r="D243" s="34">
        <v>0</v>
      </c>
      <c r="E243" s="34">
        <v>0</v>
      </c>
      <c r="F243" s="34">
        <v>0</v>
      </c>
      <c r="G243" s="34">
        <v>0</v>
      </c>
      <c r="H243" s="34">
        <v>0</v>
      </c>
      <c r="I243" s="34">
        <v>0</v>
      </c>
      <c r="J243" s="34">
        <v>0</v>
      </c>
      <c r="K243" s="34">
        <v>0</v>
      </c>
      <c r="L243" s="34">
        <v>0</v>
      </c>
      <c r="M243" s="34">
        <v>0</v>
      </c>
      <c r="N243" s="34">
        <v>0</v>
      </c>
      <c r="O243" s="34">
        <v>0</v>
      </c>
      <c r="P243" s="34">
        <v>0</v>
      </c>
      <c r="Q243" s="34">
        <v>0</v>
      </c>
      <c r="R243" s="34">
        <v>0</v>
      </c>
      <c r="S243" s="34">
        <v>0</v>
      </c>
      <c r="T243" s="34">
        <v>0</v>
      </c>
      <c r="U243" s="34">
        <v>0</v>
      </c>
      <c r="V243" s="34">
        <v>0</v>
      </c>
      <c r="W243" s="34">
        <v>0</v>
      </c>
      <c r="X243" s="34">
        <v>0</v>
      </c>
      <c r="Y243" s="34">
        <v>0</v>
      </c>
      <c r="Z243" s="34">
        <v>0</v>
      </c>
      <c r="AA243" s="34">
        <v>0</v>
      </c>
      <c r="AB243" s="34">
        <v>0</v>
      </c>
      <c r="AC243" s="34">
        <v>0</v>
      </c>
      <c r="AD243" s="34">
        <v>0</v>
      </c>
      <c r="AE243" s="34">
        <v>0</v>
      </c>
      <c r="AF243" s="34">
        <v>0</v>
      </c>
      <c r="AG243" s="34">
        <v>0</v>
      </c>
      <c r="AH243" s="34">
        <v>0</v>
      </c>
      <c r="AI243" s="34">
        <v>0</v>
      </c>
      <c r="AJ243" s="34">
        <v>0</v>
      </c>
      <c r="AK243" s="34">
        <v>0</v>
      </c>
      <c r="AL243" s="34">
        <v>0</v>
      </c>
      <c r="AM243" s="34">
        <v>0</v>
      </c>
      <c r="AN243" s="34">
        <v>0</v>
      </c>
      <c r="AO243" s="34">
        <v>0</v>
      </c>
      <c r="AP243" s="34">
        <v>0</v>
      </c>
      <c r="AQ243" s="34">
        <v>0</v>
      </c>
      <c r="AR243" s="34">
        <v>0</v>
      </c>
      <c r="AS243" s="34">
        <v>0</v>
      </c>
      <c r="AT243" s="34">
        <v>0</v>
      </c>
      <c r="AU243" s="34">
        <v>0</v>
      </c>
      <c r="AV243" s="34">
        <v>0</v>
      </c>
      <c r="AW243" s="34">
        <v>0</v>
      </c>
      <c r="AX243" s="34">
        <v>0</v>
      </c>
      <c r="AY243" s="34">
        <v>0</v>
      </c>
      <c r="AZ243" s="34">
        <v>0</v>
      </c>
      <c r="BA243" s="34">
        <v>0</v>
      </c>
      <c r="BB243" s="34">
        <v>0</v>
      </c>
      <c r="BC243" s="34">
        <v>0</v>
      </c>
      <c r="BD243" s="34">
        <v>0</v>
      </c>
      <c r="BE243" s="34">
        <v>0</v>
      </c>
      <c r="BF243" s="34">
        <v>0</v>
      </c>
      <c r="BG243" s="34">
        <v>0</v>
      </c>
      <c r="BH243" s="34">
        <v>0</v>
      </c>
      <c r="BI243" s="34">
        <v>0</v>
      </c>
      <c r="BJ243" s="34">
        <v>0</v>
      </c>
      <c r="BK243" s="34">
        <v>0</v>
      </c>
      <c r="BL243" s="34">
        <v>0</v>
      </c>
      <c r="BM243" s="34">
        <v>0</v>
      </c>
      <c r="BN243" s="34">
        <v>0</v>
      </c>
      <c r="BO243" s="34">
        <v>0</v>
      </c>
      <c r="BP243" s="34">
        <v>0</v>
      </c>
      <c r="BQ243" s="34">
        <v>0</v>
      </c>
      <c r="BR243" s="34">
        <v>0</v>
      </c>
      <c r="BS243" s="34">
        <v>0</v>
      </c>
      <c r="BT243" s="34">
        <v>0</v>
      </c>
      <c r="BU243" s="34">
        <v>0</v>
      </c>
      <c r="BV243" s="34">
        <v>0</v>
      </c>
      <c r="BW243" s="34">
        <v>0</v>
      </c>
      <c r="BX243" s="34">
        <v>0</v>
      </c>
      <c r="BY243" s="34">
        <v>0</v>
      </c>
      <c r="BZ243" s="34">
        <v>0</v>
      </c>
      <c r="CA243" s="34">
        <v>0</v>
      </c>
      <c r="CB243" s="34">
        <v>0</v>
      </c>
      <c r="CC243" s="34">
        <v>0</v>
      </c>
      <c r="CD243" s="34">
        <v>0</v>
      </c>
      <c r="CE243" s="34">
        <v>0</v>
      </c>
      <c r="CF243" s="34">
        <v>0</v>
      </c>
      <c r="CG243" s="34">
        <v>0</v>
      </c>
      <c r="CH243" s="34">
        <v>0</v>
      </c>
      <c r="CI243" s="34">
        <v>0</v>
      </c>
      <c r="CJ243" s="34">
        <v>0</v>
      </c>
      <c r="CK243" s="34">
        <v>0</v>
      </c>
      <c r="CL243" s="34">
        <v>0</v>
      </c>
      <c r="CM243" s="34">
        <v>0</v>
      </c>
      <c r="CN243" s="34">
        <v>0</v>
      </c>
      <c r="CO243" s="34">
        <v>0</v>
      </c>
      <c r="CP243" s="34">
        <v>0</v>
      </c>
      <c r="CQ243" s="34">
        <v>0</v>
      </c>
      <c r="CR243" s="34">
        <v>0</v>
      </c>
      <c r="CS243" s="34">
        <v>0</v>
      </c>
      <c r="CT243" s="34">
        <v>0</v>
      </c>
      <c r="CU243" s="34">
        <v>0</v>
      </c>
      <c r="CV243" s="34">
        <v>0</v>
      </c>
      <c r="CW243" s="34">
        <v>0</v>
      </c>
      <c r="CX243" s="34">
        <v>0</v>
      </c>
      <c r="CY243" s="34">
        <v>0</v>
      </c>
      <c r="CZ243" s="34">
        <v>0</v>
      </c>
      <c r="DA243" s="34">
        <v>0</v>
      </c>
      <c r="DB243" s="34">
        <v>0</v>
      </c>
      <c r="DC243" s="34">
        <v>0</v>
      </c>
      <c r="DD243" s="34">
        <v>0</v>
      </c>
      <c r="DE243" s="34">
        <v>0</v>
      </c>
      <c r="DF243" s="34">
        <v>0</v>
      </c>
      <c r="DG243" s="34">
        <v>0</v>
      </c>
      <c r="DH243" s="34">
        <v>0</v>
      </c>
      <c r="DI243" s="34">
        <v>0</v>
      </c>
      <c r="DJ243" s="34">
        <v>0</v>
      </c>
      <c r="DK243" s="34">
        <v>0</v>
      </c>
      <c r="DL243" s="34">
        <v>0</v>
      </c>
      <c r="DM243" s="34">
        <v>0</v>
      </c>
      <c r="DN243" s="34">
        <v>0</v>
      </c>
      <c r="DO243" s="34">
        <v>0</v>
      </c>
      <c r="DP243" s="34">
        <v>0</v>
      </c>
      <c r="DQ243" s="34">
        <v>0</v>
      </c>
      <c r="DR243" s="34">
        <v>0</v>
      </c>
    </row>
    <row r="244" spans="1:122" s="13" customFormat="1" hidden="1" outlineLevel="1" x14ac:dyDescent="0.35">
      <c r="A244" s="14">
        <v>105</v>
      </c>
      <c r="B244" s="34">
        <v>0</v>
      </c>
      <c r="C244" s="34">
        <v>0</v>
      </c>
      <c r="D244" s="34">
        <v>0</v>
      </c>
      <c r="E244" s="34">
        <v>0</v>
      </c>
      <c r="F244" s="34">
        <v>0</v>
      </c>
      <c r="G244" s="34">
        <v>0</v>
      </c>
      <c r="H244" s="34">
        <v>0</v>
      </c>
      <c r="I244" s="34">
        <v>0</v>
      </c>
      <c r="J244" s="34">
        <v>0</v>
      </c>
      <c r="K244" s="34">
        <v>0</v>
      </c>
      <c r="L244" s="34">
        <v>0</v>
      </c>
      <c r="M244" s="34">
        <v>0</v>
      </c>
      <c r="N244" s="34">
        <v>0</v>
      </c>
      <c r="O244" s="34">
        <v>0</v>
      </c>
      <c r="P244" s="34">
        <v>0</v>
      </c>
      <c r="Q244" s="34">
        <v>0</v>
      </c>
      <c r="R244" s="34">
        <v>0</v>
      </c>
      <c r="S244" s="34">
        <v>0</v>
      </c>
      <c r="T244" s="34">
        <v>0</v>
      </c>
      <c r="U244" s="34">
        <v>0</v>
      </c>
      <c r="V244" s="34">
        <v>0</v>
      </c>
      <c r="W244" s="34">
        <v>0</v>
      </c>
      <c r="X244" s="34">
        <v>0</v>
      </c>
      <c r="Y244" s="34">
        <v>0</v>
      </c>
      <c r="Z244" s="34">
        <v>0</v>
      </c>
      <c r="AA244" s="34">
        <v>0</v>
      </c>
      <c r="AB244" s="34">
        <v>0</v>
      </c>
      <c r="AC244" s="34">
        <v>0</v>
      </c>
      <c r="AD244" s="34">
        <v>0</v>
      </c>
      <c r="AE244" s="34">
        <v>0</v>
      </c>
      <c r="AF244" s="34">
        <v>0</v>
      </c>
      <c r="AG244" s="34">
        <v>0</v>
      </c>
      <c r="AH244" s="34">
        <v>0</v>
      </c>
      <c r="AI244" s="34">
        <v>0</v>
      </c>
      <c r="AJ244" s="34">
        <v>0</v>
      </c>
      <c r="AK244" s="34">
        <v>0</v>
      </c>
      <c r="AL244" s="34">
        <v>0</v>
      </c>
      <c r="AM244" s="34">
        <v>0</v>
      </c>
      <c r="AN244" s="34">
        <v>0</v>
      </c>
      <c r="AO244" s="34">
        <v>0</v>
      </c>
      <c r="AP244" s="34">
        <v>0</v>
      </c>
      <c r="AQ244" s="34">
        <v>0</v>
      </c>
      <c r="AR244" s="34">
        <v>0</v>
      </c>
      <c r="AS244" s="34">
        <v>0</v>
      </c>
      <c r="AT244" s="34">
        <v>0</v>
      </c>
      <c r="AU244" s="34">
        <v>0</v>
      </c>
      <c r="AV244" s="34">
        <v>0</v>
      </c>
      <c r="AW244" s="34">
        <v>0</v>
      </c>
      <c r="AX244" s="34">
        <v>0</v>
      </c>
      <c r="AY244" s="34">
        <v>0</v>
      </c>
      <c r="AZ244" s="34">
        <v>0</v>
      </c>
      <c r="BA244" s="34">
        <v>0</v>
      </c>
      <c r="BB244" s="34">
        <v>0</v>
      </c>
      <c r="BC244" s="34">
        <v>0</v>
      </c>
      <c r="BD244" s="34">
        <v>0</v>
      </c>
      <c r="BE244" s="34">
        <v>0</v>
      </c>
      <c r="BF244" s="34">
        <v>0</v>
      </c>
      <c r="BG244" s="34">
        <v>0</v>
      </c>
      <c r="BH244" s="34">
        <v>0</v>
      </c>
      <c r="BI244" s="34">
        <v>0</v>
      </c>
      <c r="BJ244" s="34">
        <v>0</v>
      </c>
      <c r="BK244" s="34">
        <v>0</v>
      </c>
      <c r="BL244" s="34">
        <v>0</v>
      </c>
      <c r="BM244" s="34">
        <v>0</v>
      </c>
      <c r="BN244" s="34">
        <v>0</v>
      </c>
      <c r="BO244" s="34">
        <v>0</v>
      </c>
      <c r="BP244" s="34">
        <v>0</v>
      </c>
      <c r="BQ244" s="34">
        <v>0</v>
      </c>
      <c r="BR244" s="34">
        <v>0</v>
      </c>
      <c r="BS244" s="34">
        <v>0</v>
      </c>
      <c r="BT244" s="34">
        <v>0</v>
      </c>
      <c r="BU244" s="34">
        <v>0</v>
      </c>
      <c r="BV244" s="34">
        <v>0</v>
      </c>
      <c r="BW244" s="34">
        <v>0</v>
      </c>
      <c r="BX244" s="34">
        <v>0</v>
      </c>
      <c r="BY244" s="34">
        <v>0</v>
      </c>
      <c r="BZ244" s="34">
        <v>0</v>
      </c>
      <c r="CA244" s="34">
        <v>0</v>
      </c>
      <c r="CB244" s="34">
        <v>0</v>
      </c>
      <c r="CC244" s="34">
        <v>0</v>
      </c>
      <c r="CD244" s="34">
        <v>0</v>
      </c>
      <c r="CE244" s="34">
        <v>0</v>
      </c>
      <c r="CF244" s="34">
        <v>0</v>
      </c>
      <c r="CG244" s="34">
        <v>0</v>
      </c>
      <c r="CH244" s="34">
        <v>0</v>
      </c>
      <c r="CI244" s="34">
        <v>0</v>
      </c>
      <c r="CJ244" s="34">
        <v>0</v>
      </c>
      <c r="CK244" s="34">
        <v>0</v>
      </c>
      <c r="CL244" s="34">
        <v>0</v>
      </c>
      <c r="CM244" s="34">
        <v>0</v>
      </c>
      <c r="CN244" s="34">
        <v>0</v>
      </c>
      <c r="CO244" s="34">
        <v>0</v>
      </c>
      <c r="CP244" s="34">
        <v>0</v>
      </c>
      <c r="CQ244" s="34">
        <v>0</v>
      </c>
      <c r="CR244" s="34">
        <v>0</v>
      </c>
      <c r="CS244" s="34">
        <v>0</v>
      </c>
      <c r="CT244" s="34">
        <v>0</v>
      </c>
      <c r="CU244" s="34">
        <v>0</v>
      </c>
      <c r="CV244" s="34">
        <v>0</v>
      </c>
      <c r="CW244" s="34">
        <v>0</v>
      </c>
      <c r="CX244" s="34">
        <v>0</v>
      </c>
      <c r="CY244" s="34">
        <v>0</v>
      </c>
      <c r="CZ244" s="34">
        <v>0</v>
      </c>
      <c r="DA244" s="34">
        <v>0</v>
      </c>
      <c r="DB244" s="34">
        <v>0</v>
      </c>
      <c r="DC244" s="34">
        <v>0</v>
      </c>
      <c r="DD244" s="34">
        <v>0</v>
      </c>
      <c r="DE244" s="34">
        <v>0</v>
      </c>
      <c r="DF244" s="34">
        <v>0</v>
      </c>
      <c r="DG244" s="34">
        <v>0</v>
      </c>
      <c r="DH244" s="34">
        <v>0</v>
      </c>
      <c r="DI244" s="34">
        <v>0</v>
      </c>
      <c r="DJ244" s="34">
        <v>0</v>
      </c>
      <c r="DK244" s="34">
        <v>0</v>
      </c>
      <c r="DL244" s="34">
        <v>0</v>
      </c>
      <c r="DM244" s="34">
        <v>0</v>
      </c>
      <c r="DN244" s="34">
        <v>0</v>
      </c>
      <c r="DO244" s="34">
        <v>0</v>
      </c>
      <c r="DP244" s="34">
        <v>0</v>
      </c>
      <c r="DQ244" s="34">
        <v>0</v>
      </c>
      <c r="DR244" s="34">
        <v>0</v>
      </c>
    </row>
    <row r="245" spans="1:122" s="13" customFormat="1" hidden="1" outlineLevel="1" x14ac:dyDescent="0.35">
      <c r="A245" s="14">
        <v>106</v>
      </c>
      <c r="B245" s="34">
        <v>0</v>
      </c>
      <c r="C245" s="34">
        <v>0</v>
      </c>
      <c r="D245" s="34">
        <v>0</v>
      </c>
      <c r="E245" s="34">
        <v>0</v>
      </c>
      <c r="F245" s="34">
        <v>0</v>
      </c>
      <c r="G245" s="34">
        <v>0</v>
      </c>
      <c r="H245" s="34">
        <v>0</v>
      </c>
      <c r="I245" s="34">
        <v>0</v>
      </c>
      <c r="J245" s="34">
        <v>0</v>
      </c>
      <c r="K245" s="34">
        <v>0</v>
      </c>
      <c r="L245" s="34">
        <v>0</v>
      </c>
      <c r="M245" s="34">
        <v>0</v>
      </c>
      <c r="N245" s="34">
        <v>0</v>
      </c>
      <c r="O245" s="34">
        <v>0</v>
      </c>
      <c r="P245" s="34">
        <v>0</v>
      </c>
      <c r="Q245" s="34">
        <v>0</v>
      </c>
      <c r="R245" s="34">
        <v>0</v>
      </c>
      <c r="S245" s="34">
        <v>0</v>
      </c>
      <c r="T245" s="34">
        <v>0</v>
      </c>
      <c r="U245" s="34">
        <v>0</v>
      </c>
      <c r="V245" s="34">
        <v>0</v>
      </c>
      <c r="W245" s="34">
        <v>0</v>
      </c>
      <c r="X245" s="34">
        <v>0</v>
      </c>
      <c r="Y245" s="34">
        <v>0</v>
      </c>
      <c r="Z245" s="34">
        <v>0</v>
      </c>
      <c r="AA245" s="34">
        <v>0</v>
      </c>
      <c r="AB245" s="34">
        <v>0</v>
      </c>
      <c r="AC245" s="34">
        <v>0</v>
      </c>
      <c r="AD245" s="34">
        <v>0</v>
      </c>
      <c r="AE245" s="34">
        <v>0</v>
      </c>
      <c r="AF245" s="34">
        <v>0</v>
      </c>
      <c r="AG245" s="34">
        <v>0</v>
      </c>
      <c r="AH245" s="34">
        <v>0</v>
      </c>
      <c r="AI245" s="34">
        <v>0</v>
      </c>
      <c r="AJ245" s="34">
        <v>0</v>
      </c>
      <c r="AK245" s="34">
        <v>0</v>
      </c>
      <c r="AL245" s="34">
        <v>0</v>
      </c>
      <c r="AM245" s="34">
        <v>0</v>
      </c>
      <c r="AN245" s="34">
        <v>0</v>
      </c>
      <c r="AO245" s="34">
        <v>0</v>
      </c>
      <c r="AP245" s="34">
        <v>0</v>
      </c>
      <c r="AQ245" s="34">
        <v>0</v>
      </c>
      <c r="AR245" s="34">
        <v>0</v>
      </c>
      <c r="AS245" s="34">
        <v>0</v>
      </c>
      <c r="AT245" s="34">
        <v>0</v>
      </c>
      <c r="AU245" s="34">
        <v>0</v>
      </c>
      <c r="AV245" s="34">
        <v>0</v>
      </c>
      <c r="AW245" s="34">
        <v>0</v>
      </c>
      <c r="AX245" s="34">
        <v>0</v>
      </c>
      <c r="AY245" s="34">
        <v>0</v>
      </c>
      <c r="AZ245" s="34">
        <v>0</v>
      </c>
      <c r="BA245" s="34">
        <v>0</v>
      </c>
      <c r="BB245" s="34">
        <v>0</v>
      </c>
      <c r="BC245" s="34">
        <v>0</v>
      </c>
      <c r="BD245" s="34">
        <v>0</v>
      </c>
      <c r="BE245" s="34">
        <v>0</v>
      </c>
      <c r="BF245" s="34">
        <v>0</v>
      </c>
      <c r="BG245" s="34">
        <v>0</v>
      </c>
      <c r="BH245" s="34">
        <v>0</v>
      </c>
      <c r="BI245" s="34">
        <v>0</v>
      </c>
      <c r="BJ245" s="34">
        <v>0</v>
      </c>
      <c r="BK245" s="34">
        <v>0</v>
      </c>
      <c r="BL245" s="34">
        <v>0</v>
      </c>
      <c r="BM245" s="34">
        <v>0</v>
      </c>
      <c r="BN245" s="34">
        <v>0</v>
      </c>
      <c r="BO245" s="34">
        <v>0</v>
      </c>
      <c r="BP245" s="34">
        <v>0</v>
      </c>
      <c r="BQ245" s="34">
        <v>0</v>
      </c>
      <c r="BR245" s="34">
        <v>0</v>
      </c>
      <c r="BS245" s="34">
        <v>0</v>
      </c>
      <c r="BT245" s="34">
        <v>0</v>
      </c>
      <c r="BU245" s="34">
        <v>0</v>
      </c>
      <c r="BV245" s="34">
        <v>0</v>
      </c>
      <c r="BW245" s="34">
        <v>0</v>
      </c>
      <c r="BX245" s="34">
        <v>0</v>
      </c>
      <c r="BY245" s="34">
        <v>0</v>
      </c>
      <c r="BZ245" s="34">
        <v>0</v>
      </c>
      <c r="CA245" s="34">
        <v>0</v>
      </c>
      <c r="CB245" s="34">
        <v>0</v>
      </c>
      <c r="CC245" s="34">
        <v>0</v>
      </c>
      <c r="CD245" s="34">
        <v>0</v>
      </c>
      <c r="CE245" s="34">
        <v>0</v>
      </c>
      <c r="CF245" s="34">
        <v>0</v>
      </c>
      <c r="CG245" s="34">
        <v>0</v>
      </c>
      <c r="CH245" s="34">
        <v>0</v>
      </c>
      <c r="CI245" s="34">
        <v>0</v>
      </c>
      <c r="CJ245" s="34">
        <v>0</v>
      </c>
      <c r="CK245" s="34">
        <v>0</v>
      </c>
      <c r="CL245" s="34">
        <v>0</v>
      </c>
      <c r="CM245" s="34">
        <v>0</v>
      </c>
      <c r="CN245" s="34">
        <v>0</v>
      </c>
      <c r="CO245" s="34">
        <v>0</v>
      </c>
      <c r="CP245" s="34">
        <v>0</v>
      </c>
      <c r="CQ245" s="34">
        <v>0</v>
      </c>
      <c r="CR245" s="34">
        <v>0</v>
      </c>
      <c r="CS245" s="34">
        <v>0</v>
      </c>
      <c r="CT245" s="34">
        <v>0</v>
      </c>
      <c r="CU245" s="34">
        <v>0</v>
      </c>
      <c r="CV245" s="34">
        <v>0</v>
      </c>
      <c r="CW245" s="34">
        <v>0</v>
      </c>
      <c r="CX245" s="34">
        <v>0</v>
      </c>
      <c r="CY245" s="34">
        <v>0</v>
      </c>
      <c r="CZ245" s="34">
        <v>0</v>
      </c>
      <c r="DA245" s="34">
        <v>0</v>
      </c>
      <c r="DB245" s="34">
        <v>0</v>
      </c>
      <c r="DC245" s="34">
        <v>0</v>
      </c>
      <c r="DD245" s="34">
        <v>0</v>
      </c>
      <c r="DE245" s="34">
        <v>0</v>
      </c>
      <c r="DF245" s="34">
        <v>0</v>
      </c>
      <c r="DG245" s="34">
        <v>0</v>
      </c>
      <c r="DH245" s="34">
        <v>0</v>
      </c>
      <c r="DI245" s="34">
        <v>0</v>
      </c>
      <c r="DJ245" s="34">
        <v>0</v>
      </c>
      <c r="DK245" s="34">
        <v>0</v>
      </c>
      <c r="DL245" s="34">
        <v>0</v>
      </c>
      <c r="DM245" s="34">
        <v>0</v>
      </c>
      <c r="DN245" s="34">
        <v>0</v>
      </c>
      <c r="DO245" s="34">
        <v>0</v>
      </c>
      <c r="DP245" s="34">
        <v>0</v>
      </c>
      <c r="DQ245" s="34">
        <v>0</v>
      </c>
      <c r="DR245" s="34">
        <v>0</v>
      </c>
    </row>
    <row r="246" spans="1:122" s="13" customFormat="1" hidden="1" outlineLevel="1" x14ac:dyDescent="0.35">
      <c r="A246" s="14">
        <v>107</v>
      </c>
      <c r="B246" s="34">
        <v>0</v>
      </c>
      <c r="C246" s="34">
        <v>0</v>
      </c>
      <c r="D246" s="34">
        <v>0</v>
      </c>
      <c r="E246" s="34">
        <v>0</v>
      </c>
      <c r="F246" s="34">
        <v>0</v>
      </c>
      <c r="G246" s="34">
        <v>0</v>
      </c>
      <c r="H246" s="34">
        <v>0</v>
      </c>
      <c r="I246" s="34">
        <v>0</v>
      </c>
      <c r="J246" s="34">
        <v>0</v>
      </c>
      <c r="K246" s="34">
        <v>0</v>
      </c>
      <c r="L246" s="34">
        <v>0</v>
      </c>
      <c r="M246" s="34">
        <v>0</v>
      </c>
      <c r="N246" s="34">
        <v>0</v>
      </c>
      <c r="O246" s="34">
        <v>0</v>
      </c>
      <c r="P246" s="34">
        <v>0</v>
      </c>
      <c r="Q246" s="34">
        <v>0</v>
      </c>
      <c r="R246" s="34">
        <v>0</v>
      </c>
      <c r="S246" s="34">
        <v>0</v>
      </c>
      <c r="T246" s="34">
        <v>0</v>
      </c>
      <c r="U246" s="34">
        <v>0</v>
      </c>
      <c r="V246" s="34">
        <v>0</v>
      </c>
      <c r="W246" s="34">
        <v>0</v>
      </c>
      <c r="X246" s="34">
        <v>0</v>
      </c>
      <c r="Y246" s="34">
        <v>0</v>
      </c>
      <c r="Z246" s="34">
        <v>0</v>
      </c>
      <c r="AA246" s="34">
        <v>0</v>
      </c>
      <c r="AB246" s="34">
        <v>0</v>
      </c>
      <c r="AC246" s="34">
        <v>0</v>
      </c>
      <c r="AD246" s="34">
        <v>0</v>
      </c>
      <c r="AE246" s="34">
        <v>0</v>
      </c>
      <c r="AF246" s="34">
        <v>0</v>
      </c>
      <c r="AG246" s="34">
        <v>0</v>
      </c>
      <c r="AH246" s="34">
        <v>0</v>
      </c>
      <c r="AI246" s="34">
        <v>0</v>
      </c>
      <c r="AJ246" s="34">
        <v>0</v>
      </c>
      <c r="AK246" s="34">
        <v>0</v>
      </c>
      <c r="AL246" s="34">
        <v>0</v>
      </c>
      <c r="AM246" s="34">
        <v>0</v>
      </c>
      <c r="AN246" s="34">
        <v>0</v>
      </c>
      <c r="AO246" s="34">
        <v>0</v>
      </c>
      <c r="AP246" s="34">
        <v>0</v>
      </c>
      <c r="AQ246" s="34">
        <v>0</v>
      </c>
      <c r="AR246" s="34">
        <v>0</v>
      </c>
      <c r="AS246" s="34">
        <v>0</v>
      </c>
      <c r="AT246" s="34">
        <v>0</v>
      </c>
      <c r="AU246" s="34">
        <v>0</v>
      </c>
      <c r="AV246" s="34">
        <v>0</v>
      </c>
      <c r="AW246" s="34">
        <v>0</v>
      </c>
      <c r="AX246" s="34">
        <v>0</v>
      </c>
      <c r="AY246" s="34">
        <v>0</v>
      </c>
      <c r="AZ246" s="34">
        <v>0</v>
      </c>
      <c r="BA246" s="34">
        <v>0</v>
      </c>
      <c r="BB246" s="34">
        <v>0</v>
      </c>
      <c r="BC246" s="34">
        <v>0</v>
      </c>
      <c r="BD246" s="34">
        <v>0</v>
      </c>
      <c r="BE246" s="34">
        <v>0</v>
      </c>
      <c r="BF246" s="34">
        <v>0</v>
      </c>
      <c r="BG246" s="34">
        <v>0</v>
      </c>
      <c r="BH246" s="34">
        <v>0</v>
      </c>
      <c r="BI246" s="34">
        <v>0</v>
      </c>
      <c r="BJ246" s="34">
        <v>0</v>
      </c>
      <c r="BK246" s="34">
        <v>0</v>
      </c>
      <c r="BL246" s="34">
        <v>0</v>
      </c>
      <c r="BM246" s="34">
        <v>0</v>
      </c>
      <c r="BN246" s="34">
        <v>0</v>
      </c>
      <c r="BO246" s="34">
        <v>0</v>
      </c>
      <c r="BP246" s="34">
        <v>0</v>
      </c>
      <c r="BQ246" s="34">
        <v>0</v>
      </c>
      <c r="BR246" s="34">
        <v>0</v>
      </c>
      <c r="BS246" s="34">
        <v>0</v>
      </c>
      <c r="BT246" s="34">
        <v>0</v>
      </c>
      <c r="BU246" s="34">
        <v>0</v>
      </c>
      <c r="BV246" s="34">
        <v>0</v>
      </c>
      <c r="BW246" s="34">
        <v>0</v>
      </c>
      <c r="BX246" s="34">
        <v>0</v>
      </c>
      <c r="BY246" s="34">
        <v>0</v>
      </c>
      <c r="BZ246" s="34">
        <v>0</v>
      </c>
      <c r="CA246" s="34">
        <v>0</v>
      </c>
      <c r="CB246" s="34">
        <v>0</v>
      </c>
      <c r="CC246" s="34">
        <v>0</v>
      </c>
      <c r="CD246" s="34">
        <v>0</v>
      </c>
      <c r="CE246" s="34">
        <v>0</v>
      </c>
      <c r="CF246" s="34">
        <v>0</v>
      </c>
      <c r="CG246" s="34">
        <v>0</v>
      </c>
      <c r="CH246" s="34">
        <v>0</v>
      </c>
      <c r="CI246" s="34">
        <v>0</v>
      </c>
      <c r="CJ246" s="34">
        <v>0</v>
      </c>
      <c r="CK246" s="34">
        <v>0</v>
      </c>
      <c r="CL246" s="34">
        <v>0</v>
      </c>
      <c r="CM246" s="34">
        <v>0</v>
      </c>
      <c r="CN246" s="34">
        <v>0</v>
      </c>
      <c r="CO246" s="34">
        <v>0</v>
      </c>
      <c r="CP246" s="34">
        <v>0</v>
      </c>
      <c r="CQ246" s="34">
        <v>0</v>
      </c>
      <c r="CR246" s="34">
        <v>0</v>
      </c>
      <c r="CS246" s="34">
        <v>0</v>
      </c>
      <c r="CT246" s="34">
        <v>0</v>
      </c>
      <c r="CU246" s="34">
        <v>0</v>
      </c>
      <c r="CV246" s="34">
        <v>0</v>
      </c>
      <c r="CW246" s="34">
        <v>0</v>
      </c>
      <c r="CX246" s="34">
        <v>0</v>
      </c>
      <c r="CY246" s="34">
        <v>0</v>
      </c>
      <c r="CZ246" s="34">
        <v>0</v>
      </c>
      <c r="DA246" s="34">
        <v>0</v>
      </c>
      <c r="DB246" s="34">
        <v>0</v>
      </c>
      <c r="DC246" s="34">
        <v>0</v>
      </c>
      <c r="DD246" s="34">
        <v>0</v>
      </c>
      <c r="DE246" s="34">
        <v>0</v>
      </c>
      <c r="DF246" s="34">
        <v>0</v>
      </c>
      <c r="DG246" s="34">
        <v>0</v>
      </c>
      <c r="DH246" s="34">
        <v>0</v>
      </c>
      <c r="DI246" s="34">
        <v>0</v>
      </c>
      <c r="DJ246" s="34">
        <v>0</v>
      </c>
      <c r="DK246" s="34">
        <v>0</v>
      </c>
      <c r="DL246" s="34">
        <v>0</v>
      </c>
      <c r="DM246" s="34">
        <v>0</v>
      </c>
      <c r="DN246" s="34">
        <v>0</v>
      </c>
      <c r="DO246" s="34">
        <v>0</v>
      </c>
      <c r="DP246" s="34">
        <v>0</v>
      </c>
      <c r="DQ246" s="34">
        <v>0</v>
      </c>
      <c r="DR246" s="34">
        <v>0</v>
      </c>
    </row>
    <row r="247" spans="1:122" s="13" customFormat="1" hidden="1" outlineLevel="1" x14ac:dyDescent="0.35">
      <c r="A247" s="14">
        <v>108</v>
      </c>
      <c r="B247" s="34">
        <v>0</v>
      </c>
      <c r="C247" s="34">
        <v>0</v>
      </c>
      <c r="D247" s="34">
        <v>0</v>
      </c>
      <c r="E247" s="34">
        <v>0</v>
      </c>
      <c r="F247" s="34">
        <v>0</v>
      </c>
      <c r="G247" s="34">
        <v>0</v>
      </c>
      <c r="H247" s="34">
        <v>0</v>
      </c>
      <c r="I247" s="34">
        <v>0</v>
      </c>
      <c r="J247" s="34">
        <v>0</v>
      </c>
      <c r="K247" s="34">
        <v>0</v>
      </c>
      <c r="L247" s="34">
        <v>0</v>
      </c>
      <c r="M247" s="34">
        <v>0</v>
      </c>
      <c r="N247" s="34">
        <v>0</v>
      </c>
      <c r="O247" s="34">
        <v>0</v>
      </c>
      <c r="P247" s="34">
        <v>0</v>
      </c>
      <c r="Q247" s="34">
        <v>0</v>
      </c>
      <c r="R247" s="34">
        <v>0</v>
      </c>
      <c r="S247" s="34">
        <v>0</v>
      </c>
      <c r="T247" s="34">
        <v>0</v>
      </c>
      <c r="U247" s="34">
        <v>0</v>
      </c>
      <c r="V247" s="34">
        <v>0</v>
      </c>
      <c r="W247" s="34">
        <v>0</v>
      </c>
      <c r="X247" s="34">
        <v>0</v>
      </c>
      <c r="Y247" s="34">
        <v>0</v>
      </c>
      <c r="Z247" s="34">
        <v>0</v>
      </c>
      <c r="AA247" s="34">
        <v>0</v>
      </c>
      <c r="AB247" s="34">
        <v>0</v>
      </c>
      <c r="AC247" s="34">
        <v>0</v>
      </c>
      <c r="AD247" s="34">
        <v>0</v>
      </c>
      <c r="AE247" s="34">
        <v>0</v>
      </c>
      <c r="AF247" s="34">
        <v>0</v>
      </c>
      <c r="AG247" s="34">
        <v>0</v>
      </c>
      <c r="AH247" s="34">
        <v>0</v>
      </c>
      <c r="AI247" s="34">
        <v>0</v>
      </c>
      <c r="AJ247" s="34">
        <v>0</v>
      </c>
      <c r="AK247" s="34">
        <v>0</v>
      </c>
      <c r="AL247" s="34">
        <v>0</v>
      </c>
      <c r="AM247" s="34">
        <v>0</v>
      </c>
      <c r="AN247" s="34">
        <v>0</v>
      </c>
      <c r="AO247" s="34">
        <v>0</v>
      </c>
      <c r="AP247" s="34">
        <v>0</v>
      </c>
      <c r="AQ247" s="34">
        <v>0</v>
      </c>
      <c r="AR247" s="34">
        <v>0</v>
      </c>
      <c r="AS247" s="34">
        <v>0</v>
      </c>
      <c r="AT247" s="34">
        <v>0</v>
      </c>
      <c r="AU247" s="34">
        <v>0</v>
      </c>
      <c r="AV247" s="34">
        <v>0</v>
      </c>
      <c r="AW247" s="34">
        <v>0</v>
      </c>
      <c r="AX247" s="34">
        <v>0</v>
      </c>
      <c r="AY247" s="34">
        <v>0</v>
      </c>
      <c r="AZ247" s="34">
        <v>0</v>
      </c>
      <c r="BA247" s="34">
        <v>0</v>
      </c>
      <c r="BB247" s="34">
        <v>0</v>
      </c>
      <c r="BC247" s="34">
        <v>0</v>
      </c>
      <c r="BD247" s="34">
        <v>0</v>
      </c>
      <c r="BE247" s="34">
        <v>0</v>
      </c>
      <c r="BF247" s="34">
        <v>0</v>
      </c>
      <c r="BG247" s="34">
        <v>0</v>
      </c>
      <c r="BH247" s="34">
        <v>0</v>
      </c>
      <c r="BI247" s="34">
        <v>0</v>
      </c>
      <c r="BJ247" s="34">
        <v>0</v>
      </c>
      <c r="BK247" s="34">
        <v>0</v>
      </c>
      <c r="BL247" s="34">
        <v>0</v>
      </c>
      <c r="BM247" s="34">
        <v>0</v>
      </c>
      <c r="BN247" s="34">
        <v>0</v>
      </c>
      <c r="BO247" s="34">
        <v>0</v>
      </c>
      <c r="BP247" s="34">
        <v>0</v>
      </c>
      <c r="BQ247" s="34">
        <v>0</v>
      </c>
      <c r="BR247" s="34">
        <v>0</v>
      </c>
      <c r="BS247" s="34">
        <v>0</v>
      </c>
      <c r="BT247" s="34">
        <v>0</v>
      </c>
      <c r="BU247" s="34">
        <v>0</v>
      </c>
      <c r="BV247" s="34">
        <v>0</v>
      </c>
      <c r="BW247" s="34">
        <v>0</v>
      </c>
      <c r="BX247" s="34">
        <v>0</v>
      </c>
      <c r="BY247" s="34">
        <v>0</v>
      </c>
      <c r="BZ247" s="34">
        <v>0</v>
      </c>
      <c r="CA247" s="34">
        <v>0</v>
      </c>
      <c r="CB247" s="34">
        <v>0</v>
      </c>
      <c r="CC247" s="34">
        <v>0</v>
      </c>
      <c r="CD247" s="34">
        <v>0</v>
      </c>
      <c r="CE247" s="34">
        <v>0</v>
      </c>
      <c r="CF247" s="34">
        <v>0</v>
      </c>
      <c r="CG247" s="34">
        <v>0</v>
      </c>
      <c r="CH247" s="34">
        <v>0</v>
      </c>
      <c r="CI247" s="34">
        <v>0</v>
      </c>
      <c r="CJ247" s="34">
        <v>0</v>
      </c>
      <c r="CK247" s="34">
        <v>0</v>
      </c>
      <c r="CL247" s="34">
        <v>0</v>
      </c>
      <c r="CM247" s="34">
        <v>0</v>
      </c>
      <c r="CN247" s="34">
        <v>0</v>
      </c>
      <c r="CO247" s="34">
        <v>0</v>
      </c>
      <c r="CP247" s="34">
        <v>0</v>
      </c>
      <c r="CQ247" s="34">
        <v>0</v>
      </c>
      <c r="CR247" s="34">
        <v>0</v>
      </c>
      <c r="CS247" s="34">
        <v>0</v>
      </c>
      <c r="CT247" s="34">
        <v>0</v>
      </c>
      <c r="CU247" s="34">
        <v>0</v>
      </c>
      <c r="CV247" s="34">
        <v>0</v>
      </c>
      <c r="CW247" s="34">
        <v>0</v>
      </c>
      <c r="CX247" s="34">
        <v>0</v>
      </c>
      <c r="CY247" s="34">
        <v>0</v>
      </c>
      <c r="CZ247" s="34">
        <v>0</v>
      </c>
      <c r="DA247" s="34">
        <v>0</v>
      </c>
      <c r="DB247" s="34">
        <v>0</v>
      </c>
      <c r="DC247" s="34">
        <v>0</v>
      </c>
      <c r="DD247" s="34">
        <v>0</v>
      </c>
      <c r="DE247" s="34">
        <v>0</v>
      </c>
      <c r="DF247" s="34">
        <v>0</v>
      </c>
      <c r="DG247" s="34">
        <v>0</v>
      </c>
      <c r="DH247" s="34">
        <v>0</v>
      </c>
      <c r="DI247" s="34">
        <v>0</v>
      </c>
      <c r="DJ247" s="34">
        <v>0</v>
      </c>
      <c r="DK247" s="34">
        <v>0</v>
      </c>
      <c r="DL247" s="34">
        <v>0</v>
      </c>
      <c r="DM247" s="34">
        <v>0</v>
      </c>
      <c r="DN247" s="34">
        <v>0</v>
      </c>
      <c r="DO247" s="34">
        <v>0</v>
      </c>
      <c r="DP247" s="34">
        <v>0</v>
      </c>
      <c r="DQ247" s="34">
        <v>0</v>
      </c>
      <c r="DR247" s="34">
        <v>0</v>
      </c>
    </row>
    <row r="248" spans="1:122" s="13" customFormat="1" hidden="1" outlineLevel="1" x14ac:dyDescent="0.35">
      <c r="A248" s="14">
        <v>109</v>
      </c>
      <c r="B248" s="34">
        <v>0</v>
      </c>
      <c r="C248" s="34">
        <v>0</v>
      </c>
      <c r="D248" s="34">
        <v>0</v>
      </c>
      <c r="E248" s="34">
        <v>0</v>
      </c>
      <c r="F248" s="34">
        <v>0</v>
      </c>
      <c r="G248" s="34">
        <v>0</v>
      </c>
      <c r="H248" s="34">
        <v>0</v>
      </c>
      <c r="I248" s="34">
        <v>0</v>
      </c>
      <c r="J248" s="34">
        <v>0</v>
      </c>
      <c r="K248" s="34">
        <v>0</v>
      </c>
      <c r="L248" s="34">
        <v>0</v>
      </c>
      <c r="M248" s="34">
        <v>0</v>
      </c>
      <c r="N248" s="34">
        <v>0</v>
      </c>
      <c r="O248" s="34">
        <v>0</v>
      </c>
      <c r="P248" s="34">
        <v>0</v>
      </c>
      <c r="Q248" s="34">
        <v>0</v>
      </c>
      <c r="R248" s="34">
        <v>0</v>
      </c>
      <c r="S248" s="34">
        <v>0</v>
      </c>
      <c r="T248" s="34">
        <v>0</v>
      </c>
      <c r="U248" s="34">
        <v>0</v>
      </c>
      <c r="V248" s="34">
        <v>0</v>
      </c>
      <c r="W248" s="34">
        <v>0</v>
      </c>
      <c r="X248" s="34">
        <v>0</v>
      </c>
      <c r="Y248" s="34">
        <v>0</v>
      </c>
      <c r="Z248" s="34">
        <v>0</v>
      </c>
      <c r="AA248" s="34">
        <v>0</v>
      </c>
      <c r="AB248" s="34">
        <v>0</v>
      </c>
      <c r="AC248" s="34">
        <v>0</v>
      </c>
      <c r="AD248" s="34">
        <v>0</v>
      </c>
      <c r="AE248" s="34">
        <v>0</v>
      </c>
      <c r="AF248" s="34">
        <v>0</v>
      </c>
      <c r="AG248" s="34">
        <v>0</v>
      </c>
      <c r="AH248" s="34">
        <v>0</v>
      </c>
      <c r="AI248" s="34">
        <v>0</v>
      </c>
      <c r="AJ248" s="34">
        <v>0</v>
      </c>
      <c r="AK248" s="34">
        <v>0</v>
      </c>
      <c r="AL248" s="34">
        <v>0</v>
      </c>
      <c r="AM248" s="34">
        <v>0</v>
      </c>
      <c r="AN248" s="34">
        <v>0</v>
      </c>
      <c r="AO248" s="34">
        <v>0</v>
      </c>
      <c r="AP248" s="34">
        <v>0</v>
      </c>
      <c r="AQ248" s="34">
        <v>0</v>
      </c>
      <c r="AR248" s="34">
        <v>0</v>
      </c>
      <c r="AS248" s="34">
        <v>0</v>
      </c>
      <c r="AT248" s="34">
        <v>0</v>
      </c>
      <c r="AU248" s="34">
        <v>0</v>
      </c>
      <c r="AV248" s="34">
        <v>0</v>
      </c>
      <c r="AW248" s="34">
        <v>0</v>
      </c>
      <c r="AX248" s="34">
        <v>0</v>
      </c>
      <c r="AY248" s="34">
        <v>0</v>
      </c>
      <c r="AZ248" s="34">
        <v>0</v>
      </c>
      <c r="BA248" s="34">
        <v>0</v>
      </c>
      <c r="BB248" s="34">
        <v>0</v>
      </c>
      <c r="BC248" s="34">
        <v>0</v>
      </c>
      <c r="BD248" s="34">
        <v>0</v>
      </c>
      <c r="BE248" s="34">
        <v>0</v>
      </c>
      <c r="BF248" s="34">
        <v>0</v>
      </c>
      <c r="BG248" s="34">
        <v>0</v>
      </c>
      <c r="BH248" s="34">
        <v>0</v>
      </c>
      <c r="BI248" s="34">
        <v>0</v>
      </c>
      <c r="BJ248" s="34">
        <v>0</v>
      </c>
      <c r="BK248" s="34">
        <v>0</v>
      </c>
      <c r="BL248" s="34">
        <v>0</v>
      </c>
      <c r="BM248" s="34">
        <v>0</v>
      </c>
      <c r="BN248" s="34">
        <v>0</v>
      </c>
      <c r="BO248" s="34">
        <v>0</v>
      </c>
      <c r="BP248" s="34">
        <v>0</v>
      </c>
      <c r="BQ248" s="34">
        <v>0</v>
      </c>
      <c r="BR248" s="34">
        <v>0</v>
      </c>
      <c r="BS248" s="34">
        <v>0</v>
      </c>
      <c r="BT248" s="34">
        <v>0</v>
      </c>
      <c r="BU248" s="34">
        <v>0</v>
      </c>
      <c r="BV248" s="34">
        <v>0</v>
      </c>
      <c r="BW248" s="34">
        <v>0</v>
      </c>
      <c r="BX248" s="34">
        <v>0</v>
      </c>
      <c r="BY248" s="34">
        <v>0</v>
      </c>
      <c r="BZ248" s="34">
        <v>0</v>
      </c>
      <c r="CA248" s="34">
        <v>0</v>
      </c>
      <c r="CB248" s="34">
        <v>0</v>
      </c>
      <c r="CC248" s="34">
        <v>0</v>
      </c>
      <c r="CD248" s="34">
        <v>0</v>
      </c>
      <c r="CE248" s="34">
        <v>0</v>
      </c>
      <c r="CF248" s="34">
        <v>0</v>
      </c>
      <c r="CG248" s="34">
        <v>0</v>
      </c>
      <c r="CH248" s="34">
        <v>0</v>
      </c>
      <c r="CI248" s="34">
        <v>0</v>
      </c>
      <c r="CJ248" s="34">
        <v>0</v>
      </c>
      <c r="CK248" s="34">
        <v>0</v>
      </c>
      <c r="CL248" s="34">
        <v>0</v>
      </c>
      <c r="CM248" s="34">
        <v>0</v>
      </c>
      <c r="CN248" s="34">
        <v>0</v>
      </c>
      <c r="CO248" s="34">
        <v>0</v>
      </c>
      <c r="CP248" s="34">
        <v>0</v>
      </c>
      <c r="CQ248" s="34">
        <v>0</v>
      </c>
      <c r="CR248" s="34">
        <v>0</v>
      </c>
      <c r="CS248" s="34">
        <v>0</v>
      </c>
      <c r="CT248" s="34">
        <v>0</v>
      </c>
      <c r="CU248" s="34">
        <v>0</v>
      </c>
      <c r="CV248" s="34">
        <v>0</v>
      </c>
      <c r="CW248" s="34">
        <v>0</v>
      </c>
      <c r="CX248" s="34">
        <v>0</v>
      </c>
      <c r="CY248" s="34">
        <v>0</v>
      </c>
      <c r="CZ248" s="34">
        <v>0</v>
      </c>
      <c r="DA248" s="34">
        <v>0</v>
      </c>
      <c r="DB248" s="34">
        <v>0</v>
      </c>
      <c r="DC248" s="34">
        <v>0</v>
      </c>
      <c r="DD248" s="34">
        <v>0</v>
      </c>
      <c r="DE248" s="34">
        <v>0</v>
      </c>
      <c r="DF248" s="34">
        <v>0</v>
      </c>
      <c r="DG248" s="34">
        <v>0</v>
      </c>
      <c r="DH248" s="34">
        <v>0</v>
      </c>
      <c r="DI248" s="34">
        <v>0</v>
      </c>
      <c r="DJ248" s="34">
        <v>0</v>
      </c>
      <c r="DK248" s="34">
        <v>0</v>
      </c>
      <c r="DL248" s="34">
        <v>0</v>
      </c>
      <c r="DM248" s="34">
        <v>0</v>
      </c>
      <c r="DN248" s="34">
        <v>0</v>
      </c>
      <c r="DO248" s="34">
        <v>0</v>
      </c>
      <c r="DP248" s="34">
        <v>0</v>
      </c>
      <c r="DQ248" s="34">
        <v>0</v>
      </c>
      <c r="DR248" s="34">
        <v>0</v>
      </c>
    </row>
    <row r="249" spans="1:122" s="13" customFormat="1" hidden="1" outlineLevel="1" x14ac:dyDescent="0.35">
      <c r="A249" s="14">
        <v>110</v>
      </c>
      <c r="B249" s="34">
        <v>0</v>
      </c>
      <c r="C249" s="34">
        <v>0</v>
      </c>
      <c r="D249" s="34">
        <v>0</v>
      </c>
      <c r="E249" s="34">
        <v>0</v>
      </c>
      <c r="F249" s="34">
        <v>0</v>
      </c>
      <c r="G249" s="34">
        <v>0</v>
      </c>
      <c r="H249" s="34">
        <v>0</v>
      </c>
      <c r="I249" s="34">
        <v>0</v>
      </c>
      <c r="J249" s="34">
        <v>0</v>
      </c>
      <c r="K249" s="34">
        <v>0</v>
      </c>
      <c r="L249" s="34">
        <v>0</v>
      </c>
      <c r="M249" s="34">
        <v>0</v>
      </c>
      <c r="N249" s="34">
        <v>0</v>
      </c>
      <c r="O249" s="34">
        <v>0</v>
      </c>
      <c r="P249" s="34">
        <v>0</v>
      </c>
      <c r="Q249" s="34">
        <v>0</v>
      </c>
      <c r="R249" s="34">
        <v>0</v>
      </c>
      <c r="S249" s="34">
        <v>0</v>
      </c>
      <c r="T249" s="34">
        <v>0</v>
      </c>
      <c r="U249" s="34">
        <v>0</v>
      </c>
      <c r="V249" s="34">
        <v>0</v>
      </c>
      <c r="W249" s="34">
        <v>0</v>
      </c>
      <c r="X249" s="34">
        <v>0</v>
      </c>
      <c r="Y249" s="34">
        <v>0</v>
      </c>
      <c r="Z249" s="34">
        <v>0</v>
      </c>
      <c r="AA249" s="34">
        <v>0</v>
      </c>
      <c r="AB249" s="34">
        <v>0</v>
      </c>
      <c r="AC249" s="34">
        <v>0</v>
      </c>
      <c r="AD249" s="34">
        <v>0</v>
      </c>
      <c r="AE249" s="34">
        <v>0</v>
      </c>
      <c r="AF249" s="34">
        <v>0</v>
      </c>
      <c r="AG249" s="34">
        <v>0</v>
      </c>
      <c r="AH249" s="34">
        <v>0</v>
      </c>
      <c r="AI249" s="34">
        <v>0</v>
      </c>
      <c r="AJ249" s="34">
        <v>0</v>
      </c>
      <c r="AK249" s="34">
        <v>0</v>
      </c>
      <c r="AL249" s="34">
        <v>0</v>
      </c>
      <c r="AM249" s="34">
        <v>0</v>
      </c>
      <c r="AN249" s="34">
        <v>0</v>
      </c>
      <c r="AO249" s="34">
        <v>0</v>
      </c>
      <c r="AP249" s="34">
        <v>0</v>
      </c>
      <c r="AQ249" s="34">
        <v>0</v>
      </c>
      <c r="AR249" s="34">
        <v>0</v>
      </c>
      <c r="AS249" s="34">
        <v>0</v>
      </c>
      <c r="AT249" s="34">
        <v>0</v>
      </c>
      <c r="AU249" s="34">
        <v>0</v>
      </c>
      <c r="AV249" s="34">
        <v>0</v>
      </c>
      <c r="AW249" s="34">
        <v>0</v>
      </c>
      <c r="AX249" s="34">
        <v>0</v>
      </c>
      <c r="AY249" s="34">
        <v>0</v>
      </c>
      <c r="AZ249" s="34">
        <v>0</v>
      </c>
      <c r="BA249" s="34">
        <v>0</v>
      </c>
      <c r="BB249" s="34">
        <v>0</v>
      </c>
      <c r="BC249" s="34">
        <v>0</v>
      </c>
      <c r="BD249" s="34">
        <v>0</v>
      </c>
      <c r="BE249" s="34">
        <v>0</v>
      </c>
      <c r="BF249" s="34">
        <v>0</v>
      </c>
      <c r="BG249" s="34">
        <v>0</v>
      </c>
      <c r="BH249" s="34">
        <v>0</v>
      </c>
      <c r="BI249" s="34">
        <v>0</v>
      </c>
      <c r="BJ249" s="34">
        <v>0</v>
      </c>
      <c r="BK249" s="34">
        <v>0</v>
      </c>
      <c r="BL249" s="34">
        <v>0</v>
      </c>
      <c r="BM249" s="34">
        <v>0</v>
      </c>
      <c r="BN249" s="34">
        <v>0</v>
      </c>
      <c r="BO249" s="34">
        <v>0</v>
      </c>
      <c r="BP249" s="34">
        <v>0</v>
      </c>
      <c r="BQ249" s="34">
        <v>0</v>
      </c>
      <c r="BR249" s="34">
        <v>0</v>
      </c>
      <c r="BS249" s="34">
        <v>0</v>
      </c>
      <c r="BT249" s="34">
        <v>0</v>
      </c>
      <c r="BU249" s="34">
        <v>0</v>
      </c>
      <c r="BV249" s="34">
        <v>0</v>
      </c>
      <c r="BW249" s="34">
        <v>0</v>
      </c>
      <c r="BX249" s="34">
        <v>0</v>
      </c>
      <c r="BY249" s="34">
        <v>0</v>
      </c>
      <c r="BZ249" s="34">
        <v>0</v>
      </c>
      <c r="CA249" s="34">
        <v>0</v>
      </c>
      <c r="CB249" s="34">
        <v>0</v>
      </c>
      <c r="CC249" s="34">
        <v>0</v>
      </c>
      <c r="CD249" s="34">
        <v>0</v>
      </c>
      <c r="CE249" s="34">
        <v>0</v>
      </c>
      <c r="CF249" s="34">
        <v>0</v>
      </c>
      <c r="CG249" s="34">
        <v>0</v>
      </c>
      <c r="CH249" s="34">
        <v>0</v>
      </c>
      <c r="CI249" s="34">
        <v>0</v>
      </c>
      <c r="CJ249" s="34">
        <v>0</v>
      </c>
      <c r="CK249" s="34">
        <v>0</v>
      </c>
      <c r="CL249" s="34">
        <v>0</v>
      </c>
      <c r="CM249" s="34">
        <v>0</v>
      </c>
      <c r="CN249" s="34">
        <v>0</v>
      </c>
      <c r="CO249" s="34">
        <v>0</v>
      </c>
      <c r="CP249" s="34">
        <v>0</v>
      </c>
      <c r="CQ249" s="34">
        <v>0</v>
      </c>
      <c r="CR249" s="34">
        <v>0</v>
      </c>
      <c r="CS249" s="34">
        <v>0</v>
      </c>
      <c r="CT249" s="34">
        <v>0</v>
      </c>
      <c r="CU249" s="34">
        <v>0</v>
      </c>
      <c r="CV249" s="34">
        <v>0</v>
      </c>
      <c r="CW249" s="34">
        <v>0</v>
      </c>
      <c r="CX249" s="34">
        <v>0</v>
      </c>
      <c r="CY249" s="34">
        <v>0</v>
      </c>
      <c r="CZ249" s="34">
        <v>0</v>
      </c>
      <c r="DA249" s="34">
        <v>0</v>
      </c>
      <c r="DB249" s="34">
        <v>0</v>
      </c>
      <c r="DC249" s="34">
        <v>0</v>
      </c>
      <c r="DD249" s="34">
        <v>0</v>
      </c>
      <c r="DE249" s="34">
        <v>0</v>
      </c>
      <c r="DF249" s="34">
        <v>0</v>
      </c>
      <c r="DG249" s="34">
        <v>0</v>
      </c>
      <c r="DH249" s="34">
        <v>0</v>
      </c>
      <c r="DI249" s="34">
        <v>0</v>
      </c>
      <c r="DJ249" s="34">
        <v>0</v>
      </c>
      <c r="DK249" s="34">
        <v>0</v>
      </c>
      <c r="DL249" s="34">
        <v>0</v>
      </c>
      <c r="DM249" s="34">
        <v>0</v>
      </c>
      <c r="DN249" s="34">
        <v>0</v>
      </c>
      <c r="DO249" s="34">
        <v>0</v>
      </c>
      <c r="DP249" s="34">
        <v>0</v>
      </c>
      <c r="DQ249" s="34">
        <v>0</v>
      </c>
      <c r="DR249" s="34">
        <v>0</v>
      </c>
    </row>
    <row r="250" spans="1:122" s="13" customFormat="1" hidden="1" outlineLevel="1" x14ac:dyDescent="0.35">
      <c r="A250" s="14">
        <v>111</v>
      </c>
      <c r="B250" s="34">
        <v>0</v>
      </c>
      <c r="C250" s="34">
        <v>0</v>
      </c>
      <c r="D250" s="34">
        <v>0</v>
      </c>
      <c r="E250" s="34">
        <v>0</v>
      </c>
      <c r="F250" s="34">
        <v>0</v>
      </c>
      <c r="G250" s="34">
        <v>0</v>
      </c>
      <c r="H250" s="34">
        <v>0</v>
      </c>
      <c r="I250" s="34">
        <v>0</v>
      </c>
      <c r="J250" s="34">
        <v>0</v>
      </c>
      <c r="K250" s="34">
        <v>0</v>
      </c>
      <c r="L250" s="34">
        <v>0</v>
      </c>
      <c r="M250" s="34">
        <v>0</v>
      </c>
      <c r="N250" s="34">
        <v>0</v>
      </c>
      <c r="O250" s="34">
        <v>0</v>
      </c>
      <c r="P250" s="34">
        <v>0</v>
      </c>
      <c r="Q250" s="34">
        <v>0</v>
      </c>
      <c r="R250" s="34">
        <v>0</v>
      </c>
      <c r="S250" s="34">
        <v>0</v>
      </c>
      <c r="T250" s="34">
        <v>0</v>
      </c>
      <c r="U250" s="34">
        <v>0</v>
      </c>
      <c r="V250" s="34">
        <v>0</v>
      </c>
      <c r="W250" s="34">
        <v>0</v>
      </c>
      <c r="X250" s="34">
        <v>0</v>
      </c>
      <c r="Y250" s="34">
        <v>0</v>
      </c>
      <c r="Z250" s="34">
        <v>0</v>
      </c>
      <c r="AA250" s="34">
        <v>0</v>
      </c>
      <c r="AB250" s="34">
        <v>0</v>
      </c>
      <c r="AC250" s="34">
        <v>0</v>
      </c>
      <c r="AD250" s="34">
        <v>0</v>
      </c>
      <c r="AE250" s="34">
        <v>0</v>
      </c>
      <c r="AF250" s="34">
        <v>0</v>
      </c>
      <c r="AG250" s="34">
        <v>0</v>
      </c>
      <c r="AH250" s="34">
        <v>0</v>
      </c>
      <c r="AI250" s="34">
        <v>0</v>
      </c>
      <c r="AJ250" s="34">
        <v>0</v>
      </c>
      <c r="AK250" s="34">
        <v>0</v>
      </c>
      <c r="AL250" s="34">
        <v>0</v>
      </c>
      <c r="AM250" s="34">
        <v>0</v>
      </c>
      <c r="AN250" s="34">
        <v>0</v>
      </c>
      <c r="AO250" s="34">
        <v>0</v>
      </c>
      <c r="AP250" s="34">
        <v>0</v>
      </c>
      <c r="AQ250" s="34">
        <v>0</v>
      </c>
      <c r="AR250" s="34">
        <v>0</v>
      </c>
      <c r="AS250" s="34">
        <v>0</v>
      </c>
      <c r="AT250" s="34">
        <v>0</v>
      </c>
      <c r="AU250" s="34">
        <v>0</v>
      </c>
      <c r="AV250" s="34">
        <v>0</v>
      </c>
      <c r="AW250" s="34">
        <v>0</v>
      </c>
      <c r="AX250" s="34">
        <v>0</v>
      </c>
      <c r="AY250" s="34">
        <v>0</v>
      </c>
      <c r="AZ250" s="34">
        <v>0</v>
      </c>
      <c r="BA250" s="34">
        <v>0</v>
      </c>
      <c r="BB250" s="34">
        <v>0</v>
      </c>
      <c r="BC250" s="34">
        <v>0</v>
      </c>
      <c r="BD250" s="34">
        <v>0</v>
      </c>
      <c r="BE250" s="34">
        <v>0</v>
      </c>
      <c r="BF250" s="34">
        <v>0</v>
      </c>
      <c r="BG250" s="34">
        <v>0</v>
      </c>
      <c r="BH250" s="34">
        <v>0</v>
      </c>
      <c r="BI250" s="34">
        <v>0</v>
      </c>
      <c r="BJ250" s="34">
        <v>0</v>
      </c>
      <c r="BK250" s="34">
        <v>0</v>
      </c>
      <c r="BL250" s="34">
        <v>0</v>
      </c>
      <c r="BM250" s="34">
        <v>0</v>
      </c>
      <c r="BN250" s="34">
        <v>0</v>
      </c>
      <c r="BO250" s="34">
        <v>0</v>
      </c>
      <c r="BP250" s="34">
        <v>0</v>
      </c>
      <c r="BQ250" s="34">
        <v>0</v>
      </c>
      <c r="BR250" s="34">
        <v>0</v>
      </c>
      <c r="BS250" s="34">
        <v>0</v>
      </c>
      <c r="BT250" s="34">
        <v>0</v>
      </c>
      <c r="BU250" s="34">
        <v>0</v>
      </c>
      <c r="BV250" s="34">
        <v>0</v>
      </c>
      <c r="BW250" s="34">
        <v>0</v>
      </c>
      <c r="BX250" s="34">
        <v>0</v>
      </c>
      <c r="BY250" s="34">
        <v>0</v>
      </c>
      <c r="BZ250" s="34">
        <v>0</v>
      </c>
      <c r="CA250" s="34">
        <v>0</v>
      </c>
      <c r="CB250" s="34">
        <v>0</v>
      </c>
      <c r="CC250" s="34">
        <v>0</v>
      </c>
      <c r="CD250" s="34">
        <v>0</v>
      </c>
      <c r="CE250" s="34">
        <v>0</v>
      </c>
      <c r="CF250" s="34">
        <v>0</v>
      </c>
      <c r="CG250" s="34">
        <v>0</v>
      </c>
      <c r="CH250" s="34">
        <v>0</v>
      </c>
      <c r="CI250" s="34">
        <v>0</v>
      </c>
      <c r="CJ250" s="34">
        <v>0</v>
      </c>
      <c r="CK250" s="34">
        <v>0</v>
      </c>
      <c r="CL250" s="34">
        <v>0</v>
      </c>
      <c r="CM250" s="34">
        <v>0</v>
      </c>
      <c r="CN250" s="34">
        <v>0</v>
      </c>
      <c r="CO250" s="34">
        <v>0</v>
      </c>
      <c r="CP250" s="34">
        <v>0</v>
      </c>
      <c r="CQ250" s="34">
        <v>0</v>
      </c>
      <c r="CR250" s="34">
        <v>0</v>
      </c>
      <c r="CS250" s="34">
        <v>0</v>
      </c>
      <c r="CT250" s="34">
        <v>0</v>
      </c>
      <c r="CU250" s="34">
        <v>0</v>
      </c>
      <c r="CV250" s="34">
        <v>0</v>
      </c>
      <c r="CW250" s="34">
        <v>0</v>
      </c>
      <c r="CX250" s="34">
        <v>0</v>
      </c>
      <c r="CY250" s="34">
        <v>0</v>
      </c>
      <c r="CZ250" s="34">
        <v>0</v>
      </c>
      <c r="DA250" s="34">
        <v>0</v>
      </c>
      <c r="DB250" s="34">
        <v>0</v>
      </c>
      <c r="DC250" s="34">
        <v>0</v>
      </c>
      <c r="DD250" s="34">
        <v>0</v>
      </c>
      <c r="DE250" s="34">
        <v>0</v>
      </c>
      <c r="DF250" s="34">
        <v>0</v>
      </c>
      <c r="DG250" s="34">
        <v>0</v>
      </c>
      <c r="DH250" s="34">
        <v>0</v>
      </c>
      <c r="DI250" s="34">
        <v>0</v>
      </c>
      <c r="DJ250" s="34">
        <v>0</v>
      </c>
      <c r="DK250" s="34">
        <v>0</v>
      </c>
      <c r="DL250" s="34">
        <v>0</v>
      </c>
      <c r="DM250" s="34">
        <v>0</v>
      </c>
      <c r="DN250" s="34">
        <v>0</v>
      </c>
      <c r="DO250" s="34">
        <v>0</v>
      </c>
      <c r="DP250" s="34">
        <v>0</v>
      </c>
      <c r="DQ250" s="34">
        <v>0</v>
      </c>
      <c r="DR250" s="34">
        <v>0</v>
      </c>
    </row>
    <row r="251" spans="1:122" s="13" customFormat="1" hidden="1" outlineLevel="1" x14ac:dyDescent="0.35">
      <c r="A251" s="14">
        <v>112</v>
      </c>
      <c r="B251" s="34">
        <v>0</v>
      </c>
      <c r="C251" s="34">
        <v>0</v>
      </c>
      <c r="D251" s="34">
        <v>0</v>
      </c>
      <c r="E251" s="34">
        <v>0</v>
      </c>
      <c r="F251" s="34">
        <v>0</v>
      </c>
      <c r="G251" s="34">
        <v>0</v>
      </c>
      <c r="H251" s="34">
        <v>0</v>
      </c>
      <c r="I251" s="34">
        <v>0</v>
      </c>
      <c r="J251" s="34">
        <v>0</v>
      </c>
      <c r="K251" s="34">
        <v>0</v>
      </c>
      <c r="L251" s="34">
        <v>0</v>
      </c>
      <c r="M251" s="34">
        <v>0</v>
      </c>
      <c r="N251" s="34">
        <v>0</v>
      </c>
      <c r="O251" s="34">
        <v>0</v>
      </c>
      <c r="P251" s="34">
        <v>0</v>
      </c>
      <c r="Q251" s="34">
        <v>0</v>
      </c>
      <c r="R251" s="34">
        <v>0</v>
      </c>
      <c r="S251" s="34">
        <v>0</v>
      </c>
      <c r="T251" s="34">
        <v>0</v>
      </c>
      <c r="U251" s="34">
        <v>0</v>
      </c>
      <c r="V251" s="34">
        <v>0</v>
      </c>
      <c r="W251" s="34">
        <v>0</v>
      </c>
      <c r="X251" s="34">
        <v>0</v>
      </c>
      <c r="Y251" s="34">
        <v>0</v>
      </c>
      <c r="Z251" s="34">
        <v>0</v>
      </c>
      <c r="AA251" s="34">
        <v>0</v>
      </c>
      <c r="AB251" s="34">
        <v>0</v>
      </c>
      <c r="AC251" s="34">
        <v>0</v>
      </c>
      <c r="AD251" s="34">
        <v>0</v>
      </c>
      <c r="AE251" s="34">
        <v>0</v>
      </c>
      <c r="AF251" s="34">
        <v>0</v>
      </c>
      <c r="AG251" s="34">
        <v>0</v>
      </c>
      <c r="AH251" s="34">
        <v>0</v>
      </c>
      <c r="AI251" s="34">
        <v>0</v>
      </c>
      <c r="AJ251" s="34">
        <v>0</v>
      </c>
      <c r="AK251" s="34">
        <v>0</v>
      </c>
      <c r="AL251" s="34">
        <v>0</v>
      </c>
      <c r="AM251" s="34">
        <v>0</v>
      </c>
      <c r="AN251" s="34">
        <v>0</v>
      </c>
      <c r="AO251" s="34">
        <v>0</v>
      </c>
      <c r="AP251" s="34">
        <v>0</v>
      </c>
      <c r="AQ251" s="34">
        <v>0</v>
      </c>
      <c r="AR251" s="34">
        <v>0</v>
      </c>
      <c r="AS251" s="34">
        <v>0</v>
      </c>
      <c r="AT251" s="34">
        <v>0</v>
      </c>
      <c r="AU251" s="34">
        <v>0</v>
      </c>
      <c r="AV251" s="34">
        <v>0</v>
      </c>
      <c r="AW251" s="34">
        <v>0</v>
      </c>
      <c r="AX251" s="34">
        <v>0</v>
      </c>
      <c r="AY251" s="34">
        <v>0</v>
      </c>
      <c r="AZ251" s="34">
        <v>0</v>
      </c>
      <c r="BA251" s="34">
        <v>0</v>
      </c>
      <c r="BB251" s="34">
        <v>0</v>
      </c>
      <c r="BC251" s="34">
        <v>0</v>
      </c>
      <c r="BD251" s="34">
        <v>0</v>
      </c>
      <c r="BE251" s="34">
        <v>0</v>
      </c>
      <c r="BF251" s="34">
        <v>0</v>
      </c>
      <c r="BG251" s="34">
        <v>0</v>
      </c>
      <c r="BH251" s="34">
        <v>0</v>
      </c>
      <c r="BI251" s="34">
        <v>0</v>
      </c>
      <c r="BJ251" s="34">
        <v>0</v>
      </c>
      <c r="BK251" s="34">
        <v>0</v>
      </c>
      <c r="BL251" s="34">
        <v>0</v>
      </c>
      <c r="BM251" s="34">
        <v>0</v>
      </c>
      <c r="BN251" s="34">
        <v>0</v>
      </c>
      <c r="BO251" s="34">
        <v>0</v>
      </c>
      <c r="BP251" s="34">
        <v>0</v>
      </c>
      <c r="BQ251" s="34">
        <v>0</v>
      </c>
      <c r="BR251" s="34">
        <v>0</v>
      </c>
      <c r="BS251" s="34">
        <v>0</v>
      </c>
      <c r="BT251" s="34">
        <v>0</v>
      </c>
      <c r="BU251" s="34">
        <v>0</v>
      </c>
      <c r="BV251" s="34">
        <v>0</v>
      </c>
      <c r="BW251" s="34">
        <v>0</v>
      </c>
      <c r="BX251" s="34">
        <v>0</v>
      </c>
      <c r="BY251" s="34">
        <v>0</v>
      </c>
      <c r="BZ251" s="34">
        <v>0</v>
      </c>
      <c r="CA251" s="34">
        <v>0</v>
      </c>
      <c r="CB251" s="34">
        <v>0</v>
      </c>
      <c r="CC251" s="34">
        <v>0</v>
      </c>
      <c r="CD251" s="34">
        <v>0</v>
      </c>
      <c r="CE251" s="34">
        <v>0</v>
      </c>
      <c r="CF251" s="34">
        <v>0</v>
      </c>
      <c r="CG251" s="34">
        <v>0</v>
      </c>
      <c r="CH251" s="34">
        <v>0</v>
      </c>
      <c r="CI251" s="34">
        <v>0</v>
      </c>
      <c r="CJ251" s="34">
        <v>0</v>
      </c>
      <c r="CK251" s="34">
        <v>0</v>
      </c>
      <c r="CL251" s="34">
        <v>0</v>
      </c>
      <c r="CM251" s="34">
        <v>0</v>
      </c>
      <c r="CN251" s="34">
        <v>0</v>
      </c>
      <c r="CO251" s="34">
        <v>0</v>
      </c>
      <c r="CP251" s="34">
        <v>0</v>
      </c>
      <c r="CQ251" s="34">
        <v>0</v>
      </c>
      <c r="CR251" s="34">
        <v>0</v>
      </c>
      <c r="CS251" s="34">
        <v>0</v>
      </c>
      <c r="CT251" s="34">
        <v>0</v>
      </c>
      <c r="CU251" s="34">
        <v>0</v>
      </c>
      <c r="CV251" s="34">
        <v>0</v>
      </c>
      <c r="CW251" s="34">
        <v>0</v>
      </c>
      <c r="CX251" s="34">
        <v>0</v>
      </c>
      <c r="CY251" s="34">
        <v>0</v>
      </c>
      <c r="CZ251" s="34">
        <v>0</v>
      </c>
      <c r="DA251" s="34">
        <v>0</v>
      </c>
      <c r="DB251" s="34">
        <v>0</v>
      </c>
      <c r="DC251" s="34">
        <v>0</v>
      </c>
      <c r="DD251" s="34">
        <v>0</v>
      </c>
      <c r="DE251" s="34">
        <v>0</v>
      </c>
      <c r="DF251" s="34">
        <v>0</v>
      </c>
      <c r="DG251" s="34">
        <v>0</v>
      </c>
      <c r="DH251" s="34">
        <v>0</v>
      </c>
      <c r="DI251" s="34">
        <v>0</v>
      </c>
      <c r="DJ251" s="34">
        <v>0</v>
      </c>
      <c r="DK251" s="34">
        <v>0</v>
      </c>
      <c r="DL251" s="34">
        <v>0</v>
      </c>
      <c r="DM251" s="34">
        <v>0</v>
      </c>
      <c r="DN251" s="34">
        <v>0</v>
      </c>
      <c r="DO251" s="34">
        <v>0</v>
      </c>
      <c r="DP251" s="34">
        <v>0</v>
      </c>
      <c r="DQ251" s="34">
        <v>0</v>
      </c>
      <c r="DR251" s="34">
        <v>0</v>
      </c>
    </row>
    <row r="252" spans="1:122" s="13" customFormat="1" hidden="1" outlineLevel="1" x14ac:dyDescent="0.35">
      <c r="A252" s="14">
        <v>113</v>
      </c>
      <c r="B252" s="34">
        <v>0</v>
      </c>
      <c r="C252" s="34">
        <v>0</v>
      </c>
      <c r="D252" s="34">
        <v>0</v>
      </c>
      <c r="E252" s="34">
        <v>0</v>
      </c>
      <c r="F252" s="34">
        <v>0</v>
      </c>
      <c r="G252" s="34">
        <v>0</v>
      </c>
      <c r="H252" s="34">
        <v>0</v>
      </c>
      <c r="I252" s="34">
        <v>0</v>
      </c>
      <c r="J252" s="34">
        <v>0</v>
      </c>
      <c r="K252" s="34">
        <v>0</v>
      </c>
      <c r="L252" s="34">
        <v>0</v>
      </c>
      <c r="M252" s="34">
        <v>0</v>
      </c>
      <c r="N252" s="34">
        <v>0</v>
      </c>
      <c r="O252" s="34">
        <v>0</v>
      </c>
      <c r="P252" s="34">
        <v>0</v>
      </c>
      <c r="Q252" s="34">
        <v>0</v>
      </c>
      <c r="R252" s="34">
        <v>0</v>
      </c>
      <c r="S252" s="34">
        <v>0</v>
      </c>
      <c r="T252" s="34">
        <v>0</v>
      </c>
      <c r="U252" s="34">
        <v>0</v>
      </c>
      <c r="V252" s="34">
        <v>0</v>
      </c>
      <c r="W252" s="34">
        <v>0</v>
      </c>
      <c r="X252" s="34">
        <v>0</v>
      </c>
      <c r="Y252" s="34">
        <v>0</v>
      </c>
      <c r="Z252" s="34">
        <v>0</v>
      </c>
      <c r="AA252" s="34">
        <v>0</v>
      </c>
      <c r="AB252" s="34">
        <v>0</v>
      </c>
      <c r="AC252" s="34">
        <v>0</v>
      </c>
      <c r="AD252" s="34">
        <v>0</v>
      </c>
      <c r="AE252" s="34">
        <v>0</v>
      </c>
      <c r="AF252" s="34">
        <v>0</v>
      </c>
      <c r="AG252" s="34">
        <v>0</v>
      </c>
      <c r="AH252" s="34">
        <v>0</v>
      </c>
      <c r="AI252" s="34">
        <v>0</v>
      </c>
      <c r="AJ252" s="34">
        <v>0</v>
      </c>
      <c r="AK252" s="34">
        <v>0</v>
      </c>
      <c r="AL252" s="34">
        <v>0</v>
      </c>
      <c r="AM252" s="34">
        <v>0</v>
      </c>
      <c r="AN252" s="34">
        <v>0</v>
      </c>
      <c r="AO252" s="34">
        <v>0</v>
      </c>
      <c r="AP252" s="34">
        <v>0</v>
      </c>
      <c r="AQ252" s="34">
        <v>0</v>
      </c>
      <c r="AR252" s="34">
        <v>0</v>
      </c>
      <c r="AS252" s="34">
        <v>0</v>
      </c>
      <c r="AT252" s="34">
        <v>0</v>
      </c>
      <c r="AU252" s="34">
        <v>0</v>
      </c>
      <c r="AV252" s="34">
        <v>0</v>
      </c>
      <c r="AW252" s="34">
        <v>0</v>
      </c>
      <c r="AX252" s="34">
        <v>0</v>
      </c>
      <c r="AY252" s="34">
        <v>0</v>
      </c>
      <c r="AZ252" s="34">
        <v>0</v>
      </c>
      <c r="BA252" s="34">
        <v>0</v>
      </c>
      <c r="BB252" s="34">
        <v>0</v>
      </c>
      <c r="BC252" s="34">
        <v>0</v>
      </c>
      <c r="BD252" s="34">
        <v>0</v>
      </c>
      <c r="BE252" s="34">
        <v>0</v>
      </c>
      <c r="BF252" s="34">
        <v>0</v>
      </c>
      <c r="BG252" s="34">
        <v>0</v>
      </c>
      <c r="BH252" s="34">
        <v>0</v>
      </c>
      <c r="BI252" s="34">
        <v>0</v>
      </c>
      <c r="BJ252" s="34">
        <v>0</v>
      </c>
      <c r="BK252" s="34">
        <v>0</v>
      </c>
      <c r="BL252" s="34">
        <v>0</v>
      </c>
      <c r="BM252" s="34">
        <v>0</v>
      </c>
      <c r="BN252" s="34">
        <v>0</v>
      </c>
      <c r="BO252" s="34">
        <v>0</v>
      </c>
      <c r="BP252" s="34">
        <v>0</v>
      </c>
      <c r="BQ252" s="34">
        <v>0</v>
      </c>
      <c r="BR252" s="34">
        <v>0</v>
      </c>
      <c r="BS252" s="34">
        <v>0</v>
      </c>
      <c r="BT252" s="34">
        <v>0</v>
      </c>
      <c r="BU252" s="34">
        <v>0</v>
      </c>
      <c r="BV252" s="34">
        <v>0</v>
      </c>
      <c r="BW252" s="34">
        <v>0</v>
      </c>
      <c r="BX252" s="34">
        <v>0</v>
      </c>
      <c r="BY252" s="34">
        <v>0</v>
      </c>
      <c r="BZ252" s="34">
        <v>0</v>
      </c>
      <c r="CA252" s="34">
        <v>0</v>
      </c>
      <c r="CB252" s="34">
        <v>0</v>
      </c>
      <c r="CC252" s="34">
        <v>0</v>
      </c>
      <c r="CD252" s="34">
        <v>0</v>
      </c>
      <c r="CE252" s="34">
        <v>0</v>
      </c>
      <c r="CF252" s="34">
        <v>0</v>
      </c>
      <c r="CG252" s="34">
        <v>0</v>
      </c>
      <c r="CH252" s="34">
        <v>0</v>
      </c>
      <c r="CI252" s="34">
        <v>0</v>
      </c>
      <c r="CJ252" s="34">
        <v>0</v>
      </c>
      <c r="CK252" s="34">
        <v>0</v>
      </c>
      <c r="CL252" s="34">
        <v>0</v>
      </c>
      <c r="CM252" s="34">
        <v>0</v>
      </c>
      <c r="CN252" s="34">
        <v>0</v>
      </c>
      <c r="CO252" s="34">
        <v>0</v>
      </c>
      <c r="CP252" s="34">
        <v>0</v>
      </c>
      <c r="CQ252" s="34">
        <v>0</v>
      </c>
      <c r="CR252" s="34">
        <v>0</v>
      </c>
      <c r="CS252" s="34">
        <v>0</v>
      </c>
      <c r="CT252" s="34">
        <v>0</v>
      </c>
      <c r="CU252" s="34">
        <v>0</v>
      </c>
      <c r="CV252" s="34">
        <v>0</v>
      </c>
      <c r="CW252" s="34">
        <v>0</v>
      </c>
      <c r="CX252" s="34">
        <v>0</v>
      </c>
      <c r="CY252" s="34">
        <v>0</v>
      </c>
      <c r="CZ252" s="34">
        <v>0</v>
      </c>
      <c r="DA252" s="34">
        <v>0</v>
      </c>
      <c r="DB252" s="34">
        <v>0</v>
      </c>
      <c r="DC252" s="34">
        <v>0</v>
      </c>
      <c r="DD252" s="34">
        <v>0</v>
      </c>
      <c r="DE252" s="34">
        <v>0</v>
      </c>
      <c r="DF252" s="34">
        <v>0</v>
      </c>
      <c r="DG252" s="34">
        <v>0</v>
      </c>
      <c r="DH252" s="34">
        <v>0</v>
      </c>
      <c r="DI252" s="34">
        <v>0</v>
      </c>
      <c r="DJ252" s="34">
        <v>0</v>
      </c>
      <c r="DK252" s="34">
        <v>0</v>
      </c>
      <c r="DL252" s="34">
        <v>0</v>
      </c>
      <c r="DM252" s="34">
        <v>0</v>
      </c>
      <c r="DN252" s="34">
        <v>0</v>
      </c>
      <c r="DO252" s="34">
        <v>0</v>
      </c>
      <c r="DP252" s="34">
        <v>0</v>
      </c>
      <c r="DQ252" s="34">
        <v>0</v>
      </c>
      <c r="DR252" s="34">
        <v>0</v>
      </c>
    </row>
    <row r="253" spans="1:122" s="13" customFormat="1" hidden="1" outlineLevel="1" x14ac:dyDescent="0.35">
      <c r="A253" s="14">
        <v>114</v>
      </c>
      <c r="B253" s="34">
        <v>0</v>
      </c>
      <c r="C253" s="34">
        <v>0</v>
      </c>
      <c r="D253" s="34">
        <v>0</v>
      </c>
      <c r="E253" s="34">
        <v>0</v>
      </c>
      <c r="F253" s="34">
        <v>0</v>
      </c>
      <c r="G253" s="34">
        <v>0</v>
      </c>
      <c r="H253" s="34">
        <v>0</v>
      </c>
      <c r="I253" s="34">
        <v>0</v>
      </c>
      <c r="J253" s="34">
        <v>0</v>
      </c>
      <c r="K253" s="34">
        <v>0</v>
      </c>
      <c r="L253" s="34">
        <v>0</v>
      </c>
      <c r="M253" s="34">
        <v>0</v>
      </c>
      <c r="N253" s="34">
        <v>0</v>
      </c>
      <c r="O253" s="34">
        <v>0</v>
      </c>
      <c r="P253" s="34">
        <v>0</v>
      </c>
      <c r="Q253" s="34">
        <v>0</v>
      </c>
      <c r="R253" s="34">
        <v>0</v>
      </c>
      <c r="S253" s="34">
        <v>0</v>
      </c>
      <c r="T253" s="34">
        <v>0</v>
      </c>
      <c r="U253" s="34">
        <v>0</v>
      </c>
      <c r="V253" s="34">
        <v>0</v>
      </c>
      <c r="W253" s="34">
        <v>0</v>
      </c>
      <c r="X253" s="34">
        <v>0</v>
      </c>
      <c r="Y253" s="34">
        <v>0</v>
      </c>
      <c r="Z253" s="34">
        <v>0</v>
      </c>
      <c r="AA253" s="34">
        <v>0</v>
      </c>
      <c r="AB253" s="34">
        <v>0</v>
      </c>
      <c r="AC253" s="34">
        <v>0</v>
      </c>
      <c r="AD253" s="34">
        <v>0</v>
      </c>
      <c r="AE253" s="34">
        <v>0</v>
      </c>
      <c r="AF253" s="34">
        <v>0</v>
      </c>
      <c r="AG253" s="34">
        <v>0</v>
      </c>
      <c r="AH253" s="34">
        <v>0</v>
      </c>
      <c r="AI253" s="34">
        <v>0</v>
      </c>
      <c r="AJ253" s="34">
        <v>0</v>
      </c>
      <c r="AK253" s="34">
        <v>0</v>
      </c>
      <c r="AL253" s="34">
        <v>0</v>
      </c>
      <c r="AM253" s="34">
        <v>0</v>
      </c>
      <c r="AN253" s="34">
        <v>0</v>
      </c>
      <c r="AO253" s="34">
        <v>0</v>
      </c>
      <c r="AP253" s="34">
        <v>0</v>
      </c>
      <c r="AQ253" s="34">
        <v>0</v>
      </c>
      <c r="AR253" s="34">
        <v>0</v>
      </c>
      <c r="AS253" s="34">
        <v>0</v>
      </c>
      <c r="AT253" s="34">
        <v>0</v>
      </c>
      <c r="AU253" s="34">
        <v>0</v>
      </c>
      <c r="AV253" s="34">
        <v>0</v>
      </c>
      <c r="AW253" s="34">
        <v>0</v>
      </c>
      <c r="AX253" s="34">
        <v>0</v>
      </c>
      <c r="AY253" s="34">
        <v>0</v>
      </c>
      <c r="AZ253" s="34">
        <v>0</v>
      </c>
      <c r="BA253" s="34">
        <v>0</v>
      </c>
      <c r="BB253" s="34">
        <v>0</v>
      </c>
      <c r="BC253" s="34">
        <v>0</v>
      </c>
      <c r="BD253" s="34">
        <v>0</v>
      </c>
      <c r="BE253" s="34">
        <v>0</v>
      </c>
      <c r="BF253" s="34">
        <v>0</v>
      </c>
      <c r="BG253" s="34">
        <v>0</v>
      </c>
      <c r="BH253" s="34">
        <v>0</v>
      </c>
      <c r="BI253" s="34">
        <v>0</v>
      </c>
      <c r="BJ253" s="34">
        <v>0</v>
      </c>
      <c r="BK253" s="34">
        <v>0</v>
      </c>
      <c r="BL253" s="34">
        <v>0</v>
      </c>
      <c r="BM253" s="34">
        <v>0</v>
      </c>
      <c r="BN253" s="34">
        <v>0</v>
      </c>
      <c r="BO253" s="34">
        <v>0</v>
      </c>
      <c r="BP253" s="34">
        <v>0</v>
      </c>
      <c r="BQ253" s="34">
        <v>0</v>
      </c>
      <c r="BR253" s="34">
        <v>0</v>
      </c>
      <c r="BS253" s="34">
        <v>0</v>
      </c>
      <c r="BT253" s="34">
        <v>0</v>
      </c>
      <c r="BU253" s="34">
        <v>0</v>
      </c>
      <c r="BV253" s="34">
        <v>0</v>
      </c>
      <c r="BW253" s="34">
        <v>0</v>
      </c>
      <c r="BX253" s="34">
        <v>0</v>
      </c>
      <c r="BY253" s="34">
        <v>0</v>
      </c>
      <c r="BZ253" s="34">
        <v>0</v>
      </c>
      <c r="CA253" s="34">
        <v>0</v>
      </c>
      <c r="CB253" s="34">
        <v>0</v>
      </c>
      <c r="CC253" s="34">
        <v>0</v>
      </c>
      <c r="CD253" s="34">
        <v>0</v>
      </c>
      <c r="CE253" s="34">
        <v>0</v>
      </c>
      <c r="CF253" s="34">
        <v>0</v>
      </c>
      <c r="CG253" s="34">
        <v>0</v>
      </c>
      <c r="CH253" s="34">
        <v>0</v>
      </c>
      <c r="CI253" s="34">
        <v>0</v>
      </c>
      <c r="CJ253" s="34">
        <v>0</v>
      </c>
      <c r="CK253" s="34">
        <v>0</v>
      </c>
      <c r="CL253" s="34">
        <v>0</v>
      </c>
      <c r="CM253" s="34">
        <v>0</v>
      </c>
      <c r="CN253" s="34">
        <v>0</v>
      </c>
      <c r="CO253" s="34">
        <v>0</v>
      </c>
      <c r="CP253" s="34">
        <v>0</v>
      </c>
      <c r="CQ253" s="34">
        <v>0</v>
      </c>
      <c r="CR253" s="34">
        <v>0</v>
      </c>
      <c r="CS253" s="34">
        <v>0</v>
      </c>
      <c r="CT253" s="34">
        <v>0</v>
      </c>
      <c r="CU253" s="34">
        <v>0</v>
      </c>
      <c r="CV253" s="34">
        <v>0</v>
      </c>
      <c r="CW253" s="34">
        <v>0</v>
      </c>
      <c r="CX253" s="34">
        <v>0</v>
      </c>
      <c r="CY253" s="34">
        <v>0</v>
      </c>
      <c r="CZ253" s="34">
        <v>0</v>
      </c>
      <c r="DA253" s="34">
        <v>0</v>
      </c>
      <c r="DB253" s="34">
        <v>0</v>
      </c>
      <c r="DC253" s="34">
        <v>0</v>
      </c>
      <c r="DD253" s="34">
        <v>0</v>
      </c>
      <c r="DE253" s="34">
        <v>0</v>
      </c>
      <c r="DF253" s="34">
        <v>0</v>
      </c>
      <c r="DG253" s="34">
        <v>0</v>
      </c>
      <c r="DH253" s="34">
        <v>0</v>
      </c>
      <c r="DI253" s="34">
        <v>0</v>
      </c>
      <c r="DJ253" s="34">
        <v>0</v>
      </c>
      <c r="DK253" s="34">
        <v>0</v>
      </c>
      <c r="DL253" s="34">
        <v>0</v>
      </c>
      <c r="DM253" s="34">
        <v>0</v>
      </c>
      <c r="DN253" s="34">
        <v>0</v>
      </c>
      <c r="DO253" s="34">
        <v>0</v>
      </c>
      <c r="DP253" s="34">
        <v>0</v>
      </c>
      <c r="DQ253" s="34">
        <v>0</v>
      </c>
      <c r="DR253" s="34">
        <v>0</v>
      </c>
    </row>
    <row r="254" spans="1:122" s="13" customFormat="1" hidden="1" outlineLevel="1" x14ac:dyDescent="0.35">
      <c r="A254" s="14">
        <v>115</v>
      </c>
      <c r="B254" s="34">
        <v>0</v>
      </c>
      <c r="C254" s="34">
        <v>0</v>
      </c>
      <c r="D254" s="34">
        <v>0</v>
      </c>
      <c r="E254" s="34">
        <v>0</v>
      </c>
      <c r="F254" s="34">
        <v>0</v>
      </c>
      <c r="G254" s="34">
        <v>0</v>
      </c>
      <c r="H254" s="34">
        <v>0</v>
      </c>
      <c r="I254" s="34">
        <v>0</v>
      </c>
      <c r="J254" s="34">
        <v>0</v>
      </c>
      <c r="K254" s="34">
        <v>0</v>
      </c>
      <c r="L254" s="34">
        <v>0</v>
      </c>
      <c r="M254" s="34">
        <v>0</v>
      </c>
      <c r="N254" s="34">
        <v>0</v>
      </c>
      <c r="O254" s="34">
        <v>0</v>
      </c>
      <c r="P254" s="34">
        <v>0</v>
      </c>
      <c r="Q254" s="34">
        <v>0</v>
      </c>
      <c r="R254" s="34">
        <v>0</v>
      </c>
      <c r="S254" s="34">
        <v>0</v>
      </c>
      <c r="T254" s="34">
        <v>0</v>
      </c>
      <c r="U254" s="34">
        <v>0</v>
      </c>
      <c r="V254" s="34">
        <v>0</v>
      </c>
      <c r="W254" s="34">
        <v>0</v>
      </c>
      <c r="X254" s="34">
        <v>0</v>
      </c>
      <c r="Y254" s="34">
        <v>0</v>
      </c>
      <c r="Z254" s="34">
        <v>0</v>
      </c>
      <c r="AA254" s="34">
        <v>0</v>
      </c>
      <c r="AB254" s="34">
        <v>0</v>
      </c>
      <c r="AC254" s="34">
        <v>0</v>
      </c>
      <c r="AD254" s="34">
        <v>0</v>
      </c>
      <c r="AE254" s="34">
        <v>0</v>
      </c>
      <c r="AF254" s="34">
        <v>0</v>
      </c>
      <c r="AG254" s="34">
        <v>0</v>
      </c>
      <c r="AH254" s="34">
        <v>0</v>
      </c>
      <c r="AI254" s="34">
        <v>0</v>
      </c>
      <c r="AJ254" s="34">
        <v>0</v>
      </c>
      <c r="AK254" s="34">
        <v>0</v>
      </c>
      <c r="AL254" s="34">
        <v>0</v>
      </c>
      <c r="AM254" s="34">
        <v>0</v>
      </c>
      <c r="AN254" s="34">
        <v>0</v>
      </c>
      <c r="AO254" s="34">
        <v>0</v>
      </c>
      <c r="AP254" s="34">
        <v>0</v>
      </c>
      <c r="AQ254" s="34">
        <v>0</v>
      </c>
      <c r="AR254" s="34">
        <v>0</v>
      </c>
      <c r="AS254" s="34">
        <v>0</v>
      </c>
      <c r="AT254" s="34">
        <v>0</v>
      </c>
      <c r="AU254" s="34">
        <v>0</v>
      </c>
      <c r="AV254" s="34">
        <v>0</v>
      </c>
      <c r="AW254" s="34">
        <v>0</v>
      </c>
      <c r="AX254" s="34">
        <v>0</v>
      </c>
      <c r="AY254" s="34">
        <v>0</v>
      </c>
      <c r="AZ254" s="34">
        <v>0</v>
      </c>
      <c r="BA254" s="34">
        <v>0</v>
      </c>
      <c r="BB254" s="34">
        <v>0</v>
      </c>
      <c r="BC254" s="34">
        <v>0</v>
      </c>
      <c r="BD254" s="34">
        <v>0</v>
      </c>
      <c r="BE254" s="34">
        <v>0</v>
      </c>
      <c r="BF254" s="34">
        <v>0</v>
      </c>
      <c r="BG254" s="34">
        <v>0</v>
      </c>
      <c r="BH254" s="34">
        <v>0</v>
      </c>
      <c r="BI254" s="34">
        <v>0</v>
      </c>
      <c r="BJ254" s="34">
        <v>0</v>
      </c>
      <c r="BK254" s="34">
        <v>0</v>
      </c>
      <c r="BL254" s="34">
        <v>0</v>
      </c>
      <c r="BM254" s="34">
        <v>0</v>
      </c>
      <c r="BN254" s="34">
        <v>0</v>
      </c>
      <c r="BO254" s="34">
        <v>0</v>
      </c>
      <c r="BP254" s="34">
        <v>0</v>
      </c>
      <c r="BQ254" s="34">
        <v>0</v>
      </c>
      <c r="BR254" s="34">
        <v>0</v>
      </c>
      <c r="BS254" s="34">
        <v>0</v>
      </c>
      <c r="BT254" s="34">
        <v>0</v>
      </c>
      <c r="BU254" s="34">
        <v>0</v>
      </c>
      <c r="BV254" s="34">
        <v>0</v>
      </c>
      <c r="BW254" s="34">
        <v>0</v>
      </c>
      <c r="BX254" s="34">
        <v>0</v>
      </c>
      <c r="BY254" s="34">
        <v>0</v>
      </c>
      <c r="BZ254" s="34">
        <v>0</v>
      </c>
      <c r="CA254" s="34">
        <v>0</v>
      </c>
      <c r="CB254" s="34">
        <v>0</v>
      </c>
      <c r="CC254" s="34">
        <v>0</v>
      </c>
      <c r="CD254" s="34">
        <v>0</v>
      </c>
      <c r="CE254" s="34">
        <v>0</v>
      </c>
      <c r="CF254" s="34">
        <v>0</v>
      </c>
      <c r="CG254" s="34">
        <v>0</v>
      </c>
      <c r="CH254" s="34">
        <v>0</v>
      </c>
      <c r="CI254" s="34">
        <v>0</v>
      </c>
      <c r="CJ254" s="34">
        <v>0</v>
      </c>
      <c r="CK254" s="34">
        <v>0</v>
      </c>
      <c r="CL254" s="34">
        <v>0</v>
      </c>
      <c r="CM254" s="34">
        <v>0</v>
      </c>
      <c r="CN254" s="34">
        <v>0</v>
      </c>
      <c r="CO254" s="34">
        <v>0</v>
      </c>
      <c r="CP254" s="34">
        <v>0</v>
      </c>
      <c r="CQ254" s="34">
        <v>0</v>
      </c>
      <c r="CR254" s="34">
        <v>0</v>
      </c>
      <c r="CS254" s="34">
        <v>0</v>
      </c>
      <c r="CT254" s="34">
        <v>0</v>
      </c>
      <c r="CU254" s="34">
        <v>0</v>
      </c>
      <c r="CV254" s="34">
        <v>0</v>
      </c>
      <c r="CW254" s="34">
        <v>0</v>
      </c>
      <c r="CX254" s="34">
        <v>0</v>
      </c>
      <c r="CY254" s="34">
        <v>0</v>
      </c>
      <c r="CZ254" s="34">
        <v>0</v>
      </c>
      <c r="DA254" s="34">
        <v>0</v>
      </c>
      <c r="DB254" s="34">
        <v>0</v>
      </c>
      <c r="DC254" s="34">
        <v>0</v>
      </c>
      <c r="DD254" s="34">
        <v>0</v>
      </c>
      <c r="DE254" s="34">
        <v>0</v>
      </c>
      <c r="DF254" s="34">
        <v>0</v>
      </c>
      <c r="DG254" s="34">
        <v>0</v>
      </c>
      <c r="DH254" s="34">
        <v>0</v>
      </c>
      <c r="DI254" s="34">
        <v>0</v>
      </c>
      <c r="DJ254" s="34">
        <v>0</v>
      </c>
      <c r="DK254" s="34">
        <v>0</v>
      </c>
      <c r="DL254" s="34">
        <v>0</v>
      </c>
      <c r="DM254" s="34">
        <v>0</v>
      </c>
      <c r="DN254" s="34">
        <v>0</v>
      </c>
      <c r="DO254" s="34">
        <v>0</v>
      </c>
      <c r="DP254" s="34">
        <v>0</v>
      </c>
      <c r="DQ254" s="34">
        <v>0</v>
      </c>
      <c r="DR254" s="34">
        <v>0</v>
      </c>
    </row>
    <row r="255" spans="1:122" s="13" customFormat="1" hidden="1" outlineLevel="1" x14ac:dyDescent="0.35">
      <c r="A255" s="14">
        <v>116</v>
      </c>
      <c r="B255" s="34">
        <v>0</v>
      </c>
      <c r="C255" s="34">
        <v>0</v>
      </c>
      <c r="D255" s="34">
        <v>0</v>
      </c>
      <c r="E255" s="34">
        <v>0</v>
      </c>
      <c r="F255" s="34">
        <v>0</v>
      </c>
      <c r="G255" s="34">
        <v>0</v>
      </c>
      <c r="H255" s="34">
        <v>0</v>
      </c>
      <c r="I255" s="34">
        <v>0</v>
      </c>
      <c r="J255" s="34">
        <v>0</v>
      </c>
      <c r="K255" s="34">
        <v>0</v>
      </c>
      <c r="L255" s="34">
        <v>0</v>
      </c>
      <c r="M255" s="34">
        <v>0</v>
      </c>
      <c r="N255" s="34">
        <v>0</v>
      </c>
      <c r="O255" s="34">
        <v>0</v>
      </c>
      <c r="P255" s="34">
        <v>0</v>
      </c>
      <c r="Q255" s="34">
        <v>0</v>
      </c>
      <c r="R255" s="34">
        <v>0</v>
      </c>
      <c r="S255" s="34">
        <v>0</v>
      </c>
      <c r="T255" s="34">
        <v>0</v>
      </c>
      <c r="U255" s="34">
        <v>0</v>
      </c>
      <c r="V255" s="34">
        <v>0</v>
      </c>
      <c r="W255" s="34">
        <v>0</v>
      </c>
      <c r="X255" s="34">
        <v>0</v>
      </c>
      <c r="Y255" s="34">
        <v>0</v>
      </c>
      <c r="Z255" s="34">
        <v>0</v>
      </c>
      <c r="AA255" s="34">
        <v>0</v>
      </c>
      <c r="AB255" s="34">
        <v>0</v>
      </c>
      <c r="AC255" s="34">
        <v>0</v>
      </c>
      <c r="AD255" s="34">
        <v>0</v>
      </c>
      <c r="AE255" s="34">
        <v>0</v>
      </c>
      <c r="AF255" s="34">
        <v>0</v>
      </c>
      <c r="AG255" s="34">
        <v>0</v>
      </c>
      <c r="AH255" s="34">
        <v>0</v>
      </c>
      <c r="AI255" s="34">
        <v>0</v>
      </c>
      <c r="AJ255" s="34">
        <v>0</v>
      </c>
      <c r="AK255" s="34">
        <v>0</v>
      </c>
      <c r="AL255" s="34">
        <v>0</v>
      </c>
      <c r="AM255" s="34">
        <v>0</v>
      </c>
      <c r="AN255" s="34">
        <v>0</v>
      </c>
      <c r="AO255" s="34">
        <v>0</v>
      </c>
      <c r="AP255" s="34">
        <v>0</v>
      </c>
      <c r="AQ255" s="34">
        <v>0</v>
      </c>
      <c r="AR255" s="34">
        <v>0</v>
      </c>
      <c r="AS255" s="34">
        <v>0</v>
      </c>
      <c r="AT255" s="34">
        <v>0</v>
      </c>
      <c r="AU255" s="34">
        <v>0</v>
      </c>
      <c r="AV255" s="34">
        <v>0</v>
      </c>
      <c r="AW255" s="34">
        <v>0</v>
      </c>
      <c r="AX255" s="34">
        <v>0</v>
      </c>
      <c r="AY255" s="34">
        <v>0</v>
      </c>
      <c r="AZ255" s="34">
        <v>0</v>
      </c>
      <c r="BA255" s="34">
        <v>0</v>
      </c>
      <c r="BB255" s="34">
        <v>0</v>
      </c>
      <c r="BC255" s="34">
        <v>0</v>
      </c>
      <c r="BD255" s="34">
        <v>0</v>
      </c>
      <c r="BE255" s="34">
        <v>0</v>
      </c>
      <c r="BF255" s="34">
        <v>0</v>
      </c>
      <c r="BG255" s="34">
        <v>0</v>
      </c>
      <c r="BH255" s="34">
        <v>0</v>
      </c>
      <c r="BI255" s="34">
        <v>0</v>
      </c>
      <c r="BJ255" s="34">
        <v>0</v>
      </c>
      <c r="BK255" s="34">
        <v>0</v>
      </c>
      <c r="BL255" s="34">
        <v>0</v>
      </c>
      <c r="BM255" s="34">
        <v>0</v>
      </c>
      <c r="BN255" s="34">
        <v>0</v>
      </c>
      <c r="BO255" s="34">
        <v>0</v>
      </c>
      <c r="BP255" s="34">
        <v>0</v>
      </c>
      <c r="BQ255" s="34">
        <v>0</v>
      </c>
      <c r="BR255" s="34">
        <v>0</v>
      </c>
      <c r="BS255" s="34">
        <v>0</v>
      </c>
      <c r="BT255" s="34">
        <v>0</v>
      </c>
      <c r="BU255" s="34">
        <v>0</v>
      </c>
      <c r="BV255" s="34">
        <v>0</v>
      </c>
      <c r="BW255" s="34">
        <v>0</v>
      </c>
      <c r="BX255" s="34">
        <v>0</v>
      </c>
      <c r="BY255" s="34">
        <v>0</v>
      </c>
      <c r="BZ255" s="34">
        <v>0</v>
      </c>
      <c r="CA255" s="34">
        <v>0</v>
      </c>
      <c r="CB255" s="34">
        <v>0</v>
      </c>
      <c r="CC255" s="34">
        <v>0</v>
      </c>
      <c r="CD255" s="34">
        <v>0</v>
      </c>
      <c r="CE255" s="34">
        <v>0</v>
      </c>
      <c r="CF255" s="34">
        <v>0</v>
      </c>
      <c r="CG255" s="34">
        <v>0</v>
      </c>
      <c r="CH255" s="34">
        <v>0</v>
      </c>
      <c r="CI255" s="34">
        <v>0</v>
      </c>
      <c r="CJ255" s="34">
        <v>0</v>
      </c>
      <c r="CK255" s="34">
        <v>0</v>
      </c>
      <c r="CL255" s="34">
        <v>0</v>
      </c>
      <c r="CM255" s="34">
        <v>0</v>
      </c>
      <c r="CN255" s="34">
        <v>0</v>
      </c>
      <c r="CO255" s="34">
        <v>0</v>
      </c>
      <c r="CP255" s="34">
        <v>0</v>
      </c>
      <c r="CQ255" s="34">
        <v>0</v>
      </c>
      <c r="CR255" s="34">
        <v>0</v>
      </c>
      <c r="CS255" s="34">
        <v>0</v>
      </c>
      <c r="CT255" s="34">
        <v>0</v>
      </c>
      <c r="CU255" s="34">
        <v>0</v>
      </c>
      <c r="CV255" s="34">
        <v>0</v>
      </c>
      <c r="CW255" s="34">
        <v>0</v>
      </c>
      <c r="CX255" s="34">
        <v>0</v>
      </c>
      <c r="CY255" s="34">
        <v>0</v>
      </c>
      <c r="CZ255" s="34">
        <v>0</v>
      </c>
      <c r="DA255" s="34">
        <v>0</v>
      </c>
      <c r="DB255" s="34">
        <v>0</v>
      </c>
      <c r="DC255" s="34">
        <v>0</v>
      </c>
      <c r="DD255" s="34">
        <v>0</v>
      </c>
      <c r="DE255" s="34">
        <v>0</v>
      </c>
      <c r="DF255" s="34">
        <v>0</v>
      </c>
      <c r="DG255" s="34">
        <v>0</v>
      </c>
      <c r="DH255" s="34">
        <v>0</v>
      </c>
      <c r="DI255" s="34">
        <v>0</v>
      </c>
      <c r="DJ255" s="34">
        <v>0</v>
      </c>
      <c r="DK255" s="34">
        <v>0</v>
      </c>
      <c r="DL255" s="34">
        <v>0</v>
      </c>
      <c r="DM255" s="34">
        <v>0</v>
      </c>
      <c r="DN255" s="34">
        <v>0</v>
      </c>
      <c r="DO255" s="34">
        <v>0</v>
      </c>
      <c r="DP255" s="34">
        <v>0</v>
      </c>
      <c r="DQ255" s="34">
        <v>0</v>
      </c>
      <c r="DR255" s="34">
        <v>0</v>
      </c>
    </row>
    <row r="256" spans="1:122" s="13" customFormat="1" x14ac:dyDescent="0.35">
      <c r="A256" s="14">
        <v>117</v>
      </c>
      <c r="B256" s="34">
        <v>0</v>
      </c>
      <c r="C256" s="34">
        <v>0</v>
      </c>
      <c r="D256" s="34">
        <v>0</v>
      </c>
      <c r="E256" s="34">
        <v>0</v>
      </c>
      <c r="F256" s="34">
        <v>0</v>
      </c>
      <c r="G256" s="34">
        <v>0</v>
      </c>
      <c r="H256" s="34">
        <v>0</v>
      </c>
      <c r="I256" s="34">
        <v>0</v>
      </c>
      <c r="J256" s="34">
        <v>0</v>
      </c>
      <c r="K256" s="34">
        <v>0</v>
      </c>
      <c r="L256" s="34">
        <v>0</v>
      </c>
      <c r="M256" s="34">
        <v>0</v>
      </c>
      <c r="N256" s="34">
        <v>0</v>
      </c>
      <c r="O256" s="34">
        <v>0</v>
      </c>
      <c r="P256" s="34">
        <v>0</v>
      </c>
      <c r="Q256" s="34">
        <v>0</v>
      </c>
      <c r="R256" s="34">
        <v>0</v>
      </c>
      <c r="S256" s="34">
        <v>0</v>
      </c>
      <c r="T256" s="34">
        <v>0</v>
      </c>
      <c r="U256" s="34">
        <v>0</v>
      </c>
      <c r="V256" s="34">
        <v>0</v>
      </c>
      <c r="W256" s="34">
        <v>0</v>
      </c>
      <c r="X256" s="34">
        <v>0</v>
      </c>
      <c r="Y256" s="34">
        <v>0</v>
      </c>
      <c r="Z256" s="34">
        <v>0</v>
      </c>
      <c r="AA256" s="34">
        <v>0</v>
      </c>
      <c r="AB256" s="34">
        <v>0</v>
      </c>
      <c r="AC256" s="34">
        <v>0</v>
      </c>
      <c r="AD256" s="34">
        <v>0</v>
      </c>
      <c r="AE256" s="34">
        <v>0</v>
      </c>
      <c r="AF256" s="34">
        <v>0</v>
      </c>
      <c r="AG256" s="34">
        <v>0</v>
      </c>
      <c r="AH256" s="34">
        <v>0</v>
      </c>
      <c r="AI256" s="34">
        <v>0</v>
      </c>
      <c r="AJ256" s="34">
        <v>0</v>
      </c>
      <c r="AK256" s="34">
        <v>0</v>
      </c>
      <c r="AL256" s="34">
        <v>0</v>
      </c>
      <c r="AM256" s="34">
        <v>0</v>
      </c>
      <c r="AN256" s="34">
        <v>0</v>
      </c>
      <c r="AO256" s="34">
        <v>0</v>
      </c>
      <c r="AP256" s="34">
        <v>0</v>
      </c>
      <c r="AQ256" s="34">
        <v>0</v>
      </c>
      <c r="AR256" s="34">
        <v>0</v>
      </c>
      <c r="AS256" s="34">
        <v>0</v>
      </c>
      <c r="AT256" s="34">
        <v>0</v>
      </c>
      <c r="AU256" s="34">
        <v>0</v>
      </c>
      <c r="AV256" s="34">
        <v>0</v>
      </c>
      <c r="AW256" s="34">
        <v>0</v>
      </c>
      <c r="AX256" s="34">
        <v>0</v>
      </c>
      <c r="AY256" s="34">
        <v>0</v>
      </c>
      <c r="AZ256" s="34">
        <v>0</v>
      </c>
      <c r="BA256" s="34">
        <v>0</v>
      </c>
      <c r="BB256" s="34">
        <v>0</v>
      </c>
      <c r="BC256" s="34">
        <v>0</v>
      </c>
      <c r="BD256" s="34">
        <v>0</v>
      </c>
      <c r="BE256" s="34">
        <v>0</v>
      </c>
      <c r="BF256" s="34">
        <v>0</v>
      </c>
      <c r="BG256" s="34">
        <v>0</v>
      </c>
      <c r="BH256" s="34">
        <v>0</v>
      </c>
      <c r="BI256" s="34">
        <v>0</v>
      </c>
      <c r="BJ256" s="34">
        <v>0</v>
      </c>
      <c r="BK256" s="34">
        <v>0</v>
      </c>
      <c r="BL256" s="34">
        <v>0</v>
      </c>
      <c r="BM256" s="34">
        <v>0</v>
      </c>
      <c r="BN256" s="34">
        <v>0</v>
      </c>
      <c r="BO256" s="34">
        <v>0</v>
      </c>
      <c r="BP256" s="34">
        <v>0</v>
      </c>
      <c r="BQ256" s="34">
        <v>0</v>
      </c>
      <c r="BR256" s="34">
        <v>0</v>
      </c>
      <c r="BS256" s="34">
        <v>0</v>
      </c>
      <c r="BT256" s="34">
        <v>0</v>
      </c>
      <c r="BU256" s="34">
        <v>0</v>
      </c>
      <c r="BV256" s="34">
        <v>0</v>
      </c>
      <c r="BW256" s="34">
        <v>0</v>
      </c>
      <c r="BX256" s="34">
        <v>0</v>
      </c>
      <c r="BY256" s="34">
        <v>0</v>
      </c>
      <c r="BZ256" s="34">
        <v>0</v>
      </c>
      <c r="CA256" s="34">
        <v>0</v>
      </c>
      <c r="CB256" s="34">
        <v>0</v>
      </c>
      <c r="CC256" s="34">
        <v>0</v>
      </c>
      <c r="CD256" s="34">
        <v>0</v>
      </c>
      <c r="CE256" s="34">
        <v>0</v>
      </c>
      <c r="CF256" s="34">
        <v>0</v>
      </c>
      <c r="CG256" s="34">
        <v>0</v>
      </c>
      <c r="CH256" s="34">
        <v>0</v>
      </c>
      <c r="CI256" s="34">
        <v>0</v>
      </c>
      <c r="CJ256" s="34">
        <v>0</v>
      </c>
      <c r="CK256" s="34">
        <v>0</v>
      </c>
      <c r="CL256" s="34">
        <v>0</v>
      </c>
      <c r="CM256" s="34">
        <v>0</v>
      </c>
      <c r="CN256" s="34">
        <v>0</v>
      </c>
      <c r="CO256" s="34">
        <v>0</v>
      </c>
      <c r="CP256" s="34">
        <v>0</v>
      </c>
      <c r="CQ256" s="34">
        <v>0</v>
      </c>
      <c r="CR256" s="34">
        <v>0</v>
      </c>
      <c r="CS256" s="34">
        <v>0</v>
      </c>
      <c r="CT256" s="34">
        <v>0</v>
      </c>
      <c r="CU256" s="34">
        <v>0</v>
      </c>
      <c r="CV256" s="34">
        <v>0</v>
      </c>
      <c r="CW256" s="34">
        <v>0</v>
      </c>
      <c r="CX256" s="34">
        <v>0</v>
      </c>
      <c r="CY256" s="34">
        <v>0</v>
      </c>
      <c r="CZ256" s="34">
        <v>0</v>
      </c>
      <c r="DA256" s="34">
        <v>0</v>
      </c>
      <c r="DB256" s="34">
        <v>0</v>
      </c>
      <c r="DC256" s="34">
        <v>0</v>
      </c>
      <c r="DD256" s="34">
        <v>0</v>
      </c>
      <c r="DE256" s="34">
        <v>0</v>
      </c>
      <c r="DF256" s="34">
        <v>0</v>
      </c>
      <c r="DG256" s="34">
        <v>0</v>
      </c>
      <c r="DH256" s="34">
        <v>0</v>
      </c>
      <c r="DI256" s="34">
        <v>0</v>
      </c>
      <c r="DJ256" s="34">
        <v>0</v>
      </c>
      <c r="DK256" s="34">
        <v>0</v>
      </c>
      <c r="DL256" s="34">
        <v>0</v>
      </c>
      <c r="DM256" s="34">
        <v>0</v>
      </c>
      <c r="DN256" s="34">
        <v>0</v>
      </c>
      <c r="DO256" s="34">
        <v>0</v>
      </c>
      <c r="DP256" s="34">
        <v>0</v>
      </c>
      <c r="DQ256" s="34">
        <v>0</v>
      </c>
      <c r="DR256" s="34">
        <v>0</v>
      </c>
    </row>
    <row r="257" spans="1:122" s="13" customFormat="1" x14ac:dyDescent="0.35">
      <c r="A257" s="14">
        <v>118</v>
      </c>
      <c r="B257" s="34">
        <v>0</v>
      </c>
      <c r="C257" s="34">
        <v>0</v>
      </c>
      <c r="D257" s="34">
        <v>0</v>
      </c>
      <c r="E257" s="34">
        <v>0</v>
      </c>
      <c r="F257" s="34">
        <v>0</v>
      </c>
      <c r="G257" s="34">
        <v>0</v>
      </c>
      <c r="H257" s="34">
        <v>0</v>
      </c>
      <c r="I257" s="34">
        <v>0</v>
      </c>
      <c r="J257" s="34">
        <v>0</v>
      </c>
      <c r="K257" s="34">
        <v>0</v>
      </c>
      <c r="L257" s="34">
        <v>0</v>
      </c>
      <c r="M257" s="34">
        <v>0</v>
      </c>
      <c r="N257" s="34">
        <v>0</v>
      </c>
      <c r="O257" s="34">
        <v>0</v>
      </c>
      <c r="P257" s="34">
        <v>0</v>
      </c>
      <c r="Q257" s="34">
        <v>0</v>
      </c>
      <c r="R257" s="34">
        <v>0</v>
      </c>
      <c r="S257" s="34">
        <v>0</v>
      </c>
      <c r="T257" s="34">
        <v>0</v>
      </c>
      <c r="U257" s="34">
        <v>0</v>
      </c>
      <c r="V257" s="34">
        <v>0</v>
      </c>
      <c r="W257" s="34">
        <v>0</v>
      </c>
      <c r="X257" s="34">
        <v>0</v>
      </c>
      <c r="Y257" s="34">
        <v>0</v>
      </c>
      <c r="Z257" s="34">
        <v>0</v>
      </c>
      <c r="AA257" s="34">
        <v>0</v>
      </c>
      <c r="AB257" s="34">
        <v>0</v>
      </c>
      <c r="AC257" s="34">
        <v>0</v>
      </c>
      <c r="AD257" s="34">
        <v>0</v>
      </c>
      <c r="AE257" s="34">
        <v>0</v>
      </c>
      <c r="AF257" s="34">
        <v>0</v>
      </c>
      <c r="AG257" s="34">
        <v>0</v>
      </c>
      <c r="AH257" s="34">
        <v>0</v>
      </c>
      <c r="AI257" s="34">
        <v>0</v>
      </c>
      <c r="AJ257" s="34">
        <v>0</v>
      </c>
      <c r="AK257" s="34">
        <v>0</v>
      </c>
      <c r="AL257" s="34">
        <v>0</v>
      </c>
      <c r="AM257" s="34">
        <v>0</v>
      </c>
      <c r="AN257" s="34">
        <v>0</v>
      </c>
      <c r="AO257" s="34">
        <v>0</v>
      </c>
      <c r="AP257" s="34">
        <v>0</v>
      </c>
      <c r="AQ257" s="34">
        <v>0</v>
      </c>
      <c r="AR257" s="34">
        <v>0</v>
      </c>
      <c r="AS257" s="34">
        <v>0</v>
      </c>
      <c r="AT257" s="34">
        <v>0</v>
      </c>
      <c r="AU257" s="34">
        <v>0</v>
      </c>
      <c r="AV257" s="34">
        <v>0</v>
      </c>
      <c r="AW257" s="34">
        <v>0</v>
      </c>
      <c r="AX257" s="34">
        <v>0</v>
      </c>
      <c r="AY257" s="34">
        <v>0</v>
      </c>
      <c r="AZ257" s="34">
        <v>0</v>
      </c>
      <c r="BA257" s="34">
        <v>0</v>
      </c>
      <c r="BB257" s="34">
        <v>0</v>
      </c>
      <c r="BC257" s="34">
        <v>0</v>
      </c>
      <c r="BD257" s="34">
        <v>0</v>
      </c>
      <c r="BE257" s="34">
        <v>0</v>
      </c>
      <c r="BF257" s="34">
        <v>0</v>
      </c>
      <c r="BG257" s="34">
        <v>0</v>
      </c>
      <c r="BH257" s="34">
        <v>0</v>
      </c>
      <c r="BI257" s="34">
        <v>0</v>
      </c>
      <c r="BJ257" s="34">
        <v>0</v>
      </c>
      <c r="BK257" s="34">
        <v>0</v>
      </c>
      <c r="BL257" s="34">
        <v>0</v>
      </c>
      <c r="BM257" s="34">
        <v>0</v>
      </c>
      <c r="BN257" s="34">
        <v>0</v>
      </c>
      <c r="BO257" s="34">
        <v>0</v>
      </c>
      <c r="BP257" s="34">
        <v>0</v>
      </c>
      <c r="BQ257" s="34">
        <v>0</v>
      </c>
      <c r="BR257" s="34">
        <v>0</v>
      </c>
      <c r="BS257" s="34">
        <v>0</v>
      </c>
      <c r="BT257" s="34">
        <v>0</v>
      </c>
      <c r="BU257" s="34">
        <v>0</v>
      </c>
      <c r="BV257" s="34">
        <v>0</v>
      </c>
      <c r="BW257" s="34">
        <v>0</v>
      </c>
      <c r="BX257" s="34">
        <v>0</v>
      </c>
      <c r="BY257" s="34">
        <v>0</v>
      </c>
      <c r="BZ257" s="34">
        <v>0</v>
      </c>
      <c r="CA257" s="34">
        <v>0</v>
      </c>
      <c r="CB257" s="34">
        <v>0</v>
      </c>
      <c r="CC257" s="34">
        <v>0</v>
      </c>
      <c r="CD257" s="34">
        <v>0</v>
      </c>
      <c r="CE257" s="34">
        <v>0</v>
      </c>
      <c r="CF257" s="34">
        <v>0</v>
      </c>
      <c r="CG257" s="34">
        <v>0</v>
      </c>
      <c r="CH257" s="34">
        <v>0</v>
      </c>
      <c r="CI257" s="34">
        <v>0</v>
      </c>
      <c r="CJ257" s="34">
        <v>0</v>
      </c>
      <c r="CK257" s="34">
        <v>0</v>
      </c>
      <c r="CL257" s="34">
        <v>0</v>
      </c>
      <c r="CM257" s="34">
        <v>0</v>
      </c>
      <c r="CN257" s="34">
        <v>0</v>
      </c>
      <c r="CO257" s="34">
        <v>0</v>
      </c>
      <c r="CP257" s="34">
        <v>0</v>
      </c>
      <c r="CQ257" s="34">
        <v>0</v>
      </c>
      <c r="CR257" s="34">
        <v>0</v>
      </c>
      <c r="CS257" s="34">
        <v>0</v>
      </c>
      <c r="CT257" s="34">
        <v>0</v>
      </c>
      <c r="CU257" s="34">
        <v>0</v>
      </c>
      <c r="CV257" s="34">
        <v>0</v>
      </c>
      <c r="CW257" s="34">
        <v>0</v>
      </c>
      <c r="CX257" s="34">
        <v>0</v>
      </c>
      <c r="CY257" s="34">
        <v>0</v>
      </c>
      <c r="CZ257" s="34">
        <v>0</v>
      </c>
      <c r="DA257" s="34">
        <v>0</v>
      </c>
      <c r="DB257" s="34">
        <v>0</v>
      </c>
      <c r="DC257" s="34">
        <v>0</v>
      </c>
      <c r="DD257" s="34">
        <v>0</v>
      </c>
      <c r="DE257" s="34">
        <v>0</v>
      </c>
      <c r="DF257" s="34">
        <v>0</v>
      </c>
      <c r="DG257" s="34">
        <v>0</v>
      </c>
      <c r="DH257" s="34">
        <v>0</v>
      </c>
      <c r="DI257" s="34">
        <v>0</v>
      </c>
      <c r="DJ257" s="34">
        <v>0</v>
      </c>
      <c r="DK257" s="34">
        <v>0</v>
      </c>
      <c r="DL257" s="34">
        <v>0</v>
      </c>
      <c r="DM257" s="34">
        <v>0</v>
      </c>
      <c r="DN257" s="34">
        <v>0</v>
      </c>
      <c r="DO257" s="34">
        <v>0</v>
      </c>
      <c r="DP257" s="34">
        <v>0</v>
      </c>
      <c r="DQ257" s="34">
        <v>0</v>
      </c>
      <c r="DR257" s="34">
        <v>0</v>
      </c>
    </row>
    <row r="258" spans="1:122" s="13" customFormat="1" x14ac:dyDescent="0.35">
      <c r="A258" s="14">
        <v>119</v>
      </c>
      <c r="B258" s="34">
        <v>0</v>
      </c>
      <c r="C258" s="34">
        <v>0</v>
      </c>
      <c r="D258" s="34">
        <v>0</v>
      </c>
      <c r="E258" s="34">
        <v>0</v>
      </c>
      <c r="F258" s="34">
        <v>0</v>
      </c>
      <c r="G258" s="34">
        <v>0</v>
      </c>
      <c r="H258" s="34">
        <v>0</v>
      </c>
      <c r="I258" s="34">
        <v>0</v>
      </c>
      <c r="J258" s="34">
        <v>0</v>
      </c>
      <c r="K258" s="34">
        <v>0</v>
      </c>
      <c r="L258" s="34">
        <v>0</v>
      </c>
      <c r="M258" s="34">
        <v>0</v>
      </c>
      <c r="N258" s="34">
        <v>0</v>
      </c>
      <c r="O258" s="34">
        <v>0</v>
      </c>
      <c r="P258" s="34">
        <v>0</v>
      </c>
      <c r="Q258" s="34">
        <v>0</v>
      </c>
      <c r="R258" s="34">
        <v>0</v>
      </c>
      <c r="S258" s="34">
        <v>0</v>
      </c>
      <c r="T258" s="34">
        <v>0</v>
      </c>
      <c r="U258" s="34">
        <v>0</v>
      </c>
      <c r="V258" s="34">
        <v>0</v>
      </c>
      <c r="W258" s="34">
        <v>0</v>
      </c>
      <c r="X258" s="34">
        <v>0</v>
      </c>
      <c r="Y258" s="34">
        <v>0</v>
      </c>
      <c r="Z258" s="34">
        <v>0</v>
      </c>
      <c r="AA258" s="34">
        <v>0</v>
      </c>
      <c r="AB258" s="34">
        <v>0</v>
      </c>
      <c r="AC258" s="34">
        <v>0</v>
      </c>
      <c r="AD258" s="34">
        <v>0</v>
      </c>
      <c r="AE258" s="34">
        <v>0</v>
      </c>
      <c r="AF258" s="34">
        <v>0</v>
      </c>
      <c r="AG258" s="34">
        <v>0</v>
      </c>
      <c r="AH258" s="34">
        <v>0</v>
      </c>
      <c r="AI258" s="34">
        <v>0</v>
      </c>
      <c r="AJ258" s="34">
        <v>0</v>
      </c>
      <c r="AK258" s="34">
        <v>0</v>
      </c>
      <c r="AL258" s="34">
        <v>0</v>
      </c>
      <c r="AM258" s="34">
        <v>0</v>
      </c>
      <c r="AN258" s="34">
        <v>0</v>
      </c>
      <c r="AO258" s="34">
        <v>0</v>
      </c>
      <c r="AP258" s="34">
        <v>0</v>
      </c>
      <c r="AQ258" s="34">
        <v>0</v>
      </c>
      <c r="AR258" s="34">
        <v>0</v>
      </c>
      <c r="AS258" s="34">
        <v>0</v>
      </c>
      <c r="AT258" s="34">
        <v>0</v>
      </c>
      <c r="AU258" s="34">
        <v>0</v>
      </c>
      <c r="AV258" s="34">
        <v>0</v>
      </c>
      <c r="AW258" s="34">
        <v>0</v>
      </c>
      <c r="AX258" s="34">
        <v>0</v>
      </c>
      <c r="AY258" s="34">
        <v>0</v>
      </c>
      <c r="AZ258" s="34">
        <v>0</v>
      </c>
      <c r="BA258" s="34">
        <v>0</v>
      </c>
      <c r="BB258" s="34">
        <v>0</v>
      </c>
      <c r="BC258" s="34">
        <v>0</v>
      </c>
      <c r="BD258" s="34">
        <v>0</v>
      </c>
      <c r="BE258" s="34">
        <v>0</v>
      </c>
      <c r="BF258" s="34">
        <v>0</v>
      </c>
      <c r="BG258" s="34">
        <v>0</v>
      </c>
      <c r="BH258" s="34">
        <v>0</v>
      </c>
      <c r="BI258" s="34">
        <v>0</v>
      </c>
      <c r="BJ258" s="34">
        <v>0</v>
      </c>
      <c r="BK258" s="34">
        <v>0</v>
      </c>
      <c r="BL258" s="34">
        <v>0</v>
      </c>
      <c r="BM258" s="34">
        <v>0</v>
      </c>
      <c r="BN258" s="34">
        <v>0</v>
      </c>
      <c r="BO258" s="34">
        <v>0</v>
      </c>
      <c r="BP258" s="34">
        <v>0</v>
      </c>
      <c r="BQ258" s="34">
        <v>0</v>
      </c>
      <c r="BR258" s="34">
        <v>0</v>
      </c>
      <c r="BS258" s="34">
        <v>0</v>
      </c>
      <c r="BT258" s="34">
        <v>0</v>
      </c>
      <c r="BU258" s="34">
        <v>0</v>
      </c>
      <c r="BV258" s="34">
        <v>0</v>
      </c>
      <c r="BW258" s="34">
        <v>0</v>
      </c>
      <c r="BX258" s="34">
        <v>0</v>
      </c>
      <c r="BY258" s="34">
        <v>0</v>
      </c>
      <c r="BZ258" s="34">
        <v>0</v>
      </c>
      <c r="CA258" s="34">
        <v>0</v>
      </c>
      <c r="CB258" s="34">
        <v>0</v>
      </c>
      <c r="CC258" s="34">
        <v>0</v>
      </c>
      <c r="CD258" s="34">
        <v>0</v>
      </c>
      <c r="CE258" s="34">
        <v>0</v>
      </c>
      <c r="CF258" s="34">
        <v>0</v>
      </c>
      <c r="CG258" s="34">
        <v>0</v>
      </c>
      <c r="CH258" s="34">
        <v>0</v>
      </c>
      <c r="CI258" s="34">
        <v>0</v>
      </c>
      <c r="CJ258" s="34">
        <v>0</v>
      </c>
      <c r="CK258" s="34">
        <v>0</v>
      </c>
      <c r="CL258" s="34">
        <v>0</v>
      </c>
      <c r="CM258" s="34">
        <v>0</v>
      </c>
      <c r="CN258" s="34">
        <v>0</v>
      </c>
      <c r="CO258" s="34">
        <v>0</v>
      </c>
      <c r="CP258" s="34">
        <v>0</v>
      </c>
      <c r="CQ258" s="34">
        <v>0</v>
      </c>
      <c r="CR258" s="34">
        <v>0</v>
      </c>
      <c r="CS258" s="34">
        <v>0</v>
      </c>
      <c r="CT258" s="34">
        <v>0</v>
      </c>
      <c r="CU258" s="34">
        <v>0</v>
      </c>
      <c r="CV258" s="34">
        <v>0</v>
      </c>
      <c r="CW258" s="34">
        <v>0</v>
      </c>
      <c r="CX258" s="34">
        <v>0</v>
      </c>
      <c r="CY258" s="34">
        <v>0</v>
      </c>
      <c r="CZ258" s="34">
        <v>0</v>
      </c>
      <c r="DA258" s="34">
        <v>0</v>
      </c>
      <c r="DB258" s="34">
        <v>0</v>
      </c>
      <c r="DC258" s="34">
        <v>0</v>
      </c>
      <c r="DD258" s="34">
        <v>0</v>
      </c>
      <c r="DE258" s="34">
        <v>0</v>
      </c>
      <c r="DF258" s="34">
        <v>0</v>
      </c>
      <c r="DG258" s="34">
        <v>0</v>
      </c>
      <c r="DH258" s="34">
        <v>0</v>
      </c>
      <c r="DI258" s="34">
        <v>0</v>
      </c>
      <c r="DJ258" s="34">
        <v>0</v>
      </c>
      <c r="DK258" s="34">
        <v>0</v>
      </c>
      <c r="DL258" s="34">
        <v>0</v>
      </c>
      <c r="DM258" s="34">
        <v>0</v>
      </c>
      <c r="DN258" s="34">
        <v>0</v>
      </c>
      <c r="DO258" s="34">
        <v>0</v>
      </c>
      <c r="DP258" s="34">
        <v>0</v>
      </c>
      <c r="DQ258" s="34">
        <v>0</v>
      </c>
      <c r="DR258" s="34">
        <v>0</v>
      </c>
    </row>
    <row r="259" spans="1:122" s="13" customFormat="1" x14ac:dyDescent="0.35">
      <c r="A259" s="14">
        <v>120</v>
      </c>
      <c r="B259" s="34">
        <v>0</v>
      </c>
      <c r="C259" s="34">
        <v>0</v>
      </c>
      <c r="D259" s="34">
        <v>0</v>
      </c>
      <c r="E259" s="34">
        <v>0</v>
      </c>
      <c r="F259" s="34">
        <v>0</v>
      </c>
      <c r="G259" s="34">
        <v>0</v>
      </c>
      <c r="H259" s="34">
        <v>0</v>
      </c>
      <c r="I259" s="34">
        <v>0</v>
      </c>
      <c r="J259" s="34">
        <v>0</v>
      </c>
      <c r="K259" s="34">
        <v>0</v>
      </c>
      <c r="L259" s="34">
        <v>0</v>
      </c>
      <c r="M259" s="34">
        <v>0</v>
      </c>
      <c r="N259" s="34">
        <v>0</v>
      </c>
      <c r="O259" s="34">
        <v>0</v>
      </c>
      <c r="P259" s="34">
        <v>0</v>
      </c>
      <c r="Q259" s="34">
        <v>0</v>
      </c>
      <c r="R259" s="34">
        <v>0</v>
      </c>
      <c r="S259" s="34">
        <v>0</v>
      </c>
      <c r="T259" s="34">
        <v>0</v>
      </c>
      <c r="U259" s="34">
        <v>0</v>
      </c>
      <c r="V259" s="34">
        <v>0</v>
      </c>
      <c r="W259" s="34">
        <v>0</v>
      </c>
      <c r="X259" s="34">
        <v>0</v>
      </c>
      <c r="Y259" s="34">
        <v>0</v>
      </c>
      <c r="Z259" s="34">
        <v>0</v>
      </c>
      <c r="AA259" s="34">
        <v>0</v>
      </c>
      <c r="AB259" s="34">
        <v>0</v>
      </c>
      <c r="AC259" s="34">
        <v>0</v>
      </c>
      <c r="AD259" s="34">
        <v>0</v>
      </c>
      <c r="AE259" s="34">
        <v>0</v>
      </c>
      <c r="AF259" s="34">
        <v>0</v>
      </c>
      <c r="AG259" s="34">
        <v>0</v>
      </c>
      <c r="AH259" s="34">
        <v>0</v>
      </c>
      <c r="AI259" s="34">
        <v>0</v>
      </c>
      <c r="AJ259" s="34">
        <v>0</v>
      </c>
      <c r="AK259" s="34">
        <v>0</v>
      </c>
      <c r="AL259" s="34">
        <v>0</v>
      </c>
      <c r="AM259" s="34">
        <v>0</v>
      </c>
      <c r="AN259" s="34">
        <v>0</v>
      </c>
      <c r="AO259" s="34">
        <v>0</v>
      </c>
      <c r="AP259" s="34">
        <v>0</v>
      </c>
      <c r="AQ259" s="34">
        <v>0</v>
      </c>
      <c r="AR259" s="34">
        <v>0</v>
      </c>
      <c r="AS259" s="34">
        <v>0</v>
      </c>
      <c r="AT259" s="34">
        <v>0</v>
      </c>
      <c r="AU259" s="34">
        <v>0</v>
      </c>
      <c r="AV259" s="34">
        <v>0</v>
      </c>
      <c r="AW259" s="34">
        <v>0</v>
      </c>
      <c r="AX259" s="34">
        <v>0</v>
      </c>
      <c r="AY259" s="34">
        <v>0</v>
      </c>
      <c r="AZ259" s="34">
        <v>0</v>
      </c>
      <c r="BA259" s="34">
        <v>0</v>
      </c>
      <c r="BB259" s="34">
        <v>0</v>
      </c>
      <c r="BC259" s="34">
        <v>0</v>
      </c>
      <c r="BD259" s="34">
        <v>0</v>
      </c>
      <c r="BE259" s="34">
        <v>0</v>
      </c>
      <c r="BF259" s="34">
        <v>0</v>
      </c>
      <c r="BG259" s="34">
        <v>0</v>
      </c>
      <c r="BH259" s="34">
        <v>0</v>
      </c>
      <c r="BI259" s="34">
        <v>0</v>
      </c>
      <c r="BJ259" s="34">
        <v>0</v>
      </c>
      <c r="BK259" s="34">
        <v>0</v>
      </c>
      <c r="BL259" s="34">
        <v>0</v>
      </c>
      <c r="BM259" s="34">
        <v>0</v>
      </c>
      <c r="BN259" s="34">
        <v>0</v>
      </c>
      <c r="BO259" s="34">
        <v>0</v>
      </c>
      <c r="BP259" s="34">
        <v>0</v>
      </c>
      <c r="BQ259" s="34">
        <v>0</v>
      </c>
      <c r="BR259" s="34">
        <v>0</v>
      </c>
      <c r="BS259" s="34">
        <v>0</v>
      </c>
      <c r="BT259" s="34">
        <v>0</v>
      </c>
      <c r="BU259" s="34">
        <v>0</v>
      </c>
      <c r="BV259" s="34">
        <v>0</v>
      </c>
      <c r="BW259" s="34">
        <v>0</v>
      </c>
      <c r="BX259" s="34">
        <v>0</v>
      </c>
      <c r="BY259" s="34">
        <v>0</v>
      </c>
      <c r="BZ259" s="34">
        <v>0</v>
      </c>
      <c r="CA259" s="34">
        <v>0</v>
      </c>
      <c r="CB259" s="34">
        <v>0</v>
      </c>
      <c r="CC259" s="34">
        <v>0</v>
      </c>
      <c r="CD259" s="34">
        <v>0</v>
      </c>
      <c r="CE259" s="34">
        <v>0</v>
      </c>
      <c r="CF259" s="34">
        <v>0</v>
      </c>
      <c r="CG259" s="34">
        <v>0</v>
      </c>
      <c r="CH259" s="34">
        <v>0</v>
      </c>
      <c r="CI259" s="34">
        <v>0</v>
      </c>
      <c r="CJ259" s="34">
        <v>0</v>
      </c>
      <c r="CK259" s="34">
        <v>0</v>
      </c>
      <c r="CL259" s="34">
        <v>0</v>
      </c>
      <c r="CM259" s="34">
        <v>0</v>
      </c>
      <c r="CN259" s="34">
        <v>0</v>
      </c>
      <c r="CO259" s="34">
        <v>0</v>
      </c>
      <c r="CP259" s="34">
        <v>0</v>
      </c>
      <c r="CQ259" s="34">
        <v>0</v>
      </c>
      <c r="CR259" s="34">
        <v>0</v>
      </c>
      <c r="CS259" s="34">
        <v>0</v>
      </c>
      <c r="CT259" s="34">
        <v>0</v>
      </c>
      <c r="CU259" s="34">
        <v>0</v>
      </c>
      <c r="CV259" s="34">
        <v>0</v>
      </c>
      <c r="CW259" s="34">
        <v>0</v>
      </c>
      <c r="CX259" s="34">
        <v>0</v>
      </c>
      <c r="CY259" s="34">
        <v>0</v>
      </c>
      <c r="CZ259" s="34">
        <v>0</v>
      </c>
      <c r="DA259" s="34">
        <v>0</v>
      </c>
      <c r="DB259" s="34">
        <v>0</v>
      </c>
      <c r="DC259" s="34">
        <v>0</v>
      </c>
      <c r="DD259" s="34">
        <v>0</v>
      </c>
      <c r="DE259" s="34">
        <v>0</v>
      </c>
      <c r="DF259" s="34">
        <v>0</v>
      </c>
      <c r="DG259" s="34">
        <v>0</v>
      </c>
      <c r="DH259" s="34">
        <v>0</v>
      </c>
      <c r="DI259" s="34">
        <v>0</v>
      </c>
      <c r="DJ259" s="34">
        <v>0</v>
      </c>
      <c r="DK259" s="34">
        <v>0</v>
      </c>
      <c r="DL259" s="34">
        <v>0</v>
      </c>
      <c r="DM259" s="34">
        <v>0</v>
      </c>
      <c r="DN259" s="34">
        <v>0</v>
      </c>
      <c r="DO259" s="34">
        <v>0</v>
      </c>
      <c r="DP259" s="34">
        <v>0</v>
      </c>
      <c r="DQ259" s="34">
        <v>0</v>
      </c>
      <c r="DR259" s="34">
        <v>0</v>
      </c>
    </row>
  </sheetData>
  <phoneticPr fontId="3" type="noConversion"/>
  <conditionalFormatting sqref="B139:DR259">
    <cfRule type="cellIs" dxfId="0" priority="1" operator="equal">
      <formula>1</formula>
    </cfRule>
  </conditionalFormatting>
  <pageMargins left="0.75" right="0.75" top="1" bottom="1" header="0.5" footer="0.5"/>
  <pageSetup scale="76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Y78"/>
  <sheetViews>
    <sheetView workbookViewId="0">
      <selection activeCell="A17" sqref="A17"/>
    </sheetView>
  </sheetViews>
  <sheetFormatPr defaultRowHeight="12.75" x14ac:dyDescent="0.35"/>
  <cols>
    <col min="1" max="1" width="23.86328125" style="4" bestFit="1" customWidth="1"/>
    <col min="3" max="3" width="17.19921875" bestFit="1" customWidth="1"/>
    <col min="4" max="4" width="11.265625" bestFit="1" customWidth="1"/>
    <col min="5" max="5" width="11.59765625" customWidth="1"/>
    <col min="6" max="6" width="11.265625" bestFit="1" customWidth="1"/>
    <col min="7" max="8" width="11" bestFit="1" customWidth="1"/>
    <col min="9" max="11" width="10.265625" bestFit="1" customWidth="1"/>
    <col min="12" max="62" width="9.265625" bestFit="1" customWidth="1"/>
    <col min="63" max="63" width="8.73046875" bestFit="1" customWidth="1"/>
    <col min="64" max="107" width="9.265625" bestFit="1" customWidth="1"/>
    <col min="108" max="123" width="8.73046875" bestFit="1" customWidth="1"/>
  </cols>
  <sheetData>
    <row r="1" spans="1:14" ht="20.25" x14ac:dyDescent="0.55000000000000004">
      <c r="A1" s="66" t="s">
        <v>72</v>
      </c>
    </row>
    <row r="2" spans="1:14" ht="13.15" x14ac:dyDescent="0.4">
      <c r="A2" s="67" t="s">
        <v>73</v>
      </c>
    </row>
    <row r="4" spans="1:14" ht="16.5" x14ac:dyDescent="0.85">
      <c r="A4" s="42" t="s">
        <v>27</v>
      </c>
      <c r="B4" s="55" t="s">
        <v>44</v>
      </c>
      <c r="D4" s="55" t="s">
        <v>45</v>
      </c>
    </row>
    <row r="5" spans="1:14" x14ac:dyDescent="0.35">
      <c r="A5" s="45" t="s">
        <v>4</v>
      </c>
      <c r="B5" s="38">
        <v>100000</v>
      </c>
      <c r="D5" s="58">
        <v>120069.23558177639</v>
      </c>
      <c r="E5" s="51" t="s">
        <v>22</v>
      </c>
    </row>
    <row r="6" spans="1:14" x14ac:dyDescent="0.35">
      <c r="A6" s="45" t="s">
        <v>6</v>
      </c>
      <c r="B6" s="39">
        <f>4.492/100</f>
        <v>4.4920000000000002E-2</v>
      </c>
      <c r="D6" s="58">
        <v>19260.732106854215</v>
      </c>
      <c r="E6" s="51" t="s">
        <v>24</v>
      </c>
    </row>
    <row r="7" spans="1:14" x14ac:dyDescent="0.35">
      <c r="A7" s="45" t="s">
        <v>25</v>
      </c>
      <c r="B7" s="36">
        <f>312/12</f>
        <v>26</v>
      </c>
      <c r="D7" s="58">
        <v>100808.50347492218</v>
      </c>
      <c r="E7" s="51" t="s">
        <v>26</v>
      </c>
    </row>
    <row r="8" spans="1:14" x14ac:dyDescent="0.35">
      <c r="A8" s="45" t="s">
        <v>5</v>
      </c>
      <c r="B8" s="36">
        <f>B5/B9*(1-B9)/(1-B9^(B7/h))</f>
        <v>1634.7486039160885</v>
      </c>
      <c r="D8" s="56"/>
      <c r="E8" s="56"/>
    </row>
    <row r="9" spans="1:14" x14ac:dyDescent="0.35">
      <c r="A9" s="45" t="s">
        <v>23</v>
      </c>
      <c r="B9" s="43">
        <f>1/(1+B6*h)</f>
        <v>0.98889471237997284</v>
      </c>
      <c r="D9" s="56"/>
      <c r="E9" s="56"/>
    </row>
    <row r="10" spans="1:14" x14ac:dyDescent="0.35">
      <c r="D10" s="56" t="s">
        <v>66</v>
      </c>
      <c r="E10" s="56"/>
      <c r="F10" s="17" t="s">
        <v>65</v>
      </c>
      <c r="G10" s="17" t="s">
        <v>68</v>
      </c>
      <c r="H10" s="37" t="s">
        <v>67</v>
      </c>
      <c r="K10" s="37"/>
      <c r="L10" s="37"/>
      <c r="M10" s="37"/>
      <c r="N10" s="37"/>
    </row>
    <row r="11" spans="1:14" ht="13.15" x14ac:dyDescent="0.4">
      <c r="A11" s="42" t="s">
        <v>29</v>
      </c>
      <c r="D11" s="59">
        <f>C70</f>
        <v>101917.73665848852</v>
      </c>
      <c r="E11" s="57" t="s">
        <v>69</v>
      </c>
      <c r="F11" s="20">
        <f>C76</f>
        <v>67.80098596317336</v>
      </c>
      <c r="G11" s="35">
        <f>D11-2*F11</f>
        <v>101782.13468656217</v>
      </c>
      <c r="H11" s="63">
        <f>D11+2*F11</f>
        <v>102053.33863041486</v>
      </c>
      <c r="K11" s="37"/>
      <c r="L11" s="37"/>
      <c r="M11" s="37"/>
      <c r="N11" s="37"/>
    </row>
    <row r="12" spans="1:14" x14ac:dyDescent="0.35">
      <c r="A12" s="45" t="s">
        <v>28</v>
      </c>
      <c r="B12">
        <v>0.04</v>
      </c>
      <c r="D12" s="59">
        <f t="shared" ref="D12:D13" si="0">C71</f>
        <v>4613.183915769454</v>
      </c>
      <c r="E12" s="57" t="s">
        <v>70</v>
      </c>
      <c r="F12" s="20">
        <f t="shared" ref="F12:F13" si="1">C77</f>
        <v>73.891276764834458</v>
      </c>
      <c r="G12" s="35">
        <f t="shared" ref="G12:G13" si="2">D12-2*F12</f>
        <v>4465.4013622397852</v>
      </c>
      <c r="H12" s="63">
        <f t="shared" ref="H12:H13" si="3">D12+2*F12</f>
        <v>4760.9664692991228</v>
      </c>
      <c r="I12" s="37"/>
      <c r="J12" s="37"/>
      <c r="K12" s="37"/>
      <c r="L12" s="37"/>
      <c r="M12" s="37"/>
      <c r="N12" s="37"/>
    </row>
    <row r="13" spans="1:14" x14ac:dyDescent="0.35">
      <c r="A13" s="45" t="s">
        <v>0</v>
      </c>
      <c r="B13">
        <v>0.25</v>
      </c>
      <c r="D13" s="59">
        <f t="shared" si="0"/>
        <v>97304.552742719286</v>
      </c>
      <c r="E13" s="57" t="s">
        <v>71</v>
      </c>
      <c r="F13" s="20">
        <f t="shared" si="1"/>
        <v>126.41828793915427</v>
      </c>
      <c r="G13" s="35">
        <f t="shared" si="2"/>
        <v>97051.716166840983</v>
      </c>
      <c r="H13" s="63">
        <f t="shared" si="3"/>
        <v>97557.38931859759</v>
      </c>
    </row>
    <row r="14" spans="1:14" x14ac:dyDescent="0.35">
      <c r="D14" s="56"/>
      <c r="E14" s="56"/>
    </row>
    <row r="15" spans="1:14" ht="13.15" x14ac:dyDescent="0.4">
      <c r="A15" s="42"/>
      <c r="G15" s="17"/>
    </row>
    <row r="16" spans="1:14" ht="13.15" x14ac:dyDescent="0.4">
      <c r="A16" s="42" t="s">
        <v>33</v>
      </c>
    </row>
    <row r="17" spans="1:363" x14ac:dyDescent="0.35">
      <c r="A17" s="45" t="s">
        <v>20</v>
      </c>
      <c r="B17" s="19"/>
    </row>
    <row r="18" spans="1:363" x14ac:dyDescent="0.35">
      <c r="A18" s="45" t="s">
        <v>21</v>
      </c>
      <c r="B18" s="19"/>
    </row>
    <row r="19" spans="1:363" x14ac:dyDescent="0.35">
      <c r="A19" s="45" t="s">
        <v>17</v>
      </c>
      <c r="B19" s="19"/>
    </row>
    <row r="20" spans="1:363" x14ac:dyDescent="0.35">
      <c r="A20" s="45" t="s">
        <v>18</v>
      </c>
      <c r="B20" s="19"/>
    </row>
    <row r="21" spans="1:363" x14ac:dyDescent="0.35">
      <c r="A21" s="45"/>
    </row>
    <row r="22" spans="1:363" ht="13.15" x14ac:dyDescent="0.4">
      <c r="A22" s="42" t="s">
        <v>46</v>
      </c>
      <c r="B22" s="46">
        <v>1000</v>
      </c>
      <c r="D22" s="46">
        <v>1000</v>
      </c>
    </row>
    <row r="23" spans="1:363" s="48" customFormat="1" ht="13.15" x14ac:dyDescent="0.4">
      <c r="A23" s="42"/>
    </row>
    <row r="26" spans="1:363" s="53" customFormat="1" ht="13.15" x14ac:dyDescent="0.4">
      <c r="A26" s="52" t="s">
        <v>11</v>
      </c>
      <c r="B26" s="52">
        <v>0</v>
      </c>
      <c r="C26" s="52">
        <v>0</v>
      </c>
      <c r="D26" s="52">
        <f t="shared" ref="D26:AI26" si="4">D27*h</f>
        <v>0.25</v>
      </c>
      <c r="E26" s="52">
        <f t="shared" si="4"/>
        <v>0.5</v>
      </c>
      <c r="F26" s="52">
        <f t="shared" si="4"/>
        <v>0.75</v>
      </c>
      <c r="G26" s="52">
        <f t="shared" si="4"/>
        <v>1</v>
      </c>
      <c r="H26" s="52">
        <f t="shared" si="4"/>
        <v>1.25</v>
      </c>
      <c r="I26" s="52">
        <f t="shared" si="4"/>
        <v>1.5</v>
      </c>
      <c r="J26" s="52">
        <f t="shared" si="4"/>
        <v>1.75</v>
      </c>
      <c r="K26" s="52">
        <f t="shared" si="4"/>
        <v>2</v>
      </c>
      <c r="L26" s="52">
        <f t="shared" si="4"/>
        <v>2.25</v>
      </c>
      <c r="M26" s="52">
        <f t="shared" si="4"/>
        <v>2.5</v>
      </c>
      <c r="N26" s="52">
        <f t="shared" si="4"/>
        <v>2.75</v>
      </c>
      <c r="O26" s="52">
        <f t="shared" si="4"/>
        <v>3</v>
      </c>
      <c r="P26" s="52">
        <f t="shared" si="4"/>
        <v>3.25</v>
      </c>
      <c r="Q26" s="52">
        <f t="shared" si="4"/>
        <v>3.5</v>
      </c>
      <c r="R26" s="52">
        <f t="shared" si="4"/>
        <v>3.75</v>
      </c>
      <c r="S26" s="52">
        <f t="shared" si="4"/>
        <v>4</v>
      </c>
      <c r="T26" s="52">
        <f t="shared" si="4"/>
        <v>4.25</v>
      </c>
      <c r="U26" s="52">
        <f t="shared" si="4"/>
        <v>4.5</v>
      </c>
      <c r="V26" s="52">
        <f t="shared" si="4"/>
        <v>4.75</v>
      </c>
      <c r="W26" s="52">
        <f t="shared" si="4"/>
        <v>5</v>
      </c>
      <c r="X26" s="52">
        <f t="shared" si="4"/>
        <v>5.25</v>
      </c>
      <c r="Y26" s="52">
        <f t="shared" si="4"/>
        <v>5.5</v>
      </c>
      <c r="Z26" s="52">
        <f t="shared" si="4"/>
        <v>5.75</v>
      </c>
      <c r="AA26" s="52">
        <f t="shared" si="4"/>
        <v>6</v>
      </c>
      <c r="AB26" s="52">
        <f t="shared" si="4"/>
        <v>6.25</v>
      </c>
      <c r="AC26" s="52">
        <f t="shared" si="4"/>
        <v>6.5</v>
      </c>
      <c r="AD26" s="52">
        <f t="shared" si="4"/>
        <v>6.75</v>
      </c>
      <c r="AE26" s="52">
        <f t="shared" si="4"/>
        <v>7</v>
      </c>
      <c r="AF26" s="52">
        <f t="shared" si="4"/>
        <v>7.25</v>
      </c>
      <c r="AG26" s="52">
        <f t="shared" si="4"/>
        <v>7.5</v>
      </c>
      <c r="AH26" s="52">
        <f t="shared" si="4"/>
        <v>7.75</v>
      </c>
      <c r="AI26" s="52">
        <f t="shared" si="4"/>
        <v>8</v>
      </c>
      <c r="AJ26" s="52">
        <f t="shared" ref="AJ26:BO26" si="5">AJ27*h</f>
        <v>8.25</v>
      </c>
      <c r="AK26" s="52">
        <f t="shared" si="5"/>
        <v>8.5</v>
      </c>
      <c r="AL26" s="52">
        <f t="shared" si="5"/>
        <v>8.75</v>
      </c>
      <c r="AM26" s="52">
        <f t="shared" si="5"/>
        <v>9</v>
      </c>
      <c r="AN26" s="52">
        <f t="shared" si="5"/>
        <v>9.25</v>
      </c>
      <c r="AO26" s="52">
        <f t="shared" si="5"/>
        <v>9.5</v>
      </c>
      <c r="AP26" s="52">
        <f t="shared" si="5"/>
        <v>9.75</v>
      </c>
      <c r="AQ26" s="52">
        <f t="shared" si="5"/>
        <v>10</v>
      </c>
      <c r="AR26" s="52">
        <f t="shared" si="5"/>
        <v>10.25</v>
      </c>
      <c r="AS26" s="52">
        <f t="shared" si="5"/>
        <v>10.5</v>
      </c>
      <c r="AT26" s="52">
        <f t="shared" si="5"/>
        <v>10.75</v>
      </c>
      <c r="AU26" s="52">
        <f t="shared" si="5"/>
        <v>11</v>
      </c>
      <c r="AV26" s="52">
        <f t="shared" si="5"/>
        <v>11.25</v>
      </c>
      <c r="AW26" s="52">
        <f t="shared" si="5"/>
        <v>11.5</v>
      </c>
      <c r="AX26" s="52">
        <f t="shared" si="5"/>
        <v>11.75</v>
      </c>
      <c r="AY26" s="52">
        <f t="shared" si="5"/>
        <v>12</v>
      </c>
      <c r="AZ26" s="52">
        <f t="shared" si="5"/>
        <v>12.25</v>
      </c>
      <c r="BA26" s="52">
        <f t="shared" si="5"/>
        <v>12.5</v>
      </c>
      <c r="BB26" s="52">
        <f t="shared" si="5"/>
        <v>12.75</v>
      </c>
      <c r="BC26" s="52">
        <f t="shared" si="5"/>
        <v>13</v>
      </c>
      <c r="BD26" s="52">
        <f t="shared" si="5"/>
        <v>13.25</v>
      </c>
      <c r="BE26" s="52">
        <f t="shared" si="5"/>
        <v>13.5</v>
      </c>
      <c r="BF26" s="52">
        <f t="shared" si="5"/>
        <v>13.75</v>
      </c>
      <c r="BG26" s="52">
        <f t="shared" si="5"/>
        <v>14</v>
      </c>
      <c r="BH26" s="52">
        <f t="shared" si="5"/>
        <v>14.25</v>
      </c>
      <c r="BI26" s="52">
        <f t="shared" si="5"/>
        <v>14.5</v>
      </c>
      <c r="BJ26" s="52">
        <f t="shared" si="5"/>
        <v>14.75</v>
      </c>
      <c r="BK26" s="52">
        <f t="shared" si="5"/>
        <v>15</v>
      </c>
      <c r="BL26" s="52">
        <f t="shared" si="5"/>
        <v>15.25</v>
      </c>
      <c r="BM26" s="52">
        <f t="shared" si="5"/>
        <v>15.5</v>
      </c>
      <c r="BN26" s="52">
        <f t="shared" si="5"/>
        <v>15.75</v>
      </c>
      <c r="BO26" s="52">
        <f t="shared" si="5"/>
        <v>16</v>
      </c>
      <c r="BP26" s="52">
        <f t="shared" ref="BP26:CU26" si="6">BP27*h</f>
        <v>16.25</v>
      </c>
      <c r="BQ26" s="52">
        <f t="shared" si="6"/>
        <v>16.5</v>
      </c>
      <c r="BR26" s="52">
        <f t="shared" si="6"/>
        <v>16.75</v>
      </c>
      <c r="BS26" s="52">
        <f t="shared" si="6"/>
        <v>17</v>
      </c>
      <c r="BT26" s="52">
        <f t="shared" si="6"/>
        <v>17.25</v>
      </c>
      <c r="BU26" s="52">
        <f t="shared" si="6"/>
        <v>17.5</v>
      </c>
      <c r="BV26" s="52">
        <f t="shared" si="6"/>
        <v>17.75</v>
      </c>
      <c r="BW26" s="52">
        <f t="shared" si="6"/>
        <v>18</v>
      </c>
      <c r="BX26" s="52">
        <f t="shared" si="6"/>
        <v>18.25</v>
      </c>
      <c r="BY26" s="52">
        <f t="shared" si="6"/>
        <v>18.5</v>
      </c>
      <c r="BZ26" s="52">
        <f t="shared" si="6"/>
        <v>18.75</v>
      </c>
      <c r="CA26" s="52">
        <f t="shared" si="6"/>
        <v>19</v>
      </c>
      <c r="CB26" s="52">
        <f t="shared" si="6"/>
        <v>19.25</v>
      </c>
      <c r="CC26" s="52">
        <f t="shared" si="6"/>
        <v>19.5</v>
      </c>
      <c r="CD26" s="52">
        <f t="shared" si="6"/>
        <v>19.75</v>
      </c>
      <c r="CE26" s="52">
        <f t="shared" si="6"/>
        <v>20</v>
      </c>
      <c r="CF26" s="52">
        <f t="shared" si="6"/>
        <v>20.25</v>
      </c>
      <c r="CG26" s="52">
        <f t="shared" si="6"/>
        <v>20.5</v>
      </c>
      <c r="CH26" s="52">
        <f t="shared" si="6"/>
        <v>20.75</v>
      </c>
      <c r="CI26" s="52">
        <f t="shared" si="6"/>
        <v>21</v>
      </c>
      <c r="CJ26" s="52">
        <f t="shared" si="6"/>
        <v>21.25</v>
      </c>
      <c r="CK26" s="52">
        <f t="shared" si="6"/>
        <v>21.5</v>
      </c>
      <c r="CL26" s="52">
        <f t="shared" si="6"/>
        <v>21.75</v>
      </c>
      <c r="CM26" s="52">
        <f t="shared" si="6"/>
        <v>22</v>
      </c>
      <c r="CN26" s="52">
        <f t="shared" si="6"/>
        <v>22.25</v>
      </c>
      <c r="CO26" s="52">
        <f t="shared" si="6"/>
        <v>22.5</v>
      </c>
      <c r="CP26" s="52">
        <f t="shared" si="6"/>
        <v>22.75</v>
      </c>
      <c r="CQ26" s="52">
        <f t="shared" si="6"/>
        <v>23</v>
      </c>
      <c r="CR26" s="52">
        <f t="shared" si="6"/>
        <v>23.25</v>
      </c>
      <c r="CS26" s="52">
        <f t="shared" si="6"/>
        <v>23.5</v>
      </c>
      <c r="CT26" s="52">
        <f t="shared" si="6"/>
        <v>23.75</v>
      </c>
      <c r="CU26" s="52">
        <f t="shared" si="6"/>
        <v>24</v>
      </c>
      <c r="CV26" s="52">
        <f t="shared" ref="CV26:DS26" si="7">CV27*h</f>
        <v>24.25</v>
      </c>
      <c r="CW26" s="52">
        <f t="shared" si="7"/>
        <v>24.5</v>
      </c>
      <c r="CX26" s="52">
        <f t="shared" si="7"/>
        <v>24.75</v>
      </c>
      <c r="CY26" s="52">
        <f t="shared" si="7"/>
        <v>25</v>
      </c>
      <c r="CZ26" s="52">
        <f t="shared" si="7"/>
        <v>25.25</v>
      </c>
      <c r="DA26" s="52">
        <f t="shared" si="7"/>
        <v>25.5</v>
      </c>
      <c r="DB26" s="52">
        <f t="shared" si="7"/>
        <v>25.75</v>
      </c>
      <c r="DC26" s="52">
        <f t="shared" si="7"/>
        <v>26</v>
      </c>
      <c r="DD26" s="52">
        <f t="shared" si="7"/>
        <v>26.25</v>
      </c>
      <c r="DE26" s="52">
        <f t="shared" si="7"/>
        <v>26.5</v>
      </c>
      <c r="DF26" s="52">
        <f t="shared" si="7"/>
        <v>26.75</v>
      </c>
      <c r="DG26" s="52">
        <f t="shared" si="7"/>
        <v>27</v>
      </c>
      <c r="DH26" s="52">
        <f t="shared" si="7"/>
        <v>27.25</v>
      </c>
      <c r="DI26" s="52">
        <f t="shared" si="7"/>
        <v>27.5</v>
      </c>
      <c r="DJ26" s="52">
        <f t="shared" si="7"/>
        <v>27.75</v>
      </c>
      <c r="DK26" s="52">
        <f t="shared" si="7"/>
        <v>28</v>
      </c>
      <c r="DL26" s="52">
        <f t="shared" si="7"/>
        <v>28.25</v>
      </c>
      <c r="DM26" s="52">
        <f t="shared" si="7"/>
        <v>28.5</v>
      </c>
      <c r="DN26" s="52">
        <f t="shared" si="7"/>
        <v>28.75</v>
      </c>
      <c r="DO26" s="52">
        <f t="shared" si="7"/>
        <v>29</v>
      </c>
      <c r="DP26" s="52">
        <f t="shared" si="7"/>
        <v>29.25</v>
      </c>
      <c r="DQ26" s="52">
        <f t="shared" si="7"/>
        <v>29.5</v>
      </c>
      <c r="DR26" s="52">
        <f t="shared" si="7"/>
        <v>29.75</v>
      </c>
      <c r="DS26" s="52">
        <f t="shared" si="7"/>
        <v>30</v>
      </c>
    </row>
    <row r="27" spans="1:363" s="53" customFormat="1" ht="13.15" x14ac:dyDescent="0.4">
      <c r="A27" s="54" t="s">
        <v>12</v>
      </c>
      <c r="B27" s="54">
        <v>0</v>
      </c>
      <c r="C27" s="54">
        <v>0</v>
      </c>
      <c r="D27" s="54">
        <v>1</v>
      </c>
      <c r="E27" s="54">
        <v>2</v>
      </c>
      <c r="F27" s="54">
        <v>3</v>
      </c>
      <c r="G27" s="54">
        <v>4</v>
      </c>
      <c r="H27" s="54">
        <v>5</v>
      </c>
      <c r="I27" s="54">
        <v>6</v>
      </c>
      <c r="J27" s="54">
        <v>7</v>
      </c>
      <c r="K27" s="54">
        <v>8</v>
      </c>
      <c r="L27" s="54">
        <v>9</v>
      </c>
      <c r="M27" s="54">
        <v>10</v>
      </c>
      <c r="N27" s="54">
        <v>11</v>
      </c>
      <c r="O27" s="54">
        <v>12</v>
      </c>
      <c r="P27" s="54">
        <v>13</v>
      </c>
      <c r="Q27" s="54">
        <v>14</v>
      </c>
      <c r="R27" s="54">
        <v>15</v>
      </c>
      <c r="S27" s="54">
        <v>16</v>
      </c>
      <c r="T27" s="54">
        <v>17</v>
      </c>
      <c r="U27" s="54">
        <v>18</v>
      </c>
      <c r="V27" s="54">
        <v>19</v>
      </c>
      <c r="W27" s="54">
        <v>20</v>
      </c>
      <c r="X27" s="54">
        <v>21</v>
      </c>
      <c r="Y27" s="54">
        <v>22</v>
      </c>
      <c r="Z27" s="54">
        <v>23</v>
      </c>
      <c r="AA27" s="54">
        <v>24</v>
      </c>
      <c r="AB27" s="54">
        <v>25</v>
      </c>
      <c r="AC27" s="54">
        <v>26</v>
      </c>
      <c r="AD27" s="54">
        <v>27</v>
      </c>
      <c r="AE27" s="54">
        <v>28</v>
      </c>
      <c r="AF27" s="54">
        <v>29</v>
      </c>
      <c r="AG27" s="54">
        <v>30</v>
      </c>
      <c r="AH27" s="54">
        <v>31</v>
      </c>
      <c r="AI27" s="54">
        <v>32</v>
      </c>
      <c r="AJ27" s="54">
        <v>33</v>
      </c>
      <c r="AK27" s="54">
        <v>34</v>
      </c>
      <c r="AL27" s="54">
        <v>35</v>
      </c>
      <c r="AM27" s="54">
        <v>36</v>
      </c>
      <c r="AN27" s="54">
        <v>37</v>
      </c>
      <c r="AO27" s="54">
        <v>38</v>
      </c>
      <c r="AP27" s="54">
        <v>39</v>
      </c>
      <c r="AQ27" s="54">
        <v>40</v>
      </c>
      <c r="AR27" s="54">
        <v>41</v>
      </c>
      <c r="AS27" s="54">
        <v>42</v>
      </c>
      <c r="AT27" s="54">
        <v>43</v>
      </c>
      <c r="AU27" s="54">
        <v>44</v>
      </c>
      <c r="AV27" s="54">
        <v>45</v>
      </c>
      <c r="AW27" s="54">
        <v>46</v>
      </c>
      <c r="AX27" s="54">
        <v>47</v>
      </c>
      <c r="AY27" s="54">
        <v>48</v>
      </c>
      <c r="AZ27" s="54">
        <v>49</v>
      </c>
      <c r="BA27" s="54">
        <v>50</v>
      </c>
      <c r="BB27" s="54">
        <v>51</v>
      </c>
      <c r="BC27" s="54">
        <v>52</v>
      </c>
      <c r="BD27" s="54">
        <v>53</v>
      </c>
      <c r="BE27" s="54">
        <v>54</v>
      </c>
      <c r="BF27" s="54">
        <v>55</v>
      </c>
      <c r="BG27" s="54">
        <v>56</v>
      </c>
      <c r="BH27" s="54">
        <v>57</v>
      </c>
      <c r="BI27" s="54">
        <v>58</v>
      </c>
      <c r="BJ27" s="54">
        <v>59</v>
      </c>
      <c r="BK27" s="54">
        <v>60</v>
      </c>
      <c r="BL27" s="54">
        <v>61</v>
      </c>
      <c r="BM27" s="54">
        <v>62</v>
      </c>
      <c r="BN27" s="54">
        <v>63</v>
      </c>
      <c r="BO27" s="54">
        <v>64</v>
      </c>
      <c r="BP27" s="54">
        <v>65</v>
      </c>
      <c r="BQ27" s="54">
        <v>66</v>
      </c>
      <c r="BR27" s="54">
        <v>67</v>
      </c>
      <c r="BS27" s="54">
        <v>68</v>
      </c>
      <c r="BT27" s="54">
        <v>69</v>
      </c>
      <c r="BU27" s="54">
        <v>70</v>
      </c>
      <c r="BV27" s="54">
        <v>71</v>
      </c>
      <c r="BW27" s="54">
        <v>72</v>
      </c>
      <c r="BX27" s="54">
        <v>73</v>
      </c>
      <c r="BY27" s="54">
        <v>74</v>
      </c>
      <c r="BZ27" s="54">
        <v>75</v>
      </c>
      <c r="CA27" s="54">
        <v>76</v>
      </c>
      <c r="CB27" s="54">
        <v>77</v>
      </c>
      <c r="CC27" s="54">
        <v>78</v>
      </c>
      <c r="CD27" s="54">
        <v>79</v>
      </c>
      <c r="CE27" s="54">
        <v>80</v>
      </c>
      <c r="CF27" s="54">
        <v>81</v>
      </c>
      <c r="CG27" s="54">
        <v>82</v>
      </c>
      <c r="CH27" s="54">
        <v>83</v>
      </c>
      <c r="CI27" s="54">
        <v>84</v>
      </c>
      <c r="CJ27" s="54">
        <v>85</v>
      </c>
      <c r="CK27" s="54">
        <v>86</v>
      </c>
      <c r="CL27" s="54">
        <v>87</v>
      </c>
      <c r="CM27" s="54">
        <v>88</v>
      </c>
      <c r="CN27" s="54">
        <v>89</v>
      </c>
      <c r="CO27" s="54">
        <v>90</v>
      </c>
      <c r="CP27" s="54">
        <v>91</v>
      </c>
      <c r="CQ27" s="54">
        <v>92</v>
      </c>
      <c r="CR27" s="54">
        <v>93</v>
      </c>
      <c r="CS27" s="54">
        <v>94</v>
      </c>
      <c r="CT27" s="54">
        <v>95</v>
      </c>
      <c r="CU27" s="54">
        <v>96</v>
      </c>
      <c r="CV27" s="54">
        <v>97</v>
      </c>
      <c r="CW27" s="54">
        <v>98</v>
      </c>
      <c r="CX27" s="54">
        <v>99</v>
      </c>
      <c r="CY27" s="54">
        <v>100</v>
      </c>
      <c r="CZ27" s="54">
        <v>101</v>
      </c>
      <c r="DA27" s="54">
        <v>102</v>
      </c>
      <c r="DB27" s="54">
        <v>103</v>
      </c>
      <c r="DC27" s="54">
        <v>104</v>
      </c>
      <c r="DD27" s="54">
        <v>105</v>
      </c>
      <c r="DE27" s="54">
        <v>106</v>
      </c>
      <c r="DF27" s="54">
        <v>107</v>
      </c>
      <c r="DG27" s="54">
        <v>108</v>
      </c>
      <c r="DH27" s="54">
        <v>109</v>
      </c>
      <c r="DI27" s="54">
        <v>110</v>
      </c>
      <c r="DJ27" s="54">
        <v>111</v>
      </c>
      <c r="DK27" s="54">
        <v>112</v>
      </c>
      <c r="DL27" s="54">
        <v>113</v>
      </c>
      <c r="DM27" s="54">
        <v>114</v>
      </c>
      <c r="DN27" s="54">
        <v>115</v>
      </c>
      <c r="DO27" s="54">
        <v>116</v>
      </c>
      <c r="DP27" s="54">
        <v>117</v>
      </c>
      <c r="DQ27" s="54">
        <v>118</v>
      </c>
      <c r="DR27" s="54">
        <v>119</v>
      </c>
      <c r="DS27" s="54">
        <v>120</v>
      </c>
    </row>
    <row r="28" spans="1:363" x14ac:dyDescent="0.35">
      <c r="B28" s="40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</row>
    <row r="29" spans="1:363" ht="13.15" x14ac:dyDescent="0.4">
      <c r="A29" s="42" t="s">
        <v>43</v>
      </c>
      <c r="B29" s="40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</row>
    <row r="30" spans="1:363" s="38" customFormat="1" x14ac:dyDescent="0.35">
      <c r="A30" s="44" t="s">
        <v>30</v>
      </c>
      <c r="D30" s="36">
        <f t="shared" ref="D30:AI30" si="8">$B$6*h*C32</f>
        <v>1123</v>
      </c>
      <c r="E30" s="36">
        <f t="shared" si="8"/>
        <v>1117.2530631780223</v>
      </c>
      <c r="F30" s="36">
        <f t="shared" si="8"/>
        <v>1111.441588255534</v>
      </c>
      <c r="G30" s="36">
        <f t="shared" si="8"/>
        <v>1105.564850469666</v>
      </c>
      <c r="H30" s="36">
        <f t="shared" si="8"/>
        <v>1099.6221169184626</v>
      </c>
      <c r="I30" s="36">
        <f t="shared" si="8"/>
        <v>1093.6126464694792</v>
      </c>
      <c r="J30" s="36">
        <f t="shared" si="8"/>
        <v>1087.5356896673538</v>
      </c>
      <c r="K30" s="36">
        <f t="shared" si="8"/>
        <v>1081.3904886403404</v>
      </c>
      <c r="L30" s="36">
        <f t="shared" si="8"/>
        <v>1075.1762770057937</v>
      </c>
      <c r="M30" s="36">
        <f t="shared" si="8"/>
        <v>1068.8922797745911</v>
      </c>
      <c r="N30" s="36">
        <f t="shared" si="8"/>
        <v>1062.5377132544822</v>
      </c>
      <c r="O30" s="36">
        <f t="shared" si="8"/>
        <v>1056.1117849523523</v>
      </c>
      <c r="P30" s="36">
        <f t="shared" si="8"/>
        <v>1049.6136934753895</v>
      </c>
      <c r="Q30" s="36">
        <f t="shared" si="8"/>
        <v>1043.0426284311404</v>
      </c>
      <c r="R30" s="36">
        <f t="shared" si="8"/>
        <v>1036.3977703264445</v>
      </c>
      <c r="S30" s="36">
        <f t="shared" si="8"/>
        <v>1029.6782904652327</v>
      </c>
      <c r="T30" s="36">
        <f t="shared" si="8"/>
        <v>1022.8833508451797</v>
      </c>
      <c r="U30" s="36">
        <f t="shared" si="8"/>
        <v>1016.0121040531934</v>
      </c>
      <c r="V30" s="36">
        <f t="shared" si="8"/>
        <v>1009.0636931597331</v>
      </c>
      <c r="W30" s="36">
        <f t="shared" si="8"/>
        <v>1002.0372516119393</v>
      </c>
      <c r="X30" s="36">
        <f t="shared" si="8"/>
        <v>994.93190312556362</v>
      </c>
      <c r="Y30" s="36">
        <f t="shared" si="8"/>
        <v>987.74676157568604</v>
      </c>
      <c r="Z30" s="36">
        <f t="shared" si="8"/>
        <v>980.4809308862034</v>
      </c>
      <c r="AA30" s="36">
        <f t="shared" si="8"/>
        <v>973.13350491807773</v>
      </c>
      <c r="AB30" s="36">
        <f t="shared" si="8"/>
        <v>965.70356735633015</v>
      </c>
      <c r="AC30" s="36">
        <f t="shared" si="8"/>
        <v>958.19019159576396</v>
      </c>
      <c r="AD30" s="36">
        <f t="shared" si="8"/>
        <v>950.59244062540665</v>
      </c>
      <c r="AE30" s="36">
        <f t="shared" si="8"/>
        <v>942.90936691165234</v>
      </c>
      <c r="AF30" s="36">
        <f t="shared" si="8"/>
        <v>935.14001228009249</v>
      </c>
      <c r="AG30" s="36">
        <f t="shared" si="8"/>
        <v>927.28340779602024</v>
      </c>
      <c r="AH30" s="36">
        <f t="shared" si="8"/>
        <v>919.33857364359187</v>
      </c>
      <c r="AI30" s="36">
        <f t="shared" si="8"/>
        <v>911.30451900363164</v>
      </c>
      <c r="AJ30" s="36">
        <f t="shared" ref="AJ30:BO30" si="9">$B$6*h*AI32</f>
        <v>903.18024193006488</v>
      </c>
      <c r="AK30" s="36">
        <f t="shared" si="9"/>
        <v>894.96472922496184</v>
      </c>
      <c r="AL30" s="36">
        <f t="shared" si="9"/>
        <v>886.65695631218045</v>
      </c>
      <c r="AM30" s="36">
        <f t="shared" si="9"/>
        <v>878.25588710958846</v>
      </c>
      <c r="AN30" s="36">
        <f t="shared" si="9"/>
        <v>869.76047389985149</v>
      </c>
      <c r="AO30" s="36">
        <f t="shared" si="9"/>
        <v>861.16965719976906</v>
      </c>
      <c r="AP30" s="36">
        <f t="shared" si="9"/>
        <v>852.48236562814498</v>
      </c>
      <c r="AQ30" s="36">
        <f t="shared" si="9"/>
        <v>843.6975157721713</v>
      </c>
      <c r="AR30" s="36">
        <f t="shared" si="9"/>
        <v>834.81401205231509</v>
      </c>
      <c r="AS30" s="36">
        <f t="shared" si="9"/>
        <v>825.83074658568501</v>
      </c>
      <c r="AT30" s="36">
        <f t="shared" si="9"/>
        <v>816.74659904786449</v>
      </c>
      <c r="AU30" s="36">
        <f t="shared" si="9"/>
        <v>807.56043653319443</v>
      </c>
      <c r="AV30" s="36">
        <f t="shared" si="9"/>
        <v>798.2711134134845</v>
      </c>
      <c r="AW30" s="36">
        <f t="shared" si="9"/>
        <v>788.87747119514029</v>
      </c>
      <c r="AX30" s="36">
        <f t="shared" si="9"/>
        <v>779.37833837468406</v>
      </c>
      <c r="AY30" s="36">
        <f t="shared" si="9"/>
        <v>769.7725302926541</v>
      </c>
      <c r="AZ30" s="36">
        <f t="shared" si="9"/>
        <v>760.05884898586294</v>
      </c>
      <c r="BA30" s="36">
        <f t="shared" si="9"/>
        <v>750.23608303799654</v>
      </c>
      <c r="BB30" s="36">
        <f t="shared" si="9"/>
        <v>740.30300742853558</v>
      </c>
      <c r="BC30" s="36">
        <f t="shared" si="9"/>
        <v>730.25838337998027</v>
      </c>
      <c r="BD30" s="36">
        <f t="shared" si="9"/>
        <v>720.10095820335982</v>
      </c>
      <c r="BE30" s="36">
        <f t="shared" si="9"/>
        <v>709.82946514200592</v>
      </c>
      <c r="BF30" s="36">
        <f t="shared" si="9"/>
        <v>699.44262321357303</v>
      </c>
      <c r="BG30" s="36">
        <f t="shared" si="9"/>
        <v>688.93913705028376</v>
      </c>
      <c r="BH30" s="36">
        <f t="shared" si="9"/>
        <v>678.31769673738086</v>
      </c>
      <c r="BI30" s="36">
        <f t="shared" si="9"/>
        <v>667.57697764976399</v>
      </c>
      <c r="BJ30" s="36">
        <f t="shared" si="9"/>
        <v>656.71564028679313</v>
      </c>
      <c r="BK30" s="36">
        <f t="shared" si="9"/>
        <v>645.73233010523609</v>
      </c>
      <c r="BL30" s="36">
        <f t="shared" si="9"/>
        <v>634.6256773503402</v>
      </c>
      <c r="BM30" s="36">
        <f t="shared" si="9"/>
        <v>623.39429688500695</v>
      </c>
      <c r="BN30" s="36">
        <f t="shared" si="9"/>
        <v>612.0367880170478</v>
      </c>
      <c r="BO30" s="36">
        <f t="shared" si="9"/>
        <v>600.55173432450158</v>
      </c>
      <c r="BP30" s="36">
        <f t="shared" ref="BP30:CU30" si="10">$B$6*h*BO32</f>
        <v>588.93770347898806</v>
      </c>
      <c r="BQ30" s="36">
        <f t="shared" si="10"/>
        <v>577.19324706707948</v>
      </c>
      <c r="BR30" s="36">
        <f t="shared" si="10"/>
        <v>565.3169004096651</v>
      </c>
      <c r="BS30" s="36">
        <f t="shared" si="10"/>
        <v>553.30718237928795</v>
      </c>
      <c r="BT30" s="36">
        <f t="shared" si="10"/>
        <v>541.16259521542963</v>
      </c>
      <c r="BU30" s="36">
        <f t="shared" si="10"/>
        <v>528.88162433772129</v>
      </c>
      <c r="BV30" s="36">
        <f t="shared" si="10"/>
        <v>516.46273815705626</v>
      </c>
      <c r="BW30" s="36">
        <f t="shared" si="10"/>
        <v>503.90438788458232</v>
      </c>
      <c r="BX30" s="36">
        <f t="shared" si="10"/>
        <v>491.20500733854851</v>
      </c>
      <c r="BY30" s="36">
        <f t="shared" si="10"/>
        <v>478.36301274898278</v>
      </c>
      <c r="BZ30" s="36">
        <f t="shared" si="10"/>
        <v>465.3768025601762</v>
      </c>
      <c r="CA30" s="36">
        <f t="shared" si="10"/>
        <v>452.24475723094929</v>
      </c>
      <c r="CB30" s="36">
        <f t="shared" si="10"/>
        <v>438.96523903267519</v>
      </c>
      <c r="CC30" s="36">
        <f t="shared" si="10"/>
        <v>425.53659184503442</v>
      </c>
      <c r="CD30" s="36">
        <f t="shared" si="10"/>
        <v>411.95714094947652</v>
      </c>
      <c r="CE30" s="36">
        <f t="shared" si="10"/>
        <v>398.22519282036143</v>
      </c>
      <c r="CF30" s="36">
        <f t="shared" si="10"/>
        <v>384.33903491375645</v>
      </c>
      <c r="CG30" s="36">
        <f t="shared" si="10"/>
        <v>370.29693545386027</v>
      </c>
      <c r="CH30" s="36">
        <f t="shared" si="10"/>
        <v>356.09714321702944</v>
      </c>
      <c r="CI30" s="36">
        <f t="shared" si="10"/>
        <v>341.73788731337902</v>
      </c>
      <c r="CJ30" s="36">
        <f t="shared" si="10"/>
        <v>327.21737696593061</v>
      </c>
      <c r="CK30" s="36">
        <f t="shared" si="10"/>
        <v>312.53380128728031</v>
      </c>
      <c r="CL30" s="36">
        <f t="shared" si="10"/>
        <v>297.68532905375878</v>
      </c>
      <c r="CM30" s="36">
        <f t="shared" si="10"/>
        <v>282.67010847705484</v>
      </c>
      <c r="CN30" s="36">
        <f t="shared" si="10"/>
        <v>267.4862669732745</v>
      </c>
      <c r="CO30" s="36">
        <f t="shared" si="10"/>
        <v>252.13191092940667</v>
      </c>
      <c r="CP30" s="36">
        <f t="shared" si="10"/>
        <v>236.60512546716626</v>
      </c>
      <c r="CQ30" s="36">
        <f t="shared" si="10"/>
        <v>220.90397420418486</v>
      </c>
      <c r="CR30" s="36">
        <f t="shared" si="10"/>
        <v>205.02649901252019</v>
      </c>
      <c r="CS30" s="36">
        <f t="shared" si="10"/>
        <v>188.9707197744531</v>
      </c>
      <c r="CT30" s="36">
        <f t="shared" si="10"/>
        <v>172.73463413554254</v>
      </c>
      <c r="CU30" s="36">
        <f t="shared" si="10"/>
        <v>156.316217254907</v>
      </c>
      <c r="CV30" s="36">
        <f t="shared" ref="CV30:DS30" si="11">$B$6*h*CU32</f>
        <v>139.71342155270193</v>
      </c>
      <c r="CW30" s="36">
        <f t="shared" si="11"/>
        <v>122.92417645476111</v>
      </c>
      <c r="CX30" s="36">
        <f t="shared" si="11"/>
        <v>105.94638813437039</v>
      </c>
      <c r="CY30" s="36">
        <f t="shared" si="11"/>
        <v>88.777939251141703</v>
      </c>
      <c r="CZ30" s="36">
        <f t="shared" si="11"/>
        <v>71.416688686954359</v>
      </c>
      <c r="DA30" s="36">
        <f t="shared" si="11"/>
        <v>53.860471278931179</v>
      </c>
      <c r="DB30" s="36">
        <f t="shared" si="11"/>
        <v>36.107097549415904</v>
      </c>
      <c r="DC30" s="36">
        <f t="shared" si="11"/>
        <v>18.154353432918167</v>
      </c>
      <c r="DD30" s="36">
        <f t="shared" si="11"/>
        <v>0</v>
      </c>
      <c r="DE30" s="36">
        <f t="shared" si="11"/>
        <v>0</v>
      </c>
      <c r="DF30" s="36">
        <f t="shared" si="11"/>
        <v>0</v>
      </c>
      <c r="DG30" s="36">
        <f t="shared" si="11"/>
        <v>0</v>
      </c>
      <c r="DH30" s="36">
        <f t="shared" si="11"/>
        <v>0</v>
      </c>
      <c r="DI30" s="36">
        <f t="shared" si="11"/>
        <v>0</v>
      </c>
      <c r="DJ30" s="36">
        <f t="shared" si="11"/>
        <v>0</v>
      </c>
      <c r="DK30" s="36">
        <f t="shared" si="11"/>
        <v>0</v>
      </c>
      <c r="DL30" s="36">
        <f t="shared" si="11"/>
        <v>0</v>
      </c>
      <c r="DM30" s="36">
        <f t="shared" si="11"/>
        <v>0</v>
      </c>
      <c r="DN30" s="36">
        <f t="shared" si="11"/>
        <v>0</v>
      </c>
      <c r="DO30" s="36">
        <f t="shared" si="11"/>
        <v>0</v>
      </c>
      <c r="DP30" s="36">
        <f t="shared" si="11"/>
        <v>0</v>
      </c>
      <c r="DQ30" s="36">
        <f t="shared" si="11"/>
        <v>0</v>
      </c>
      <c r="DR30" s="36">
        <f t="shared" si="11"/>
        <v>0</v>
      </c>
      <c r="DS30" s="36">
        <f t="shared" si="11"/>
        <v>0</v>
      </c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</row>
    <row r="31" spans="1:363" s="38" customFormat="1" x14ac:dyDescent="0.35">
      <c r="A31" s="44" t="s">
        <v>31</v>
      </c>
      <c r="D31" s="36">
        <f t="shared" ref="D31:AI31" si="12">MIN(C32,CM-D30)</f>
        <v>511.74860391608854</v>
      </c>
      <c r="E31" s="36">
        <f t="shared" si="12"/>
        <v>517.49554073806621</v>
      </c>
      <c r="F31" s="36">
        <f t="shared" si="12"/>
        <v>523.3070156605545</v>
      </c>
      <c r="G31" s="36">
        <f t="shared" si="12"/>
        <v>529.18375344642254</v>
      </c>
      <c r="H31" s="36">
        <f t="shared" si="12"/>
        <v>535.12648699762599</v>
      </c>
      <c r="I31" s="36">
        <f t="shared" si="12"/>
        <v>541.13595744660938</v>
      </c>
      <c r="J31" s="36">
        <f t="shared" si="12"/>
        <v>547.21291424873471</v>
      </c>
      <c r="K31" s="36">
        <f t="shared" si="12"/>
        <v>553.3581152757481</v>
      </c>
      <c r="L31" s="36">
        <f t="shared" si="12"/>
        <v>559.57232691029481</v>
      </c>
      <c r="M31" s="36">
        <f t="shared" si="12"/>
        <v>565.85632414149745</v>
      </c>
      <c r="N31" s="36">
        <f t="shared" si="12"/>
        <v>572.2108906616063</v>
      </c>
      <c r="O31" s="36">
        <f t="shared" si="12"/>
        <v>578.63681896373623</v>
      </c>
      <c r="P31" s="36">
        <f t="shared" si="12"/>
        <v>585.13491044069906</v>
      </c>
      <c r="Q31" s="36">
        <f t="shared" si="12"/>
        <v>591.70597548494811</v>
      </c>
      <c r="R31" s="36">
        <f t="shared" si="12"/>
        <v>598.35083358964403</v>
      </c>
      <c r="S31" s="36">
        <f t="shared" si="12"/>
        <v>605.07031345085579</v>
      </c>
      <c r="T31" s="36">
        <f t="shared" si="12"/>
        <v>611.86525307090881</v>
      </c>
      <c r="U31" s="36">
        <f t="shared" si="12"/>
        <v>618.73649986289513</v>
      </c>
      <c r="V31" s="36">
        <f t="shared" si="12"/>
        <v>625.68491075635541</v>
      </c>
      <c r="W31" s="36">
        <f t="shared" si="12"/>
        <v>632.71135230414927</v>
      </c>
      <c r="X31" s="36">
        <f t="shared" si="12"/>
        <v>639.81670079052492</v>
      </c>
      <c r="Y31" s="36">
        <f t="shared" si="12"/>
        <v>647.0018423404025</v>
      </c>
      <c r="Z31" s="36">
        <f t="shared" si="12"/>
        <v>654.26767302988515</v>
      </c>
      <c r="AA31" s="36">
        <f t="shared" si="12"/>
        <v>661.61509899801081</v>
      </c>
      <c r="AB31" s="36">
        <f t="shared" si="12"/>
        <v>669.04503655975839</v>
      </c>
      <c r="AC31" s="36">
        <f t="shared" si="12"/>
        <v>676.55841232032458</v>
      </c>
      <c r="AD31" s="36">
        <f t="shared" si="12"/>
        <v>684.15616329068189</v>
      </c>
      <c r="AE31" s="36">
        <f t="shared" si="12"/>
        <v>691.8392370044362</v>
      </c>
      <c r="AF31" s="36">
        <f t="shared" si="12"/>
        <v>699.60859163599605</v>
      </c>
      <c r="AG31" s="36">
        <f t="shared" si="12"/>
        <v>707.4651961200683</v>
      </c>
      <c r="AH31" s="36">
        <f t="shared" si="12"/>
        <v>715.41003027249667</v>
      </c>
      <c r="AI31" s="36">
        <f t="shared" si="12"/>
        <v>723.4440849124569</v>
      </c>
      <c r="AJ31" s="36">
        <f t="shared" ref="AJ31:BO31" si="13">MIN(AI32,CM-AJ30)</f>
        <v>731.56836198602366</v>
      </c>
      <c r="AK31" s="36">
        <f t="shared" si="13"/>
        <v>739.7838746911267</v>
      </c>
      <c r="AL31" s="36">
        <f t="shared" si="13"/>
        <v>748.09164760390809</v>
      </c>
      <c r="AM31" s="36">
        <f t="shared" si="13"/>
        <v>756.49271680650008</v>
      </c>
      <c r="AN31" s="36">
        <f t="shared" si="13"/>
        <v>764.98813001623705</v>
      </c>
      <c r="AO31" s="36">
        <f t="shared" si="13"/>
        <v>773.57894671631948</v>
      </c>
      <c r="AP31" s="36">
        <f t="shared" si="13"/>
        <v>782.26623828794357</v>
      </c>
      <c r="AQ31" s="36">
        <f t="shared" si="13"/>
        <v>791.05108814391724</v>
      </c>
      <c r="AR31" s="36">
        <f t="shared" si="13"/>
        <v>799.93459186377345</v>
      </c>
      <c r="AS31" s="36">
        <f t="shared" si="13"/>
        <v>808.91785733040354</v>
      </c>
      <c r="AT31" s="36">
        <f t="shared" si="13"/>
        <v>818.00200486822405</v>
      </c>
      <c r="AU31" s="36">
        <f t="shared" si="13"/>
        <v>827.18816738289411</v>
      </c>
      <c r="AV31" s="36">
        <f t="shared" si="13"/>
        <v>836.47749050260404</v>
      </c>
      <c r="AW31" s="36">
        <f t="shared" si="13"/>
        <v>845.87113272094825</v>
      </c>
      <c r="AX31" s="36">
        <f t="shared" si="13"/>
        <v>855.37026554140448</v>
      </c>
      <c r="AY31" s="36">
        <f t="shared" si="13"/>
        <v>864.97607362343444</v>
      </c>
      <c r="AZ31" s="36">
        <f t="shared" si="13"/>
        <v>874.6897549302256</v>
      </c>
      <c r="BA31" s="36">
        <f t="shared" si="13"/>
        <v>884.512520878092</v>
      </c>
      <c r="BB31" s="36">
        <f t="shared" si="13"/>
        <v>894.44559648755296</v>
      </c>
      <c r="BC31" s="36">
        <f t="shared" si="13"/>
        <v>904.49022053610827</v>
      </c>
      <c r="BD31" s="36">
        <f t="shared" si="13"/>
        <v>914.64764571272872</v>
      </c>
      <c r="BE31" s="36">
        <f t="shared" si="13"/>
        <v>924.91913877408263</v>
      </c>
      <c r="BF31" s="36">
        <f t="shared" si="13"/>
        <v>935.30598070251551</v>
      </c>
      <c r="BG31" s="36">
        <f t="shared" si="13"/>
        <v>945.80946686580478</v>
      </c>
      <c r="BH31" s="36">
        <f t="shared" si="13"/>
        <v>956.43090717870768</v>
      </c>
      <c r="BI31" s="36">
        <f t="shared" si="13"/>
        <v>967.17162626632455</v>
      </c>
      <c r="BJ31" s="36">
        <f t="shared" si="13"/>
        <v>978.03296362929541</v>
      </c>
      <c r="BK31" s="36">
        <f t="shared" si="13"/>
        <v>989.01627381085245</v>
      </c>
      <c r="BL31" s="36">
        <f t="shared" si="13"/>
        <v>1000.1229265657483</v>
      </c>
      <c r="BM31" s="36">
        <f t="shared" si="13"/>
        <v>1011.3543070310816</v>
      </c>
      <c r="BN31" s="36">
        <f t="shared" si="13"/>
        <v>1022.7118158990407</v>
      </c>
      <c r="BO31" s="36">
        <f t="shared" si="13"/>
        <v>1034.1968695915871</v>
      </c>
      <c r="BP31" s="36">
        <f t="shared" ref="BP31:CU31" si="14">MIN(BO32,CM-BP30)</f>
        <v>1045.8109004371004</v>
      </c>
      <c r="BQ31" s="36">
        <f t="shared" si="14"/>
        <v>1057.5553568490091</v>
      </c>
      <c r="BR31" s="36">
        <f t="shared" si="14"/>
        <v>1069.4317035064234</v>
      </c>
      <c r="BS31" s="36">
        <f t="shared" si="14"/>
        <v>1081.4414215368006</v>
      </c>
      <c r="BT31" s="36">
        <f t="shared" si="14"/>
        <v>1093.586008700659</v>
      </c>
      <c r="BU31" s="36">
        <f t="shared" si="14"/>
        <v>1105.8669795783671</v>
      </c>
      <c r="BV31" s="36">
        <f t="shared" si="14"/>
        <v>1118.2858657590323</v>
      </c>
      <c r="BW31" s="36">
        <f t="shared" si="14"/>
        <v>1130.8442160315062</v>
      </c>
      <c r="BX31" s="36">
        <f t="shared" si="14"/>
        <v>1143.54359657754</v>
      </c>
      <c r="BY31" s="36">
        <f t="shared" si="14"/>
        <v>1156.3855911671058</v>
      </c>
      <c r="BZ31" s="36">
        <f t="shared" si="14"/>
        <v>1169.3718013559123</v>
      </c>
      <c r="CA31" s="36">
        <f t="shared" si="14"/>
        <v>1182.5038466851393</v>
      </c>
      <c r="CB31" s="36">
        <f t="shared" si="14"/>
        <v>1195.7833648834135</v>
      </c>
      <c r="CC31" s="36">
        <f t="shared" si="14"/>
        <v>1209.2120120710542</v>
      </c>
      <c r="CD31" s="36">
        <f t="shared" si="14"/>
        <v>1222.791462966612</v>
      </c>
      <c r="CE31" s="36">
        <f t="shared" si="14"/>
        <v>1236.5234110957272</v>
      </c>
      <c r="CF31" s="36">
        <f t="shared" si="14"/>
        <v>1250.4095690023321</v>
      </c>
      <c r="CG31" s="36">
        <f t="shared" si="14"/>
        <v>1264.4516684622283</v>
      </c>
      <c r="CH31" s="36">
        <f t="shared" si="14"/>
        <v>1278.651460699059</v>
      </c>
      <c r="CI31" s="36">
        <f t="shared" si="14"/>
        <v>1293.0107166027096</v>
      </c>
      <c r="CJ31" s="36">
        <f t="shared" si="14"/>
        <v>1307.5312269501578</v>
      </c>
      <c r="CK31" s="36">
        <f t="shared" si="14"/>
        <v>1322.2148026288082</v>
      </c>
      <c r="CL31" s="36">
        <f t="shared" si="14"/>
        <v>1337.0632748623298</v>
      </c>
      <c r="CM31" s="36">
        <f t="shared" si="14"/>
        <v>1352.0784954390338</v>
      </c>
      <c r="CN31" s="36">
        <f t="shared" si="14"/>
        <v>1367.262336942814</v>
      </c>
      <c r="CO31" s="36">
        <f t="shared" si="14"/>
        <v>1382.6166929866818</v>
      </c>
      <c r="CP31" s="36">
        <f t="shared" si="14"/>
        <v>1398.1434784489222</v>
      </c>
      <c r="CQ31" s="36">
        <f t="shared" si="14"/>
        <v>1413.8446297119037</v>
      </c>
      <c r="CR31" s="36">
        <f t="shared" si="14"/>
        <v>1429.7221049035684</v>
      </c>
      <c r="CS31" s="36">
        <f t="shared" si="14"/>
        <v>1445.7778841416355</v>
      </c>
      <c r="CT31" s="36">
        <f t="shared" si="14"/>
        <v>1462.0139697805459</v>
      </c>
      <c r="CU31" s="36">
        <f t="shared" si="14"/>
        <v>1478.4323866611815</v>
      </c>
      <c r="CV31" s="36">
        <f t="shared" ref="CV31:DS31" si="15">MIN(CU32,CM-CV30)</f>
        <v>1495.0351823633866</v>
      </c>
      <c r="CW31" s="36">
        <f t="shared" si="15"/>
        <v>1511.8244274613273</v>
      </c>
      <c r="CX31" s="36">
        <f t="shared" si="15"/>
        <v>1528.8022157817181</v>
      </c>
      <c r="CY31" s="36">
        <f t="shared" si="15"/>
        <v>1545.9706646649468</v>
      </c>
      <c r="CZ31" s="36">
        <f t="shared" si="15"/>
        <v>1563.3319152291342</v>
      </c>
      <c r="DA31" s="36">
        <f t="shared" si="15"/>
        <v>1580.8881326371575</v>
      </c>
      <c r="DB31" s="36">
        <f t="shared" si="15"/>
        <v>1598.6415063666727</v>
      </c>
      <c r="DC31" s="36">
        <f t="shared" si="15"/>
        <v>1616.5942504824725</v>
      </c>
      <c r="DD31" s="36">
        <f t="shared" si="15"/>
        <v>0</v>
      </c>
      <c r="DE31" s="36">
        <f t="shared" si="15"/>
        <v>0</v>
      </c>
      <c r="DF31" s="36">
        <f t="shared" si="15"/>
        <v>0</v>
      </c>
      <c r="DG31" s="36">
        <f t="shared" si="15"/>
        <v>0</v>
      </c>
      <c r="DH31" s="36">
        <f t="shared" si="15"/>
        <v>0</v>
      </c>
      <c r="DI31" s="36">
        <f t="shared" si="15"/>
        <v>0</v>
      </c>
      <c r="DJ31" s="36">
        <f t="shared" si="15"/>
        <v>0</v>
      </c>
      <c r="DK31" s="36">
        <f t="shared" si="15"/>
        <v>0</v>
      </c>
      <c r="DL31" s="36">
        <f t="shared" si="15"/>
        <v>0</v>
      </c>
      <c r="DM31" s="36">
        <f t="shared" si="15"/>
        <v>0</v>
      </c>
      <c r="DN31" s="36">
        <f t="shared" si="15"/>
        <v>0</v>
      </c>
      <c r="DO31" s="36">
        <f t="shared" si="15"/>
        <v>0</v>
      </c>
      <c r="DP31" s="36">
        <f t="shared" si="15"/>
        <v>0</v>
      </c>
      <c r="DQ31" s="36">
        <f t="shared" si="15"/>
        <v>0</v>
      </c>
      <c r="DR31" s="36">
        <f t="shared" si="15"/>
        <v>0</v>
      </c>
      <c r="DS31" s="36">
        <f t="shared" si="15"/>
        <v>0</v>
      </c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</row>
    <row r="32" spans="1:363" s="38" customFormat="1" x14ac:dyDescent="0.35">
      <c r="A32" s="44" t="s">
        <v>32</v>
      </c>
      <c r="C32" s="38">
        <f>B5</f>
        <v>100000</v>
      </c>
      <c r="D32" s="38">
        <f t="shared" ref="D32:AI32" si="16">MAX(C32-D31,0)</f>
        <v>99488.251396083913</v>
      </c>
      <c r="E32" s="38">
        <f t="shared" si="16"/>
        <v>98970.755855345851</v>
      </c>
      <c r="F32" s="38">
        <f t="shared" si="16"/>
        <v>98447.448839685298</v>
      </c>
      <c r="G32" s="38">
        <f t="shared" si="16"/>
        <v>97918.265086238869</v>
      </c>
      <c r="H32" s="38">
        <f t="shared" si="16"/>
        <v>97383.13859924124</v>
      </c>
      <c r="I32" s="38">
        <f t="shared" si="16"/>
        <v>96842.002641794636</v>
      </c>
      <c r="J32" s="38">
        <f t="shared" si="16"/>
        <v>96294.789727545896</v>
      </c>
      <c r="K32" s="38">
        <f t="shared" si="16"/>
        <v>95741.431612270142</v>
      </c>
      <c r="L32" s="38">
        <f t="shared" si="16"/>
        <v>95181.859285359853</v>
      </c>
      <c r="M32" s="38">
        <f t="shared" si="16"/>
        <v>94616.002961218357</v>
      </c>
      <c r="N32" s="38">
        <f t="shared" si="16"/>
        <v>94043.792070556752</v>
      </c>
      <c r="O32" s="38">
        <f t="shared" si="16"/>
        <v>93465.155251593009</v>
      </c>
      <c r="P32" s="38">
        <f t="shared" si="16"/>
        <v>92880.020341152311</v>
      </c>
      <c r="Q32" s="38">
        <f t="shared" si="16"/>
        <v>92288.314365667364</v>
      </c>
      <c r="R32" s="38">
        <f t="shared" si="16"/>
        <v>91689.963532077716</v>
      </c>
      <c r="S32" s="38">
        <f t="shared" si="16"/>
        <v>91084.893218626865</v>
      </c>
      <c r="T32" s="38">
        <f t="shared" si="16"/>
        <v>90473.027965555957</v>
      </c>
      <c r="U32" s="38">
        <f t="shared" si="16"/>
        <v>89854.291465693066</v>
      </c>
      <c r="V32" s="38">
        <f t="shared" si="16"/>
        <v>89228.606554936705</v>
      </c>
      <c r="W32" s="38">
        <f t="shared" si="16"/>
        <v>88595.895202632557</v>
      </c>
      <c r="X32" s="38">
        <f t="shared" si="16"/>
        <v>87956.078501842028</v>
      </c>
      <c r="Y32" s="38">
        <f t="shared" si="16"/>
        <v>87309.076659501632</v>
      </c>
      <c r="Z32" s="38">
        <f t="shared" si="16"/>
        <v>86654.808986471748</v>
      </c>
      <c r="AA32" s="38">
        <f t="shared" si="16"/>
        <v>85993.193887473739</v>
      </c>
      <c r="AB32" s="38">
        <f t="shared" si="16"/>
        <v>85324.148850913974</v>
      </c>
      <c r="AC32" s="38">
        <f t="shared" si="16"/>
        <v>84647.590438593645</v>
      </c>
      <c r="AD32" s="38">
        <f t="shared" si="16"/>
        <v>83963.434275302963</v>
      </c>
      <c r="AE32" s="38">
        <f t="shared" si="16"/>
        <v>83271.595038298532</v>
      </c>
      <c r="AF32" s="38">
        <f t="shared" si="16"/>
        <v>82571.986446662529</v>
      </c>
      <c r="AG32" s="38">
        <f t="shared" si="16"/>
        <v>81864.521250542457</v>
      </c>
      <c r="AH32" s="38">
        <f t="shared" si="16"/>
        <v>81149.111220269959</v>
      </c>
      <c r="AI32" s="38">
        <f t="shared" si="16"/>
        <v>80425.667135357508</v>
      </c>
      <c r="AJ32" s="38">
        <f t="shared" ref="AJ32:BO32" si="17">MAX(AI32-AJ31,0)</f>
        <v>79694.098773371486</v>
      </c>
      <c r="AK32" s="38">
        <f t="shared" si="17"/>
        <v>78954.314898680357</v>
      </c>
      <c r="AL32" s="38">
        <f t="shared" si="17"/>
        <v>78206.223251076444</v>
      </c>
      <c r="AM32" s="38">
        <f t="shared" si="17"/>
        <v>77449.73053426994</v>
      </c>
      <c r="AN32" s="38">
        <f t="shared" si="17"/>
        <v>76684.742404253702</v>
      </c>
      <c r="AO32" s="38">
        <f t="shared" si="17"/>
        <v>75911.16345753739</v>
      </c>
      <c r="AP32" s="38">
        <f t="shared" si="17"/>
        <v>75128.89721924944</v>
      </c>
      <c r="AQ32" s="38">
        <f t="shared" si="17"/>
        <v>74337.846131105529</v>
      </c>
      <c r="AR32" s="38">
        <f t="shared" si="17"/>
        <v>73537.911539241759</v>
      </c>
      <c r="AS32" s="38">
        <f t="shared" si="17"/>
        <v>72728.99368191135</v>
      </c>
      <c r="AT32" s="38">
        <f t="shared" si="17"/>
        <v>71910.99167704313</v>
      </c>
      <c r="AU32" s="38">
        <f t="shared" si="17"/>
        <v>71083.80350966024</v>
      </c>
      <c r="AV32" s="38">
        <f t="shared" si="17"/>
        <v>70247.326019157641</v>
      </c>
      <c r="AW32" s="38">
        <f t="shared" si="17"/>
        <v>69401.454886436695</v>
      </c>
      <c r="AX32" s="38">
        <f t="shared" si="17"/>
        <v>68546.084620895286</v>
      </c>
      <c r="AY32" s="38">
        <f t="shared" si="17"/>
        <v>67681.108547271855</v>
      </c>
      <c r="AZ32" s="38">
        <f t="shared" si="17"/>
        <v>66806.418792341632</v>
      </c>
      <c r="BA32" s="38">
        <f t="shared" si="17"/>
        <v>65921.906271463537</v>
      </c>
      <c r="BB32" s="38">
        <f t="shared" si="17"/>
        <v>65027.460674975984</v>
      </c>
      <c r="BC32" s="38">
        <f t="shared" si="17"/>
        <v>64122.970454439877</v>
      </c>
      <c r="BD32" s="38">
        <f t="shared" si="17"/>
        <v>63208.322808727149</v>
      </c>
      <c r="BE32" s="38">
        <f t="shared" si="17"/>
        <v>62283.40366995307</v>
      </c>
      <c r="BF32" s="38">
        <f t="shared" si="17"/>
        <v>61348.097689250557</v>
      </c>
      <c r="BG32" s="38">
        <f t="shared" si="17"/>
        <v>60402.288222384755</v>
      </c>
      <c r="BH32" s="38">
        <f t="shared" si="17"/>
        <v>59445.857315206049</v>
      </c>
      <c r="BI32" s="38">
        <f t="shared" si="17"/>
        <v>58478.685688939724</v>
      </c>
      <c r="BJ32" s="38">
        <f t="shared" si="17"/>
        <v>57500.652725310429</v>
      </c>
      <c r="BK32" s="38">
        <f t="shared" si="17"/>
        <v>56511.636451499573</v>
      </c>
      <c r="BL32" s="38">
        <f t="shared" si="17"/>
        <v>55511.513524933827</v>
      </c>
      <c r="BM32" s="38">
        <f t="shared" si="17"/>
        <v>54500.159217902743</v>
      </c>
      <c r="BN32" s="38">
        <f t="shared" si="17"/>
        <v>53477.447402003701</v>
      </c>
      <c r="BO32" s="38">
        <f t="shared" si="17"/>
        <v>52443.250532412116</v>
      </c>
      <c r="BP32" s="38">
        <f t="shared" ref="BP32:CU32" si="18">MAX(BO32-BP31,0)</f>
        <v>51397.439631975016</v>
      </c>
      <c r="BQ32" s="38">
        <f t="shared" si="18"/>
        <v>50339.884275126009</v>
      </c>
      <c r="BR32" s="38">
        <f t="shared" si="18"/>
        <v>49270.452571619586</v>
      </c>
      <c r="BS32" s="38">
        <f t="shared" si="18"/>
        <v>48189.011150082784</v>
      </c>
      <c r="BT32" s="38">
        <f t="shared" si="18"/>
        <v>47095.425141382126</v>
      </c>
      <c r="BU32" s="38">
        <f t="shared" si="18"/>
        <v>45989.558161803761</v>
      </c>
      <c r="BV32" s="38">
        <f t="shared" si="18"/>
        <v>44871.272296044728</v>
      </c>
      <c r="BW32" s="38">
        <f t="shared" si="18"/>
        <v>43740.428080013226</v>
      </c>
      <c r="BX32" s="38">
        <f t="shared" si="18"/>
        <v>42596.884483435686</v>
      </c>
      <c r="BY32" s="38">
        <f t="shared" si="18"/>
        <v>41440.498892268581</v>
      </c>
      <c r="BZ32" s="38">
        <f t="shared" si="18"/>
        <v>40271.127090912669</v>
      </c>
      <c r="CA32" s="38">
        <f t="shared" si="18"/>
        <v>39088.623244227529</v>
      </c>
      <c r="CB32" s="38">
        <f t="shared" si="18"/>
        <v>37892.839879344116</v>
      </c>
      <c r="CC32" s="38">
        <f t="shared" si="18"/>
        <v>36683.627867273062</v>
      </c>
      <c r="CD32" s="38">
        <f t="shared" si="18"/>
        <v>35460.83640430645</v>
      </c>
      <c r="CE32" s="38">
        <f t="shared" si="18"/>
        <v>34224.312993210726</v>
      </c>
      <c r="CF32" s="38">
        <f t="shared" si="18"/>
        <v>32973.903424208394</v>
      </c>
      <c r="CG32" s="38">
        <f t="shared" si="18"/>
        <v>31709.451755746166</v>
      </c>
      <c r="CH32" s="38">
        <f t="shared" si="18"/>
        <v>30430.800295047105</v>
      </c>
      <c r="CI32" s="38">
        <f t="shared" si="18"/>
        <v>29137.789578444397</v>
      </c>
      <c r="CJ32" s="38">
        <f t="shared" si="18"/>
        <v>27830.258351494238</v>
      </c>
      <c r="CK32" s="38">
        <f t="shared" si="18"/>
        <v>26508.043548865429</v>
      </c>
      <c r="CL32" s="38">
        <f t="shared" si="18"/>
        <v>25170.980274003101</v>
      </c>
      <c r="CM32" s="38">
        <f t="shared" si="18"/>
        <v>23818.901778564068</v>
      </c>
      <c r="CN32" s="38">
        <f t="shared" si="18"/>
        <v>22451.639441621253</v>
      </c>
      <c r="CO32" s="38">
        <f t="shared" si="18"/>
        <v>21069.022748634572</v>
      </c>
      <c r="CP32" s="38">
        <f t="shared" si="18"/>
        <v>19670.879270185651</v>
      </c>
      <c r="CQ32" s="38">
        <f t="shared" si="18"/>
        <v>18257.034640473747</v>
      </c>
      <c r="CR32" s="38">
        <f t="shared" si="18"/>
        <v>16827.312535570178</v>
      </c>
      <c r="CS32" s="38">
        <f t="shared" si="18"/>
        <v>15381.534651428543</v>
      </c>
      <c r="CT32" s="38">
        <f t="shared" si="18"/>
        <v>13919.520681647997</v>
      </c>
      <c r="CU32" s="38">
        <f t="shared" si="18"/>
        <v>12441.088294986816</v>
      </c>
      <c r="CV32" s="38">
        <f t="shared" ref="CV32:DS32" si="19">MAX(CU32-CV31,0)</f>
        <v>10946.053112623429</v>
      </c>
      <c r="CW32" s="38">
        <f t="shared" si="19"/>
        <v>9434.2286851621011</v>
      </c>
      <c r="CX32" s="38">
        <f t="shared" si="19"/>
        <v>7905.4264693803834</v>
      </c>
      <c r="CY32" s="38">
        <f t="shared" si="19"/>
        <v>6359.4558047154369</v>
      </c>
      <c r="CZ32" s="38">
        <f t="shared" si="19"/>
        <v>4796.1238894863027</v>
      </c>
      <c r="DA32" s="38">
        <f t="shared" si="19"/>
        <v>3215.2357568491452</v>
      </c>
      <c r="DB32" s="38">
        <f t="shared" si="19"/>
        <v>1616.5942504824725</v>
      </c>
      <c r="DC32" s="38">
        <f t="shared" si="19"/>
        <v>0</v>
      </c>
      <c r="DD32" s="38">
        <f t="shared" si="19"/>
        <v>0</v>
      </c>
      <c r="DE32" s="38">
        <f t="shared" si="19"/>
        <v>0</v>
      </c>
      <c r="DF32" s="38">
        <f t="shared" si="19"/>
        <v>0</v>
      </c>
      <c r="DG32" s="38">
        <f t="shared" si="19"/>
        <v>0</v>
      </c>
      <c r="DH32" s="38">
        <f t="shared" si="19"/>
        <v>0</v>
      </c>
      <c r="DI32" s="38">
        <f t="shared" si="19"/>
        <v>0</v>
      </c>
      <c r="DJ32" s="38">
        <f t="shared" si="19"/>
        <v>0</v>
      </c>
      <c r="DK32" s="38">
        <f t="shared" si="19"/>
        <v>0</v>
      </c>
      <c r="DL32" s="38">
        <f t="shared" si="19"/>
        <v>0</v>
      </c>
      <c r="DM32" s="38">
        <f t="shared" si="19"/>
        <v>0</v>
      </c>
      <c r="DN32" s="38">
        <f t="shared" si="19"/>
        <v>0</v>
      </c>
      <c r="DO32" s="38">
        <f t="shared" si="19"/>
        <v>0</v>
      </c>
      <c r="DP32" s="38">
        <f t="shared" si="19"/>
        <v>0</v>
      </c>
      <c r="DQ32" s="38">
        <f t="shared" si="19"/>
        <v>0</v>
      </c>
      <c r="DR32" s="38">
        <f t="shared" si="19"/>
        <v>0</v>
      </c>
      <c r="DS32" s="38">
        <f t="shared" si="19"/>
        <v>0</v>
      </c>
    </row>
    <row r="33" spans="1:123" ht="13.15" x14ac:dyDescent="0.4">
      <c r="B33" s="18"/>
      <c r="E33" s="13"/>
    </row>
    <row r="34" spans="1:123" ht="13.15" x14ac:dyDescent="0.4">
      <c r="A34" s="42" t="s">
        <v>9</v>
      </c>
      <c r="B34" s="18"/>
      <c r="E34" s="13"/>
    </row>
    <row r="35" spans="1:123" x14ac:dyDescent="0.35">
      <c r="A35" s="44" t="s">
        <v>10</v>
      </c>
      <c r="C35" s="5"/>
      <c r="D35" s="5">
        <f t="shared" ref="D35:AI35" ca="1" si="20">RAND()</f>
        <v>0.24683395319674073</v>
      </c>
      <c r="E35" s="5">
        <f t="shared" ca="1" si="20"/>
        <v>0.31285656106841975</v>
      </c>
      <c r="F35" s="5">
        <f t="shared" ca="1" si="20"/>
        <v>0.82018717965610421</v>
      </c>
      <c r="G35" s="5">
        <f t="shared" ca="1" si="20"/>
        <v>8.2040124490224686E-2</v>
      </c>
      <c r="H35" s="5">
        <f t="shared" ca="1" si="20"/>
        <v>0.20319945822121876</v>
      </c>
      <c r="I35" s="5">
        <f t="shared" ca="1" si="20"/>
        <v>0.59664637947766819</v>
      </c>
      <c r="J35" s="5">
        <f t="shared" ca="1" si="20"/>
        <v>0.95391194678395363</v>
      </c>
      <c r="K35" s="5">
        <f t="shared" ca="1" si="20"/>
        <v>0.21107925132231897</v>
      </c>
      <c r="L35" s="5">
        <f t="shared" ca="1" si="20"/>
        <v>0.55103651136726284</v>
      </c>
      <c r="M35" s="5">
        <f t="shared" ca="1" si="20"/>
        <v>0.74180236479246875</v>
      </c>
      <c r="N35" s="5">
        <f t="shared" ca="1" si="20"/>
        <v>0.5404235753817902</v>
      </c>
      <c r="O35" s="5">
        <f t="shared" ca="1" si="20"/>
        <v>0.64966109699947683</v>
      </c>
      <c r="P35" s="5">
        <f t="shared" ca="1" si="20"/>
        <v>0.20542938465175253</v>
      </c>
      <c r="Q35" s="5">
        <f t="shared" ca="1" si="20"/>
        <v>0.44831224333271569</v>
      </c>
      <c r="R35" s="5">
        <f t="shared" ca="1" si="20"/>
        <v>0.50086242760984556</v>
      </c>
      <c r="S35" s="5">
        <f t="shared" ca="1" si="20"/>
        <v>0.29534513023500575</v>
      </c>
      <c r="T35" s="5">
        <f t="shared" ca="1" si="20"/>
        <v>0.6545838223765178</v>
      </c>
      <c r="U35" s="5">
        <f t="shared" ca="1" si="20"/>
        <v>0.19552019093133977</v>
      </c>
      <c r="V35" s="5">
        <f t="shared" ca="1" si="20"/>
        <v>0.96105134639329937</v>
      </c>
      <c r="W35" s="5">
        <f t="shared" ca="1" si="20"/>
        <v>0.12007330559951002</v>
      </c>
      <c r="X35" s="5">
        <f t="shared" ca="1" si="20"/>
        <v>0.81137573953890563</v>
      </c>
      <c r="Y35" s="5">
        <f t="shared" ca="1" si="20"/>
        <v>1.6050737474229138E-3</v>
      </c>
      <c r="Z35" s="5">
        <f t="shared" ca="1" si="20"/>
        <v>0.91078677148881104</v>
      </c>
      <c r="AA35" s="5">
        <f t="shared" ca="1" si="20"/>
        <v>0.64065649113025225</v>
      </c>
      <c r="AB35" s="5">
        <f t="shared" ca="1" si="20"/>
        <v>0.91897370208798834</v>
      </c>
      <c r="AC35" s="5">
        <f t="shared" ca="1" si="20"/>
        <v>6.6568008269867085E-2</v>
      </c>
      <c r="AD35" s="5">
        <f t="shared" ca="1" si="20"/>
        <v>0.25930694514238195</v>
      </c>
      <c r="AE35" s="5">
        <f t="shared" ca="1" si="20"/>
        <v>0.97725668624587514</v>
      </c>
      <c r="AF35" s="5">
        <f t="shared" ca="1" si="20"/>
        <v>0.7420937678149494</v>
      </c>
      <c r="AG35" s="5">
        <f t="shared" ca="1" si="20"/>
        <v>0.22487480512650604</v>
      </c>
      <c r="AH35" s="5">
        <f t="shared" ca="1" si="20"/>
        <v>0.64980146809931216</v>
      </c>
      <c r="AI35" s="5">
        <f t="shared" ca="1" si="20"/>
        <v>0.68860343774735799</v>
      </c>
      <c r="AJ35" s="5">
        <f t="shared" ref="AJ35:BO35" ca="1" si="21">RAND()</f>
        <v>0.98961117328451897</v>
      </c>
      <c r="AK35" s="5">
        <f t="shared" ca="1" si="21"/>
        <v>0.26514903875403972</v>
      </c>
      <c r="AL35" s="5">
        <f t="shared" ca="1" si="21"/>
        <v>6.7650763457023588E-2</v>
      </c>
      <c r="AM35" s="5">
        <f t="shared" ca="1" si="21"/>
        <v>0.61026382188870831</v>
      </c>
      <c r="AN35" s="5">
        <f t="shared" ca="1" si="21"/>
        <v>0.54367862918370258</v>
      </c>
      <c r="AO35" s="5">
        <f t="shared" ca="1" si="21"/>
        <v>0.64139648711920227</v>
      </c>
      <c r="AP35" s="5">
        <f t="shared" ca="1" si="21"/>
        <v>0.9147632695137512</v>
      </c>
      <c r="AQ35" s="5">
        <f t="shared" ca="1" si="21"/>
        <v>0.23775362846519843</v>
      </c>
      <c r="AR35" s="5">
        <f t="shared" ca="1" si="21"/>
        <v>0.54811898863978914</v>
      </c>
      <c r="AS35" s="5">
        <f t="shared" ca="1" si="21"/>
        <v>0.51671050643970495</v>
      </c>
      <c r="AT35" s="5">
        <f t="shared" ca="1" si="21"/>
        <v>0.83589580423358056</v>
      </c>
      <c r="AU35" s="5">
        <f t="shared" ca="1" si="21"/>
        <v>0.23275218016624988</v>
      </c>
      <c r="AV35" s="5">
        <f t="shared" ca="1" si="21"/>
        <v>0.33722157506879291</v>
      </c>
      <c r="AW35" s="5">
        <f t="shared" ca="1" si="21"/>
        <v>0.65005542767203883</v>
      </c>
      <c r="AX35" s="5">
        <f t="shared" ca="1" si="21"/>
        <v>4.2860125542326655E-2</v>
      </c>
      <c r="AY35" s="5">
        <f t="shared" ca="1" si="21"/>
        <v>0.474272593127403</v>
      </c>
      <c r="AZ35" s="5">
        <f t="shared" ca="1" si="21"/>
        <v>0.82480742972690335</v>
      </c>
      <c r="BA35" s="5">
        <f t="shared" ca="1" si="21"/>
        <v>0.35482106201604147</v>
      </c>
      <c r="BB35" s="5">
        <f t="shared" ca="1" si="21"/>
        <v>0.18418441121787021</v>
      </c>
      <c r="BC35" s="5">
        <f t="shared" ca="1" si="21"/>
        <v>0.56100017899718879</v>
      </c>
      <c r="BD35" s="5">
        <f t="shared" ca="1" si="21"/>
        <v>3.6702515790037249E-2</v>
      </c>
      <c r="BE35" s="5">
        <f t="shared" ca="1" si="21"/>
        <v>0.33441390776787172</v>
      </c>
      <c r="BF35" s="5">
        <f t="shared" ca="1" si="21"/>
        <v>0.52536601107425318</v>
      </c>
      <c r="BG35" s="5">
        <f t="shared" ca="1" si="21"/>
        <v>2.1875139766526552E-2</v>
      </c>
      <c r="BH35" s="5">
        <f t="shared" ca="1" si="21"/>
        <v>0.93177713560356412</v>
      </c>
      <c r="BI35" s="5">
        <f t="shared" ca="1" si="21"/>
        <v>0.72461568670625409</v>
      </c>
      <c r="BJ35" s="5">
        <f t="shared" ca="1" si="21"/>
        <v>0.91691523197512137</v>
      </c>
      <c r="BK35" s="5">
        <f t="shared" ca="1" si="21"/>
        <v>0.78828841447100206</v>
      </c>
      <c r="BL35" s="5">
        <f t="shared" ca="1" si="21"/>
        <v>0.51957998729955623</v>
      </c>
      <c r="BM35" s="5">
        <f t="shared" ca="1" si="21"/>
        <v>0.78449137274258918</v>
      </c>
      <c r="BN35" s="5">
        <f t="shared" ca="1" si="21"/>
        <v>0.10796118567258961</v>
      </c>
      <c r="BO35" s="5">
        <f t="shared" ca="1" si="21"/>
        <v>0.88352259446823045</v>
      </c>
      <c r="BP35" s="5">
        <f t="shared" ref="BP35:CU35" ca="1" si="22">RAND()</f>
        <v>0.79635907396078598</v>
      </c>
      <c r="BQ35" s="5">
        <f t="shared" ca="1" si="22"/>
        <v>0.56075080403593014</v>
      </c>
      <c r="BR35" s="5">
        <f t="shared" ca="1" si="22"/>
        <v>0.88361557136580982</v>
      </c>
      <c r="BS35" s="5">
        <f t="shared" ca="1" si="22"/>
        <v>0.85074644897288665</v>
      </c>
      <c r="BT35" s="5">
        <f t="shared" ca="1" si="22"/>
        <v>9.8701973347394834E-2</v>
      </c>
      <c r="BU35" s="5">
        <f t="shared" ca="1" si="22"/>
        <v>0.13855604711003378</v>
      </c>
      <c r="BV35" s="5">
        <f t="shared" ca="1" si="22"/>
        <v>0.15053246834936962</v>
      </c>
      <c r="BW35" s="5">
        <f t="shared" ca="1" si="22"/>
        <v>0.69594689683844224</v>
      </c>
      <c r="BX35" s="5">
        <f t="shared" ca="1" si="22"/>
        <v>0.77191218903772418</v>
      </c>
      <c r="BY35" s="5">
        <f t="shared" ca="1" si="22"/>
        <v>0.50814119230818933</v>
      </c>
      <c r="BZ35" s="5">
        <f t="shared" ca="1" si="22"/>
        <v>0.9261812457316918</v>
      </c>
      <c r="CA35" s="5">
        <f t="shared" ca="1" si="22"/>
        <v>0.89406831160090305</v>
      </c>
      <c r="CB35" s="5">
        <f t="shared" ca="1" si="22"/>
        <v>0.67569551324104959</v>
      </c>
      <c r="CC35" s="5">
        <f t="shared" ca="1" si="22"/>
        <v>0.31405301145134712</v>
      </c>
      <c r="CD35" s="5">
        <f t="shared" ca="1" si="22"/>
        <v>0.3790599538723004</v>
      </c>
      <c r="CE35" s="5">
        <f t="shared" ca="1" si="22"/>
        <v>0.90564307743594286</v>
      </c>
      <c r="CF35" s="5">
        <f t="shared" ca="1" si="22"/>
        <v>0.1000205958761079</v>
      </c>
      <c r="CG35" s="5">
        <f t="shared" ca="1" si="22"/>
        <v>0.39684298874997004</v>
      </c>
      <c r="CH35" s="5">
        <f t="shared" ca="1" si="22"/>
        <v>0.85732932668563167</v>
      </c>
      <c r="CI35" s="5">
        <f t="shared" ca="1" si="22"/>
        <v>0.82818285414736204</v>
      </c>
      <c r="CJ35" s="5">
        <f t="shared" ca="1" si="22"/>
        <v>0.73231689183717641</v>
      </c>
      <c r="CK35" s="5">
        <f t="shared" ca="1" si="22"/>
        <v>0.87598575874112172</v>
      </c>
      <c r="CL35" s="5">
        <f t="shared" ca="1" si="22"/>
        <v>0.59448637610468458</v>
      </c>
      <c r="CM35" s="5">
        <f t="shared" ca="1" si="22"/>
        <v>0.67293363183266874</v>
      </c>
      <c r="CN35" s="5">
        <f t="shared" ca="1" si="22"/>
        <v>0.66566748624791539</v>
      </c>
      <c r="CO35" s="5">
        <f t="shared" ca="1" si="22"/>
        <v>0.52074151732575158</v>
      </c>
      <c r="CP35" s="5">
        <f t="shared" ca="1" si="22"/>
        <v>0.91996598843461574</v>
      </c>
      <c r="CQ35" s="5">
        <f t="shared" ca="1" si="22"/>
        <v>0.26756006847422609</v>
      </c>
      <c r="CR35" s="5">
        <f t="shared" ca="1" si="22"/>
        <v>0.12146517390597977</v>
      </c>
      <c r="CS35" s="5">
        <f t="shared" ca="1" si="22"/>
        <v>0.92030883078919279</v>
      </c>
      <c r="CT35" s="5">
        <f t="shared" ca="1" si="22"/>
        <v>0.80809517591770819</v>
      </c>
      <c r="CU35" s="5">
        <f t="shared" ca="1" si="22"/>
        <v>0.94375185208233903</v>
      </c>
      <c r="CV35" s="5">
        <f t="shared" ref="CV35:DS35" ca="1" si="23">RAND()</f>
        <v>0.54731615996753247</v>
      </c>
      <c r="CW35" s="5">
        <f t="shared" ca="1" si="23"/>
        <v>0.18653230447893487</v>
      </c>
      <c r="CX35" s="5">
        <f t="shared" ca="1" si="23"/>
        <v>0.22088852570258011</v>
      </c>
      <c r="CY35" s="5">
        <f t="shared" ca="1" si="23"/>
        <v>0.85197136434505705</v>
      </c>
      <c r="CZ35" s="5">
        <f t="shared" ca="1" si="23"/>
        <v>0.869662791016933</v>
      </c>
      <c r="DA35" s="5">
        <f t="shared" ca="1" si="23"/>
        <v>0.38504276650744329</v>
      </c>
      <c r="DB35" s="5">
        <f t="shared" ca="1" si="23"/>
        <v>3.944183228036191E-2</v>
      </c>
      <c r="DC35" s="5">
        <f t="shared" ca="1" si="23"/>
        <v>0.87886884935639198</v>
      </c>
      <c r="DD35" s="5">
        <f t="shared" ca="1" si="23"/>
        <v>0.25747154282340046</v>
      </c>
      <c r="DE35" s="5">
        <f t="shared" ca="1" si="23"/>
        <v>0.92644057275556557</v>
      </c>
      <c r="DF35" s="5">
        <f t="shared" ca="1" si="23"/>
        <v>0.76451941759504272</v>
      </c>
      <c r="DG35" s="5">
        <f t="shared" ca="1" si="23"/>
        <v>0.53968094769383701</v>
      </c>
      <c r="DH35" s="5">
        <f t="shared" ca="1" si="23"/>
        <v>0.53628715625561052</v>
      </c>
      <c r="DI35" s="5">
        <f t="shared" ca="1" si="23"/>
        <v>0.24211604805823184</v>
      </c>
      <c r="DJ35" s="5">
        <f t="shared" ca="1" si="23"/>
        <v>0.35082840623868927</v>
      </c>
      <c r="DK35" s="5">
        <f t="shared" ca="1" si="23"/>
        <v>0.6340600594172846</v>
      </c>
      <c r="DL35" s="5">
        <f t="shared" ca="1" si="23"/>
        <v>0.24105738876788307</v>
      </c>
      <c r="DM35" s="5">
        <f t="shared" ca="1" si="23"/>
        <v>0.50465385071259139</v>
      </c>
      <c r="DN35" s="5">
        <f t="shared" ca="1" si="23"/>
        <v>0.39712255516773487</v>
      </c>
      <c r="DO35" s="5">
        <f t="shared" ca="1" si="23"/>
        <v>0.30619706900132271</v>
      </c>
      <c r="DP35" s="5">
        <f t="shared" ca="1" si="23"/>
        <v>0.42092789520706175</v>
      </c>
      <c r="DQ35" s="5">
        <f t="shared" ca="1" si="23"/>
        <v>0.12838031304673425</v>
      </c>
      <c r="DR35" s="5">
        <f t="shared" ca="1" si="23"/>
        <v>0.6535868561499617</v>
      </c>
      <c r="DS35" s="5">
        <f t="shared" ca="1" si="23"/>
        <v>0.52932226889960887</v>
      </c>
    </row>
    <row r="36" spans="1:123" x14ac:dyDescent="0.35">
      <c r="A36" s="44" t="s">
        <v>13</v>
      </c>
      <c r="C36" s="15"/>
      <c r="D36" s="15">
        <f t="shared" ref="D36:AI36" ca="1" si="24">ROUND(D35,0)+C36</f>
        <v>0</v>
      </c>
      <c r="E36" s="15">
        <f t="shared" ca="1" si="24"/>
        <v>0</v>
      </c>
      <c r="F36" s="15">
        <f t="shared" ca="1" si="24"/>
        <v>1</v>
      </c>
      <c r="G36" s="15">
        <f t="shared" ca="1" si="24"/>
        <v>1</v>
      </c>
      <c r="H36" s="15">
        <f t="shared" ca="1" si="24"/>
        <v>1</v>
      </c>
      <c r="I36" s="15">
        <f t="shared" ca="1" si="24"/>
        <v>2</v>
      </c>
      <c r="J36" s="15">
        <f t="shared" ca="1" si="24"/>
        <v>3</v>
      </c>
      <c r="K36" s="15">
        <f t="shared" ca="1" si="24"/>
        <v>3</v>
      </c>
      <c r="L36" s="15">
        <f t="shared" ca="1" si="24"/>
        <v>4</v>
      </c>
      <c r="M36" s="15">
        <f t="shared" ca="1" si="24"/>
        <v>5</v>
      </c>
      <c r="N36" s="15">
        <f t="shared" ca="1" si="24"/>
        <v>6</v>
      </c>
      <c r="O36" s="15">
        <f t="shared" ca="1" si="24"/>
        <v>7</v>
      </c>
      <c r="P36" s="15">
        <f t="shared" ca="1" si="24"/>
        <v>7</v>
      </c>
      <c r="Q36" s="15">
        <f t="shared" ca="1" si="24"/>
        <v>7</v>
      </c>
      <c r="R36" s="15">
        <f t="shared" ca="1" si="24"/>
        <v>8</v>
      </c>
      <c r="S36" s="15">
        <f t="shared" ca="1" si="24"/>
        <v>8</v>
      </c>
      <c r="T36" s="15">
        <f t="shared" ca="1" si="24"/>
        <v>9</v>
      </c>
      <c r="U36" s="15">
        <f t="shared" ca="1" si="24"/>
        <v>9</v>
      </c>
      <c r="V36" s="15">
        <f t="shared" ca="1" si="24"/>
        <v>10</v>
      </c>
      <c r="W36" s="15">
        <f t="shared" ca="1" si="24"/>
        <v>10</v>
      </c>
      <c r="X36" s="15">
        <f t="shared" ca="1" si="24"/>
        <v>11</v>
      </c>
      <c r="Y36" s="15">
        <f t="shared" ca="1" si="24"/>
        <v>11</v>
      </c>
      <c r="Z36" s="15">
        <f t="shared" ca="1" si="24"/>
        <v>12</v>
      </c>
      <c r="AA36" s="15">
        <f t="shared" ca="1" si="24"/>
        <v>13</v>
      </c>
      <c r="AB36" s="15">
        <f t="shared" ca="1" si="24"/>
        <v>14</v>
      </c>
      <c r="AC36" s="15">
        <f t="shared" ca="1" si="24"/>
        <v>14</v>
      </c>
      <c r="AD36" s="15">
        <f t="shared" ca="1" si="24"/>
        <v>14</v>
      </c>
      <c r="AE36" s="15">
        <f t="shared" ca="1" si="24"/>
        <v>15</v>
      </c>
      <c r="AF36" s="15">
        <f t="shared" ca="1" si="24"/>
        <v>16</v>
      </c>
      <c r="AG36" s="15">
        <f t="shared" ca="1" si="24"/>
        <v>16</v>
      </c>
      <c r="AH36" s="15">
        <f t="shared" ca="1" si="24"/>
        <v>17</v>
      </c>
      <c r="AI36" s="15">
        <f t="shared" ca="1" si="24"/>
        <v>18</v>
      </c>
      <c r="AJ36" s="15">
        <f t="shared" ref="AJ36:BO36" ca="1" si="25">ROUND(AJ35,0)+AI36</f>
        <v>19</v>
      </c>
      <c r="AK36" s="15">
        <f t="shared" ca="1" si="25"/>
        <v>19</v>
      </c>
      <c r="AL36" s="15">
        <f t="shared" ca="1" si="25"/>
        <v>19</v>
      </c>
      <c r="AM36" s="15">
        <f t="shared" ca="1" si="25"/>
        <v>20</v>
      </c>
      <c r="AN36" s="15">
        <f t="shared" ca="1" si="25"/>
        <v>21</v>
      </c>
      <c r="AO36" s="15">
        <f t="shared" ca="1" si="25"/>
        <v>22</v>
      </c>
      <c r="AP36" s="15">
        <f t="shared" ca="1" si="25"/>
        <v>23</v>
      </c>
      <c r="AQ36" s="15">
        <f t="shared" ca="1" si="25"/>
        <v>23</v>
      </c>
      <c r="AR36" s="15">
        <f t="shared" ca="1" si="25"/>
        <v>24</v>
      </c>
      <c r="AS36" s="15">
        <f t="shared" ca="1" si="25"/>
        <v>25</v>
      </c>
      <c r="AT36" s="15">
        <f t="shared" ca="1" si="25"/>
        <v>26</v>
      </c>
      <c r="AU36" s="15">
        <f t="shared" ca="1" si="25"/>
        <v>26</v>
      </c>
      <c r="AV36" s="15">
        <f t="shared" ca="1" si="25"/>
        <v>26</v>
      </c>
      <c r="AW36" s="15">
        <f t="shared" ca="1" si="25"/>
        <v>27</v>
      </c>
      <c r="AX36" s="15">
        <f t="shared" ca="1" si="25"/>
        <v>27</v>
      </c>
      <c r="AY36" s="15">
        <f t="shared" ca="1" si="25"/>
        <v>27</v>
      </c>
      <c r="AZ36" s="15">
        <f t="shared" ca="1" si="25"/>
        <v>28</v>
      </c>
      <c r="BA36" s="15">
        <f t="shared" ca="1" si="25"/>
        <v>28</v>
      </c>
      <c r="BB36" s="15">
        <f t="shared" ca="1" si="25"/>
        <v>28</v>
      </c>
      <c r="BC36" s="15">
        <f t="shared" ca="1" si="25"/>
        <v>29</v>
      </c>
      <c r="BD36" s="15">
        <f t="shared" ca="1" si="25"/>
        <v>29</v>
      </c>
      <c r="BE36" s="15">
        <f t="shared" ca="1" si="25"/>
        <v>29</v>
      </c>
      <c r="BF36" s="15">
        <f t="shared" ca="1" si="25"/>
        <v>30</v>
      </c>
      <c r="BG36" s="15">
        <f t="shared" ca="1" si="25"/>
        <v>30</v>
      </c>
      <c r="BH36" s="15">
        <f t="shared" ca="1" si="25"/>
        <v>31</v>
      </c>
      <c r="BI36" s="15">
        <f t="shared" ca="1" si="25"/>
        <v>32</v>
      </c>
      <c r="BJ36" s="15">
        <f t="shared" ca="1" si="25"/>
        <v>33</v>
      </c>
      <c r="BK36" s="15">
        <f t="shared" ca="1" si="25"/>
        <v>34</v>
      </c>
      <c r="BL36" s="15">
        <f t="shared" ca="1" si="25"/>
        <v>35</v>
      </c>
      <c r="BM36" s="15">
        <f t="shared" ca="1" si="25"/>
        <v>36</v>
      </c>
      <c r="BN36" s="15">
        <f t="shared" ca="1" si="25"/>
        <v>36</v>
      </c>
      <c r="BO36" s="15">
        <f t="shared" ca="1" si="25"/>
        <v>37</v>
      </c>
      <c r="BP36" s="15">
        <f t="shared" ref="BP36:CU36" ca="1" si="26">ROUND(BP35,0)+BO36</f>
        <v>38</v>
      </c>
      <c r="BQ36" s="15">
        <f t="shared" ca="1" si="26"/>
        <v>39</v>
      </c>
      <c r="BR36" s="15">
        <f t="shared" ca="1" si="26"/>
        <v>40</v>
      </c>
      <c r="BS36" s="15">
        <f t="shared" ca="1" si="26"/>
        <v>41</v>
      </c>
      <c r="BT36" s="15">
        <f t="shared" ca="1" si="26"/>
        <v>41</v>
      </c>
      <c r="BU36" s="15">
        <f t="shared" ca="1" si="26"/>
        <v>41</v>
      </c>
      <c r="BV36" s="15">
        <f t="shared" ca="1" si="26"/>
        <v>41</v>
      </c>
      <c r="BW36" s="15">
        <f t="shared" ca="1" si="26"/>
        <v>42</v>
      </c>
      <c r="BX36" s="15">
        <f t="shared" ca="1" si="26"/>
        <v>43</v>
      </c>
      <c r="BY36" s="15">
        <f t="shared" ca="1" si="26"/>
        <v>44</v>
      </c>
      <c r="BZ36" s="15">
        <f t="shared" ca="1" si="26"/>
        <v>45</v>
      </c>
      <c r="CA36" s="15">
        <f t="shared" ca="1" si="26"/>
        <v>46</v>
      </c>
      <c r="CB36" s="15">
        <f t="shared" ca="1" si="26"/>
        <v>47</v>
      </c>
      <c r="CC36" s="15">
        <f t="shared" ca="1" si="26"/>
        <v>47</v>
      </c>
      <c r="CD36" s="15">
        <f t="shared" ca="1" si="26"/>
        <v>47</v>
      </c>
      <c r="CE36" s="15">
        <f t="shared" ca="1" si="26"/>
        <v>48</v>
      </c>
      <c r="CF36" s="15">
        <f t="shared" ca="1" si="26"/>
        <v>48</v>
      </c>
      <c r="CG36" s="15">
        <f t="shared" ca="1" si="26"/>
        <v>48</v>
      </c>
      <c r="CH36" s="15">
        <f t="shared" ca="1" si="26"/>
        <v>49</v>
      </c>
      <c r="CI36" s="15">
        <f t="shared" ca="1" si="26"/>
        <v>50</v>
      </c>
      <c r="CJ36" s="15">
        <f t="shared" ca="1" si="26"/>
        <v>51</v>
      </c>
      <c r="CK36" s="15">
        <f t="shared" ca="1" si="26"/>
        <v>52</v>
      </c>
      <c r="CL36" s="15">
        <f t="shared" ca="1" si="26"/>
        <v>53</v>
      </c>
      <c r="CM36" s="15">
        <f t="shared" ca="1" si="26"/>
        <v>54</v>
      </c>
      <c r="CN36" s="15">
        <f t="shared" ca="1" si="26"/>
        <v>55</v>
      </c>
      <c r="CO36" s="15">
        <f t="shared" ca="1" si="26"/>
        <v>56</v>
      </c>
      <c r="CP36" s="15">
        <f t="shared" ca="1" si="26"/>
        <v>57</v>
      </c>
      <c r="CQ36" s="15">
        <f t="shared" ca="1" si="26"/>
        <v>57</v>
      </c>
      <c r="CR36" s="15">
        <f t="shared" ca="1" si="26"/>
        <v>57</v>
      </c>
      <c r="CS36" s="15">
        <f t="shared" ca="1" si="26"/>
        <v>58</v>
      </c>
      <c r="CT36" s="15">
        <f t="shared" ca="1" si="26"/>
        <v>59</v>
      </c>
      <c r="CU36" s="15">
        <f t="shared" ca="1" si="26"/>
        <v>60</v>
      </c>
      <c r="CV36" s="15">
        <f t="shared" ref="CV36:DS36" ca="1" si="27">ROUND(CV35,0)+CU36</f>
        <v>61</v>
      </c>
      <c r="CW36" s="15">
        <f t="shared" ca="1" si="27"/>
        <v>61</v>
      </c>
      <c r="CX36" s="15">
        <f t="shared" ca="1" si="27"/>
        <v>61</v>
      </c>
      <c r="CY36" s="15">
        <f t="shared" ca="1" si="27"/>
        <v>62</v>
      </c>
      <c r="CZ36" s="15">
        <f t="shared" ca="1" si="27"/>
        <v>63</v>
      </c>
      <c r="DA36" s="15">
        <f t="shared" ca="1" si="27"/>
        <v>63</v>
      </c>
      <c r="DB36" s="15">
        <f t="shared" ca="1" si="27"/>
        <v>63</v>
      </c>
      <c r="DC36" s="15">
        <f t="shared" ca="1" si="27"/>
        <v>64</v>
      </c>
      <c r="DD36" s="15">
        <f t="shared" ca="1" si="27"/>
        <v>64</v>
      </c>
      <c r="DE36" s="15">
        <f t="shared" ca="1" si="27"/>
        <v>65</v>
      </c>
      <c r="DF36" s="15">
        <f t="shared" ca="1" si="27"/>
        <v>66</v>
      </c>
      <c r="DG36" s="15">
        <f t="shared" ca="1" si="27"/>
        <v>67</v>
      </c>
      <c r="DH36" s="15">
        <f t="shared" ca="1" si="27"/>
        <v>68</v>
      </c>
      <c r="DI36" s="15">
        <f t="shared" ca="1" si="27"/>
        <v>68</v>
      </c>
      <c r="DJ36" s="15">
        <f t="shared" ca="1" si="27"/>
        <v>68</v>
      </c>
      <c r="DK36" s="15">
        <f t="shared" ca="1" si="27"/>
        <v>69</v>
      </c>
      <c r="DL36" s="15">
        <f t="shared" ca="1" si="27"/>
        <v>69</v>
      </c>
      <c r="DM36" s="15">
        <f t="shared" ca="1" si="27"/>
        <v>70</v>
      </c>
      <c r="DN36" s="15">
        <f t="shared" ca="1" si="27"/>
        <v>70</v>
      </c>
      <c r="DO36" s="15">
        <f t="shared" ca="1" si="27"/>
        <v>70</v>
      </c>
      <c r="DP36" s="15">
        <f t="shared" ca="1" si="27"/>
        <v>70</v>
      </c>
      <c r="DQ36" s="15">
        <f t="shared" ca="1" si="27"/>
        <v>70</v>
      </c>
      <c r="DR36" s="15">
        <f t="shared" ca="1" si="27"/>
        <v>71</v>
      </c>
      <c r="DS36" s="15">
        <f t="shared" ca="1" si="27"/>
        <v>72</v>
      </c>
    </row>
    <row r="37" spans="1:123" x14ac:dyDescent="0.35">
      <c r="A37" s="44" t="s">
        <v>9</v>
      </c>
      <c r="C37" s="5">
        <f>'IRTree-INPUT'!B$11</f>
        <v>0</v>
      </c>
      <c r="D37" s="5">
        <f t="shared" ref="D37:AI37" ca="1" si="28">VLOOKUP(D36,table.IRTree,D$27+2,FALSE)</f>
        <v>0</v>
      </c>
      <c r="E37" s="5">
        <f t="shared" ca="1" si="28"/>
        <v>0</v>
      </c>
      <c r="F37" s="5">
        <f t="shared" ca="1" si="28"/>
        <v>0</v>
      </c>
      <c r="G37" s="5">
        <f t="shared" ca="1" si="28"/>
        <v>0</v>
      </c>
      <c r="H37" s="5">
        <f t="shared" ca="1" si="28"/>
        <v>0</v>
      </c>
      <c r="I37" s="5">
        <f t="shared" ca="1" si="28"/>
        <v>0</v>
      </c>
      <c r="J37" s="5">
        <f t="shared" ca="1" si="28"/>
        <v>0</v>
      </c>
      <c r="K37" s="5">
        <f t="shared" ca="1" si="28"/>
        <v>0</v>
      </c>
      <c r="L37" s="5">
        <f t="shared" ca="1" si="28"/>
        <v>0</v>
      </c>
      <c r="M37" s="5">
        <f t="shared" ca="1" si="28"/>
        <v>0</v>
      </c>
      <c r="N37" s="5">
        <f t="shared" ca="1" si="28"/>
        <v>0</v>
      </c>
      <c r="O37" s="5">
        <f t="shared" ca="1" si="28"/>
        <v>0</v>
      </c>
      <c r="P37" s="5">
        <f t="shared" ca="1" si="28"/>
        <v>0</v>
      </c>
      <c r="Q37" s="5">
        <f t="shared" ca="1" si="28"/>
        <v>0</v>
      </c>
      <c r="R37" s="5">
        <f t="shared" ca="1" si="28"/>
        <v>0</v>
      </c>
      <c r="S37" s="5">
        <f t="shared" ca="1" si="28"/>
        <v>0</v>
      </c>
      <c r="T37" s="5">
        <f t="shared" ca="1" si="28"/>
        <v>0</v>
      </c>
      <c r="U37" s="5">
        <f t="shared" ca="1" si="28"/>
        <v>0</v>
      </c>
      <c r="V37" s="5">
        <f t="shared" ca="1" si="28"/>
        <v>0</v>
      </c>
      <c r="W37" s="5">
        <f t="shared" ca="1" si="28"/>
        <v>0</v>
      </c>
      <c r="X37" s="5">
        <f t="shared" ca="1" si="28"/>
        <v>0</v>
      </c>
      <c r="Y37" s="5">
        <f t="shared" ca="1" si="28"/>
        <v>0</v>
      </c>
      <c r="Z37" s="5">
        <f t="shared" ca="1" si="28"/>
        <v>0</v>
      </c>
      <c r="AA37" s="5">
        <f t="shared" ca="1" si="28"/>
        <v>0</v>
      </c>
      <c r="AB37" s="5">
        <f t="shared" ca="1" si="28"/>
        <v>0</v>
      </c>
      <c r="AC37" s="5">
        <f t="shared" ca="1" si="28"/>
        <v>0</v>
      </c>
      <c r="AD37" s="5">
        <f t="shared" ca="1" si="28"/>
        <v>0</v>
      </c>
      <c r="AE37" s="5">
        <f t="shared" ca="1" si="28"/>
        <v>0</v>
      </c>
      <c r="AF37" s="5">
        <f t="shared" ca="1" si="28"/>
        <v>0</v>
      </c>
      <c r="AG37" s="5">
        <f t="shared" ca="1" si="28"/>
        <v>0</v>
      </c>
      <c r="AH37" s="5">
        <f t="shared" ca="1" si="28"/>
        <v>0</v>
      </c>
      <c r="AI37" s="5">
        <f t="shared" ca="1" si="28"/>
        <v>0</v>
      </c>
      <c r="AJ37" s="5">
        <f t="shared" ref="AJ37:BO37" ca="1" si="29">VLOOKUP(AJ36,table.IRTree,AJ$27+2,FALSE)</f>
        <v>0</v>
      </c>
      <c r="AK37" s="5">
        <f t="shared" ca="1" si="29"/>
        <v>0</v>
      </c>
      <c r="AL37" s="5">
        <f t="shared" ca="1" si="29"/>
        <v>0</v>
      </c>
      <c r="AM37" s="5">
        <f t="shared" ca="1" si="29"/>
        <v>0</v>
      </c>
      <c r="AN37" s="5">
        <f t="shared" ca="1" si="29"/>
        <v>0</v>
      </c>
      <c r="AO37" s="5">
        <f t="shared" ca="1" si="29"/>
        <v>0</v>
      </c>
      <c r="AP37" s="5">
        <f t="shared" ca="1" si="29"/>
        <v>0</v>
      </c>
      <c r="AQ37" s="5">
        <f t="shared" ca="1" si="29"/>
        <v>0</v>
      </c>
      <c r="AR37" s="5">
        <f t="shared" ca="1" si="29"/>
        <v>0</v>
      </c>
      <c r="AS37" s="5">
        <f t="shared" ca="1" si="29"/>
        <v>0</v>
      </c>
      <c r="AT37" s="5">
        <f t="shared" ca="1" si="29"/>
        <v>0</v>
      </c>
      <c r="AU37" s="5">
        <f t="shared" ca="1" si="29"/>
        <v>0</v>
      </c>
      <c r="AV37" s="5">
        <f t="shared" ca="1" si="29"/>
        <v>0</v>
      </c>
      <c r="AW37" s="5">
        <f t="shared" ca="1" si="29"/>
        <v>0</v>
      </c>
      <c r="AX37" s="5">
        <f t="shared" ca="1" si="29"/>
        <v>0</v>
      </c>
      <c r="AY37" s="5">
        <f t="shared" ca="1" si="29"/>
        <v>0</v>
      </c>
      <c r="AZ37" s="5">
        <f t="shared" ca="1" si="29"/>
        <v>0</v>
      </c>
      <c r="BA37" s="5">
        <f t="shared" ca="1" si="29"/>
        <v>0</v>
      </c>
      <c r="BB37" s="5">
        <f t="shared" ca="1" si="29"/>
        <v>0</v>
      </c>
      <c r="BC37" s="5">
        <f t="shared" ca="1" si="29"/>
        <v>0</v>
      </c>
      <c r="BD37" s="5">
        <f t="shared" ca="1" si="29"/>
        <v>0</v>
      </c>
      <c r="BE37" s="5">
        <f t="shared" ca="1" si="29"/>
        <v>0</v>
      </c>
      <c r="BF37" s="5">
        <f t="shared" ca="1" si="29"/>
        <v>0</v>
      </c>
      <c r="BG37" s="5">
        <f t="shared" ca="1" si="29"/>
        <v>0</v>
      </c>
      <c r="BH37" s="5">
        <f t="shared" ca="1" si="29"/>
        <v>0</v>
      </c>
      <c r="BI37" s="5">
        <f t="shared" ca="1" si="29"/>
        <v>0</v>
      </c>
      <c r="BJ37" s="5">
        <f t="shared" ca="1" si="29"/>
        <v>0</v>
      </c>
      <c r="BK37" s="5">
        <f t="shared" ca="1" si="29"/>
        <v>0</v>
      </c>
      <c r="BL37" s="5">
        <f t="shared" ca="1" si="29"/>
        <v>0</v>
      </c>
      <c r="BM37" s="5">
        <f t="shared" ca="1" si="29"/>
        <v>0</v>
      </c>
      <c r="BN37" s="5">
        <f t="shared" ca="1" si="29"/>
        <v>0</v>
      </c>
      <c r="BO37" s="5">
        <f t="shared" ca="1" si="29"/>
        <v>0</v>
      </c>
      <c r="BP37" s="5">
        <f t="shared" ref="BP37:CU37" ca="1" si="30">VLOOKUP(BP36,table.IRTree,BP$27+2,FALSE)</f>
        <v>0</v>
      </c>
      <c r="BQ37" s="5">
        <f t="shared" ca="1" si="30"/>
        <v>0</v>
      </c>
      <c r="BR37" s="5">
        <f t="shared" ca="1" si="30"/>
        <v>0</v>
      </c>
      <c r="BS37" s="5">
        <f t="shared" ca="1" si="30"/>
        <v>0</v>
      </c>
      <c r="BT37" s="5">
        <f t="shared" ca="1" si="30"/>
        <v>0</v>
      </c>
      <c r="BU37" s="5">
        <f t="shared" ca="1" si="30"/>
        <v>0</v>
      </c>
      <c r="BV37" s="5">
        <f t="shared" ca="1" si="30"/>
        <v>0</v>
      </c>
      <c r="BW37" s="5">
        <f t="shared" ca="1" si="30"/>
        <v>0</v>
      </c>
      <c r="BX37" s="5">
        <f t="shared" ca="1" si="30"/>
        <v>0</v>
      </c>
      <c r="BY37" s="5">
        <f t="shared" ca="1" si="30"/>
        <v>0</v>
      </c>
      <c r="BZ37" s="5">
        <f t="shared" ca="1" si="30"/>
        <v>0</v>
      </c>
      <c r="CA37" s="5">
        <f t="shared" ca="1" si="30"/>
        <v>0</v>
      </c>
      <c r="CB37" s="5">
        <f t="shared" ca="1" si="30"/>
        <v>0</v>
      </c>
      <c r="CC37" s="5">
        <f t="shared" ca="1" si="30"/>
        <v>0</v>
      </c>
      <c r="CD37" s="5">
        <f t="shared" ca="1" si="30"/>
        <v>0</v>
      </c>
      <c r="CE37" s="5">
        <f t="shared" ca="1" si="30"/>
        <v>0</v>
      </c>
      <c r="CF37" s="5">
        <f t="shared" ca="1" si="30"/>
        <v>0</v>
      </c>
      <c r="CG37" s="5">
        <f t="shared" ca="1" si="30"/>
        <v>0</v>
      </c>
      <c r="CH37" s="5">
        <f t="shared" ca="1" si="30"/>
        <v>0</v>
      </c>
      <c r="CI37" s="5">
        <f t="shared" ca="1" si="30"/>
        <v>0</v>
      </c>
      <c r="CJ37" s="5">
        <f t="shared" ca="1" si="30"/>
        <v>0</v>
      </c>
      <c r="CK37" s="5">
        <f t="shared" ca="1" si="30"/>
        <v>0</v>
      </c>
      <c r="CL37" s="5">
        <f t="shared" ca="1" si="30"/>
        <v>0</v>
      </c>
      <c r="CM37" s="5">
        <f t="shared" ca="1" si="30"/>
        <v>0</v>
      </c>
      <c r="CN37" s="5">
        <f t="shared" ca="1" si="30"/>
        <v>0</v>
      </c>
      <c r="CO37" s="5">
        <f t="shared" ca="1" si="30"/>
        <v>0</v>
      </c>
      <c r="CP37" s="5">
        <f t="shared" ca="1" si="30"/>
        <v>0</v>
      </c>
      <c r="CQ37" s="5">
        <f t="shared" ca="1" si="30"/>
        <v>0</v>
      </c>
      <c r="CR37" s="5">
        <f t="shared" ca="1" si="30"/>
        <v>0</v>
      </c>
      <c r="CS37" s="5">
        <f t="shared" ca="1" si="30"/>
        <v>0</v>
      </c>
      <c r="CT37" s="5">
        <f t="shared" ca="1" si="30"/>
        <v>0</v>
      </c>
      <c r="CU37" s="5">
        <f t="shared" ca="1" si="30"/>
        <v>0</v>
      </c>
      <c r="CV37" s="5">
        <f t="shared" ref="CV37:DS37" ca="1" si="31">VLOOKUP(CV36,table.IRTree,CV$27+2,FALSE)</f>
        <v>0</v>
      </c>
      <c r="CW37" s="5">
        <f t="shared" ca="1" si="31"/>
        <v>0</v>
      </c>
      <c r="CX37" s="5">
        <f t="shared" ca="1" si="31"/>
        <v>0</v>
      </c>
      <c r="CY37" s="5">
        <f t="shared" ca="1" si="31"/>
        <v>0</v>
      </c>
      <c r="CZ37" s="5">
        <f t="shared" ca="1" si="31"/>
        <v>0</v>
      </c>
      <c r="DA37" s="5">
        <f t="shared" ca="1" si="31"/>
        <v>0</v>
      </c>
      <c r="DB37" s="5">
        <f t="shared" ca="1" si="31"/>
        <v>0</v>
      </c>
      <c r="DC37" s="5">
        <f t="shared" ca="1" si="31"/>
        <v>0</v>
      </c>
      <c r="DD37" s="5">
        <f t="shared" ca="1" si="31"/>
        <v>0</v>
      </c>
      <c r="DE37" s="5">
        <f t="shared" ca="1" si="31"/>
        <v>0</v>
      </c>
      <c r="DF37" s="5">
        <f t="shared" ca="1" si="31"/>
        <v>0</v>
      </c>
      <c r="DG37" s="5">
        <f t="shared" ca="1" si="31"/>
        <v>0</v>
      </c>
      <c r="DH37" s="5">
        <f t="shared" ca="1" si="31"/>
        <v>0</v>
      </c>
      <c r="DI37" s="5">
        <f t="shared" ca="1" si="31"/>
        <v>0</v>
      </c>
      <c r="DJ37" s="5">
        <f t="shared" ca="1" si="31"/>
        <v>0</v>
      </c>
      <c r="DK37" s="5">
        <f t="shared" ca="1" si="31"/>
        <v>0</v>
      </c>
      <c r="DL37" s="5">
        <f t="shared" ca="1" si="31"/>
        <v>0</v>
      </c>
      <c r="DM37" s="5">
        <f t="shared" ca="1" si="31"/>
        <v>0</v>
      </c>
      <c r="DN37" s="5">
        <f t="shared" ca="1" si="31"/>
        <v>0</v>
      </c>
      <c r="DO37" s="5">
        <f t="shared" ca="1" si="31"/>
        <v>0</v>
      </c>
      <c r="DP37" s="5">
        <f t="shared" ca="1" si="31"/>
        <v>0</v>
      </c>
      <c r="DQ37" s="5">
        <f t="shared" ca="1" si="31"/>
        <v>0</v>
      </c>
      <c r="DR37" s="5">
        <f t="shared" ca="1" si="31"/>
        <v>0</v>
      </c>
      <c r="DS37" s="5">
        <f t="shared" ca="1" si="31"/>
        <v>0</v>
      </c>
    </row>
    <row r="38" spans="1:123" x14ac:dyDescent="0.35">
      <c r="A38" s="44" t="s">
        <v>8</v>
      </c>
      <c r="C38" s="5">
        <f>EXP(-SUM($C37:C37)*h)</f>
        <v>1</v>
      </c>
      <c r="D38" s="5">
        <f ca="1">EXP(-SUM($C37:D37)*h)</f>
        <v>1</v>
      </c>
      <c r="E38" s="5">
        <f ca="1">EXP(-SUM($C37:E37)*h)</f>
        <v>1</v>
      </c>
      <c r="F38" s="5">
        <f ca="1">EXP(-SUM($C37:F37)*h)</f>
        <v>1</v>
      </c>
      <c r="G38" s="5">
        <f ca="1">EXP(-SUM($C37:G37)*h)</f>
        <v>1</v>
      </c>
      <c r="H38" s="5">
        <f ca="1">EXP(-SUM($C37:H37)*h)</f>
        <v>1</v>
      </c>
      <c r="I38" s="5">
        <f ca="1">EXP(-SUM($C37:I37)*h)</f>
        <v>1</v>
      </c>
      <c r="J38" s="5">
        <f ca="1">EXP(-SUM($C37:J37)*h)</f>
        <v>1</v>
      </c>
      <c r="K38" s="5">
        <f ca="1">EXP(-SUM($C37:K37)*h)</f>
        <v>1</v>
      </c>
      <c r="L38" s="5">
        <f ca="1">EXP(-SUM($C37:L37)*h)</f>
        <v>1</v>
      </c>
      <c r="M38" s="5">
        <f ca="1">EXP(-SUM($C37:M37)*h)</f>
        <v>1</v>
      </c>
      <c r="N38" s="5">
        <f ca="1">EXP(-SUM($C37:N37)*h)</f>
        <v>1</v>
      </c>
      <c r="O38" s="5">
        <f ca="1">EXP(-SUM($C37:O37)*h)</f>
        <v>1</v>
      </c>
      <c r="P38" s="5">
        <f ca="1">EXP(-SUM($C37:P37)*h)</f>
        <v>1</v>
      </c>
      <c r="Q38" s="5">
        <f ca="1">EXP(-SUM($C37:Q37)*h)</f>
        <v>1</v>
      </c>
      <c r="R38" s="5">
        <f ca="1">EXP(-SUM($C37:R37)*h)</f>
        <v>1</v>
      </c>
      <c r="S38" s="5">
        <f ca="1">EXP(-SUM($C37:S37)*h)</f>
        <v>1</v>
      </c>
      <c r="T38" s="5">
        <f ca="1">EXP(-SUM($C37:T37)*h)</f>
        <v>1</v>
      </c>
      <c r="U38" s="5">
        <f ca="1">EXP(-SUM($C37:U37)*h)</f>
        <v>1</v>
      </c>
      <c r="V38" s="5">
        <f ca="1">EXP(-SUM($C37:V37)*h)</f>
        <v>1</v>
      </c>
      <c r="W38" s="5">
        <f ca="1">EXP(-SUM($C37:W37)*h)</f>
        <v>1</v>
      </c>
      <c r="X38" s="5">
        <f ca="1">EXP(-SUM($C37:X37)*h)</f>
        <v>1</v>
      </c>
      <c r="Y38" s="5">
        <f ca="1">EXP(-SUM($C37:Y37)*h)</f>
        <v>1</v>
      </c>
      <c r="Z38" s="5">
        <f ca="1">EXP(-SUM($C37:Z37)*h)</f>
        <v>1</v>
      </c>
      <c r="AA38" s="5">
        <f ca="1">EXP(-SUM($C37:AA37)*h)</f>
        <v>1</v>
      </c>
      <c r="AB38" s="5">
        <f ca="1">EXP(-SUM($C37:AB37)*h)</f>
        <v>1</v>
      </c>
      <c r="AC38" s="5">
        <f ca="1">EXP(-SUM($C37:AC37)*h)</f>
        <v>1</v>
      </c>
      <c r="AD38" s="5">
        <f ca="1">EXP(-SUM($C37:AD37)*h)</f>
        <v>1</v>
      </c>
      <c r="AE38" s="5">
        <f ca="1">EXP(-SUM($C37:AE37)*h)</f>
        <v>1</v>
      </c>
      <c r="AF38" s="5">
        <f ca="1">EXP(-SUM($C37:AF37)*h)</f>
        <v>1</v>
      </c>
      <c r="AG38" s="5">
        <f ca="1">EXP(-SUM($C37:AG37)*h)</f>
        <v>1</v>
      </c>
      <c r="AH38" s="5">
        <f ca="1">EXP(-SUM($C37:AH37)*h)</f>
        <v>1</v>
      </c>
      <c r="AI38" s="5">
        <f ca="1">EXP(-SUM($C37:AI37)*h)</f>
        <v>1</v>
      </c>
      <c r="AJ38" s="5">
        <f ca="1">EXP(-SUM($C37:AJ37)*h)</f>
        <v>1</v>
      </c>
      <c r="AK38" s="5">
        <f ca="1">EXP(-SUM($C37:AK37)*h)</f>
        <v>1</v>
      </c>
      <c r="AL38" s="5">
        <f ca="1">EXP(-SUM($C37:AL37)*h)</f>
        <v>1</v>
      </c>
      <c r="AM38" s="5">
        <f ca="1">EXP(-SUM($C37:AM37)*h)</f>
        <v>1</v>
      </c>
      <c r="AN38" s="5">
        <f ca="1">EXP(-SUM($C37:AN37)*h)</f>
        <v>1</v>
      </c>
      <c r="AO38" s="5">
        <f ca="1">EXP(-SUM($C37:AO37)*h)</f>
        <v>1</v>
      </c>
      <c r="AP38" s="5">
        <f ca="1">EXP(-SUM($C37:AP37)*h)</f>
        <v>1</v>
      </c>
      <c r="AQ38" s="5">
        <f ca="1">EXP(-SUM($C37:AQ37)*h)</f>
        <v>1</v>
      </c>
      <c r="AR38" s="5">
        <f ca="1">EXP(-SUM($C37:AR37)*h)</f>
        <v>1</v>
      </c>
      <c r="AS38" s="5">
        <f ca="1">EXP(-SUM($C37:AS37)*h)</f>
        <v>1</v>
      </c>
      <c r="AT38" s="5">
        <f ca="1">EXP(-SUM($C37:AT37)*h)</f>
        <v>1</v>
      </c>
      <c r="AU38" s="5">
        <f ca="1">EXP(-SUM($C37:AU37)*h)</f>
        <v>1</v>
      </c>
      <c r="AV38" s="5">
        <f ca="1">EXP(-SUM($C37:AV37)*h)</f>
        <v>1</v>
      </c>
      <c r="AW38" s="5">
        <f ca="1">EXP(-SUM($C37:AW37)*h)</f>
        <v>1</v>
      </c>
      <c r="AX38" s="5">
        <f ca="1">EXP(-SUM($C37:AX37)*h)</f>
        <v>1</v>
      </c>
      <c r="AY38" s="5">
        <f ca="1">EXP(-SUM($C37:AY37)*h)</f>
        <v>1</v>
      </c>
      <c r="AZ38" s="5">
        <f ca="1">EXP(-SUM($C37:AZ37)*h)</f>
        <v>1</v>
      </c>
      <c r="BA38" s="5">
        <f ca="1">EXP(-SUM($C37:BA37)*h)</f>
        <v>1</v>
      </c>
      <c r="BB38" s="5">
        <f ca="1">EXP(-SUM($C37:BB37)*h)</f>
        <v>1</v>
      </c>
      <c r="BC38" s="5">
        <f ca="1">EXP(-SUM($C37:BC37)*h)</f>
        <v>1</v>
      </c>
      <c r="BD38" s="5">
        <f ca="1">EXP(-SUM($C37:BD37)*h)</f>
        <v>1</v>
      </c>
      <c r="BE38" s="5">
        <f ca="1">EXP(-SUM($C37:BE37)*h)</f>
        <v>1</v>
      </c>
      <c r="BF38" s="5">
        <f ca="1">EXP(-SUM($C37:BF37)*h)</f>
        <v>1</v>
      </c>
      <c r="BG38" s="5">
        <f ca="1">EXP(-SUM($C37:BG37)*h)</f>
        <v>1</v>
      </c>
      <c r="BH38" s="5">
        <f ca="1">EXP(-SUM($C37:BH37)*h)</f>
        <v>1</v>
      </c>
      <c r="BI38" s="5">
        <f ca="1">EXP(-SUM($C37:BI37)*h)</f>
        <v>1</v>
      </c>
      <c r="BJ38" s="5">
        <f ca="1">EXP(-SUM($C37:BJ37)*h)</f>
        <v>1</v>
      </c>
      <c r="BK38" s="5">
        <f ca="1">EXP(-SUM($C37:BK37)*h)</f>
        <v>1</v>
      </c>
      <c r="BL38" s="5">
        <f ca="1">EXP(-SUM($C37:BL37)*h)</f>
        <v>1</v>
      </c>
      <c r="BM38" s="5">
        <f ca="1">EXP(-SUM($C37:BM37)*h)</f>
        <v>1</v>
      </c>
      <c r="BN38" s="5">
        <f ca="1">EXP(-SUM($C37:BN37)*h)</f>
        <v>1</v>
      </c>
      <c r="BO38" s="5">
        <f ca="1">EXP(-SUM($C37:BO37)*h)</f>
        <v>1</v>
      </c>
      <c r="BP38" s="5">
        <f ca="1">EXP(-SUM($C37:BP37)*h)</f>
        <v>1</v>
      </c>
      <c r="BQ38" s="5">
        <f ca="1">EXP(-SUM($C37:BQ37)*h)</f>
        <v>1</v>
      </c>
      <c r="BR38" s="5">
        <f ca="1">EXP(-SUM($C37:BR37)*h)</f>
        <v>1</v>
      </c>
      <c r="BS38" s="5">
        <f ca="1">EXP(-SUM($C37:BS37)*h)</f>
        <v>1</v>
      </c>
      <c r="BT38" s="5">
        <f ca="1">EXP(-SUM($C37:BT37)*h)</f>
        <v>1</v>
      </c>
      <c r="BU38" s="5">
        <f ca="1">EXP(-SUM($C37:BU37)*h)</f>
        <v>1</v>
      </c>
      <c r="BV38" s="5">
        <f ca="1">EXP(-SUM($C37:BV37)*h)</f>
        <v>1</v>
      </c>
      <c r="BW38" s="5">
        <f ca="1">EXP(-SUM($C37:BW37)*h)</f>
        <v>1</v>
      </c>
      <c r="BX38" s="5">
        <f ca="1">EXP(-SUM($C37:BX37)*h)</f>
        <v>1</v>
      </c>
      <c r="BY38" s="5">
        <f ca="1">EXP(-SUM($C37:BY37)*h)</f>
        <v>1</v>
      </c>
      <c r="BZ38" s="5">
        <f ca="1">EXP(-SUM($C37:BZ37)*h)</f>
        <v>1</v>
      </c>
      <c r="CA38" s="5">
        <f ca="1">EXP(-SUM($C37:CA37)*h)</f>
        <v>1</v>
      </c>
      <c r="CB38" s="5">
        <f ca="1">EXP(-SUM($C37:CB37)*h)</f>
        <v>1</v>
      </c>
      <c r="CC38" s="5">
        <f ca="1">EXP(-SUM($C37:CC37)*h)</f>
        <v>1</v>
      </c>
      <c r="CD38" s="5">
        <f ca="1">EXP(-SUM($C37:CD37)*h)</f>
        <v>1</v>
      </c>
      <c r="CE38" s="5">
        <f ca="1">EXP(-SUM($C37:CE37)*h)</f>
        <v>1</v>
      </c>
      <c r="CF38" s="5">
        <f ca="1">EXP(-SUM($C37:CF37)*h)</f>
        <v>1</v>
      </c>
      <c r="CG38" s="5">
        <f ca="1">EXP(-SUM($C37:CG37)*h)</f>
        <v>1</v>
      </c>
      <c r="CH38" s="5">
        <f ca="1">EXP(-SUM($C37:CH37)*h)</f>
        <v>1</v>
      </c>
      <c r="CI38" s="5">
        <f ca="1">EXP(-SUM($C37:CI37)*h)</f>
        <v>1</v>
      </c>
      <c r="CJ38" s="5">
        <f ca="1">EXP(-SUM($C37:CJ37)*h)</f>
        <v>1</v>
      </c>
      <c r="CK38" s="5">
        <f ca="1">EXP(-SUM($C37:CK37)*h)</f>
        <v>1</v>
      </c>
      <c r="CL38" s="5">
        <f ca="1">EXP(-SUM($C37:CL37)*h)</f>
        <v>1</v>
      </c>
      <c r="CM38" s="5">
        <f ca="1">EXP(-SUM($C37:CM37)*h)</f>
        <v>1</v>
      </c>
      <c r="CN38" s="5">
        <f ca="1">EXP(-SUM($C37:CN37)*h)</f>
        <v>1</v>
      </c>
      <c r="CO38" s="5">
        <f ca="1">EXP(-SUM($C37:CO37)*h)</f>
        <v>1</v>
      </c>
      <c r="CP38" s="5">
        <f ca="1">EXP(-SUM($C37:CP37)*h)</f>
        <v>1</v>
      </c>
      <c r="CQ38" s="5">
        <f ca="1">EXP(-SUM($C37:CQ37)*h)</f>
        <v>1</v>
      </c>
      <c r="CR38" s="5">
        <f ca="1">EXP(-SUM($C37:CR37)*h)</f>
        <v>1</v>
      </c>
      <c r="CS38" s="5">
        <f ca="1">EXP(-SUM($C37:CS37)*h)</f>
        <v>1</v>
      </c>
      <c r="CT38" s="5">
        <f ca="1">EXP(-SUM($C37:CT37)*h)</f>
        <v>1</v>
      </c>
      <c r="CU38" s="5">
        <f ca="1">EXP(-SUM($C37:CU37)*h)</f>
        <v>1</v>
      </c>
      <c r="CV38" s="5">
        <f ca="1">EXP(-SUM($C37:CV37)*h)</f>
        <v>1</v>
      </c>
      <c r="CW38" s="5">
        <f ca="1">EXP(-SUM($C37:CW37)*h)</f>
        <v>1</v>
      </c>
      <c r="CX38" s="5">
        <f ca="1">EXP(-SUM($C37:CX37)*h)</f>
        <v>1</v>
      </c>
      <c r="CY38" s="5">
        <f ca="1">EXP(-SUM($C37:CY37)*h)</f>
        <v>1</v>
      </c>
      <c r="CZ38" s="5">
        <f ca="1">EXP(-SUM($C37:CZ37)*h)</f>
        <v>1</v>
      </c>
      <c r="DA38" s="5">
        <f ca="1">EXP(-SUM($C37:DA37)*h)</f>
        <v>1</v>
      </c>
      <c r="DB38" s="5">
        <f ca="1">EXP(-SUM($C37:DB37)*h)</f>
        <v>1</v>
      </c>
      <c r="DC38" s="5">
        <f ca="1">EXP(-SUM($C37:DC37)*h)</f>
        <v>1</v>
      </c>
      <c r="DD38" s="5">
        <f ca="1">EXP(-SUM($C37:DD37)*h)</f>
        <v>1</v>
      </c>
      <c r="DE38" s="5">
        <f ca="1">EXP(-SUM($C37:DE37)*h)</f>
        <v>1</v>
      </c>
      <c r="DF38" s="5">
        <f ca="1">EXP(-SUM($C37:DF37)*h)</f>
        <v>1</v>
      </c>
      <c r="DG38" s="5">
        <f ca="1">EXP(-SUM($C37:DG37)*h)</f>
        <v>1</v>
      </c>
      <c r="DH38" s="5">
        <f ca="1">EXP(-SUM($C37:DH37)*h)</f>
        <v>1</v>
      </c>
      <c r="DI38" s="5">
        <f ca="1">EXP(-SUM($C37:DI37)*h)</f>
        <v>1</v>
      </c>
      <c r="DJ38" s="5">
        <f ca="1">EXP(-SUM($C37:DJ37)*h)</f>
        <v>1</v>
      </c>
      <c r="DK38" s="5">
        <f ca="1">EXP(-SUM($C37:DK37)*h)</f>
        <v>1</v>
      </c>
      <c r="DL38" s="5">
        <f ca="1">EXP(-SUM($C37:DL37)*h)</f>
        <v>1</v>
      </c>
      <c r="DM38" s="5">
        <f ca="1">EXP(-SUM($C37:DM37)*h)</f>
        <v>1</v>
      </c>
      <c r="DN38" s="5">
        <f ca="1">EXP(-SUM($C37:DN37)*h)</f>
        <v>1</v>
      </c>
      <c r="DO38" s="5">
        <f ca="1">EXP(-SUM($C37:DO37)*h)</f>
        <v>1</v>
      </c>
      <c r="DP38" s="5">
        <f ca="1">EXP(-SUM($C37:DP37)*h)</f>
        <v>1</v>
      </c>
      <c r="DQ38" s="5">
        <f ca="1">EXP(-SUM($C37:DQ37)*h)</f>
        <v>1</v>
      </c>
      <c r="DR38" s="5">
        <f ca="1">EXP(-SUM($C37:DR37)*h)</f>
        <v>1</v>
      </c>
      <c r="DS38" s="5">
        <f ca="1">EXP(-SUM($C37:DS37)*h)</f>
        <v>1</v>
      </c>
    </row>
    <row r="39" spans="1:123" ht="13.15" x14ac:dyDescent="0.4">
      <c r="A39" s="18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</row>
    <row r="40" spans="1:123" ht="13.15" x14ac:dyDescent="0.4">
      <c r="A40" s="42" t="s">
        <v>35</v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</row>
    <row r="41" spans="1:123" x14ac:dyDescent="0.35">
      <c r="A41" s="44" t="s">
        <v>19</v>
      </c>
      <c r="C41" s="5"/>
      <c r="D41" s="5">
        <f t="shared" ref="D41:AI41" ca="1" si="32">MIN(c_1*MAX(rm-sp-D37,c_2),1)</f>
        <v>0</v>
      </c>
      <c r="E41" s="5">
        <f t="shared" ca="1" si="32"/>
        <v>0</v>
      </c>
      <c r="F41" s="5">
        <f t="shared" ca="1" si="32"/>
        <v>0</v>
      </c>
      <c r="G41" s="5">
        <f t="shared" ca="1" si="32"/>
        <v>0</v>
      </c>
      <c r="H41" s="5">
        <f t="shared" ca="1" si="32"/>
        <v>0</v>
      </c>
      <c r="I41" s="5">
        <f t="shared" ca="1" si="32"/>
        <v>0</v>
      </c>
      <c r="J41" s="5">
        <f t="shared" ca="1" si="32"/>
        <v>0</v>
      </c>
      <c r="K41" s="5">
        <f t="shared" ca="1" si="32"/>
        <v>0</v>
      </c>
      <c r="L41" s="5">
        <f t="shared" ca="1" si="32"/>
        <v>0</v>
      </c>
      <c r="M41" s="5">
        <f t="shared" ca="1" si="32"/>
        <v>0</v>
      </c>
      <c r="N41" s="5">
        <f t="shared" ca="1" si="32"/>
        <v>0</v>
      </c>
      <c r="O41" s="5">
        <f t="shared" ca="1" si="32"/>
        <v>0</v>
      </c>
      <c r="P41" s="5">
        <f t="shared" ca="1" si="32"/>
        <v>0</v>
      </c>
      <c r="Q41" s="5">
        <f t="shared" ca="1" si="32"/>
        <v>0</v>
      </c>
      <c r="R41" s="5">
        <f t="shared" ca="1" si="32"/>
        <v>0</v>
      </c>
      <c r="S41" s="5">
        <f t="shared" ca="1" si="32"/>
        <v>0</v>
      </c>
      <c r="T41" s="5">
        <f t="shared" ca="1" si="32"/>
        <v>0</v>
      </c>
      <c r="U41" s="5">
        <f t="shared" ca="1" si="32"/>
        <v>0</v>
      </c>
      <c r="V41" s="5">
        <f t="shared" ca="1" si="32"/>
        <v>0</v>
      </c>
      <c r="W41" s="5">
        <f t="shared" ca="1" si="32"/>
        <v>0</v>
      </c>
      <c r="X41" s="5">
        <f t="shared" ca="1" si="32"/>
        <v>0</v>
      </c>
      <c r="Y41" s="5">
        <f t="shared" ca="1" si="32"/>
        <v>0</v>
      </c>
      <c r="Z41" s="5">
        <f t="shared" ca="1" si="32"/>
        <v>0</v>
      </c>
      <c r="AA41" s="5">
        <f t="shared" ca="1" si="32"/>
        <v>0</v>
      </c>
      <c r="AB41" s="5">
        <f t="shared" ca="1" si="32"/>
        <v>0</v>
      </c>
      <c r="AC41" s="5">
        <f t="shared" ca="1" si="32"/>
        <v>0</v>
      </c>
      <c r="AD41" s="5">
        <f t="shared" ca="1" si="32"/>
        <v>0</v>
      </c>
      <c r="AE41" s="5">
        <f t="shared" ca="1" si="32"/>
        <v>0</v>
      </c>
      <c r="AF41" s="5">
        <f t="shared" ca="1" si="32"/>
        <v>0</v>
      </c>
      <c r="AG41" s="5">
        <f t="shared" ca="1" si="32"/>
        <v>0</v>
      </c>
      <c r="AH41" s="5">
        <f t="shared" ca="1" si="32"/>
        <v>0</v>
      </c>
      <c r="AI41" s="5">
        <f t="shared" ca="1" si="32"/>
        <v>0</v>
      </c>
      <c r="AJ41" s="5">
        <f t="shared" ref="AJ41:BO41" ca="1" si="33">MIN(c_1*MAX(rm-sp-AJ37,c_2),1)</f>
        <v>0</v>
      </c>
      <c r="AK41" s="5">
        <f t="shared" ca="1" si="33"/>
        <v>0</v>
      </c>
      <c r="AL41" s="5">
        <f t="shared" ca="1" si="33"/>
        <v>0</v>
      </c>
      <c r="AM41" s="5">
        <f t="shared" ca="1" si="33"/>
        <v>0</v>
      </c>
      <c r="AN41" s="5">
        <f t="shared" ca="1" si="33"/>
        <v>0</v>
      </c>
      <c r="AO41" s="5">
        <f t="shared" ca="1" si="33"/>
        <v>0</v>
      </c>
      <c r="AP41" s="5">
        <f t="shared" ca="1" si="33"/>
        <v>0</v>
      </c>
      <c r="AQ41" s="5">
        <f t="shared" ca="1" si="33"/>
        <v>0</v>
      </c>
      <c r="AR41" s="5">
        <f t="shared" ca="1" si="33"/>
        <v>0</v>
      </c>
      <c r="AS41" s="5">
        <f t="shared" ca="1" si="33"/>
        <v>0</v>
      </c>
      <c r="AT41" s="5">
        <f t="shared" ca="1" si="33"/>
        <v>0</v>
      </c>
      <c r="AU41" s="5">
        <f t="shared" ca="1" si="33"/>
        <v>0</v>
      </c>
      <c r="AV41" s="5">
        <f t="shared" ca="1" si="33"/>
        <v>0</v>
      </c>
      <c r="AW41" s="5">
        <f t="shared" ca="1" si="33"/>
        <v>0</v>
      </c>
      <c r="AX41" s="5">
        <f t="shared" ca="1" si="33"/>
        <v>0</v>
      </c>
      <c r="AY41" s="5">
        <f t="shared" ca="1" si="33"/>
        <v>0</v>
      </c>
      <c r="AZ41" s="5">
        <f t="shared" ca="1" si="33"/>
        <v>0</v>
      </c>
      <c r="BA41" s="5">
        <f t="shared" ca="1" si="33"/>
        <v>0</v>
      </c>
      <c r="BB41" s="5">
        <f t="shared" ca="1" si="33"/>
        <v>0</v>
      </c>
      <c r="BC41" s="5">
        <f t="shared" ca="1" si="33"/>
        <v>0</v>
      </c>
      <c r="BD41" s="5">
        <f t="shared" ca="1" si="33"/>
        <v>0</v>
      </c>
      <c r="BE41" s="5">
        <f t="shared" ca="1" si="33"/>
        <v>0</v>
      </c>
      <c r="BF41" s="5">
        <f t="shared" ca="1" si="33"/>
        <v>0</v>
      </c>
      <c r="BG41" s="5">
        <f t="shared" ca="1" si="33"/>
        <v>0</v>
      </c>
      <c r="BH41" s="5">
        <f t="shared" ca="1" si="33"/>
        <v>0</v>
      </c>
      <c r="BI41" s="5">
        <f t="shared" ca="1" si="33"/>
        <v>0</v>
      </c>
      <c r="BJ41" s="5">
        <f t="shared" ca="1" si="33"/>
        <v>0</v>
      </c>
      <c r="BK41" s="5">
        <f t="shared" ca="1" si="33"/>
        <v>0</v>
      </c>
      <c r="BL41" s="5">
        <f t="shared" ca="1" si="33"/>
        <v>0</v>
      </c>
      <c r="BM41" s="5">
        <f t="shared" ca="1" si="33"/>
        <v>0</v>
      </c>
      <c r="BN41" s="5">
        <f t="shared" ca="1" si="33"/>
        <v>0</v>
      </c>
      <c r="BO41" s="5">
        <f t="shared" ca="1" si="33"/>
        <v>0</v>
      </c>
      <c r="BP41" s="5">
        <f t="shared" ref="BP41:CU41" ca="1" si="34">MIN(c_1*MAX(rm-sp-BP37,c_2),1)</f>
        <v>0</v>
      </c>
      <c r="BQ41" s="5">
        <f t="shared" ca="1" si="34"/>
        <v>0</v>
      </c>
      <c r="BR41" s="5">
        <f t="shared" ca="1" si="34"/>
        <v>0</v>
      </c>
      <c r="BS41" s="5">
        <f t="shared" ca="1" si="34"/>
        <v>0</v>
      </c>
      <c r="BT41" s="5">
        <f t="shared" ca="1" si="34"/>
        <v>0</v>
      </c>
      <c r="BU41" s="5">
        <f t="shared" ca="1" si="34"/>
        <v>0</v>
      </c>
      <c r="BV41" s="5">
        <f t="shared" ca="1" si="34"/>
        <v>0</v>
      </c>
      <c r="BW41" s="5">
        <f t="shared" ca="1" si="34"/>
        <v>0</v>
      </c>
      <c r="BX41" s="5">
        <f t="shared" ca="1" si="34"/>
        <v>0</v>
      </c>
      <c r="BY41" s="5">
        <f t="shared" ca="1" si="34"/>
        <v>0</v>
      </c>
      <c r="BZ41" s="5">
        <f t="shared" ca="1" si="34"/>
        <v>0</v>
      </c>
      <c r="CA41" s="5">
        <f t="shared" ca="1" si="34"/>
        <v>0</v>
      </c>
      <c r="CB41" s="5">
        <f t="shared" ca="1" si="34"/>
        <v>0</v>
      </c>
      <c r="CC41" s="5">
        <f t="shared" ca="1" si="34"/>
        <v>0</v>
      </c>
      <c r="CD41" s="5">
        <f t="shared" ca="1" si="34"/>
        <v>0</v>
      </c>
      <c r="CE41" s="5">
        <f t="shared" ca="1" si="34"/>
        <v>0</v>
      </c>
      <c r="CF41" s="5">
        <f t="shared" ca="1" si="34"/>
        <v>0</v>
      </c>
      <c r="CG41" s="5">
        <f t="shared" ca="1" si="34"/>
        <v>0</v>
      </c>
      <c r="CH41" s="5">
        <f t="shared" ca="1" si="34"/>
        <v>0</v>
      </c>
      <c r="CI41" s="5">
        <f t="shared" ca="1" si="34"/>
        <v>0</v>
      </c>
      <c r="CJ41" s="5">
        <f t="shared" ca="1" si="34"/>
        <v>0</v>
      </c>
      <c r="CK41" s="5">
        <f t="shared" ca="1" si="34"/>
        <v>0</v>
      </c>
      <c r="CL41" s="5">
        <f t="shared" ca="1" si="34"/>
        <v>0</v>
      </c>
      <c r="CM41" s="5">
        <f t="shared" ca="1" si="34"/>
        <v>0</v>
      </c>
      <c r="CN41" s="5">
        <f t="shared" ca="1" si="34"/>
        <v>0</v>
      </c>
      <c r="CO41" s="5">
        <f t="shared" ca="1" si="34"/>
        <v>0</v>
      </c>
      <c r="CP41" s="5">
        <f t="shared" ca="1" si="34"/>
        <v>0</v>
      </c>
      <c r="CQ41" s="5">
        <f t="shared" ca="1" si="34"/>
        <v>0</v>
      </c>
      <c r="CR41" s="5">
        <f t="shared" ca="1" si="34"/>
        <v>0</v>
      </c>
      <c r="CS41" s="5">
        <f t="shared" ca="1" si="34"/>
        <v>0</v>
      </c>
      <c r="CT41" s="5">
        <f t="shared" ca="1" si="34"/>
        <v>0</v>
      </c>
      <c r="CU41" s="5">
        <f t="shared" ca="1" si="34"/>
        <v>0</v>
      </c>
      <c r="CV41" s="5">
        <f t="shared" ref="CV41:DR41" ca="1" si="35">MIN(c_1*MAX(rm-sp-CV37,c_2),1)</f>
        <v>0</v>
      </c>
      <c r="CW41" s="5">
        <f t="shared" ca="1" si="35"/>
        <v>0</v>
      </c>
      <c r="CX41" s="5">
        <f t="shared" ca="1" si="35"/>
        <v>0</v>
      </c>
      <c r="CY41" s="5">
        <f t="shared" ca="1" si="35"/>
        <v>0</v>
      </c>
      <c r="CZ41" s="5">
        <f t="shared" ca="1" si="35"/>
        <v>0</v>
      </c>
      <c r="DA41" s="5">
        <f t="shared" ca="1" si="35"/>
        <v>0</v>
      </c>
      <c r="DB41" s="5">
        <f t="shared" ca="1" si="35"/>
        <v>0</v>
      </c>
      <c r="DC41" s="5">
        <f t="shared" ca="1" si="35"/>
        <v>0</v>
      </c>
      <c r="DD41" s="5">
        <f t="shared" ca="1" si="35"/>
        <v>0</v>
      </c>
      <c r="DE41" s="5">
        <f t="shared" ca="1" si="35"/>
        <v>0</v>
      </c>
      <c r="DF41" s="5">
        <f t="shared" ca="1" si="35"/>
        <v>0</v>
      </c>
      <c r="DG41" s="5">
        <f t="shared" ca="1" si="35"/>
        <v>0</v>
      </c>
      <c r="DH41" s="5">
        <f t="shared" ca="1" si="35"/>
        <v>0</v>
      </c>
      <c r="DI41" s="5">
        <f t="shared" ca="1" si="35"/>
        <v>0</v>
      </c>
      <c r="DJ41" s="5">
        <f t="shared" ca="1" si="35"/>
        <v>0</v>
      </c>
      <c r="DK41" s="5">
        <f t="shared" ca="1" si="35"/>
        <v>0</v>
      </c>
      <c r="DL41" s="5">
        <f t="shared" ca="1" si="35"/>
        <v>0</v>
      </c>
      <c r="DM41" s="5">
        <f t="shared" ca="1" si="35"/>
        <v>0</v>
      </c>
      <c r="DN41" s="5">
        <f t="shared" ca="1" si="35"/>
        <v>0</v>
      </c>
      <c r="DO41" s="5">
        <f t="shared" ca="1" si="35"/>
        <v>0</v>
      </c>
      <c r="DP41" s="5">
        <f t="shared" ca="1" si="35"/>
        <v>0</v>
      </c>
      <c r="DQ41" s="5">
        <f t="shared" ca="1" si="35"/>
        <v>0</v>
      </c>
      <c r="DR41" s="5">
        <f t="shared" ca="1" si="35"/>
        <v>0</v>
      </c>
      <c r="DS41" s="5"/>
    </row>
    <row r="42" spans="1:123" x14ac:dyDescent="0.35">
      <c r="A42" s="44" t="s">
        <v>32</v>
      </c>
      <c r="C42" s="20">
        <f>$C$32</f>
        <v>100000</v>
      </c>
      <c r="D42" s="4">
        <f t="shared" ref="D42:AI42" ca="1" si="36">MAX(C42-D44-D45,0)</f>
        <v>99488.251396083913</v>
      </c>
      <c r="E42" s="4">
        <f t="shared" ca="1" si="36"/>
        <v>98970.755855345851</v>
      </c>
      <c r="F42" s="4">
        <f t="shared" ca="1" si="36"/>
        <v>98447.448839685298</v>
      </c>
      <c r="G42" s="4">
        <f t="shared" ca="1" si="36"/>
        <v>97918.265086238869</v>
      </c>
      <c r="H42" s="4">
        <f t="shared" ca="1" si="36"/>
        <v>97383.13859924124</v>
      </c>
      <c r="I42" s="4">
        <f t="shared" ca="1" si="36"/>
        <v>96842.002641794636</v>
      </c>
      <c r="J42" s="4">
        <f t="shared" ca="1" si="36"/>
        <v>96294.789727545896</v>
      </c>
      <c r="K42" s="4">
        <f t="shared" ca="1" si="36"/>
        <v>95741.431612270142</v>
      </c>
      <c r="L42" s="4">
        <f t="shared" ca="1" si="36"/>
        <v>95181.859285359853</v>
      </c>
      <c r="M42" s="4">
        <f t="shared" ca="1" si="36"/>
        <v>94616.002961218357</v>
      </c>
      <c r="N42" s="4">
        <f t="shared" ca="1" si="36"/>
        <v>94043.792070556752</v>
      </c>
      <c r="O42" s="4">
        <f t="shared" ca="1" si="36"/>
        <v>93465.155251593009</v>
      </c>
      <c r="P42" s="4">
        <f t="shared" ca="1" si="36"/>
        <v>92880.020341152311</v>
      </c>
      <c r="Q42" s="4">
        <f t="shared" ca="1" si="36"/>
        <v>92288.314365667364</v>
      </c>
      <c r="R42" s="4">
        <f t="shared" ca="1" si="36"/>
        <v>91689.963532077716</v>
      </c>
      <c r="S42" s="4">
        <f t="shared" ca="1" si="36"/>
        <v>91084.893218626865</v>
      </c>
      <c r="T42" s="4">
        <f t="shared" ca="1" si="36"/>
        <v>90473.027965555957</v>
      </c>
      <c r="U42" s="4">
        <f t="shared" ca="1" si="36"/>
        <v>89854.291465693066</v>
      </c>
      <c r="V42" s="4">
        <f t="shared" ca="1" si="36"/>
        <v>89228.606554936705</v>
      </c>
      <c r="W42" s="4">
        <f t="shared" ca="1" si="36"/>
        <v>88595.895202632557</v>
      </c>
      <c r="X42" s="4">
        <f t="shared" ca="1" si="36"/>
        <v>87956.078501842028</v>
      </c>
      <c r="Y42" s="4">
        <f t="shared" ca="1" si="36"/>
        <v>87309.076659501632</v>
      </c>
      <c r="Z42" s="4">
        <f t="shared" ca="1" si="36"/>
        <v>86654.808986471748</v>
      </c>
      <c r="AA42" s="4">
        <f t="shared" ca="1" si="36"/>
        <v>85993.193887473739</v>
      </c>
      <c r="AB42" s="4">
        <f t="shared" ca="1" si="36"/>
        <v>85324.148850913974</v>
      </c>
      <c r="AC42" s="4">
        <f t="shared" ca="1" si="36"/>
        <v>84647.590438593645</v>
      </c>
      <c r="AD42" s="4">
        <f t="shared" ca="1" si="36"/>
        <v>83963.434275302963</v>
      </c>
      <c r="AE42" s="4">
        <f t="shared" ca="1" si="36"/>
        <v>83271.595038298532</v>
      </c>
      <c r="AF42" s="4">
        <f t="shared" ca="1" si="36"/>
        <v>82571.986446662529</v>
      </c>
      <c r="AG42" s="4">
        <f t="shared" ca="1" si="36"/>
        <v>81864.521250542457</v>
      </c>
      <c r="AH42" s="4">
        <f t="shared" ca="1" si="36"/>
        <v>81149.111220269959</v>
      </c>
      <c r="AI42" s="4">
        <f t="shared" ca="1" si="36"/>
        <v>80425.667135357508</v>
      </c>
      <c r="AJ42" s="4">
        <f t="shared" ref="AJ42:BO42" ca="1" si="37">MAX(AI42-AJ44-AJ45,0)</f>
        <v>79694.098773371486</v>
      </c>
      <c r="AK42" s="4">
        <f t="shared" ca="1" si="37"/>
        <v>78954.314898680357</v>
      </c>
      <c r="AL42" s="4">
        <f t="shared" ca="1" si="37"/>
        <v>78206.223251076444</v>
      </c>
      <c r="AM42" s="4">
        <f t="shared" ca="1" si="37"/>
        <v>77449.73053426994</v>
      </c>
      <c r="AN42" s="4">
        <f t="shared" ca="1" si="37"/>
        <v>76684.742404253702</v>
      </c>
      <c r="AO42" s="4">
        <f t="shared" ca="1" si="37"/>
        <v>75911.16345753739</v>
      </c>
      <c r="AP42" s="4">
        <f t="shared" ca="1" si="37"/>
        <v>75128.89721924944</v>
      </c>
      <c r="AQ42" s="4">
        <f t="shared" ca="1" si="37"/>
        <v>74337.846131105529</v>
      </c>
      <c r="AR42" s="4">
        <f t="shared" ca="1" si="37"/>
        <v>73537.911539241759</v>
      </c>
      <c r="AS42" s="4">
        <f t="shared" ca="1" si="37"/>
        <v>72728.99368191135</v>
      </c>
      <c r="AT42" s="4">
        <f t="shared" ca="1" si="37"/>
        <v>71910.99167704313</v>
      </c>
      <c r="AU42" s="4">
        <f t="shared" ca="1" si="37"/>
        <v>71083.80350966024</v>
      </c>
      <c r="AV42" s="4">
        <f t="shared" ca="1" si="37"/>
        <v>70247.326019157641</v>
      </c>
      <c r="AW42" s="4">
        <f t="shared" ca="1" si="37"/>
        <v>69401.454886436695</v>
      </c>
      <c r="AX42" s="4">
        <f t="shared" ca="1" si="37"/>
        <v>68546.084620895286</v>
      </c>
      <c r="AY42" s="4">
        <f t="shared" ca="1" si="37"/>
        <v>67681.108547271855</v>
      </c>
      <c r="AZ42" s="4">
        <f t="shared" ca="1" si="37"/>
        <v>66806.418792341632</v>
      </c>
      <c r="BA42" s="4">
        <f t="shared" ca="1" si="37"/>
        <v>65921.906271463537</v>
      </c>
      <c r="BB42" s="4">
        <f t="shared" ca="1" si="37"/>
        <v>65027.460674975984</v>
      </c>
      <c r="BC42" s="4">
        <f t="shared" ca="1" si="37"/>
        <v>64122.970454439877</v>
      </c>
      <c r="BD42" s="4">
        <f t="shared" ca="1" si="37"/>
        <v>63208.322808727149</v>
      </c>
      <c r="BE42" s="4">
        <f t="shared" ca="1" si="37"/>
        <v>62283.40366995307</v>
      </c>
      <c r="BF42" s="4">
        <f t="shared" ca="1" si="37"/>
        <v>61348.097689250557</v>
      </c>
      <c r="BG42" s="4">
        <f t="shared" ca="1" si="37"/>
        <v>60402.288222384755</v>
      </c>
      <c r="BH42" s="4">
        <f t="shared" ca="1" si="37"/>
        <v>59445.857315206049</v>
      </c>
      <c r="BI42" s="4">
        <f t="shared" ca="1" si="37"/>
        <v>58478.685688939724</v>
      </c>
      <c r="BJ42" s="4">
        <f t="shared" ca="1" si="37"/>
        <v>57500.652725310429</v>
      </c>
      <c r="BK42" s="4">
        <f t="shared" ca="1" si="37"/>
        <v>56511.636451499573</v>
      </c>
      <c r="BL42" s="4">
        <f t="shared" ca="1" si="37"/>
        <v>55511.513524933827</v>
      </c>
      <c r="BM42" s="4">
        <f t="shared" ca="1" si="37"/>
        <v>54500.159217902743</v>
      </c>
      <c r="BN42" s="4">
        <f t="shared" ca="1" si="37"/>
        <v>53477.447402003701</v>
      </c>
      <c r="BO42" s="4">
        <f t="shared" ca="1" si="37"/>
        <v>52443.250532412116</v>
      </c>
      <c r="BP42" s="4">
        <f t="shared" ref="BP42:CU42" ca="1" si="38">MAX(BO42-BP44-BP45,0)</f>
        <v>51397.439631975016</v>
      </c>
      <c r="BQ42" s="4">
        <f t="shared" ca="1" si="38"/>
        <v>50339.884275126009</v>
      </c>
      <c r="BR42" s="4">
        <f t="shared" ca="1" si="38"/>
        <v>49270.452571619586</v>
      </c>
      <c r="BS42" s="4">
        <f t="shared" ca="1" si="38"/>
        <v>48189.011150082784</v>
      </c>
      <c r="BT42" s="4">
        <f t="shared" ca="1" si="38"/>
        <v>47095.425141382126</v>
      </c>
      <c r="BU42" s="4">
        <f t="shared" ca="1" si="38"/>
        <v>45989.558161803761</v>
      </c>
      <c r="BV42" s="4">
        <f t="shared" ca="1" si="38"/>
        <v>44871.272296044728</v>
      </c>
      <c r="BW42" s="4">
        <f t="shared" ca="1" si="38"/>
        <v>43740.428080013226</v>
      </c>
      <c r="BX42" s="4">
        <f t="shared" ca="1" si="38"/>
        <v>42596.884483435686</v>
      </c>
      <c r="BY42" s="4">
        <f t="shared" ca="1" si="38"/>
        <v>41440.498892268581</v>
      </c>
      <c r="BZ42" s="4">
        <f t="shared" ca="1" si="38"/>
        <v>40271.127090912669</v>
      </c>
      <c r="CA42" s="4">
        <f t="shared" ca="1" si="38"/>
        <v>39088.623244227529</v>
      </c>
      <c r="CB42" s="4">
        <f t="shared" ca="1" si="38"/>
        <v>37892.839879344116</v>
      </c>
      <c r="CC42" s="4">
        <f t="shared" ca="1" si="38"/>
        <v>36683.627867273062</v>
      </c>
      <c r="CD42" s="4">
        <f t="shared" ca="1" si="38"/>
        <v>35460.83640430645</v>
      </c>
      <c r="CE42" s="4">
        <f t="shared" ca="1" si="38"/>
        <v>34224.312993210726</v>
      </c>
      <c r="CF42" s="4">
        <f t="shared" ca="1" si="38"/>
        <v>32973.903424208394</v>
      </c>
      <c r="CG42" s="4">
        <f t="shared" ca="1" si="38"/>
        <v>31709.451755746166</v>
      </c>
      <c r="CH42" s="4">
        <f t="shared" ca="1" si="38"/>
        <v>30430.800295047105</v>
      </c>
      <c r="CI42" s="4">
        <f t="shared" ca="1" si="38"/>
        <v>29137.789578444397</v>
      </c>
      <c r="CJ42" s="4">
        <f t="shared" ca="1" si="38"/>
        <v>27830.258351494238</v>
      </c>
      <c r="CK42" s="4">
        <f t="shared" ca="1" si="38"/>
        <v>26508.043548865429</v>
      </c>
      <c r="CL42" s="4">
        <f t="shared" ca="1" si="38"/>
        <v>25170.980274003101</v>
      </c>
      <c r="CM42" s="4">
        <f t="shared" ca="1" si="38"/>
        <v>23818.901778564068</v>
      </c>
      <c r="CN42" s="4">
        <f t="shared" ca="1" si="38"/>
        <v>22451.639441621253</v>
      </c>
      <c r="CO42" s="4">
        <f t="shared" ca="1" si="38"/>
        <v>21069.022748634572</v>
      </c>
      <c r="CP42" s="4">
        <f t="shared" ca="1" si="38"/>
        <v>19670.879270185651</v>
      </c>
      <c r="CQ42" s="4">
        <f t="shared" ca="1" si="38"/>
        <v>18257.034640473747</v>
      </c>
      <c r="CR42" s="4">
        <f t="shared" ca="1" si="38"/>
        <v>16827.312535570178</v>
      </c>
      <c r="CS42" s="4">
        <f t="shared" ca="1" si="38"/>
        <v>15381.534651428543</v>
      </c>
      <c r="CT42" s="4">
        <f t="shared" ca="1" si="38"/>
        <v>13919.520681647997</v>
      </c>
      <c r="CU42" s="4">
        <f t="shared" ca="1" si="38"/>
        <v>12441.088294986816</v>
      </c>
      <c r="CV42" s="4">
        <f t="shared" ref="CV42:DR42" ca="1" si="39">MAX(CU42-CV44-CV45,0)</f>
        <v>10946.053112623429</v>
      </c>
      <c r="CW42" s="4">
        <f t="shared" ca="1" si="39"/>
        <v>9434.2286851621011</v>
      </c>
      <c r="CX42" s="4">
        <f t="shared" ca="1" si="39"/>
        <v>7905.4264693803834</v>
      </c>
      <c r="CY42" s="4">
        <f t="shared" ca="1" si="39"/>
        <v>6359.4558047154369</v>
      </c>
      <c r="CZ42" s="4">
        <f t="shared" ca="1" si="39"/>
        <v>4796.1238894863027</v>
      </c>
      <c r="DA42" s="4">
        <f t="shared" ca="1" si="39"/>
        <v>3215.2357568491452</v>
      </c>
      <c r="DB42" s="4">
        <f t="shared" ca="1" si="39"/>
        <v>1616.5942504824725</v>
      </c>
      <c r="DC42" s="4">
        <f t="shared" ca="1" si="39"/>
        <v>0</v>
      </c>
      <c r="DD42" s="4">
        <f t="shared" ca="1" si="39"/>
        <v>0</v>
      </c>
      <c r="DE42" s="4">
        <f t="shared" ca="1" si="39"/>
        <v>0</v>
      </c>
      <c r="DF42" s="4">
        <f t="shared" ca="1" si="39"/>
        <v>0</v>
      </c>
      <c r="DG42" s="4">
        <f t="shared" ca="1" si="39"/>
        <v>0</v>
      </c>
      <c r="DH42" s="4">
        <f t="shared" ca="1" si="39"/>
        <v>0</v>
      </c>
      <c r="DI42" s="4">
        <f t="shared" ca="1" si="39"/>
        <v>0</v>
      </c>
      <c r="DJ42" s="4">
        <f t="shared" ca="1" si="39"/>
        <v>0</v>
      </c>
      <c r="DK42" s="4">
        <f t="shared" ca="1" si="39"/>
        <v>0</v>
      </c>
      <c r="DL42" s="4">
        <f t="shared" ca="1" si="39"/>
        <v>0</v>
      </c>
      <c r="DM42" s="4">
        <f t="shared" ca="1" si="39"/>
        <v>0</v>
      </c>
      <c r="DN42" s="4">
        <f t="shared" ca="1" si="39"/>
        <v>0</v>
      </c>
      <c r="DO42" s="4">
        <f t="shared" ca="1" si="39"/>
        <v>0</v>
      </c>
      <c r="DP42" s="4">
        <f t="shared" ca="1" si="39"/>
        <v>0</v>
      </c>
      <c r="DQ42" s="4">
        <f t="shared" ca="1" si="39"/>
        <v>0</v>
      </c>
      <c r="DR42" s="4">
        <f t="shared" ca="1" si="39"/>
        <v>0</v>
      </c>
      <c r="DS42" s="35"/>
    </row>
    <row r="43" spans="1:123" x14ac:dyDescent="0.35">
      <c r="A43" s="44" t="s">
        <v>5</v>
      </c>
      <c r="D43" s="4">
        <f>$B$8</f>
        <v>1634.7486039160885</v>
      </c>
      <c r="E43" s="4">
        <f t="shared" ref="E43:AJ43" ca="1" si="40">IF(C42&gt;0,MIN(D43*(1-D41),C42),0)</f>
        <v>1634.7486039160885</v>
      </c>
      <c r="F43" s="4">
        <f t="shared" ca="1" si="40"/>
        <v>1634.7486039160885</v>
      </c>
      <c r="G43" s="4">
        <f t="shared" ca="1" si="40"/>
        <v>1634.7486039160885</v>
      </c>
      <c r="H43" s="4">
        <f t="shared" ca="1" si="40"/>
        <v>1634.7486039160885</v>
      </c>
      <c r="I43" s="4">
        <f t="shared" ca="1" si="40"/>
        <v>1634.7486039160885</v>
      </c>
      <c r="J43" s="4">
        <f t="shared" ca="1" si="40"/>
        <v>1634.7486039160885</v>
      </c>
      <c r="K43" s="4">
        <f t="shared" ca="1" si="40"/>
        <v>1634.7486039160885</v>
      </c>
      <c r="L43" s="4">
        <f t="shared" ca="1" si="40"/>
        <v>1634.7486039160885</v>
      </c>
      <c r="M43" s="4">
        <f t="shared" ca="1" si="40"/>
        <v>1634.7486039160885</v>
      </c>
      <c r="N43" s="4">
        <f t="shared" ca="1" si="40"/>
        <v>1634.7486039160885</v>
      </c>
      <c r="O43" s="4">
        <f t="shared" ca="1" si="40"/>
        <v>1634.7486039160885</v>
      </c>
      <c r="P43" s="4">
        <f t="shared" ca="1" si="40"/>
        <v>1634.7486039160885</v>
      </c>
      <c r="Q43" s="4">
        <f t="shared" ca="1" si="40"/>
        <v>1634.7486039160885</v>
      </c>
      <c r="R43" s="4">
        <f t="shared" ca="1" si="40"/>
        <v>1634.7486039160885</v>
      </c>
      <c r="S43" s="4">
        <f t="shared" ca="1" si="40"/>
        <v>1634.7486039160885</v>
      </c>
      <c r="T43" s="4">
        <f t="shared" ca="1" si="40"/>
        <v>1634.7486039160885</v>
      </c>
      <c r="U43" s="4">
        <f t="shared" ca="1" si="40"/>
        <v>1634.7486039160885</v>
      </c>
      <c r="V43" s="4">
        <f t="shared" ca="1" si="40"/>
        <v>1634.7486039160885</v>
      </c>
      <c r="W43" s="4">
        <f t="shared" ca="1" si="40"/>
        <v>1634.7486039160885</v>
      </c>
      <c r="X43" s="4">
        <f t="shared" ca="1" si="40"/>
        <v>1634.7486039160885</v>
      </c>
      <c r="Y43" s="4">
        <f t="shared" ca="1" si="40"/>
        <v>1634.7486039160885</v>
      </c>
      <c r="Z43" s="4">
        <f t="shared" ca="1" si="40"/>
        <v>1634.7486039160885</v>
      </c>
      <c r="AA43" s="4">
        <f t="shared" ca="1" si="40"/>
        <v>1634.7486039160885</v>
      </c>
      <c r="AB43" s="4">
        <f t="shared" ca="1" si="40"/>
        <v>1634.7486039160885</v>
      </c>
      <c r="AC43" s="4">
        <f t="shared" ca="1" si="40"/>
        <v>1634.7486039160885</v>
      </c>
      <c r="AD43" s="4">
        <f t="shared" ca="1" si="40"/>
        <v>1634.7486039160885</v>
      </c>
      <c r="AE43" s="4">
        <f t="shared" ca="1" si="40"/>
        <v>1634.7486039160885</v>
      </c>
      <c r="AF43" s="4">
        <f t="shared" ca="1" si="40"/>
        <v>1634.7486039160885</v>
      </c>
      <c r="AG43" s="4">
        <f t="shared" ca="1" si="40"/>
        <v>1634.7486039160885</v>
      </c>
      <c r="AH43" s="4">
        <f t="shared" ca="1" si="40"/>
        <v>1634.7486039160885</v>
      </c>
      <c r="AI43" s="4">
        <f t="shared" ca="1" si="40"/>
        <v>1634.7486039160885</v>
      </c>
      <c r="AJ43" s="4">
        <f t="shared" ca="1" si="40"/>
        <v>1634.7486039160885</v>
      </c>
      <c r="AK43" s="4">
        <f t="shared" ref="AK43:BP43" ca="1" si="41">IF(AI42&gt;0,MIN(AJ43*(1-AJ41),AI42),0)</f>
        <v>1634.7486039160885</v>
      </c>
      <c r="AL43" s="4">
        <f t="shared" ca="1" si="41"/>
        <v>1634.7486039160885</v>
      </c>
      <c r="AM43" s="4">
        <f t="shared" ca="1" si="41"/>
        <v>1634.7486039160885</v>
      </c>
      <c r="AN43" s="4">
        <f t="shared" ca="1" si="41"/>
        <v>1634.7486039160885</v>
      </c>
      <c r="AO43" s="4">
        <f t="shared" ca="1" si="41"/>
        <v>1634.7486039160885</v>
      </c>
      <c r="AP43" s="4">
        <f t="shared" ca="1" si="41"/>
        <v>1634.7486039160885</v>
      </c>
      <c r="AQ43" s="4">
        <f t="shared" ca="1" si="41"/>
        <v>1634.7486039160885</v>
      </c>
      <c r="AR43" s="4">
        <f t="shared" ca="1" si="41"/>
        <v>1634.7486039160885</v>
      </c>
      <c r="AS43" s="4">
        <f t="shared" ca="1" si="41"/>
        <v>1634.7486039160885</v>
      </c>
      <c r="AT43" s="4">
        <f t="shared" ca="1" si="41"/>
        <v>1634.7486039160885</v>
      </c>
      <c r="AU43" s="4">
        <f t="shared" ca="1" si="41"/>
        <v>1634.7486039160885</v>
      </c>
      <c r="AV43" s="4">
        <f t="shared" ca="1" si="41"/>
        <v>1634.7486039160885</v>
      </c>
      <c r="AW43" s="4">
        <f t="shared" ca="1" si="41"/>
        <v>1634.7486039160885</v>
      </c>
      <c r="AX43" s="4">
        <f t="shared" ca="1" si="41"/>
        <v>1634.7486039160885</v>
      </c>
      <c r="AY43" s="4">
        <f t="shared" ca="1" si="41"/>
        <v>1634.7486039160885</v>
      </c>
      <c r="AZ43" s="4">
        <f t="shared" ca="1" si="41"/>
        <v>1634.7486039160885</v>
      </c>
      <c r="BA43" s="4">
        <f t="shared" ca="1" si="41"/>
        <v>1634.7486039160885</v>
      </c>
      <c r="BB43" s="4">
        <f t="shared" ca="1" si="41"/>
        <v>1634.7486039160885</v>
      </c>
      <c r="BC43" s="4">
        <f t="shared" ca="1" si="41"/>
        <v>1634.7486039160885</v>
      </c>
      <c r="BD43" s="4">
        <f t="shared" ca="1" si="41"/>
        <v>1634.7486039160885</v>
      </c>
      <c r="BE43" s="4">
        <f t="shared" ca="1" si="41"/>
        <v>1634.7486039160885</v>
      </c>
      <c r="BF43" s="4">
        <f t="shared" ca="1" si="41"/>
        <v>1634.7486039160885</v>
      </c>
      <c r="BG43" s="4">
        <f t="shared" ca="1" si="41"/>
        <v>1634.7486039160885</v>
      </c>
      <c r="BH43" s="4">
        <f t="shared" ca="1" si="41"/>
        <v>1634.7486039160885</v>
      </c>
      <c r="BI43" s="4">
        <f t="shared" ca="1" si="41"/>
        <v>1634.7486039160885</v>
      </c>
      <c r="BJ43" s="4">
        <f t="shared" ca="1" si="41"/>
        <v>1634.7486039160885</v>
      </c>
      <c r="BK43" s="4">
        <f t="shared" ca="1" si="41"/>
        <v>1634.7486039160885</v>
      </c>
      <c r="BL43" s="4">
        <f t="shared" ca="1" si="41"/>
        <v>1634.7486039160885</v>
      </c>
      <c r="BM43" s="4">
        <f t="shared" ca="1" si="41"/>
        <v>1634.7486039160885</v>
      </c>
      <c r="BN43" s="4">
        <f t="shared" ca="1" si="41"/>
        <v>1634.7486039160885</v>
      </c>
      <c r="BO43" s="4">
        <f t="shared" ca="1" si="41"/>
        <v>1634.7486039160885</v>
      </c>
      <c r="BP43" s="4">
        <f t="shared" ca="1" si="41"/>
        <v>1634.7486039160885</v>
      </c>
      <c r="BQ43" s="4">
        <f t="shared" ref="BQ43:CV43" ca="1" si="42">IF(BO42&gt;0,MIN(BP43*(1-BP41),BO42),0)</f>
        <v>1634.7486039160885</v>
      </c>
      <c r="BR43" s="4">
        <f t="shared" ca="1" si="42"/>
        <v>1634.7486039160885</v>
      </c>
      <c r="BS43" s="4">
        <f t="shared" ca="1" si="42"/>
        <v>1634.7486039160885</v>
      </c>
      <c r="BT43" s="4">
        <f t="shared" ca="1" si="42"/>
        <v>1634.7486039160885</v>
      </c>
      <c r="BU43" s="4">
        <f t="shared" ca="1" si="42"/>
        <v>1634.7486039160885</v>
      </c>
      <c r="BV43" s="4">
        <f t="shared" ca="1" si="42"/>
        <v>1634.7486039160885</v>
      </c>
      <c r="BW43" s="4">
        <f t="shared" ca="1" si="42"/>
        <v>1634.7486039160885</v>
      </c>
      <c r="BX43" s="4">
        <f t="shared" ca="1" si="42"/>
        <v>1634.7486039160885</v>
      </c>
      <c r="BY43" s="4">
        <f t="shared" ca="1" si="42"/>
        <v>1634.7486039160885</v>
      </c>
      <c r="BZ43" s="4">
        <f t="shared" ca="1" si="42"/>
        <v>1634.7486039160885</v>
      </c>
      <c r="CA43" s="4">
        <f t="shared" ca="1" si="42"/>
        <v>1634.7486039160885</v>
      </c>
      <c r="CB43" s="4">
        <f t="shared" ca="1" si="42"/>
        <v>1634.7486039160885</v>
      </c>
      <c r="CC43" s="4">
        <f t="shared" ca="1" si="42"/>
        <v>1634.7486039160885</v>
      </c>
      <c r="CD43" s="4">
        <f t="shared" ca="1" si="42"/>
        <v>1634.7486039160885</v>
      </c>
      <c r="CE43" s="4">
        <f t="shared" ca="1" si="42"/>
        <v>1634.7486039160885</v>
      </c>
      <c r="CF43" s="4">
        <f t="shared" ca="1" si="42"/>
        <v>1634.7486039160885</v>
      </c>
      <c r="CG43" s="4">
        <f t="shared" ca="1" si="42"/>
        <v>1634.7486039160885</v>
      </c>
      <c r="CH43" s="4">
        <f t="shared" ca="1" si="42"/>
        <v>1634.7486039160885</v>
      </c>
      <c r="CI43" s="4">
        <f t="shared" ca="1" si="42"/>
        <v>1634.7486039160885</v>
      </c>
      <c r="CJ43" s="4">
        <f t="shared" ca="1" si="42"/>
        <v>1634.7486039160885</v>
      </c>
      <c r="CK43" s="4">
        <f t="shared" ca="1" si="42"/>
        <v>1634.7486039160885</v>
      </c>
      <c r="CL43" s="4">
        <f t="shared" ca="1" si="42"/>
        <v>1634.7486039160885</v>
      </c>
      <c r="CM43" s="4">
        <f t="shared" ca="1" si="42"/>
        <v>1634.7486039160885</v>
      </c>
      <c r="CN43" s="4">
        <f t="shared" ca="1" si="42"/>
        <v>1634.7486039160885</v>
      </c>
      <c r="CO43" s="4">
        <f t="shared" ca="1" si="42"/>
        <v>1634.7486039160885</v>
      </c>
      <c r="CP43" s="4">
        <f t="shared" ca="1" si="42"/>
        <v>1634.7486039160885</v>
      </c>
      <c r="CQ43" s="4">
        <f t="shared" ca="1" si="42"/>
        <v>1634.7486039160885</v>
      </c>
      <c r="CR43" s="4">
        <f t="shared" ca="1" si="42"/>
        <v>1634.7486039160885</v>
      </c>
      <c r="CS43" s="4">
        <f t="shared" ca="1" si="42"/>
        <v>1634.7486039160885</v>
      </c>
      <c r="CT43" s="4">
        <f t="shared" ca="1" si="42"/>
        <v>1634.7486039160885</v>
      </c>
      <c r="CU43" s="4">
        <f t="shared" ca="1" si="42"/>
        <v>1634.7486039160885</v>
      </c>
      <c r="CV43" s="4">
        <f t="shared" ca="1" si="42"/>
        <v>1634.7486039160885</v>
      </c>
      <c r="CW43" s="4">
        <f t="shared" ref="CW43:DS43" ca="1" si="43">IF(CU42&gt;0,MIN(CV43*(1-CV41),CU42),0)</f>
        <v>1634.7486039160885</v>
      </c>
      <c r="CX43" s="4">
        <f t="shared" ca="1" si="43"/>
        <v>1634.7486039160885</v>
      </c>
      <c r="CY43" s="4">
        <f t="shared" ca="1" si="43"/>
        <v>1634.7486039160885</v>
      </c>
      <c r="CZ43" s="4">
        <f t="shared" ca="1" si="43"/>
        <v>1634.7486039160885</v>
      </c>
      <c r="DA43" s="4">
        <f t="shared" ca="1" si="43"/>
        <v>1634.7486039160885</v>
      </c>
      <c r="DB43" s="4">
        <f t="shared" ca="1" si="43"/>
        <v>1634.7486039160885</v>
      </c>
      <c r="DC43" s="4">
        <f t="shared" ca="1" si="43"/>
        <v>1634.7486039160885</v>
      </c>
      <c r="DD43" s="4">
        <f t="shared" ca="1" si="43"/>
        <v>1616.5942504824725</v>
      </c>
      <c r="DE43" s="4">
        <f t="shared" ca="1" si="43"/>
        <v>0</v>
      </c>
      <c r="DF43" s="4">
        <f t="shared" ca="1" si="43"/>
        <v>0</v>
      </c>
      <c r="DG43" s="4">
        <f t="shared" ca="1" si="43"/>
        <v>0</v>
      </c>
      <c r="DH43" s="4">
        <f t="shared" ca="1" si="43"/>
        <v>0</v>
      </c>
      <c r="DI43" s="4">
        <f t="shared" ca="1" si="43"/>
        <v>0</v>
      </c>
      <c r="DJ43" s="4">
        <f t="shared" ca="1" si="43"/>
        <v>0</v>
      </c>
      <c r="DK43" s="4">
        <f t="shared" ca="1" si="43"/>
        <v>0</v>
      </c>
      <c r="DL43" s="4">
        <f t="shared" ca="1" si="43"/>
        <v>0</v>
      </c>
      <c r="DM43" s="4">
        <f t="shared" ca="1" si="43"/>
        <v>0</v>
      </c>
      <c r="DN43" s="4">
        <f t="shared" ca="1" si="43"/>
        <v>0</v>
      </c>
      <c r="DO43" s="4">
        <f t="shared" ca="1" si="43"/>
        <v>0</v>
      </c>
      <c r="DP43" s="4">
        <f t="shared" ca="1" si="43"/>
        <v>0</v>
      </c>
      <c r="DQ43" s="4">
        <f t="shared" ca="1" si="43"/>
        <v>0</v>
      </c>
      <c r="DR43" s="4">
        <f t="shared" ca="1" si="43"/>
        <v>0</v>
      </c>
      <c r="DS43">
        <f t="shared" ca="1" si="43"/>
        <v>0</v>
      </c>
    </row>
    <row r="44" spans="1:123" x14ac:dyDescent="0.35">
      <c r="A44" s="44" t="s">
        <v>36</v>
      </c>
      <c r="D44" s="4">
        <f t="shared" ref="D44:AI44" si="44">(D43-$B$6*h*C42)</f>
        <v>511.74860391608854</v>
      </c>
      <c r="E44" s="4">
        <f t="shared" ca="1" si="44"/>
        <v>517.49554073806621</v>
      </c>
      <c r="F44" s="4">
        <f t="shared" ca="1" si="44"/>
        <v>523.3070156605545</v>
      </c>
      <c r="G44" s="4">
        <f t="shared" ca="1" si="44"/>
        <v>529.18375344642254</v>
      </c>
      <c r="H44" s="4">
        <f t="shared" ca="1" si="44"/>
        <v>535.12648699762599</v>
      </c>
      <c r="I44" s="4">
        <f t="shared" ca="1" si="44"/>
        <v>541.13595744660938</v>
      </c>
      <c r="J44" s="4">
        <f t="shared" ca="1" si="44"/>
        <v>547.21291424873471</v>
      </c>
      <c r="K44" s="4">
        <f t="shared" ca="1" si="44"/>
        <v>553.3581152757481</v>
      </c>
      <c r="L44" s="4">
        <f t="shared" ca="1" si="44"/>
        <v>559.57232691029481</v>
      </c>
      <c r="M44" s="4">
        <f t="shared" ca="1" si="44"/>
        <v>565.85632414149745</v>
      </c>
      <c r="N44" s="4">
        <f t="shared" ca="1" si="44"/>
        <v>572.2108906616063</v>
      </c>
      <c r="O44" s="4">
        <f t="shared" ca="1" si="44"/>
        <v>578.63681896373623</v>
      </c>
      <c r="P44" s="4">
        <f t="shared" ca="1" si="44"/>
        <v>585.13491044069906</v>
      </c>
      <c r="Q44" s="4">
        <f t="shared" ca="1" si="44"/>
        <v>591.70597548494811</v>
      </c>
      <c r="R44" s="4">
        <f t="shared" ca="1" si="44"/>
        <v>598.35083358964403</v>
      </c>
      <c r="S44" s="4">
        <f t="shared" ca="1" si="44"/>
        <v>605.07031345085579</v>
      </c>
      <c r="T44" s="4">
        <f t="shared" ca="1" si="44"/>
        <v>611.86525307090881</v>
      </c>
      <c r="U44" s="4">
        <f t="shared" ca="1" si="44"/>
        <v>618.73649986289513</v>
      </c>
      <c r="V44" s="4">
        <f t="shared" ca="1" si="44"/>
        <v>625.68491075635541</v>
      </c>
      <c r="W44" s="4">
        <f t="shared" ca="1" si="44"/>
        <v>632.71135230414927</v>
      </c>
      <c r="X44" s="4">
        <f t="shared" ca="1" si="44"/>
        <v>639.81670079052492</v>
      </c>
      <c r="Y44" s="4">
        <f t="shared" ca="1" si="44"/>
        <v>647.0018423404025</v>
      </c>
      <c r="Z44" s="4">
        <f t="shared" ca="1" si="44"/>
        <v>654.26767302988515</v>
      </c>
      <c r="AA44" s="4">
        <f t="shared" ca="1" si="44"/>
        <v>661.61509899801081</v>
      </c>
      <c r="AB44" s="4">
        <f t="shared" ca="1" si="44"/>
        <v>669.04503655975839</v>
      </c>
      <c r="AC44" s="4">
        <f t="shared" ca="1" si="44"/>
        <v>676.55841232032458</v>
      </c>
      <c r="AD44" s="4">
        <f t="shared" ca="1" si="44"/>
        <v>684.15616329068189</v>
      </c>
      <c r="AE44" s="4">
        <f t="shared" ca="1" si="44"/>
        <v>691.8392370044362</v>
      </c>
      <c r="AF44" s="4">
        <f t="shared" ca="1" si="44"/>
        <v>699.60859163599605</v>
      </c>
      <c r="AG44" s="4">
        <f t="shared" ca="1" si="44"/>
        <v>707.4651961200683</v>
      </c>
      <c r="AH44" s="4">
        <f t="shared" ca="1" si="44"/>
        <v>715.41003027249667</v>
      </c>
      <c r="AI44" s="4">
        <f t="shared" ca="1" si="44"/>
        <v>723.4440849124569</v>
      </c>
      <c r="AJ44" s="4">
        <f t="shared" ref="AJ44:BO44" ca="1" si="45">(AJ43-$B$6*h*AI42)</f>
        <v>731.56836198602366</v>
      </c>
      <c r="AK44" s="4">
        <f t="shared" ca="1" si="45"/>
        <v>739.7838746911267</v>
      </c>
      <c r="AL44" s="4">
        <f t="shared" ca="1" si="45"/>
        <v>748.09164760390809</v>
      </c>
      <c r="AM44" s="4">
        <f t="shared" ca="1" si="45"/>
        <v>756.49271680650008</v>
      </c>
      <c r="AN44" s="4">
        <f t="shared" ca="1" si="45"/>
        <v>764.98813001623705</v>
      </c>
      <c r="AO44" s="4">
        <f t="shared" ca="1" si="45"/>
        <v>773.57894671631948</v>
      </c>
      <c r="AP44" s="4">
        <f t="shared" ca="1" si="45"/>
        <v>782.26623828794357</v>
      </c>
      <c r="AQ44" s="4">
        <f t="shared" ca="1" si="45"/>
        <v>791.05108814391724</v>
      </c>
      <c r="AR44" s="4">
        <f t="shared" ca="1" si="45"/>
        <v>799.93459186377345</v>
      </c>
      <c r="AS44" s="4">
        <f t="shared" ca="1" si="45"/>
        <v>808.91785733040354</v>
      </c>
      <c r="AT44" s="4">
        <f t="shared" ca="1" si="45"/>
        <v>818.00200486822405</v>
      </c>
      <c r="AU44" s="4">
        <f t="shared" ca="1" si="45"/>
        <v>827.18816738289411</v>
      </c>
      <c r="AV44" s="4">
        <f t="shared" ca="1" si="45"/>
        <v>836.47749050260404</v>
      </c>
      <c r="AW44" s="4">
        <f t="shared" ca="1" si="45"/>
        <v>845.87113272094825</v>
      </c>
      <c r="AX44" s="4">
        <f t="shared" ca="1" si="45"/>
        <v>855.37026554140448</v>
      </c>
      <c r="AY44" s="4">
        <f t="shared" ca="1" si="45"/>
        <v>864.97607362343444</v>
      </c>
      <c r="AZ44" s="4">
        <f t="shared" ca="1" si="45"/>
        <v>874.6897549302256</v>
      </c>
      <c r="BA44" s="4">
        <f t="shared" ca="1" si="45"/>
        <v>884.512520878092</v>
      </c>
      <c r="BB44" s="4">
        <f t="shared" ca="1" si="45"/>
        <v>894.44559648755296</v>
      </c>
      <c r="BC44" s="4">
        <f t="shared" ca="1" si="45"/>
        <v>904.49022053610827</v>
      </c>
      <c r="BD44" s="4">
        <f t="shared" ca="1" si="45"/>
        <v>914.64764571272872</v>
      </c>
      <c r="BE44" s="4">
        <f t="shared" ca="1" si="45"/>
        <v>924.91913877408263</v>
      </c>
      <c r="BF44" s="4">
        <f t="shared" ca="1" si="45"/>
        <v>935.30598070251551</v>
      </c>
      <c r="BG44" s="4">
        <f t="shared" ca="1" si="45"/>
        <v>945.80946686580478</v>
      </c>
      <c r="BH44" s="4">
        <f t="shared" ca="1" si="45"/>
        <v>956.43090717870768</v>
      </c>
      <c r="BI44" s="4">
        <f t="shared" ca="1" si="45"/>
        <v>967.17162626632455</v>
      </c>
      <c r="BJ44" s="4">
        <f t="shared" ca="1" si="45"/>
        <v>978.03296362929541</v>
      </c>
      <c r="BK44" s="4">
        <f t="shared" ca="1" si="45"/>
        <v>989.01627381085245</v>
      </c>
      <c r="BL44" s="4">
        <f t="shared" ca="1" si="45"/>
        <v>1000.1229265657483</v>
      </c>
      <c r="BM44" s="4">
        <f t="shared" ca="1" si="45"/>
        <v>1011.3543070310816</v>
      </c>
      <c r="BN44" s="4">
        <f t="shared" ca="1" si="45"/>
        <v>1022.7118158990407</v>
      </c>
      <c r="BO44" s="4">
        <f t="shared" ca="1" si="45"/>
        <v>1034.1968695915871</v>
      </c>
      <c r="BP44" s="4">
        <f t="shared" ref="BP44:CU44" ca="1" si="46">(BP43-$B$6*h*BO42)</f>
        <v>1045.8109004371004</v>
      </c>
      <c r="BQ44" s="4">
        <f t="shared" ca="1" si="46"/>
        <v>1057.5553568490091</v>
      </c>
      <c r="BR44" s="4">
        <f t="shared" ca="1" si="46"/>
        <v>1069.4317035064234</v>
      </c>
      <c r="BS44" s="4">
        <f t="shared" ca="1" si="46"/>
        <v>1081.4414215368006</v>
      </c>
      <c r="BT44" s="4">
        <f t="shared" ca="1" si="46"/>
        <v>1093.586008700659</v>
      </c>
      <c r="BU44" s="4">
        <f t="shared" ca="1" si="46"/>
        <v>1105.8669795783671</v>
      </c>
      <c r="BV44" s="4">
        <f t="shared" ca="1" si="46"/>
        <v>1118.2858657590323</v>
      </c>
      <c r="BW44" s="4">
        <f t="shared" ca="1" si="46"/>
        <v>1130.8442160315062</v>
      </c>
      <c r="BX44" s="4">
        <f t="shared" ca="1" si="46"/>
        <v>1143.54359657754</v>
      </c>
      <c r="BY44" s="4">
        <f t="shared" ca="1" si="46"/>
        <v>1156.3855911671058</v>
      </c>
      <c r="BZ44" s="4">
        <f t="shared" ca="1" si="46"/>
        <v>1169.3718013559123</v>
      </c>
      <c r="CA44" s="4">
        <f t="shared" ca="1" si="46"/>
        <v>1182.5038466851393</v>
      </c>
      <c r="CB44" s="4">
        <f t="shared" ca="1" si="46"/>
        <v>1195.7833648834135</v>
      </c>
      <c r="CC44" s="4">
        <f t="shared" ca="1" si="46"/>
        <v>1209.2120120710542</v>
      </c>
      <c r="CD44" s="4">
        <f t="shared" ca="1" si="46"/>
        <v>1222.791462966612</v>
      </c>
      <c r="CE44" s="4">
        <f t="shared" ca="1" si="46"/>
        <v>1236.5234110957272</v>
      </c>
      <c r="CF44" s="4">
        <f t="shared" ca="1" si="46"/>
        <v>1250.4095690023321</v>
      </c>
      <c r="CG44" s="4">
        <f t="shared" ca="1" si="46"/>
        <v>1264.4516684622283</v>
      </c>
      <c r="CH44" s="4">
        <f t="shared" ca="1" si="46"/>
        <v>1278.651460699059</v>
      </c>
      <c r="CI44" s="4">
        <f t="shared" ca="1" si="46"/>
        <v>1293.0107166027096</v>
      </c>
      <c r="CJ44" s="4">
        <f t="shared" ca="1" si="46"/>
        <v>1307.5312269501578</v>
      </c>
      <c r="CK44" s="4">
        <f t="shared" ca="1" si="46"/>
        <v>1322.2148026288082</v>
      </c>
      <c r="CL44" s="4">
        <f t="shared" ca="1" si="46"/>
        <v>1337.0632748623298</v>
      </c>
      <c r="CM44" s="4">
        <f t="shared" ca="1" si="46"/>
        <v>1352.0784954390338</v>
      </c>
      <c r="CN44" s="4">
        <f t="shared" ca="1" si="46"/>
        <v>1367.262336942814</v>
      </c>
      <c r="CO44" s="4">
        <f t="shared" ca="1" si="46"/>
        <v>1382.6166929866818</v>
      </c>
      <c r="CP44" s="4">
        <f t="shared" ca="1" si="46"/>
        <v>1398.1434784489222</v>
      </c>
      <c r="CQ44" s="4">
        <f t="shared" ca="1" si="46"/>
        <v>1413.8446297119037</v>
      </c>
      <c r="CR44" s="4">
        <f t="shared" ca="1" si="46"/>
        <v>1429.7221049035684</v>
      </c>
      <c r="CS44" s="4">
        <f t="shared" ca="1" si="46"/>
        <v>1445.7778841416355</v>
      </c>
      <c r="CT44" s="4">
        <f t="shared" ca="1" si="46"/>
        <v>1462.0139697805459</v>
      </c>
      <c r="CU44" s="4">
        <f t="shared" ca="1" si="46"/>
        <v>1478.4323866611815</v>
      </c>
      <c r="CV44" s="4">
        <f t="shared" ref="CV44:DS44" ca="1" si="47">(CV43-$B$6*h*CU42)</f>
        <v>1495.0351823633866</v>
      </c>
      <c r="CW44" s="4">
        <f t="shared" ca="1" si="47"/>
        <v>1511.8244274613273</v>
      </c>
      <c r="CX44" s="4">
        <f t="shared" ca="1" si="47"/>
        <v>1528.8022157817181</v>
      </c>
      <c r="CY44" s="4">
        <f t="shared" ca="1" si="47"/>
        <v>1545.9706646649468</v>
      </c>
      <c r="CZ44" s="4">
        <f t="shared" ca="1" si="47"/>
        <v>1563.3319152291342</v>
      </c>
      <c r="DA44" s="4">
        <f t="shared" ca="1" si="47"/>
        <v>1580.8881326371575</v>
      </c>
      <c r="DB44" s="4">
        <f t="shared" ca="1" si="47"/>
        <v>1598.6415063666727</v>
      </c>
      <c r="DC44" s="4">
        <f t="shared" ca="1" si="47"/>
        <v>1616.5942504831703</v>
      </c>
      <c r="DD44" s="4">
        <f t="shared" ca="1" si="47"/>
        <v>1616.5942504824725</v>
      </c>
      <c r="DE44" s="4">
        <f t="shared" ca="1" si="47"/>
        <v>0</v>
      </c>
      <c r="DF44" s="4">
        <f t="shared" ca="1" si="47"/>
        <v>0</v>
      </c>
      <c r="DG44" s="4">
        <f t="shared" ca="1" si="47"/>
        <v>0</v>
      </c>
      <c r="DH44" s="4">
        <f t="shared" ca="1" si="47"/>
        <v>0</v>
      </c>
      <c r="DI44" s="4">
        <f t="shared" ca="1" si="47"/>
        <v>0</v>
      </c>
      <c r="DJ44" s="4">
        <f t="shared" ca="1" si="47"/>
        <v>0</v>
      </c>
      <c r="DK44" s="4">
        <f t="shared" ca="1" si="47"/>
        <v>0</v>
      </c>
      <c r="DL44" s="4">
        <f t="shared" ca="1" si="47"/>
        <v>0</v>
      </c>
      <c r="DM44" s="4">
        <f t="shared" ca="1" si="47"/>
        <v>0</v>
      </c>
      <c r="DN44" s="4">
        <f t="shared" ca="1" si="47"/>
        <v>0</v>
      </c>
      <c r="DO44" s="4">
        <f t="shared" ca="1" si="47"/>
        <v>0</v>
      </c>
      <c r="DP44" s="4">
        <f t="shared" ca="1" si="47"/>
        <v>0</v>
      </c>
      <c r="DQ44" s="4">
        <f t="shared" ca="1" si="47"/>
        <v>0</v>
      </c>
      <c r="DR44" s="4">
        <f t="shared" ca="1" si="47"/>
        <v>0</v>
      </c>
      <c r="DS44">
        <f t="shared" ca="1" si="47"/>
        <v>0</v>
      </c>
    </row>
    <row r="45" spans="1:123" x14ac:dyDescent="0.35">
      <c r="A45" s="44" t="s">
        <v>37</v>
      </c>
      <c r="D45" s="4">
        <f t="shared" ref="D45:AI45" ca="1" si="48">D41*(C42-D44)</f>
        <v>0</v>
      </c>
      <c r="E45" s="4">
        <f t="shared" ca="1" si="48"/>
        <v>0</v>
      </c>
      <c r="F45" s="4">
        <f t="shared" ca="1" si="48"/>
        <v>0</v>
      </c>
      <c r="G45" s="4">
        <f t="shared" ca="1" si="48"/>
        <v>0</v>
      </c>
      <c r="H45" s="4">
        <f t="shared" ca="1" si="48"/>
        <v>0</v>
      </c>
      <c r="I45" s="4">
        <f t="shared" ca="1" si="48"/>
        <v>0</v>
      </c>
      <c r="J45" s="4">
        <f t="shared" ca="1" si="48"/>
        <v>0</v>
      </c>
      <c r="K45" s="4">
        <f t="shared" ca="1" si="48"/>
        <v>0</v>
      </c>
      <c r="L45" s="4">
        <f t="shared" ca="1" si="48"/>
        <v>0</v>
      </c>
      <c r="M45" s="4">
        <f t="shared" ca="1" si="48"/>
        <v>0</v>
      </c>
      <c r="N45" s="4">
        <f t="shared" ca="1" si="48"/>
        <v>0</v>
      </c>
      <c r="O45" s="4">
        <f t="shared" ca="1" si="48"/>
        <v>0</v>
      </c>
      <c r="P45" s="4">
        <f t="shared" ca="1" si="48"/>
        <v>0</v>
      </c>
      <c r="Q45" s="4">
        <f t="shared" ca="1" si="48"/>
        <v>0</v>
      </c>
      <c r="R45" s="4">
        <f t="shared" ca="1" si="48"/>
        <v>0</v>
      </c>
      <c r="S45" s="4">
        <f t="shared" ca="1" si="48"/>
        <v>0</v>
      </c>
      <c r="T45" s="4">
        <f t="shared" ca="1" si="48"/>
        <v>0</v>
      </c>
      <c r="U45" s="4">
        <f t="shared" ca="1" si="48"/>
        <v>0</v>
      </c>
      <c r="V45" s="4">
        <f t="shared" ca="1" si="48"/>
        <v>0</v>
      </c>
      <c r="W45" s="4">
        <f t="shared" ca="1" si="48"/>
        <v>0</v>
      </c>
      <c r="X45" s="4">
        <f t="shared" ca="1" si="48"/>
        <v>0</v>
      </c>
      <c r="Y45" s="4">
        <f t="shared" ca="1" si="48"/>
        <v>0</v>
      </c>
      <c r="Z45" s="4">
        <f t="shared" ca="1" si="48"/>
        <v>0</v>
      </c>
      <c r="AA45" s="4">
        <f t="shared" ca="1" si="48"/>
        <v>0</v>
      </c>
      <c r="AB45" s="4">
        <f t="shared" ca="1" si="48"/>
        <v>0</v>
      </c>
      <c r="AC45" s="4">
        <f t="shared" ca="1" si="48"/>
        <v>0</v>
      </c>
      <c r="AD45" s="4">
        <f t="shared" ca="1" si="48"/>
        <v>0</v>
      </c>
      <c r="AE45" s="4">
        <f t="shared" ca="1" si="48"/>
        <v>0</v>
      </c>
      <c r="AF45" s="4">
        <f t="shared" ca="1" si="48"/>
        <v>0</v>
      </c>
      <c r="AG45" s="4">
        <f t="shared" ca="1" si="48"/>
        <v>0</v>
      </c>
      <c r="AH45" s="4">
        <f t="shared" ca="1" si="48"/>
        <v>0</v>
      </c>
      <c r="AI45" s="4">
        <f t="shared" ca="1" si="48"/>
        <v>0</v>
      </c>
      <c r="AJ45" s="4">
        <f t="shared" ref="AJ45:BO45" ca="1" si="49">AJ41*(AI42-AJ44)</f>
        <v>0</v>
      </c>
      <c r="AK45" s="4">
        <f t="shared" ca="1" si="49"/>
        <v>0</v>
      </c>
      <c r="AL45" s="4">
        <f t="shared" ca="1" si="49"/>
        <v>0</v>
      </c>
      <c r="AM45" s="4">
        <f t="shared" ca="1" si="49"/>
        <v>0</v>
      </c>
      <c r="AN45" s="4">
        <f t="shared" ca="1" si="49"/>
        <v>0</v>
      </c>
      <c r="AO45" s="4">
        <f t="shared" ca="1" si="49"/>
        <v>0</v>
      </c>
      <c r="AP45" s="4">
        <f t="shared" ca="1" si="49"/>
        <v>0</v>
      </c>
      <c r="AQ45" s="4">
        <f t="shared" ca="1" si="49"/>
        <v>0</v>
      </c>
      <c r="AR45" s="4">
        <f t="shared" ca="1" si="49"/>
        <v>0</v>
      </c>
      <c r="AS45" s="4">
        <f t="shared" ca="1" si="49"/>
        <v>0</v>
      </c>
      <c r="AT45" s="4">
        <f t="shared" ca="1" si="49"/>
        <v>0</v>
      </c>
      <c r="AU45" s="4">
        <f t="shared" ca="1" si="49"/>
        <v>0</v>
      </c>
      <c r="AV45" s="4">
        <f t="shared" ca="1" si="49"/>
        <v>0</v>
      </c>
      <c r="AW45" s="4">
        <f t="shared" ca="1" si="49"/>
        <v>0</v>
      </c>
      <c r="AX45" s="4">
        <f t="shared" ca="1" si="49"/>
        <v>0</v>
      </c>
      <c r="AY45" s="4">
        <f t="shared" ca="1" si="49"/>
        <v>0</v>
      </c>
      <c r="AZ45" s="4">
        <f t="shared" ca="1" si="49"/>
        <v>0</v>
      </c>
      <c r="BA45" s="4">
        <f t="shared" ca="1" si="49"/>
        <v>0</v>
      </c>
      <c r="BB45" s="4">
        <f t="shared" ca="1" si="49"/>
        <v>0</v>
      </c>
      <c r="BC45" s="4">
        <f t="shared" ca="1" si="49"/>
        <v>0</v>
      </c>
      <c r="BD45" s="4">
        <f t="shared" ca="1" si="49"/>
        <v>0</v>
      </c>
      <c r="BE45" s="4">
        <f t="shared" ca="1" si="49"/>
        <v>0</v>
      </c>
      <c r="BF45" s="4">
        <f t="shared" ca="1" si="49"/>
        <v>0</v>
      </c>
      <c r="BG45" s="4">
        <f t="shared" ca="1" si="49"/>
        <v>0</v>
      </c>
      <c r="BH45" s="4">
        <f t="shared" ca="1" si="49"/>
        <v>0</v>
      </c>
      <c r="BI45" s="4">
        <f t="shared" ca="1" si="49"/>
        <v>0</v>
      </c>
      <c r="BJ45" s="4">
        <f t="shared" ca="1" si="49"/>
        <v>0</v>
      </c>
      <c r="BK45" s="4">
        <f t="shared" ca="1" si="49"/>
        <v>0</v>
      </c>
      <c r="BL45" s="4">
        <f t="shared" ca="1" si="49"/>
        <v>0</v>
      </c>
      <c r="BM45" s="4">
        <f t="shared" ca="1" si="49"/>
        <v>0</v>
      </c>
      <c r="BN45" s="4">
        <f t="shared" ca="1" si="49"/>
        <v>0</v>
      </c>
      <c r="BO45" s="4">
        <f t="shared" ca="1" si="49"/>
        <v>0</v>
      </c>
      <c r="BP45" s="4">
        <f t="shared" ref="BP45:CU45" ca="1" si="50">BP41*(BO42-BP44)</f>
        <v>0</v>
      </c>
      <c r="BQ45" s="4">
        <f t="shared" ca="1" si="50"/>
        <v>0</v>
      </c>
      <c r="BR45" s="4">
        <f t="shared" ca="1" si="50"/>
        <v>0</v>
      </c>
      <c r="BS45" s="4">
        <f t="shared" ca="1" si="50"/>
        <v>0</v>
      </c>
      <c r="BT45" s="4">
        <f t="shared" ca="1" si="50"/>
        <v>0</v>
      </c>
      <c r="BU45" s="4">
        <f t="shared" ca="1" si="50"/>
        <v>0</v>
      </c>
      <c r="BV45" s="4">
        <f t="shared" ca="1" si="50"/>
        <v>0</v>
      </c>
      <c r="BW45" s="4">
        <f t="shared" ca="1" si="50"/>
        <v>0</v>
      </c>
      <c r="BX45" s="4">
        <f t="shared" ca="1" si="50"/>
        <v>0</v>
      </c>
      <c r="BY45" s="4">
        <f t="shared" ca="1" si="50"/>
        <v>0</v>
      </c>
      <c r="BZ45" s="4">
        <f t="shared" ca="1" si="50"/>
        <v>0</v>
      </c>
      <c r="CA45" s="4">
        <f t="shared" ca="1" si="50"/>
        <v>0</v>
      </c>
      <c r="CB45" s="4">
        <f t="shared" ca="1" si="50"/>
        <v>0</v>
      </c>
      <c r="CC45" s="4">
        <f t="shared" ca="1" si="50"/>
        <v>0</v>
      </c>
      <c r="CD45" s="4">
        <f t="shared" ca="1" si="50"/>
        <v>0</v>
      </c>
      <c r="CE45" s="4">
        <f t="shared" ca="1" si="50"/>
        <v>0</v>
      </c>
      <c r="CF45" s="4">
        <f t="shared" ca="1" si="50"/>
        <v>0</v>
      </c>
      <c r="CG45" s="4">
        <f t="shared" ca="1" si="50"/>
        <v>0</v>
      </c>
      <c r="CH45" s="4">
        <f t="shared" ca="1" si="50"/>
        <v>0</v>
      </c>
      <c r="CI45" s="4">
        <f t="shared" ca="1" si="50"/>
        <v>0</v>
      </c>
      <c r="CJ45" s="4">
        <f t="shared" ca="1" si="50"/>
        <v>0</v>
      </c>
      <c r="CK45" s="4">
        <f t="shared" ca="1" si="50"/>
        <v>0</v>
      </c>
      <c r="CL45" s="4">
        <f t="shared" ca="1" si="50"/>
        <v>0</v>
      </c>
      <c r="CM45" s="4">
        <f t="shared" ca="1" si="50"/>
        <v>0</v>
      </c>
      <c r="CN45" s="4">
        <f t="shared" ca="1" si="50"/>
        <v>0</v>
      </c>
      <c r="CO45" s="4">
        <f t="shared" ca="1" si="50"/>
        <v>0</v>
      </c>
      <c r="CP45" s="4">
        <f t="shared" ca="1" si="50"/>
        <v>0</v>
      </c>
      <c r="CQ45" s="4">
        <f t="shared" ca="1" si="50"/>
        <v>0</v>
      </c>
      <c r="CR45" s="4">
        <f t="shared" ca="1" si="50"/>
        <v>0</v>
      </c>
      <c r="CS45" s="4">
        <f t="shared" ca="1" si="50"/>
        <v>0</v>
      </c>
      <c r="CT45" s="4">
        <f t="shared" ca="1" si="50"/>
        <v>0</v>
      </c>
      <c r="CU45" s="4">
        <f t="shared" ca="1" si="50"/>
        <v>0</v>
      </c>
      <c r="CV45" s="4">
        <f t="shared" ref="CV45:DR45" ca="1" si="51">CV41*(CU42-CV44)</f>
        <v>0</v>
      </c>
      <c r="CW45" s="4">
        <f t="shared" ca="1" si="51"/>
        <v>0</v>
      </c>
      <c r="CX45" s="4">
        <f t="shared" ca="1" si="51"/>
        <v>0</v>
      </c>
      <c r="CY45" s="4">
        <f t="shared" ca="1" si="51"/>
        <v>0</v>
      </c>
      <c r="CZ45" s="4">
        <f t="shared" ca="1" si="51"/>
        <v>0</v>
      </c>
      <c r="DA45" s="4">
        <f t="shared" ca="1" si="51"/>
        <v>0</v>
      </c>
      <c r="DB45" s="4">
        <f t="shared" ca="1" si="51"/>
        <v>0</v>
      </c>
      <c r="DC45" s="4">
        <f t="shared" ca="1" si="51"/>
        <v>0</v>
      </c>
      <c r="DD45" s="4">
        <f t="shared" ca="1" si="51"/>
        <v>0</v>
      </c>
      <c r="DE45" s="4">
        <f t="shared" ca="1" si="51"/>
        <v>0</v>
      </c>
      <c r="DF45" s="4">
        <f t="shared" ca="1" si="51"/>
        <v>0</v>
      </c>
      <c r="DG45" s="4">
        <f t="shared" ca="1" si="51"/>
        <v>0</v>
      </c>
      <c r="DH45" s="4">
        <f t="shared" ca="1" si="51"/>
        <v>0</v>
      </c>
      <c r="DI45" s="4">
        <f t="shared" ca="1" si="51"/>
        <v>0</v>
      </c>
      <c r="DJ45" s="4">
        <f t="shared" ca="1" si="51"/>
        <v>0</v>
      </c>
      <c r="DK45" s="4">
        <f t="shared" ca="1" si="51"/>
        <v>0</v>
      </c>
      <c r="DL45" s="4">
        <f t="shared" ca="1" si="51"/>
        <v>0</v>
      </c>
      <c r="DM45" s="4">
        <f t="shared" ca="1" si="51"/>
        <v>0</v>
      </c>
      <c r="DN45" s="4">
        <f t="shared" ca="1" si="51"/>
        <v>0</v>
      </c>
      <c r="DO45" s="4">
        <f t="shared" ca="1" si="51"/>
        <v>0</v>
      </c>
      <c r="DP45" s="4">
        <f t="shared" ca="1" si="51"/>
        <v>0</v>
      </c>
      <c r="DQ45" s="4">
        <f t="shared" ca="1" si="51"/>
        <v>0</v>
      </c>
      <c r="DR45" s="4">
        <f t="shared" ca="1" si="51"/>
        <v>0</v>
      </c>
    </row>
    <row r="46" spans="1:123" x14ac:dyDescent="0.35">
      <c r="A46" s="4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</row>
    <row r="47" spans="1:123" s="7" customFormat="1" x14ac:dyDescent="0.35">
      <c r="A47" s="44" t="s">
        <v>38</v>
      </c>
      <c r="D47" s="47">
        <f t="shared" ref="D47:AI47" ca="1" si="52">D44+D45+$B$12*C42*h</f>
        <v>1511.7486039160885</v>
      </c>
      <c r="E47" s="47">
        <f t="shared" ca="1" si="52"/>
        <v>1512.3780546989053</v>
      </c>
      <c r="F47" s="47">
        <f t="shared" ca="1" si="52"/>
        <v>1513.014574214013</v>
      </c>
      <c r="G47" s="47">
        <f t="shared" ca="1" si="52"/>
        <v>1513.6582418432754</v>
      </c>
      <c r="H47" s="47">
        <f t="shared" ca="1" si="52"/>
        <v>1514.3091378600147</v>
      </c>
      <c r="I47" s="47">
        <f t="shared" ca="1" si="52"/>
        <v>1514.9673434390218</v>
      </c>
      <c r="J47" s="47">
        <f t="shared" ca="1" si="52"/>
        <v>1515.632940666681</v>
      </c>
      <c r="K47" s="47">
        <f t="shared" ca="1" si="52"/>
        <v>1516.306012551207</v>
      </c>
      <c r="L47" s="47">
        <f t="shared" ca="1" si="52"/>
        <v>1516.9866430329962</v>
      </c>
      <c r="M47" s="47">
        <f t="shared" ca="1" si="52"/>
        <v>1517.6749169950961</v>
      </c>
      <c r="N47" s="47">
        <f t="shared" ca="1" si="52"/>
        <v>1518.37092027379</v>
      </c>
      <c r="O47" s="47">
        <f t="shared" ca="1" si="52"/>
        <v>1519.0747396693037</v>
      </c>
      <c r="P47" s="47">
        <f t="shared" ca="1" si="52"/>
        <v>1519.7864629566293</v>
      </c>
      <c r="Q47" s="47">
        <f t="shared" ca="1" si="52"/>
        <v>1520.5061788964713</v>
      </c>
      <c r="R47" s="47">
        <f t="shared" ca="1" si="52"/>
        <v>1521.2339772463176</v>
      </c>
      <c r="S47" s="47">
        <f t="shared" ca="1" si="52"/>
        <v>1521.969948771633</v>
      </c>
      <c r="T47" s="47">
        <f t="shared" ca="1" si="52"/>
        <v>1522.7141852571776</v>
      </c>
      <c r="U47" s="47">
        <f t="shared" ca="1" si="52"/>
        <v>1523.4667795184546</v>
      </c>
      <c r="V47" s="47">
        <f t="shared" ca="1" si="52"/>
        <v>1524.2278254132862</v>
      </c>
      <c r="W47" s="47">
        <f t="shared" ca="1" si="52"/>
        <v>1524.9974178535163</v>
      </c>
      <c r="X47" s="47">
        <f t="shared" ca="1" si="52"/>
        <v>1525.7756528168507</v>
      </c>
      <c r="Y47" s="47">
        <f t="shared" ca="1" si="52"/>
        <v>1526.5626273588227</v>
      </c>
      <c r="Z47" s="47">
        <f t="shared" ca="1" si="52"/>
        <v>1527.3584396249016</v>
      </c>
      <c r="AA47" s="47">
        <f t="shared" ca="1" si="52"/>
        <v>1528.1631888627282</v>
      </c>
      <c r="AB47" s="47">
        <f t="shared" ca="1" si="52"/>
        <v>1528.9769754344957</v>
      </c>
      <c r="AC47" s="47">
        <f t="shared" ca="1" si="52"/>
        <v>1529.7999008294644</v>
      </c>
      <c r="AD47" s="47">
        <f t="shared" ca="1" si="52"/>
        <v>1530.6320676766184</v>
      </c>
      <c r="AE47" s="47">
        <f t="shared" ca="1" si="52"/>
        <v>1531.4735797574658</v>
      </c>
      <c r="AF47" s="47">
        <f t="shared" ca="1" si="52"/>
        <v>1532.3245420189814</v>
      </c>
      <c r="AG47" s="47">
        <f t="shared" ca="1" si="52"/>
        <v>1533.1850605866935</v>
      </c>
      <c r="AH47" s="47">
        <f t="shared" ca="1" si="52"/>
        <v>1534.0552427779212</v>
      </c>
      <c r="AI47" s="47">
        <f t="shared" ca="1" si="52"/>
        <v>1534.9351971151564</v>
      </c>
      <c r="AJ47" s="47">
        <f t="shared" ref="AJ47:BO47" ca="1" si="53">AJ44+AJ45+$B$12*AI42*h</f>
        <v>1535.8250333395988</v>
      </c>
      <c r="AK47" s="47">
        <f t="shared" ca="1" si="53"/>
        <v>1536.7248624248416</v>
      </c>
      <c r="AL47" s="47">
        <f t="shared" ca="1" si="53"/>
        <v>1537.6347965907116</v>
      </c>
      <c r="AM47" s="47">
        <f t="shared" ca="1" si="53"/>
        <v>1538.5549493172646</v>
      </c>
      <c r="AN47" s="47">
        <f t="shared" ca="1" si="53"/>
        <v>1539.4854353589365</v>
      </c>
      <c r="AO47" s="47">
        <f t="shared" ca="1" si="53"/>
        <v>1540.4263707588566</v>
      </c>
      <c r="AP47" s="47">
        <f t="shared" ca="1" si="53"/>
        <v>1541.3778728633174</v>
      </c>
      <c r="AQ47" s="47">
        <f t="shared" ca="1" si="53"/>
        <v>1542.3400603364116</v>
      </c>
      <c r="AR47" s="47">
        <f t="shared" ca="1" si="53"/>
        <v>1543.3130531748288</v>
      </c>
      <c r="AS47" s="47">
        <f t="shared" ca="1" si="53"/>
        <v>1544.296972722821</v>
      </c>
      <c r="AT47" s="47">
        <f t="shared" ca="1" si="53"/>
        <v>1545.2919416873376</v>
      </c>
      <c r="AU47" s="47">
        <f t="shared" ca="1" si="53"/>
        <v>1546.2980841533254</v>
      </c>
      <c r="AV47" s="47">
        <f t="shared" ca="1" si="53"/>
        <v>1547.3155255992065</v>
      </c>
      <c r="AW47" s="47">
        <f t="shared" ca="1" si="53"/>
        <v>1548.3443929125247</v>
      </c>
      <c r="AX47" s="47">
        <f t="shared" ca="1" si="53"/>
        <v>1549.3848144057715</v>
      </c>
      <c r="AY47" s="47">
        <f t="shared" ca="1" si="53"/>
        <v>1550.4369198323873</v>
      </c>
      <c r="AZ47" s="47">
        <f t="shared" ca="1" si="53"/>
        <v>1551.500840402944</v>
      </c>
      <c r="BA47" s="47">
        <f t="shared" ca="1" si="53"/>
        <v>1552.5767088015082</v>
      </c>
      <c r="BB47" s="47">
        <f t="shared" ca="1" si="53"/>
        <v>1553.6646592021884</v>
      </c>
      <c r="BC47" s="47">
        <f t="shared" ca="1" si="53"/>
        <v>1554.7648272858683</v>
      </c>
      <c r="BD47" s="47">
        <f t="shared" ca="1" si="53"/>
        <v>1555.8773502571275</v>
      </c>
      <c r="BE47" s="47">
        <f t="shared" ca="1" si="53"/>
        <v>1557.0023668613542</v>
      </c>
      <c r="BF47" s="47">
        <f t="shared" ca="1" si="53"/>
        <v>1558.1400174020462</v>
      </c>
      <c r="BG47" s="47">
        <f t="shared" ca="1" si="53"/>
        <v>1559.2904437583104</v>
      </c>
      <c r="BH47" s="47">
        <f t="shared" ca="1" si="53"/>
        <v>1560.4537894025552</v>
      </c>
      <c r="BI47" s="47">
        <f t="shared" ca="1" si="53"/>
        <v>1561.630199418385</v>
      </c>
      <c r="BJ47" s="47">
        <f t="shared" ca="1" si="53"/>
        <v>1562.8198205186927</v>
      </c>
      <c r="BK47" s="47">
        <f t="shared" ca="1" si="53"/>
        <v>1564.0228010639566</v>
      </c>
      <c r="BL47" s="47">
        <f t="shared" ca="1" si="53"/>
        <v>1565.2392910807441</v>
      </c>
      <c r="BM47" s="47">
        <f t="shared" ca="1" si="53"/>
        <v>1566.46944228042</v>
      </c>
      <c r="BN47" s="47">
        <f t="shared" ca="1" si="53"/>
        <v>1567.7134080780681</v>
      </c>
      <c r="BO47" s="47">
        <f t="shared" ca="1" si="53"/>
        <v>1568.971343611624</v>
      </c>
      <c r="BP47" s="47">
        <f t="shared" ref="BP47:CU47" ca="1" si="54">BP44+BP45+$B$12*BO42*h</f>
        <v>1570.2434057612215</v>
      </c>
      <c r="BQ47" s="47">
        <f t="shared" ca="1" si="54"/>
        <v>1571.5297531687593</v>
      </c>
      <c r="BR47" s="47">
        <f t="shared" ca="1" si="54"/>
        <v>1572.8305462576836</v>
      </c>
      <c r="BS47" s="47">
        <f t="shared" ca="1" si="54"/>
        <v>1574.1459472529964</v>
      </c>
      <c r="BT47" s="47">
        <f t="shared" ca="1" si="54"/>
        <v>1575.476120201487</v>
      </c>
      <c r="BU47" s="47">
        <f t="shared" ca="1" si="54"/>
        <v>1576.8212309921885</v>
      </c>
      <c r="BV47" s="47">
        <f t="shared" ca="1" si="54"/>
        <v>1578.1814473770698</v>
      </c>
      <c r="BW47" s="47">
        <f t="shared" ca="1" si="54"/>
        <v>1579.5569389919535</v>
      </c>
      <c r="BX47" s="47">
        <f t="shared" ca="1" si="54"/>
        <v>1580.9478773776723</v>
      </c>
      <c r="BY47" s="47">
        <f t="shared" ca="1" si="54"/>
        <v>1582.3544360014625</v>
      </c>
      <c r="BZ47" s="47">
        <f t="shared" ca="1" si="54"/>
        <v>1583.7767902785981</v>
      </c>
      <c r="CA47" s="47">
        <f t="shared" ca="1" si="54"/>
        <v>1585.2151175942658</v>
      </c>
      <c r="CB47" s="47">
        <f t="shared" ca="1" si="54"/>
        <v>1586.6695973256888</v>
      </c>
      <c r="CC47" s="47">
        <f t="shared" ca="1" si="54"/>
        <v>1588.1404108644954</v>
      </c>
      <c r="CD47" s="47">
        <f t="shared" ca="1" si="54"/>
        <v>1589.6277416393427</v>
      </c>
      <c r="CE47" s="47">
        <f t="shared" ca="1" si="54"/>
        <v>1591.1317751387917</v>
      </c>
      <c r="CF47" s="47">
        <f t="shared" ca="1" si="54"/>
        <v>1592.6526989344393</v>
      </c>
      <c r="CG47" s="47">
        <f t="shared" ca="1" si="54"/>
        <v>1594.1907027043123</v>
      </c>
      <c r="CH47" s="47">
        <f t="shared" ca="1" si="54"/>
        <v>1595.7459782565206</v>
      </c>
      <c r="CI47" s="47">
        <f t="shared" ca="1" si="54"/>
        <v>1597.3187195531807</v>
      </c>
      <c r="CJ47" s="47">
        <f t="shared" ca="1" si="54"/>
        <v>1598.9091227346019</v>
      </c>
      <c r="CK47" s="47">
        <f t="shared" ca="1" si="54"/>
        <v>1600.5173861437506</v>
      </c>
      <c r="CL47" s="47">
        <f t="shared" ca="1" si="54"/>
        <v>1602.1437103509841</v>
      </c>
      <c r="CM47" s="47">
        <f t="shared" ca="1" si="54"/>
        <v>1603.7882981790649</v>
      </c>
      <c r="CN47" s="47">
        <f t="shared" ca="1" si="54"/>
        <v>1605.4513547284548</v>
      </c>
      <c r="CO47" s="47">
        <f t="shared" ca="1" si="54"/>
        <v>1607.1330874028943</v>
      </c>
      <c r="CP47" s="47">
        <f t="shared" ca="1" si="54"/>
        <v>1608.833705935268</v>
      </c>
      <c r="CQ47" s="47">
        <f t="shared" ca="1" si="54"/>
        <v>1610.5534224137602</v>
      </c>
      <c r="CR47" s="47">
        <f t="shared" ca="1" si="54"/>
        <v>1612.2924513083058</v>
      </c>
      <c r="CS47" s="47">
        <f t="shared" ca="1" si="54"/>
        <v>1614.0510094973372</v>
      </c>
      <c r="CT47" s="47">
        <f t="shared" ca="1" si="54"/>
        <v>1615.8293162948314</v>
      </c>
      <c r="CU47" s="47">
        <f t="shared" ca="1" si="54"/>
        <v>1617.6275934776613</v>
      </c>
      <c r="CV47" s="47">
        <f t="shared" ref="CV47:DS47" ca="1" si="55">CV44+CV45+$B$12*CU42*h</f>
        <v>1619.4460653132548</v>
      </c>
      <c r="CW47" s="47">
        <f t="shared" ca="1" si="55"/>
        <v>1621.2849585875615</v>
      </c>
      <c r="CX47" s="47">
        <f t="shared" ca="1" si="55"/>
        <v>1623.1445026333392</v>
      </c>
      <c r="CY47" s="47">
        <f t="shared" ca="1" si="55"/>
        <v>1625.0249293587506</v>
      </c>
      <c r="CZ47" s="47">
        <f t="shared" ca="1" si="55"/>
        <v>1626.9264732762886</v>
      </c>
      <c r="DA47" s="47">
        <f t="shared" ca="1" si="55"/>
        <v>1628.8493715320205</v>
      </c>
      <c r="DB47" s="47">
        <f t="shared" ca="1" si="55"/>
        <v>1630.7938639351642</v>
      </c>
      <c r="DC47" s="47">
        <f t="shared" ca="1" si="55"/>
        <v>1632.760192987995</v>
      </c>
      <c r="DD47" s="47">
        <f t="shared" ca="1" si="55"/>
        <v>1616.5942504824725</v>
      </c>
      <c r="DE47" s="47">
        <f t="shared" ca="1" si="55"/>
        <v>0</v>
      </c>
      <c r="DF47" s="47">
        <f t="shared" ca="1" si="55"/>
        <v>0</v>
      </c>
      <c r="DG47" s="47">
        <f t="shared" ca="1" si="55"/>
        <v>0</v>
      </c>
      <c r="DH47" s="47">
        <f t="shared" ca="1" si="55"/>
        <v>0</v>
      </c>
      <c r="DI47" s="47">
        <f t="shared" ca="1" si="55"/>
        <v>0</v>
      </c>
      <c r="DJ47" s="47">
        <f t="shared" ca="1" si="55"/>
        <v>0</v>
      </c>
      <c r="DK47" s="47">
        <f t="shared" ca="1" si="55"/>
        <v>0</v>
      </c>
      <c r="DL47" s="47">
        <f t="shared" ca="1" si="55"/>
        <v>0</v>
      </c>
      <c r="DM47" s="47">
        <f t="shared" ca="1" si="55"/>
        <v>0</v>
      </c>
      <c r="DN47" s="47">
        <f t="shared" ca="1" si="55"/>
        <v>0</v>
      </c>
      <c r="DO47" s="47">
        <f t="shared" ca="1" si="55"/>
        <v>0</v>
      </c>
      <c r="DP47" s="47">
        <f t="shared" ca="1" si="55"/>
        <v>0</v>
      </c>
      <c r="DQ47" s="47">
        <f t="shared" ca="1" si="55"/>
        <v>0</v>
      </c>
      <c r="DR47" s="47">
        <f t="shared" ca="1" si="55"/>
        <v>0</v>
      </c>
      <c r="DS47" s="47">
        <f t="shared" ca="1" si="55"/>
        <v>0</v>
      </c>
    </row>
    <row r="48" spans="1:123" s="19" customFormat="1" x14ac:dyDescent="0.35">
      <c r="A48" s="64" t="s">
        <v>39</v>
      </c>
      <c r="B48" s="7"/>
      <c r="C48" s="61">
        <f ca="1">SUM(D48:DS48)</f>
        <v>163961.96807708387</v>
      </c>
      <c r="D48" s="47">
        <f ca="1">D47*C38</f>
        <v>1511.7486039160885</v>
      </c>
      <c r="E48" s="47">
        <f t="shared" ref="E48:BP48" ca="1" si="56">E47*D38</f>
        <v>1512.3780546989053</v>
      </c>
      <c r="F48" s="47">
        <f t="shared" ca="1" si="56"/>
        <v>1513.014574214013</v>
      </c>
      <c r="G48" s="47">
        <f t="shared" ca="1" si="56"/>
        <v>1513.6582418432754</v>
      </c>
      <c r="H48" s="47">
        <f t="shared" ca="1" si="56"/>
        <v>1514.3091378600147</v>
      </c>
      <c r="I48" s="47">
        <f t="shared" ca="1" si="56"/>
        <v>1514.9673434390218</v>
      </c>
      <c r="J48" s="47">
        <f t="shared" ca="1" si="56"/>
        <v>1515.632940666681</v>
      </c>
      <c r="K48" s="47">
        <f t="shared" ca="1" si="56"/>
        <v>1516.306012551207</v>
      </c>
      <c r="L48" s="47">
        <f t="shared" ca="1" si="56"/>
        <v>1516.9866430329962</v>
      </c>
      <c r="M48" s="47">
        <f t="shared" ca="1" si="56"/>
        <v>1517.6749169950961</v>
      </c>
      <c r="N48" s="47">
        <f t="shared" ca="1" si="56"/>
        <v>1518.37092027379</v>
      </c>
      <c r="O48" s="47">
        <f t="shared" ca="1" si="56"/>
        <v>1519.0747396693037</v>
      </c>
      <c r="P48" s="47">
        <f t="shared" ca="1" si="56"/>
        <v>1519.7864629566293</v>
      </c>
      <c r="Q48" s="47">
        <f t="shared" ca="1" si="56"/>
        <v>1520.5061788964713</v>
      </c>
      <c r="R48" s="47">
        <f t="shared" ca="1" si="56"/>
        <v>1521.2339772463176</v>
      </c>
      <c r="S48" s="47">
        <f t="shared" ca="1" si="56"/>
        <v>1521.969948771633</v>
      </c>
      <c r="T48" s="47">
        <f t="shared" ca="1" si="56"/>
        <v>1522.7141852571776</v>
      </c>
      <c r="U48" s="47">
        <f t="shared" ca="1" si="56"/>
        <v>1523.4667795184546</v>
      </c>
      <c r="V48" s="47">
        <f t="shared" ca="1" si="56"/>
        <v>1524.2278254132862</v>
      </c>
      <c r="W48" s="47">
        <f t="shared" ca="1" si="56"/>
        <v>1524.9974178535163</v>
      </c>
      <c r="X48" s="47">
        <f t="shared" ca="1" si="56"/>
        <v>1525.7756528168507</v>
      </c>
      <c r="Y48" s="47">
        <f t="shared" ca="1" si="56"/>
        <v>1526.5626273588227</v>
      </c>
      <c r="Z48" s="47">
        <f t="shared" ca="1" si="56"/>
        <v>1527.3584396249016</v>
      </c>
      <c r="AA48" s="47">
        <f t="shared" ca="1" si="56"/>
        <v>1528.1631888627282</v>
      </c>
      <c r="AB48" s="47">
        <f t="shared" ca="1" si="56"/>
        <v>1528.9769754344957</v>
      </c>
      <c r="AC48" s="47">
        <f t="shared" ca="1" si="56"/>
        <v>1529.7999008294644</v>
      </c>
      <c r="AD48" s="47">
        <f t="shared" ca="1" si="56"/>
        <v>1530.6320676766184</v>
      </c>
      <c r="AE48" s="47">
        <f t="shared" ca="1" si="56"/>
        <v>1531.4735797574658</v>
      </c>
      <c r="AF48" s="47">
        <f t="shared" ca="1" si="56"/>
        <v>1532.3245420189814</v>
      </c>
      <c r="AG48" s="47">
        <f t="shared" ca="1" si="56"/>
        <v>1533.1850605866935</v>
      </c>
      <c r="AH48" s="47">
        <f t="shared" ca="1" si="56"/>
        <v>1534.0552427779212</v>
      </c>
      <c r="AI48" s="47">
        <f t="shared" ca="1" si="56"/>
        <v>1534.9351971151564</v>
      </c>
      <c r="AJ48" s="47">
        <f t="shared" ca="1" si="56"/>
        <v>1535.8250333395988</v>
      </c>
      <c r="AK48" s="47">
        <f t="shared" ca="1" si="56"/>
        <v>1536.7248624248416</v>
      </c>
      <c r="AL48" s="47">
        <f t="shared" ca="1" si="56"/>
        <v>1537.6347965907116</v>
      </c>
      <c r="AM48" s="47">
        <f t="shared" ca="1" si="56"/>
        <v>1538.5549493172646</v>
      </c>
      <c r="AN48" s="47">
        <f t="shared" ca="1" si="56"/>
        <v>1539.4854353589365</v>
      </c>
      <c r="AO48" s="47">
        <f t="shared" ca="1" si="56"/>
        <v>1540.4263707588566</v>
      </c>
      <c r="AP48" s="47">
        <f t="shared" ca="1" si="56"/>
        <v>1541.3778728633174</v>
      </c>
      <c r="AQ48" s="47">
        <f t="shared" ca="1" si="56"/>
        <v>1542.3400603364116</v>
      </c>
      <c r="AR48" s="47">
        <f t="shared" ca="1" si="56"/>
        <v>1543.3130531748288</v>
      </c>
      <c r="AS48" s="47">
        <f t="shared" ca="1" si="56"/>
        <v>1544.296972722821</v>
      </c>
      <c r="AT48" s="47">
        <f t="shared" ca="1" si="56"/>
        <v>1545.2919416873376</v>
      </c>
      <c r="AU48" s="47">
        <f t="shared" ca="1" si="56"/>
        <v>1546.2980841533254</v>
      </c>
      <c r="AV48" s="47">
        <f t="shared" ca="1" si="56"/>
        <v>1547.3155255992065</v>
      </c>
      <c r="AW48" s="47">
        <f t="shared" ca="1" si="56"/>
        <v>1548.3443929125247</v>
      </c>
      <c r="AX48" s="47">
        <f t="shared" ca="1" si="56"/>
        <v>1549.3848144057715</v>
      </c>
      <c r="AY48" s="47">
        <f t="shared" ca="1" si="56"/>
        <v>1550.4369198323873</v>
      </c>
      <c r="AZ48" s="47">
        <f t="shared" ca="1" si="56"/>
        <v>1551.500840402944</v>
      </c>
      <c r="BA48" s="47">
        <f t="shared" ca="1" si="56"/>
        <v>1552.5767088015082</v>
      </c>
      <c r="BB48" s="47">
        <f t="shared" ca="1" si="56"/>
        <v>1553.6646592021884</v>
      </c>
      <c r="BC48" s="47">
        <f t="shared" ca="1" si="56"/>
        <v>1554.7648272858683</v>
      </c>
      <c r="BD48" s="47">
        <f t="shared" ca="1" si="56"/>
        <v>1555.8773502571275</v>
      </c>
      <c r="BE48" s="47">
        <f t="shared" ca="1" si="56"/>
        <v>1557.0023668613542</v>
      </c>
      <c r="BF48" s="47">
        <f t="shared" ca="1" si="56"/>
        <v>1558.1400174020462</v>
      </c>
      <c r="BG48" s="47">
        <f t="shared" ca="1" si="56"/>
        <v>1559.2904437583104</v>
      </c>
      <c r="BH48" s="47">
        <f t="shared" ca="1" si="56"/>
        <v>1560.4537894025552</v>
      </c>
      <c r="BI48" s="47">
        <f t="shared" ca="1" si="56"/>
        <v>1561.630199418385</v>
      </c>
      <c r="BJ48" s="47">
        <f t="shared" ca="1" si="56"/>
        <v>1562.8198205186927</v>
      </c>
      <c r="BK48" s="47">
        <f t="shared" ca="1" si="56"/>
        <v>1564.0228010639566</v>
      </c>
      <c r="BL48" s="47">
        <f t="shared" ca="1" si="56"/>
        <v>1565.2392910807441</v>
      </c>
      <c r="BM48" s="47">
        <f t="shared" ca="1" si="56"/>
        <v>1566.46944228042</v>
      </c>
      <c r="BN48" s="47">
        <f t="shared" ca="1" si="56"/>
        <v>1567.7134080780681</v>
      </c>
      <c r="BO48" s="47">
        <f t="shared" ca="1" si="56"/>
        <v>1568.971343611624</v>
      </c>
      <c r="BP48" s="47">
        <f t="shared" ca="1" si="56"/>
        <v>1570.2434057612215</v>
      </c>
      <c r="BQ48" s="47">
        <f t="shared" ref="BQ48:DS48" ca="1" si="57">BQ47*BP38</f>
        <v>1571.5297531687593</v>
      </c>
      <c r="BR48" s="47">
        <f t="shared" ca="1" si="57"/>
        <v>1572.8305462576836</v>
      </c>
      <c r="BS48" s="47">
        <f t="shared" ca="1" si="57"/>
        <v>1574.1459472529964</v>
      </c>
      <c r="BT48" s="47">
        <f t="shared" ca="1" si="57"/>
        <v>1575.476120201487</v>
      </c>
      <c r="BU48" s="47">
        <f t="shared" ca="1" si="57"/>
        <v>1576.8212309921885</v>
      </c>
      <c r="BV48" s="47">
        <f t="shared" ca="1" si="57"/>
        <v>1578.1814473770698</v>
      </c>
      <c r="BW48" s="47">
        <f t="shared" ca="1" si="57"/>
        <v>1579.5569389919535</v>
      </c>
      <c r="BX48" s="47">
        <f t="shared" ca="1" si="57"/>
        <v>1580.9478773776723</v>
      </c>
      <c r="BY48" s="47">
        <f t="shared" ca="1" si="57"/>
        <v>1582.3544360014625</v>
      </c>
      <c r="BZ48" s="47">
        <f t="shared" ca="1" si="57"/>
        <v>1583.7767902785981</v>
      </c>
      <c r="CA48" s="47">
        <f t="shared" ca="1" si="57"/>
        <v>1585.2151175942658</v>
      </c>
      <c r="CB48" s="47">
        <f t="shared" ca="1" si="57"/>
        <v>1586.6695973256888</v>
      </c>
      <c r="CC48" s="47">
        <f t="shared" ca="1" si="57"/>
        <v>1588.1404108644954</v>
      </c>
      <c r="CD48" s="47">
        <f t="shared" ca="1" si="57"/>
        <v>1589.6277416393427</v>
      </c>
      <c r="CE48" s="47">
        <f t="shared" ca="1" si="57"/>
        <v>1591.1317751387917</v>
      </c>
      <c r="CF48" s="47">
        <f t="shared" ca="1" si="57"/>
        <v>1592.6526989344393</v>
      </c>
      <c r="CG48" s="47">
        <f t="shared" ca="1" si="57"/>
        <v>1594.1907027043123</v>
      </c>
      <c r="CH48" s="47">
        <f t="shared" ca="1" si="57"/>
        <v>1595.7459782565206</v>
      </c>
      <c r="CI48" s="47">
        <f t="shared" ca="1" si="57"/>
        <v>1597.3187195531807</v>
      </c>
      <c r="CJ48" s="47">
        <f t="shared" ca="1" si="57"/>
        <v>1598.9091227346019</v>
      </c>
      <c r="CK48" s="47">
        <f t="shared" ca="1" si="57"/>
        <v>1600.5173861437506</v>
      </c>
      <c r="CL48" s="47">
        <f t="shared" ca="1" si="57"/>
        <v>1602.1437103509841</v>
      </c>
      <c r="CM48" s="47">
        <f t="shared" ca="1" si="57"/>
        <v>1603.7882981790649</v>
      </c>
      <c r="CN48" s="47">
        <f t="shared" ca="1" si="57"/>
        <v>1605.4513547284548</v>
      </c>
      <c r="CO48" s="47">
        <f t="shared" ca="1" si="57"/>
        <v>1607.1330874028943</v>
      </c>
      <c r="CP48" s="47">
        <f t="shared" ca="1" si="57"/>
        <v>1608.833705935268</v>
      </c>
      <c r="CQ48" s="47">
        <f t="shared" ca="1" si="57"/>
        <v>1610.5534224137602</v>
      </c>
      <c r="CR48" s="47">
        <f t="shared" ca="1" si="57"/>
        <v>1612.2924513083058</v>
      </c>
      <c r="CS48" s="47">
        <f t="shared" ca="1" si="57"/>
        <v>1614.0510094973372</v>
      </c>
      <c r="CT48" s="47">
        <f t="shared" ca="1" si="57"/>
        <v>1615.8293162948314</v>
      </c>
      <c r="CU48" s="47">
        <f t="shared" ca="1" si="57"/>
        <v>1617.6275934776613</v>
      </c>
      <c r="CV48" s="47">
        <f t="shared" ca="1" si="57"/>
        <v>1619.4460653132548</v>
      </c>
      <c r="CW48" s="47">
        <f t="shared" ca="1" si="57"/>
        <v>1621.2849585875615</v>
      </c>
      <c r="CX48" s="47">
        <f t="shared" ca="1" si="57"/>
        <v>1623.1445026333392</v>
      </c>
      <c r="CY48" s="47">
        <f t="shared" ca="1" si="57"/>
        <v>1625.0249293587506</v>
      </c>
      <c r="CZ48" s="47">
        <f t="shared" ca="1" si="57"/>
        <v>1626.9264732762886</v>
      </c>
      <c r="DA48" s="47">
        <f t="shared" ca="1" si="57"/>
        <v>1628.8493715320205</v>
      </c>
      <c r="DB48" s="47">
        <f t="shared" ca="1" si="57"/>
        <v>1630.7938639351642</v>
      </c>
      <c r="DC48" s="47">
        <f t="shared" ca="1" si="57"/>
        <v>1632.760192987995</v>
      </c>
      <c r="DD48" s="47">
        <f t="shared" ca="1" si="57"/>
        <v>1616.5942504824725</v>
      </c>
      <c r="DE48" s="47">
        <f t="shared" ca="1" si="57"/>
        <v>0</v>
      </c>
      <c r="DF48" s="47">
        <f t="shared" ca="1" si="57"/>
        <v>0</v>
      </c>
      <c r="DG48" s="47">
        <f t="shared" ca="1" si="57"/>
        <v>0</v>
      </c>
      <c r="DH48" s="47">
        <f t="shared" ca="1" si="57"/>
        <v>0</v>
      </c>
      <c r="DI48" s="47">
        <f t="shared" ca="1" si="57"/>
        <v>0</v>
      </c>
      <c r="DJ48" s="47">
        <f t="shared" ca="1" si="57"/>
        <v>0</v>
      </c>
      <c r="DK48" s="47">
        <f t="shared" ca="1" si="57"/>
        <v>0</v>
      </c>
      <c r="DL48" s="47">
        <f t="shared" ca="1" si="57"/>
        <v>0</v>
      </c>
      <c r="DM48" s="47">
        <f t="shared" ca="1" si="57"/>
        <v>0</v>
      </c>
      <c r="DN48" s="47">
        <f t="shared" ca="1" si="57"/>
        <v>0</v>
      </c>
      <c r="DO48" s="47">
        <f t="shared" ca="1" si="57"/>
        <v>0</v>
      </c>
      <c r="DP48" s="47">
        <f t="shared" ca="1" si="57"/>
        <v>0</v>
      </c>
      <c r="DQ48" s="47">
        <f t="shared" ca="1" si="57"/>
        <v>0</v>
      </c>
      <c r="DR48" s="47">
        <f t="shared" ca="1" si="57"/>
        <v>0</v>
      </c>
      <c r="DS48" s="47">
        <f t="shared" ca="1" si="57"/>
        <v>0</v>
      </c>
    </row>
    <row r="49" spans="1:123" x14ac:dyDescent="0.35">
      <c r="A49" s="60" t="s">
        <v>58</v>
      </c>
      <c r="C49" s="35">
        <f ca="1">C48^2</f>
        <v>26883526975.71067</v>
      </c>
    </row>
    <row r="50" spans="1:123" ht="13.15" x14ac:dyDescent="0.4">
      <c r="A50" s="42" t="s">
        <v>47</v>
      </c>
    </row>
    <row r="51" spans="1:123" x14ac:dyDescent="0.35">
      <c r="A51" s="60" t="s">
        <v>48</v>
      </c>
      <c r="C51" s="65"/>
      <c r="D51" s="68">
        <f t="shared" ref="D51:AI51" si="58">$B$12*C42*h</f>
        <v>1000</v>
      </c>
      <c r="E51" s="68">
        <f t="shared" ca="1" si="58"/>
        <v>994.88251396083911</v>
      </c>
      <c r="F51" s="68">
        <f t="shared" ca="1" si="58"/>
        <v>989.70755855345851</v>
      </c>
      <c r="G51" s="68">
        <f t="shared" ca="1" si="58"/>
        <v>984.47448839685296</v>
      </c>
      <c r="H51" s="68">
        <f t="shared" ca="1" si="58"/>
        <v>979.18265086238875</v>
      </c>
      <c r="I51" s="68">
        <f t="shared" ca="1" si="58"/>
        <v>973.83138599241238</v>
      </c>
      <c r="J51" s="68">
        <f t="shared" ca="1" si="58"/>
        <v>968.42002641794636</v>
      </c>
      <c r="K51" s="68">
        <f t="shared" ca="1" si="58"/>
        <v>962.94789727545901</v>
      </c>
      <c r="L51" s="68">
        <f t="shared" ca="1" si="58"/>
        <v>957.41431612270139</v>
      </c>
      <c r="M51" s="68">
        <f t="shared" ca="1" si="58"/>
        <v>951.8185928535986</v>
      </c>
      <c r="N51" s="68">
        <f t="shared" ca="1" si="58"/>
        <v>946.16002961218362</v>
      </c>
      <c r="O51" s="68">
        <f t="shared" ca="1" si="58"/>
        <v>940.43792070556754</v>
      </c>
      <c r="P51" s="68">
        <f t="shared" ca="1" si="58"/>
        <v>934.65155251593012</v>
      </c>
      <c r="Q51" s="68">
        <f t="shared" ca="1" si="58"/>
        <v>928.80020341152317</v>
      </c>
      <c r="R51" s="68">
        <f t="shared" ca="1" si="58"/>
        <v>922.88314365667361</v>
      </c>
      <c r="S51" s="68">
        <f t="shared" ca="1" si="58"/>
        <v>916.89963532077718</v>
      </c>
      <c r="T51" s="68">
        <f t="shared" ca="1" si="58"/>
        <v>910.84893218626871</v>
      </c>
      <c r="U51" s="68">
        <f t="shared" ca="1" si="58"/>
        <v>904.73027965555957</v>
      </c>
      <c r="V51" s="68">
        <f t="shared" ca="1" si="58"/>
        <v>898.54291465693063</v>
      </c>
      <c r="W51" s="68">
        <f t="shared" ca="1" si="58"/>
        <v>892.28606554936709</v>
      </c>
      <c r="X51" s="68">
        <f t="shared" ca="1" si="58"/>
        <v>885.95895202632562</v>
      </c>
      <c r="Y51" s="68">
        <f t="shared" ca="1" si="58"/>
        <v>879.56078501842035</v>
      </c>
      <c r="Z51" s="68">
        <f t="shared" ca="1" si="58"/>
        <v>873.09076659501636</v>
      </c>
      <c r="AA51" s="68">
        <f t="shared" ca="1" si="58"/>
        <v>866.54808986471744</v>
      </c>
      <c r="AB51" s="68">
        <f t="shared" ca="1" si="58"/>
        <v>859.9319388747374</v>
      </c>
      <c r="AC51" s="68">
        <f t="shared" ca="1" si="58"/>
        <v>853.2414885091398</v>
      </c>
      <c r="AD51" s="68">
        <f t="shared" ca="1" si="58"/>
        <v>846.47590438593647</v>
      </c>
      <c r="AE51" s="68">
        <f t="shared" ca="1" si="58"/>
        <v>839.63434275302961</v>
      </c>
      <c r="AF51" s="68">
        <f t="shared" ca="1" si="58"/>
        <v>832.71595038298528</v>
      </c>
      <c r="AG51" s="68">
        <f t="shared" ca="1" si="58"/>
        <v>825.71986446662527</v>
      </c>
      <c r="AH51" s="68">
        <f t="shared" ca="1" si="58"/>
        <v>818.64521250542464</v>
      </c>
      <c r="AI51" s="68">
        <f t="shared" ca="1" si="58"/>
        <v>811.49111220269958</v>
      </c>
      <c r="AJ51" s="68">
        <f t="shared" ref="AJ51:BO51" ca="1" si="59">$B$12*AI42*h</f>
        <v>804.25667135357514</v>
      </c>
      <c r="AK51" s="68">
        <f t="shared" ca="1" si="59"/>
        <v>796.94098773371491</v>
      </c>
      <c r="AL51" s="68">
        <f t="shared" ca="1" si="59"/>
        <v>789.54314898680354</v>
      </c>
      <c r="AM51" s="68">
        <f t="shared" ca="1" si="59"/>
        <v>782.06223251076449</v>
      </c>
      <c r="AN51" s="68">
        <f t="shared" ca="1" si="59"/>
        <v>774.49730534269941</v>
      </c>
      <c r="AO51" s="68">
        <f t="shared" ca="1" si="59"/>
        <v>766.847424042537</v>
      </c>
      <c r="AP51" s="68">
        <f t="shared" ca="1" si="59"/>
        <v>759.11163457537396</v>
      </c>
      <c r="AQ51" s="68">
        <f t="shared" ca="1" si="59"/>
        <v>751.28897219249438</v>
      </c>
      <c r="AR51" s="68">
        <f t="shared" ca="1" si="59"/>
        <v>743.37846131105528</v>
      </c>
      <c r="AS51" s="68">
        <f t="shared" ca="1" si="59"/>
        <v>735.37911539241759</v>
      </c>
      <c r="AT51" s="68">
        <f t="shared" ca="1" si="59"/>
        <v>727.28993681911356</v>
      </c>
      <c r="AU51" s="68">
        <f t="shared" ca="1" si="59"/>
        <v>719.10991677043137</v>
      </c>
      <c r="AV51" s="68">
        <f t="shared" ca="1" si="59"/>
        <v>710.83803509660243</v>
      </c>
      <c r="AW51" s="68">
        <f t="shared" ca="1" si="59"/>
        <v>702.4732601915764</v>
      </c>
      <c r="AX51" s="68">
        <f t="shared" ca="1" si="59"/>
        <v>694.01454886436693</v>
      </c>
      <c r="AY51" s="68">
        <f t="shared" ca="1" si="59"/>
        <v>685.46084620895283</v>
      </c>
      <c r="AZ51" s="68">
        <f t="shared" ca="1" si="59"/>
        <v>676.81108547271856</v>
      </c>
      <c r="BA51" s="68">
        <f t="shared" ca="1" si="59"/>
        <v>668.06418792341628</v>
      </c>
      <c r="BB51" s="68">
        <f t="shared" ca="1" si="59"/>
        <v>659.21906271463536</v>
      </c>
      <c r="BC51" s="68">
        <f t="shared" ca="1" si="59"/>
        <v>650.27460674975987</v>
      </c>
      <c r="BD51" s="68">
        <f t="shared" ca="1" si="59"/>
        <v>641.22970454439883</v>
      </c>
      <c r="BE51" s="68">
        <f t="shared" ca="1" si="59"/>
        <v>632.08322808727155</v>
      </c>
      <c r="BF51" s="68">
        <f t="shared" ca="1" si="59"/>
        <v>622.83403669953066</v>
      </c>
      <c r="BG51" s="68">
        <f t="shared" ca="1" si="59"/>
        <v>613.48097689250562</v>
      </c>
      <c r="BH51" s="68">
        <f t="shared" ca="1" si="59"/>
        <v>604.02288222384755</v>
      </c>
      <c r="BI51" s="68">
        <f t="shared" ca="1" si="59"/>
        <v>594.45857315206047</v>
      </c>
      <c r="BJ51" s="68">
        <f t="shared" ca="1" si="59"/>
        <v>584.7868568893972</v>
      </c>
      <c r="BK51" s="68">
        <f t="shared" ca="1" si="59"/>
        <v>575.00652725310431</v>
      </c>
      <c r="BL51" s="68">
        <f t="shared" ca="1" si="59"/>
        <v>565.11636451499578</v>
      </c>
      <c r="BM51" s="68">
        <f t="shared" ca="1" si="59"/>
        <v>555.11513524933832</v>
      </c>
      <c r="BN51" s="68">
        <f t="shared" ca="1" si="59"/>
        <v>545.0015921790274</v>
      </c>
      <c r="BO51" s="68">
        <f t="shared" ca="1" si="59"/>
        <v>534.77447402003702</v>
      </c>
      <c r="BP51" s="68">
        <f t="shared" ref="BP51:CU51" ca="1" si="60">$B$12*BO42*h</f>
        <v>524.43250532412117</v>
      </c>
      <c r="BQ51" s="68">
        <f t="shared" ca="1" si="60"/>
        <v>513.97439631975021</v>
      </c>
      <c r="BR51" s="68">
        <f t="shared" ca="1" si="60"/>
        <v>503.39884275126008</v>
      </c>
      <c r="BS51" s="68">
        <f t="shared" ca="1" si="60"/>
        <v>492.70452571619586</v>
      </c>
      <c r="BT51" s="68">
        <f t="shared" ca="1" si="60"/>
        <v>481.89011150082786</v>
      </c>
      <c r="BU51" s="68">
        <f t="shared" ca="1" si="60"/>
        <v>470.95425141382128</v>
      </c>
      <c r="BV51" s="68">
        <f t="shared" ca="1" si="60"/>
        <v>459.89558161803762</v>
      </c>
      <c r="BW51" s="68">
        <f t="shared" ca="1" si="60"/>
        <v>448.71272296044731</v>
      </c>
      <c r="BX51" s="68">
        <f t="shared" ca="1" si="60"/>
        <v>437.40428080013226</v>
      </c>
      <c r="BY51" s="68">
        <f t="shared" ca="1" si="60"/>
        <v>425.96884483435684</v>
      </c>
      <c r="BZ51" s="68">
        <f t="shared" ca="1" si="60"/>
        <v>414.40498892268579</v>
      </c>
      <c r="CA51" s="68">
        <f t="shared" ca="1" si="60"/>
        <v>402.71127090912671</v>
      </c>
      <c r="CB51" s="68">
        <f t="shared" ca="1" si="60"/>
        <v>390.88623244227529</v>
      </c>
      <c r="CC51" s="68">
        <f t="shared" ca="1" si="60"/>
        <v>378.92839879344115</v>
      </c>
      <c r="CD51" s="68">
        <f t="shared" ca="1" si="60"/>
        <v>366.83627867273066</v>
      </c>
      <c r="CE51" s="68">
        <f t="shared" ca="1" si="60"/>
        <v>354.60836404306451</v>
      </c>
      <c r="CF51" s="68">
        <f t="shared" ca="1" si="60"/>
        <v>342.24312993210725</v>
      </c>
      <c r="CG51" s="68">
        <f t="shared" ca="1" si="60"/>
        <v>329.73903424208396</v>
      </c>
      <c r="CH51" s="68">
        <f t="shared" ca="1" si="60"/>
        <v>317.09451755746164</v>
      </c>
      <c r="CI51" s="68">
        <f t="shared" ca="1" si="60"/>
        <v>304.30800295047106</v>
      </c>
      <c r="CJ51" s="68">
        <f t="shared" ca="1" si="60"/>
        <v>291.37789578444398</v>
      </c>
      <c r="CK51" s="68">
        <f t="shared" ca="1" si="60"/>
        <v>278.3025835149424</v>
      </c>
      <c r="CL51" s="68">
        <f t="shared" ca="1" si="60"/>
        <v>265.0804354886543</v>
      </c>
      <c r="CM51" s="68">
        <f t="shared" ca="1" si="60"/>
        <v>251.70980274003102</v>
      </c>
      <c r="CN51" s="68">
        <f t="shared" ca="1" si="60"/>
        <v>238.18901778564069</v>
      </c>
      <c r="CO51" s="68">
        <f t="shared" ca="1" si="60"/>
        <v>224.51639441621253</v>
      </c>
      <c r="CP51" s="68">
        <f t="shared" ca="1" si="60"/>
        <v>210.69022748634572</v>
      </c>
      <c r="CQ51" s="68">
        <f t="shared" ca="1" si="60"/>
        <v>196.70879270185651</v>
      </c>
      <c r="CR51" s="68">
        <f t="shared" ca="1" si="60"/>
        <v>182.57034640473748</v>
      </c>
      <c r="CS51" s="68">
        <f t="shared" ca="1" si="60"/>
        <v>168.27312535570178</v>
      </c>
      <c r="CT51" s="68">
        <f t="shared" ca="1" si="60"/>
        <v>153.81534651428544</v>
      </c>
      <c r="CU51" s="68">
        <f t="shared" ca="1" si="60"/>
        <v>139.19520681647998</v>
      </c>
      <c r="CV51" s="68">
        <f t="shared" ref="CV51:DS51" ca="1" si="61">$B$12*CU42*h</f>
        <v>124.41088294986815</v>
      </c>
      <c r="CW51" s="68">
        <f t="shared" ca="1" si="61"/>
        <v>109.46053112623429</v>
      </c>
      <c r="CX51" s="68">
        <f t="shared" ca="1" si="61"/>
        <v>94.342286851621012</v>
      </c>
      <c r="CY51" s="68">
        <f t="shared" ca="1" si="61"/>
        <v>79.05426469380383</v>
      </c>
      <c r="CZ51" s="68">
        <f t="shared" ca="1" si="61"/>
        <v>63.594558047154372</v>
      </c>
      <c r="DA51" s="68">
        <f t="shared" ca="1" si="61"/>
        <v>47.96123889486303</v>
      </c>
      <c r="DB51" s="68">
        <f t="shared" ca="1" si="61"/>
        <v>32.152357568491453</v>
      </c>
      <c r="DC51" s="68">
        <f t="shared" ca="1" si="61"/>
        <v>16.165942504824724</v>
      </c>
      <c r="DD51" s="68">
        <f t="shared" ca="1" si="61"/>
        <v>0</v>
      </c>
      <c r="DE51" s="68">
        <f t="shared" ca="1" si="61"/>
        <v>0</v>
      </c>
      <c r="DF51" s="68">
        <f t="shared" ca="1" si="61"/>
        <v>0</v>
      </c>
      <c r="DG51" s="68">
        <f t="shared" ca="1" si="61"/>
        <v>0</v>
      </c>
      <c r="DH51" s="68">
        <f t="shared" ca="1" si="61"/>
        <v>0</v>
      </c>
      <c r="DI51" s="68">
        <f t="shared" ca="1" si="61"/>
        <v>0</v>
      </c>
      <c r="DJ51" s="68">
        <f t="shared" ca="1" si="61"/>
        <v>0</v>
      </c>
      <c r="DK51" s="68">
        <f t="shared" ca="1" si="61"/>
        <v>0</v>
      </c>
      <c r="DL51" s="68">
        <f t="shared" ca="1" si="61"/>
        <v>0</v>
      </c>
      <c r="DM51" s="68">
        <f t="shared" ca="1" si="61"/>
        <v>0</v>
      </c>
      <c r="DN51" s="68">
        <f t="shared" ca="1" si="61"/>
        <v>0</v>
      </c>
      <c r="DO51" s="68">
        <f t="shared" ca="1" si="61"/>
        <v>0</v>
      </c>
      <c r="DP51" s="68">
        <f t="shared" ca="1" si="61"/>
        <v>0</v>
      </c>
      <c r="DQ51" s="68">
        <f t="shared" ca="1" si="61"/>
        <v>0</v>
      </c>
      <c r="DR51" s="68">
        <f t="shared" ca="1" si="61"/>
        <v>0</v>
      </c>
      <c r="DS51" s="68">
        <f t="shared" ca="1" si="61"/>
        <v>0</v>
      </c>
    </row>
    <row r="52" spans="1:123" x14ac:dyDescent="0.35">
      <c r="A52" s="60" t="s">
        <v>49</v>
      </c>
      <c r="C52" s="61">
        <f ca="1">SUM(D52:DS52)</f>
        <v>62345.373826600618</v>
      </c>
      <c r="D52">
        <f>C38*D51</f>
        <v>1000</v>
      </c>
      <c r="E52">
        <f t="shared" ref="E52:BP52" ca="1" si="62">D38*E51</f>
        <v>994.88251396083911</v>
      </c>
      <c r="F52">
        <f t="shared" ca="1" si="62"/>
        <v>989.70755855345851</v>
      </c>
      <c r="G52">
        <f t="shared" ca="1" si="62"/>
        <v>984.47448839685296</v>
      </c>
      <c r="H52">
        <f t="shared" ca="1" si="62"/>
        <v>979.18265086238875</v>
      </c>
      <c r="I52">
        <f t="shared" ca="1" si="62"/>
        <v>973.83138599241238</v>
      </c>
      <c r="J52">
        <f t="shared" ca="1" si="62"/>
        <v>968.42002641794636</v>
      </c>
      <c r="K52">
        <f t="shared" ca="1" si="62"/>
        <v>962.94789727545901</v>
      </c>
      <c r="L52">
        <f t="shared" ca="1" si="62"/>
        <v>957.41431612270139</v>
      </c>
      <c r="M52">
        <f t="shared" ca="1" si="62"/>
        <v>951.8185928535986</v>
      </c>
      <c r="N52">
        <f t="shared" ca="1" si="62"/>
        <v>946.16002961218362</v>
      </c>
      <c r="O52">
        <f t="shared" ca="1" si="62"/>
        <v>940.43792070556754</v>
      </c>
      <c r="P52">
        <f t="shared" ca="1" si="62"/>
        <v>934.65155251593012</v>
      </c>
      <c r="Q52">
        <f t="shared" ca="1" si="62"/>
        <v>928.80020341152317</v>
      </c>
      <c r="R52">
        <f t="shared" ca="1" si="62"/>
        <v>922.88314365667361</v>
      </c>
      <c r="S52">
        <f t="shared" ca="1" si="62"/>
        <v>916.89963532077718</v>
      </c>
      <c r="T52">
        <f t="shared" ca="1" si="62"/>
        <v>910.84893218626871</v>
      </c>
      <c r="U52">
        <f t="shared" ca="1" si="62"/>
        <v>904.73027965555957</v>
      </c>
      <c r="V52">
        <f t="shared" ca="1" si="62"/>
        <v>898.54291465693063</v>
      </c>
      <c r="W52">
        <f t="shared" ca="1" si="62"/>
        <v>892.28606554936709</v>
      </c>
      <c r="X52">
        <f t="shared" ca="1" si="62"/>
        <v>885.95895202632562</v>
      </c>
      <c r="Y52">
        <f t="shared" ca="1" si="62"/>
        <v>879.56078501842035</v>
      </c>
      <c r="Z52">
        <f t="shared" ca="1" si="62"/>
        <v>873.09076659501636</v>
      </c>
      <c r="AA52">
        <f t="shared" ca="1" si="62"/>
        <v>866.54808986471744</v>
      </c>
      <c r="AB52">
        <f t="shared" ca="1" si="62"/>
        <v>859.9319388747374</v>
      </c>
      <c r="AC52">
        <f t="shared" ca="1" si="62"/>
        <v>853.2414885091398</v>
      </c>
      <c r="AD52">
        <f t="shared" ca="1" si="62"/>
        <v>846.47590438593647</v>
      </c>
      <c r="AE52">
        <f t="shared" ca="1" si="62"/>
        <v>839.63434275302961</v>
      </c>
      <c r="AF52">
        <f t="shared" ca="1" si="62"/>
        <v>832.71595038298528</v>
      </c>
      <c r="AG52">
        <f t="shared" ca="1" si="62"/>
        <v>825.71986446662527</v>
      </c>
      <c r="AH52">
        <f t="shared" ca="1" si="62"/>
        <v>818.64521250542464</v>
      </c>
      <c r="AI52">
        <f t="shared" ca="1" si="62"/>
        <v>811.49111220269958</v>
      </c>
      <c r="AJ52">
        <f t="shared" ca="1" si="62"/>
        <v>804.25667135357514</v>
      </c>
      <c r="AK52">
        <f t="shared" ca="1" si="62"/>
        <v>796.94098773371491</v>
      </c>
      <c r="AL52">
        <f t="shared" ca="1" si="62"/>
        <v>789.54314898680354</v>
      </c>
      <c r="AM52">
        <f t="shared" ca="1" si="62"/>
        <v>782.06223251076449</v>
      </c>
      <c r="AN52">
        <f t="shared" ca="1" si="62"/>
        <v>774.49730534269941</v>
      </c>
      <c r="AO52">
        <f t="shared" ca="1" si="62"/>
        <v>766.847424042537</v>
      </c>
      <c r="AP52">
        <f t="shared" ca="1" si="62"/>
        <v>759.11163457537396</v>
      </c>
      <c r="AQ52">
        <f t="shared" ca="1" si="62"/>
        <v>751.28897219249438</v>
      </c>
      <c r="AR52">
        <f t="shared" ca="1" si="62"/>
        <v>743.37846131105528</v>
      </c>
      <c r="AS52">
        <f t="shared" ca="1" si="62"/>
        <v>735.37911539241759</v>
      </c>
      <c r="AT52">
        <f t="shared" ca="1" si="62"/>
        <v>727.28993681911356</v>
      </c>
      <c r="AU52">
        <f t="shared" ca="1" si="62"/>
        <v>719.10991677043137</v>
      </c>
      <c r="AV52">
        <f t="shared" ca="1" si="62"/>
        <v>710.83803509660243</v>
      </c>
      <c r="AW52">
        <f t="shared" ca="1" si="62"/>
        <v>702.4732601915764</v>
      </c>
      <c r="AX52">
        <f t="shared" ca="1" si="62"/>
        <v>694.01454886436693</v>
      </c>
      <c r="AY52">
        <f t="shared" ca="1" si="62"/>
        <v>685.46084620895283</v>
      </c>
      <c r="AZ52">
        <f t="shared" ca="1" si="62"/>
        <v>676.81108547271856</v>
      </c>
      <c r="BA52">
        <f t="shared" ca="1" si="62"/>
        <v>668.06418792341628</v>
      </c>
      <c r="BB52">
        <f t="shared" ca="1" si="62"/>
        <v>659.21906271463536</v>
      </c>
      <c r="BC52">
        <f t="shared" ca="1" si="62"/>
        <v>650.27460674975987</v>
      </c>
      <c r="BD52">
        <f t="shared" ca="1" si="62"/>
        <v>641.22970454439883</v>
      </c>
      <c r="BE52">
        <f t="shared" ca="1" si="62"/>
        <v>632.08322808727155</v>
      </c>
      <c r="BF52">
        <f t="shared" ca="1" si="62"/>
        <v>622.83403669953066</v>
      </c>
      <c r="BG52">
        <f t="shared" ca="1" si="62"/>
        <v>613.48097689250562</v>
      </c>
      <c r="BH52">
        <f t="shared" ca="1" si="62"/>
        <v>604.02288222384755</v>
      </c>
      <c r="BI52">
        <f t="shared" ca="1" si="62"/>
        <v>594.45857315206047</v>
      </c>
      <c r="BJ52">
        <f t="shared" ca="1" si="62"/>
        <v>584.7868568893972</v>
      </c>
      <c r="BK52">
        <f t="shared" ca="1" si="62"/>
        <v>575.00652725310431</v>
      </c>
      <c r="BL52">
        <f t="shared" ca="1" si="62"/>
        <v>565.11636451499578</v>
      </c>
      <c r="BM52">
        <f t="shared" ca="1" si="62"/>
        <v>555.11513524933832</v>
      </c>
      <c r="BN52">
        <f t="shared" ca="1" si="62"/>
        <v>545.0015921790274</v>
      </c>
      <c r="BO52">
        <f t="shared" ca="1" si="62"/>
        <v>534.77447402003702</v>
      </c>
      <c r="BP52">
        <f t="shared" ca="1" si="62"/>
        <v>524.43250532412117</v>
      </c>
      <c r="BQ52">
        <f t="shared" ref="BQ52:DS52" ca="1" si="63">BP38*BQ51</f>
        <v>513.97439631975021</v>
      </c>
      <c r="BR52">
        <f t="shared" ca="1" si="63"/>
        <v>503.39884275126008</v>
      </c>
      <c r="BS52">
        <f t="shared" ca="1" si="63"/>
        <v>492.70452571619586</v>
      </c>
      <c r="BT52">
        <f t="shared" ca="1" si="63"/>
        <v>481.89011150082786</v>
      </c>
      <c r="BU52">
        <f t="shared" ca="1" si="63"/>
        <v>470.95425141382128</v>
      </c>
      <c r="BV52">
        <f t="shared" ca="1" si="63"/>
        <v>459.89558161803762</v>
      </c>
      <c r="BW52">
        <f t="shared" ca="1" si="63"/>
        <v>448.71272296044731</v>
      </c>
      <c r="BX52">
        <f t="shared" ca="1" si="63"/>
        <v>437.40428080013226</v>
      </c>
      <c r="BY52">
        <f t="shared" ca="1" si="63"/>
        <v>425.96884483435684</v>
      </c>
      <c r="BZ52">
        <f t="shared" ca="1" si="63"/>
        <v>414.40498892268579</v>
      </c>
      <c r="CA52">
        <f t="shared" ca="1" si="63"/>
        <v>402.71127090912671</v>
      </c>
      <c r="CB52">
        <f t="shared" ca="1" si="63"/>
        <v>390.88623244227529</v>
      </c>
      <c r="CC52">
        <f t="shared" ca="1" si="63"/>
        <v>378.92839879344115</v>
      </c>
      <c r="CD52">
        <f t="shared" ca="1" si="63"/>
        <v>366.83627867273066</v>
      </c>
      <c r="CE52">
        <f t="shared" ca="1" si="63"/>
        <v>354.60836404306451</v>
      </c>
      <c r="CF52">
        <f t="shared" ca="1" si="63"/>
        <v>342.24312993210725</v>
      </c>
      <c r="CG52">
        <f t="shared" ca="1" si="63"/>
        <v>329.73903424208396</v>
      </c>
      <c r="CH52">
        <f t="shared" ca="1" si="63"/>
        <v>317.09451755746164</v>
      </c>
      <c r="CI52">
        <f t="shared" ca="1" si="63"/>
        <v>304.30800295047106</v>
      </c>
      <c r="CJ52">
        <f t="shared" ca="1" si="63"/>
        <v>291.37789578444398</v>
      </c>
      <c r="CK52">
        <f t="shared" ca="1" si="63"/>
        <v>278.3025835149424</v>
      </c>
      <c r="CL52">
        <f t="shared" ca="1" si="63"/>
        <v>265.0804354886543</v>
      </c>
      <c r="CM52">
        <f t="shared" ca="1" si="63"/>
        <v>251.70980274003102</v>
      </c>
      <c r="CN52">
        <f t="shared" ca="1" si="63"/>
        <v>238.18901778564069</v>
      </c>
      <c r="CO52">
        <f t="shared" ca="1" si="63"/>
        <v>224.51639441621253</v>
      </c>
      <c r="CP52">
        <f t="shared" ca="1" si="63"/>
        <v>210.69022748634572</v>
      </c>
      <c r="CQ52">
        <f t="shared" ca="1" si="63"/>
        <v>196.70879270185651</v>
      </c>
      <c r="CR52">
        <f t="shared" ca="1" si="63"/>
        <v>182.57034640473748</v>
      </c>
      <c r="CS52">
        <f t="shared" ca="1" si="63"/>
        <v>168.27312535570178</v>
      </c>
      <c r="CT52">
        <f t="shared" ca="1" si="63"/>
        <v>153.81534651428544</v>
      </c>
      <c r="CU52">
        <f t="shared" ca="1" si="63"/>
        <v>139.19520681647998</v>
      </c>
      <c r="CV52">
        <f t="shared" ca="1" si="63"/>
        <v>124.41088294986815</v>
      </c>
      <c r="CW52">
        <f t="shared" ca="1" si="63"/>
        <v>109.46053112623429</v>
      </c>
      <c r="CX52">
        <f t="shared" ca="1" si="63"/>
        <v>94.342286851621012</v>
      </c>
      <c r="CY52">
        <f t="shared" ca="1" si="63"/>
        <v>79.05426469380383</v>
      </c>
      <c r="CZ52">
        <f t="shared" ca="1" si="63"/>
        <v>63.594558047154372</v>
      </c>
      <c r="DA52">
        <f t="shared" ca="1" si="63"/>
        <v>47.96123889486303</v>
      </c>
      <c r="DB52">
        <f t="shared" ca="1" si="63"/>
        <v>32.152357568491453</v>
      </c>
      <c r="DC52">
        <f t="shared" ca="1" si="63"/>
        <v>16.165942504824724</v>
      </c>
      <c r="DD52">
        <f t="shared" ca="1" si="63"/>
        <v>0</v>
      </c>
      <c r="DE52">
        <f t="shared" ca="1" si="63"/>
        <v>0</v>
      </c>
      <c r="DF52">
        <f t="shared" ca="1" si="63"/>
        <v>0</v>
      </c>
      <c r="DG52">
        <f t="shared" ca="1" si="63"/>
        <v>0</v>
      </c>
      <c r="DH52">
        <f t="shared" ca="1" si="63"/>
        <v>0</v>
      </c>
      <c r="DI52">
        <f t="shared" ca="1" si="63"/>
        <v>0</v>
      </c>
      <c r="DJ52">
        <f t="shared" ca="1" si="63"/>
        <v>0</v>
      </c>
      <c r="DK52">
        <f t="shared" ca="1" si="63"/>
        <v>0</v>
      </c>
      <c r="DL52">
        <f t="shared" ca="1" si="63"/>
        <v>0</v>
      </c>
      <c r="DM52">
        <f t="shared" ca="1" si="63"/>
        <v>0</v>
      </c>
      <c r="DN52">
        <f t="shared" ca="1" si="63"/>
        <v>0</v>
      </c>
      <c r="DO52">
        <f t="shared" ca="1" si="63"/>
        <v>0</v>
      </c>
      <c r="DP52">
        <f t="shared" ca="1" si="63"/>
        <v>0</v>
      </c>
      <c r="DQ52">
        <f t="shared" ca="1" si="63"/>
        <v>0</v>
      </c>
      <c r="DR52">
        <f t="shared" ca="1" si="63"/>
        <v>0</v>
      </c>
      <c r="DS52">
        <f t="shared" ca="1" si="63"/>
        <v>0</v>
      </c>
    </row>
    <row r="53" spans="1:123" x14ac:dyDescent="0.35">
      <c r="A53" s="60" t="s">
        <v>58</v>
      </c>
      <c r="C53" s="35">
        <f ca="1">C52^2</f>
        <v>3886945637.5785775</v>
      </c>
    </row>
    <row r="54" spans="1:123" x14ac:dyDescent="0.35">
      <c r="A54" s="60" t="s">
        <v>50</v>
      </c>
      <c r="C54" s="65"/>
      <c r="D54" s="69">
        <f ca="1">D44+D45</f>
        <v>511.74860391608854</v>
      </c>
      <c r="E54" s="69">
        <f t="shared" ref="E54:BP54" ca="1" si="64">E44+E45</f>
        <v>517.49554073806621</v>
      </c>
      <c r="F54" s="69">
        <f t="shared" ca="1" si="64"/>
        <v>523.3070156605545</v>
      </c>
      <c r="G54" s="69">
        <f t="shared" ca="1" si="64"/>
        <v>529.18375344642254</v>
      </c>
      <c r="H54" s="69">
        <f t="shared" ca="1" si="64"/>
        <v>535.12648699762599</v>
      </c>
      <c r="I54" s="69">
        <f t="shared" ca="1" si="64"/>
        <v>541.13595744660938</v>
      </c>
      <c r="J54" s="69">
        <f t="shared" ca="1" si="64"/>
        <v>547.21291424873471</v>
      </c>
      <c r="K54" s="69">
        <f t="shared" ca="1" si="64"/>
        <v>553.3581152757481</v>
      </c>
      <c r="L54" s="69">
        <f t="shared" ca="1" si="64"/>
        <v>559.57232691029481</v>
      </c>
      <c r="M54" s="69">
        <f t="shared" ca="1" si="64"/>
        <v>565.85632414149745</v>
      </c>
      <c r="N54" s="69">
        <f t="shared" ca="1" si="64"/>
        <v>572.2108906616063</v>
      </c>
      <c r="O54" s="69">
        <f t="shared" ca="1" si="64"/>
        <v>578.63681896373623</v>
      </c>
      <c r="P54" s="69">
        <f t="shared" ca="1" si="64"/>
        <v>585.13491044069906</v>
      </c>
      <c r="Q54" s="69">
        <f t="shared" ca="1" si="64"/>
        <v>591.70597548494811</v>
      </c>
      <c r="R54" s="69">
        <f t="shared" ca="1" si="64"/>
        <v>598.35083358964403</v>
      </c>
      <c r="S54" s="69">
        <f t="shared" ca="1" si="64"/>
        <v>605.07031345085579</v>
      </c>
      <c r="T54" s="69">
        <f t="shared" ca="1" si="64"/>
        <v>611.86525307090881</v>
      </c>
      <c r="U54" s="69">
        <f t="shared" ca="1" si="64"/>
        <v>618.73649986289513</v>
      </c>
      <c r="V54" s="69">
        <f t="shared" ca="1" si="64"/>
        <v>625.68491075635541</v>
      </c>
      <c r="W54" s="69">
        <f t="shared" ca="1" si="64"/>
        <v>632.71135230414927</v>
      </c>
      <c r="X54" s="69">
        <f t="shared" ca="1" si="64"/>
        <v>639.81670079052492</v>
      </c>
      <c r="Y54" s="69">
        <f t="shared" ca="1" si="64"/>
        <v>647.0018423404025</v>
      </c>
      <c r="Z54" s="69">
        <f t="shared" ca="1" si="64"/>
        <v>654.26767302988515</v>
      </c>
      <c r="AA54" s="69">
        <f t="shared" ca="1" si="64"/>
        <v>661.61509899801081</v>
      </c>
      <c r="AB54" s="69">
        <f t="shared" ca="1" si="64"/>
        <v>669.04503655975839</v>
      </c>
      <c r="AC54" s="69">
        <f t="shared" ca="1" si="64"/>
        <v>676.55841232032458</v>
      </c>
      <c r="AD54" s="69">
        <f t="shared" ca="1" si="64"/>
        <v>684.15616329068189</v>
      </c>
      <c r="AE54" s="69">
        <f t="shared" ca="1" si="64"/>
        <v>691.8392370044362</v>
      </c>
      <c r="AF54" s="69">
        <f t="shared" ca="1" si="64"/>
        <v>699.60859163599605</v>
      </c>
      <c r="AG54" s="69">
        <f t="shared" ca="1" si="64"/>
        <v>707.4651961200683</v>
      </c>
      <c r="AH54" s="69">
        <f t="shared" ca="1" si="64"/>
        <v>715.41003027249667</v>
      </c>
      <c r="AI54" s="69">
        <f t="shared" ca="1" si="64"/>
        <v>723.4440849124569</v>
      </c>
      <c r="AJ54" s="69">
        <f t="shared" ca="1" si="64"/>
        <v>731.56836198602366</v>
      </c>
      <c r="AK54" s="69">
        <f t="shared" ca="1" si="64"/>
        <v>739.7838746911267</v>
      </c>
      <c r="AL54" s="69">
        <f t="shared" ca="1" si="64"/>
        <v>748.09164760390809</v>
      </c>
      <c r="AM54" s="69">
        <f t="shared" ca="1" si="64"/>
        <v>756.49271680650008</v>
      </c>
      <c r="AN54" s="69">
        <f t="shared" ca="1" si="64"/>
        <v>764.98813001623705</v>
      </c>
      <c r="AO54" s="69">
        <f t="shared" ca="1" si="64"/>
        <v>773.57894671631948</v>
      </c>
      <c r="AP54" s="69">
        <f t="shared" ca="1" si="64"/>
        <v>782.26623828794357</v>
      </c>
      <c r="AQ54" s="69">
        <f t="shared" ca="1" si="64"/>
        <v>791.05108814391724</v>
      </c>
      <c r="AR54" s="69">
        <f t="shared" ca="1" si="64"/>
        <v>799.93459186377345</v>
      </c>
      <c r="AS54" s="69">
        <f t="shared" ca="1" si="64"/>
        <v>808.91785733040354</v>
      </c>
      <c r="AT54" s="69">
        <f t="shared" ca="1" si="64"/>
        <v>818.00200486822405</v>
      </c>
      <c r="AU54" s="69">
        <f t="shared" ca="1" si="64"/>
        <v>827.18816738289411</v>
      </c>
      <c r="AV54" s="69">
        <f t="shared" ca="1" si="64"/>
        <v>836.47749050260404</v>
      </c>
      <c r="AW54" s="69">
        <f t="shared" ca="1" si="64"/>
        <v>845.87113272094825</v>
      </c>
      <c r="AX54" s="69">
        <f t="shared" ca="1" si="64"/>
        <v>855.37026554140448</v>
      </c>
      <c r="AY54" s="69">
        <f t="shared" ca="1" si="64"/>
        <v>864.97607362343444</v>
      </c>
      <c r="AZ54" s="69">
        <f t="shared" ca="1" si="64"/>
        <v>874.6897549302256</v>
      </c>
      <c r="BA54" s="69">
        <f t="shared" ca="1" si="64"/>
        <v>884.512520878092</v>
      </c>
      <c r="BB54" s="69">
        <f t="shared" ca="1" si="64"/>
        <v>894.44559648755296</v>
      </c>
      <c r="BC54" s="69">
        <f t="shared" ca="1" si="64"/>
        <v>904.49022053610827</v>
      </c>
      <c r="BD54" s="69">
        <f t="shared" ca="1" si="64"/>
        <v>914.64764571272872</v>
      </c>
      <c r="BE54" s="69">
        <f t="shared" ca="1" si="64"/>
        <v>924.91913877408263</v>
      </c>
      <c r="BF54" s="69">
        <f t="shared" ca="1" si="64"/>
        <v>935.30598070251551</v>
      </c>
      <c r="BG54" s="69">
        <f t="shared" ca="1" si="64"/>
        <v>945.80946686580478</v>
      </c>
      <c r="BH54" s="69">
        <f t="shared" ca="1" si="64"/>
        <v>956.43090717870768</v>
      </c>
      <c r="BI54" s="69">
        <f t="shared" ca="1" si="64"/>
        <v>967.17162626632455</v>
      </c>
      <c r="BJ54" s="69">
        <f t="shared" ca="1" si="64"/>
        <v>978.03296362929541</v>
      </c>
      <c r="BK54" s="69">
        <f t="shared" ca="1" si="64"/>
        <v>989.01627381085245</v>
      </c>
      <c r="BL54" s="69">
        <f t="shared" ca="1" si="64"/>
        <v>1000.1229265657483</v>
      </c>
      <c r="BM54" s="69">
        <f t="shared" ca="1" si="64"/>
        <v>1011.3543070310816</v>
      </c>
      <c r="BN54" s="69">
        <f t="shared" ca="1" si="64"/>
        <v>1022.7118158990407</v>
      </c>
      <c r="BO54" s="69">
        <f t="shared" ca="1" si="64"/>
        <v>1034.1968695915871</v>
      </c>
      <c r="BP54" s="69">
        <f t="shared" ca="1" si="64"/>
        <v>1045.8109004371004</v>
      </c>
      <c r="BQ54" s="69">
        <f t="shared" ref="BQ54:DS54" ca="1" si="65">BQ44+BQ45</f>
        <v>1057.5553568490091</v>
      </c>
      <c r="BR54" s="69">
        <f t="shared" ca="1" si="65"/>
        <v>1069.4317035064234</v>
      </c>
      <c r="BS54" s="69">
        <f t="shared" ca="1" si="65"/>
        <v>1081.4414215368006</v>
      </c>
      <c r="BT54" s="69">
        <f t="shared" ca="1" si="65"/>
        <v>1093.586008700659</v>
      </c>
      <c r="BU54" s="69">
        <f t="shared" ca="1" si="65"/>
        <v>1105.8669795783671</v>
      </c>
      <c r="BV54" s="69">
        <f t="shared" ca="1" si="65"/>
        <v>1118.2858657590323</v>
      </c>
      <c r="BW54" s="69">
        <f t="shared" ca="1" si="65"/>
        <v>1130.8442160315062</v>
      </c>
      <c r="BX54" s="69">
        <f t="shared" ca="1" si="65"/>
        <v>1143.54359657754</v>
      </c>
      <c r="BY54" s="69">
        <f t="shared" ca="1" si="65"/>
        <v>1156.3855911671058</v>
      </c>
      <c r="BZ54" s="69">
        <f t="shared" ca="1" si="65"/>
        <v>1169.3718013559123</v>
      </c>
      <c r="CA54" s="69">
        <f t="shared" ca="1" si="65"/>
        <v>1182.5038466851393</v>
      </c>
      <c r="CB54" s="69">
        <f t="shared" ca="1" si="65"/>
        <v>1195.7833648834135</v>
      </c>
      <c r="CC54" s="69">
        <f t="shared" ca="1" si="65"/>
        <v>1209.2120120710542</v>
      </c>
      <c r="CD54" s="69">
        <f t="shared" ca="1" si="65"/>
        <v>1222.791462966612</v>
      </c>
      <c r="CE54" s="69">
        <f t="shared" ca="1" si="65"/>
        <v>1236.5234110957272</v>
      </c>
      <c r="CF54" s="69">
        <f t="shared" ca="1" si="65"/>
        <v>1250.4095690023321</v>
      </c>
      <c r="CG54" s="69">
        <f t="shared" ca="1" si="65"/>
        <v>1264.4516684622283</v>
      </c>
      <c r="CH54" s="69">
        <f t="shared" ca="1" si="65"/>
        <v>1278.651460699059</v>
      </c>
      <c r="CI54" s="69">
        <f t="shared" ca="1" si="65"/>
        <v>1293.0107166027096</v>
      </c>
      <c r="CJ54" s="69">
        <f t="shared" ca="1" si="65"/>
        <v>1307.5312269501578</v>
      </c>
      <c r="CK54" s="69">
        <f t="shared" ca="1" si="65"/>
        <v>1322.2148026288082</v>
      </c>
      <c r="CL54" s="69">
        <f t="shared" ca="1" si="65"/>
        <v>1337.0632748623298</v>
      </c>
      <c r="CM54" s="69">
        <f t="shared" ca="1" si="65"/>
        <v>1352.0784954390338</v>
      </c>
      <c r="CN54" s="69">
        <f t="shared" ca="1" si="65"/>
        <v>1367.262336942814</v>
      </c>
      <c r="CO54" s="69">
        <f t="shared" ca="1" si="65"/>
        <v>1382.6166929866818</v>
      </c>
      <c r="CP54" s="69">
        <f t="shared" ca="1" si="65"/>
        <v>1398.1434784489222</v>
      </c>
      <c r="CQ54" s="69">
        <f t="shared" ca="1" si="65"/>
        <v>1413.8446297119037</v>
      </c>
      <c r="CR54" s="69">
        <f t="shared" ca="1" si="65"/>
        <v>1429.7221049035684</v>
      </c>
      <c r="CS54" s="69">
        <f t="shared" ca="1" si="65"/>
        <v>1445.7778841416355</v>
      </c>
      <c r="CT54" s="69">
        <f t="shared" ca="1" si="65"/>
        <v>1462.0139697805459</v>
      </c>
      <c r="CU54" s="69">
        <f t="shared" ca="1" si="65"/>
        <v>1478.4323866611815</v>
      </c>
      <c r="CV54" s="69">
        <f t="shared" ca="1" si="65"/>
        <v>1495.0351823633866</v>
      </c>
      <c r="CW54" s="69">
        <f t="shared" ca="1" si="65"/>
        <v>1511.8244274613273</v>
      </c>
      <c r="CX54" s="69">
        <f t="shared" ca="1" si="65"/>
        <v>1528.8022157817181</v>
      </c>
      <c r="CY54" s="69">
        <f t="shared" ca="1" si="65"/>
        <v>1545.9706646649468</v>
      </c>
      <c r="CZ54" s="69">
        <f t="shared" ca="1" si="65"/>
        <v>1563.3319152291342</v>
      </c>
      <c r="DA54" s="69">
        <f t="shared" ca="1" si="65"/>
        <v>1580.8881326371575</v>
      </c>
      <c r="DB54" s="69">
        <f t="shared" ca="1" si="65"/>
        <v>1598.6415063666727</v>
      </c>
      <c r="DC54" s="69">
        <f t="shared" ca="1" si="65"/>
        <v>1616.5942504831703</v>
      </c>
      <c r="DD54" s="69">
        <f t="shared" ca="1" si="65"/>
        <v>1616.5942504824725</v>
      </c>
      <c r="DE54" s="69">
        <f t="shared" ca="1" si="65"/>
        <v>0</v>
      </c>
      <c r="DF54" s="69">
        <f t="shared" ca="1" si="65"/>
        <v>0</v>
      </c>
      <c r="DG54" s="69">
        <f t="shared" ca="1" si="65"/>
        <v>0</v>
      </c>
      <c r="DH54" s="69">
        <f t="shared" ca="1" si="65"/>
        <v>0</v>
      </c>
      <c r="DI54" s="69">
        <f t="shared" ca="1" si="65"/>
        <v>0</v>
      </c>
      <c r="DJ54" s="69">
        <f t="shared" ca="1" si="65"/>
        <v>0</v>
      </c>
      <c r="DK54" s="69">
        <f t="shared" ca="1" si="65"/>
        <v>0</v>
      </c>
      <c r="DL54" s="69">
        <f t="shared" ca="1" si="65"/>
        <v>0</v>
      </c>
      <c r="DM54" s="69">
        <f t="shared" ca="1" si="65"/>
        <v>0</v>
      </c>
      <c r="DN54" s="69">
        <f t="shared" ca="1" si="65"/>
        <v>0</v>
      </c>
      <c r="DO54" s="69">
        <f t="shared" ca="1" si="65"/>
        <v>0</v>
      </c>
      <c r="DP54" s="69">
        <f t="shared" ca="1" si="65"/>
        <v>0</v>
      </c>
      <c r="DQ54" s="69">
        <f t="shared" ca="1" si="65"/>
        <v>0</v>
      </c>
      <c r="DR54" s="69">
        <f t="shared" ca="1" si="65"/>
        <v>0</v>
      </c>
      <c r="DS54" s="69">
        <f t="shared" ca="1" si="65"/>
        <v>0</v>
      </c>
    </row>
    <row r="55" spans="1:123" x14ac:dyDescent="0.35">
      <c r="A55" s="60" t="s">
        <v>51</v>
      </c>
      <c r="C55" s="61">
        <f ca="1">SUM(D55:DS55)</f>
        <v>101616.59425048322</v>
      </c>
      <c r="D55">
        <f ca="1">C38*D54</f>
        <v>511.74860391608854</v>
      </c>
      <c r="E55">
        <f t="shared" ref="E55:BP55" ca="1" si="66">D38*E54</f>
        <v>517.49554073806621</v>
      </c>
      <c r="F55">
        <f t="shared" ca="1" si="66"/>
        <v>523.3070156605545</v>
      </c>
      <c r="G55">
        <f t="shared" ca="1" si="66"/>
        <v>529.18375344642254</v>
      </c>
      <c r="H55">
        <f t="shared" ca="1" si="66"/>
        <v>535.12648699762599</v>
      </c>
      <c r="I55">
        <f t="shared" ca="1" si="66"/>
        <v>541.13595744660938</v>
      </c>
      <c r="J55">
        <f t="shared" ca="1" si="66"/>
        <v>547.21291424873471</v>
      </c>
      <c r="K55">
        <f t="shared" ca="1" si="66"/>
        <v>553.3581152757481</v>
      </c>
      <c r="L55">
        <f t="shared" ca="1" si="66"/>
        <v>559.57232691029481</v>
      </c>
      <c r="M55">
        <f t="shared" ca="1" si="66"/>
        <v>565.85632414149745</v>
      </c>
      <c r="N55">
        <f t="shared" ca="1" si="66"/>
        <v>572.2108906616063</v>
      </c>
      <c r="O55">
        <f t="shared" ca="1" si="66"/>
        <v>578.63681896373623</v>
      </c>
      <c r="P55">
        <f t="shared" ca="1" si="66"/>
        <v>585.13491044069906</v>
      </c>
      <c r="Q55">
        <f t="shared" ca="1" si="66"/>
        <v>591.70597548494811</v>
      </c>
      <c r="R55">
        <f t="shared" ca="1" si="66"/>
        <v>598.35083358964403</v>
      </c>
      <c r="S55">
        <f t="shared" ca="1" si="66"/>
        <v>605.07031345085579</v>
      </c>
      <c r="T55">
        <f t="shared" ca="1" si="66"/>
        <v>611.86525307090881</v>
      </c>
      <c r="U55">
        <f t="shared" ca="1" si="66"/>
        <v>618.73649986289513</v>
      </c>
      <c r="V55">
        <f t="shared" ca="1" si="66"/>
        <v>625.68491075635541</v>
      </c>
      <c r="W55">
        <f t="shared" ca="1" si="66"/>
        <v>632.71135230414927</v>
      </c>
      <c r="X55">
        <f t="shared" ca="1" si="66"/>
        <v>639.81670079052492</v>
      </c>
      <c r="Y55">
        <f t="shared" ca="1" si="66"/>
        <v>647.0018423404025</v>
      </c>
      <c r="Z55">
        <f t="shared" ca="1" si="66"/>
        <v>654.26767302988515</v>
      </c>
      <c r="AA55">
        <f t="shared" ca="1" si="66"/>
        <v>661.61509899801081</v>
      </c>
      <c r="AB55">
        <f t="shared" ca="1" si="66"/>
        <v>669.04503655975839</v>
      </c>
      <c r="AC55">
        <f t="shared" ca="1" si="66"/>
        <v>676.55841232032458</v>
      </c>
      <c r="AD55">
        <f t="shared" ca="1" si="66"/>
        <v>684.15616329068189</v>
      </c>
      <c r="AE55">
        <f t="shared" ca="1" si="66"/>
        <v>691.8392370044362</v>
      </c>
      <c r="AF55">
        <f t="shared" ca="1" si="66"/>
        <v>699.60859163599605</v>
      </c>
      <c r="AG55">
        <f t="shared" ca="1" si="66"/>
        <v>707.4651961200683</v>
      </c>
      <c r="AH55">
        <f t="shared" ca="1" si="66"/>
        <v>715.41003027249667</v>
      </c>
      <c r="AI55">
        <f t="shared" ca="1" si="66"/>
        <v>723.4440849124569</v>
      </c>
      <c r="AJ55">
        <f t="shared" ca="1" si="66"/>
        <v>731.56836198602366</v>
      </c>
      <c r="AK55">
        <f t="shared" ca="1" si="66"/>
        <v>739.7838746911267</v>
      </c>
      <c r="AL55">
        <f t="shared" ca="1" si="66"/>
        <v>748.09164760390809</v>
      </c>
      <c r="AM55">
        <f t="shared" ca="1" si="66"/>
        <v>756.49271680650008</v>
      </c>
      <c r="AN55">
        <f t="shared" ca="1" si="66"/>
        <v>764.98813001623705</v>
      </c>
      <c r="AO55">
        <f t="shared" ca="1" si="66"/>
        <v>773.57894671631948</v>
      </c>
      <c r="AP55">
        <f t="shared" ca="1" si="66"/>
        <v>782.26623828794357</v>
      </c>
      <c r="AQ55">
        <f t="shared" ca="1" si="66"/>
        <v>791.05108814391724</v>
      </c>
      <c r="AR55">
        <f t="shared" ca="1" si="66"/>
        <v>799.93459186377345</v>
      </c>
      <c r="AS55">
        <f t="shared" ca="1" si="66"/>
        <v>808.91785733040354</v>
      </c>
      <c r="AT55">
        <f t="shared" ca="1" si="66"/>
        <v>818.00200486822405</v>
      </c>
      <c r="AU55">
        <f t="shared" ca="1" si="66"/>
        <v>827.18816738289411</v>
      </c>
      <c r="AV55">
        <f t="shared" ca="1" si="66"/>
        <v>836.47749050260404</v>
      </c>
      <c r="AW55">
        <f t="shared" ca="1" si="66"/>
        <v>845.87113272094825</v>
      </c>
      <c r="AX55">
        <f t="shared" ca="1" si="66"/>
        <v>855.37026554140448</v>
      </c>
      <c r="AY55">
        <f t="shared" ca="1" si="66"/>
        <v>864.97607362343444</v>
      </c>
      <c r="AZ55">
        <f t="shared" ca="1" si="66"/>
        <v>874.6897549302256</v>
      </c>
      <c r="BA55">
        <f t="shared" ca="1" si="66"/>
        <v>884.512520878092</v>
      </c>
      <c r="BB55">
        <f t="shared" ca="1" si="66"/>
        <v>894.44559648755296</v>
      </c>
      <c r="BC55">
        <f t="shared" ca="1" si="66"/>
        <v>904.49022053610827</v>
      </c>
      <c r="BD55">
        <f t="shared" ca="1" si="66"/>
        <v>914.64764571272872</v>
      </c>
      <c r="BE55">
        <f t="shared" ca="1" si="66"/>
        <v>924.91913877408263</v>
      </c>
      <c r="BF55">
        <f t="shared" ca="1" si="66"/>
        <v>935.30598070251551</v>
      </c>
      <c r="BG55">
        <f t="shared" ca="1" si="66"/>
        <v>945.80946686580478</v>
      </c>
      <c r="BH55">
        <f t="shared" ca="1" si="66"/>
        <v>956.43090717870768</v>
      </c>
      <c r="BI55">
        <f t="shared" ca="1" si="66"/>
        <v>967.17162626632455</v>
      </c>
      <c r="BJ55">
        <f t="shared" ca="1" si="66"/>
        <v>978.03296362929541</v>
      </c>
      <c r="BK55">
        <f t="shared" ca="1" si="66"/>
        <v>989.01627381085245</v>
      </c>
      <c r="BL55">
        <f t="shared" ca="1" si="66"/>
        <v>1000.1229265657483</v>
      </c>
      <c r="BM55">
        <f t="shared" ca="1" si="66"/>
        <v>1011.3543070310816</v>
      </c>
      <c r="BN55">
        <f t="shared" ca="1" si="66"/>
        <v>1022.7118158990407</v>
      </c>
      <c r="BO55">
        <f t="shared" ca="1" si="66"/>
        <v>1034.1968695915871</v>
      </c>
      <c r="BP55">
        <f t="shared" ca="1" si="66"/>
        <v>1045.8109004371004</v>
      </c>
      <c r="BQ55">
        <f t="shared" ref="BQ55:DS55" ca="1" si="67">BP38*BQ54</f>
        <v>1057.5553568490091</v>
      </c>
      <c r="BR55">
        <f t="shared" ca="1" si="67"/>
        <v>1069.4317035064234</v>
      </c>
      <c r="BS55">
        <f t="shared" ca="1" si="67"/>
        <v>1081.4414215368006</v>
      </c>
      <c r="BT55">
        <f t="shared" ca="1" si="67"/>
        <v>1093.586008700659</v>
      </c>
      <c r="BU55">
        <f t="shared" ca="1" si="67"/>
        <v>1105.8669795783671</v>
      </c>
      <c r="BV55">
        <f t="shared" ca="1" si="67"/>
        <v>1118.2858657590323</v>
      </c>
      <c r="BW55">
        <f t="shared" ca="1" si="67"/>
        <v>1130.8442160315062</v>
      </c>
      <c r="BX55">
        <f t="shared" ca="1" si="67"/>
        <v>1143.54359657754</v>
      </c>
      <c r="BY55">
        <f t="shared" ca="1" si="67"/>
        <v>1156.3855911671058</v>
      </c>
      <c r="BZ55">
        <f t="shared" ca="1" si="67"/>
        <v>1169.3718013559123</v>
      </c>
      <c r="CA55">
        <f t="shared" ca="1" si="67"/>
        <v>1182.5038466851393</v>
      </c>
      <c r="CB55">
        <f t="shared" ca="1" si="67"/>
        <v>1195.7833648834135</v>
      </c>
      <c r="CC55">
        <f t="shared" ca="1" si="67"/>
        <v>1209.2120120710542</v>
      </c>
      <c r="CD55">
        <f t="shared" ca="1" si="67"/>
        <v>1222.791462966612</v>
      </c>
      <c r="CE55">
        <f t="shared" ca="1" si="67"/>
        <v>1236.5234110957272</v>
      </c>
      <c r="CF55">
        <f t="shared" ca="1" si="67"/>
        <v>1250.4095690023321</v>
      </c>
      <c r="CG55">
        <f t="shared" ca="1" si="67"/>
        <v>1264.4516684622283</v>
      </c>
      <c r="CH55">
        <f t="shared" ca="1" si="67"/>
        <v>1278.651460699059</v>
      </c>
      <c r="CI55">
        <f t="shared" ca="1" si="67"/>
        <v>1293.0107166027096</v>
      </c>
      <c r="CJ55">
        <f t="shared" ca="1" si="67"/>
        <v>1307.5312269501578</v>
      </c>
      <c r="CK55">
        <f t="shared" ca="1" si="67"/>
        <v>1322.2148026288082</v>
      </c>
      <c r="CL55">
        <f t="shared" ca="1" si="67"/>
        <v>1337.0632748623298</v>
      </c>
      <c r="CM55">
        <f t="shared" ca="1" si="67"/>
        <v>1352.0784954390338</v>
      </c>
      <c r="CN55">
        <f t="shared" ca="1" si="67"/>
        <v>1367.262336942814</v>
      </c>
      <c r="CO55">
        <f t="shared" ca="1" si="67"/>
        <v>1382.6166929866818</v>
      </c>
      <c r="CP55">
        <f t="shared" ca="1" si="67"/>
        <v>1398.1434784489222</v>
      </c>
      <c r="CQ55">
        <f t="shared" ca="1" si="67"/>
        <v>1413.8446297119037</v>
      </c>
      <c r="CR55">
        <f t="shared" ca="1" si="67"/>
        <v>1429.7221049035684</v>
      </c>
      <c r="CS55">
        <f t="shared" ca="1" si="67"/>
        <v>1445.7778841416355</v>
      </c>
      <c r="CT55">
        <f t="shared" ca="1" si="67"/>
        <v>1462.0139697805459</v>
      </c>
      <c r="CU55">
        <f t="shared" ca="1" si="67"/>
        <v>1478.4323866611815</v>
      </c>
      <c r="CV55">
        <f t="shared" ca="1" si="67"/>
        <v>1495.0351823633866</v>
      </c>
      <c r="CW55">
        <f t="shared" ca="1" si="67"/>
        <v>1511.8244274613273</v>
      </c>
      <c r="CX55">
        <f t="shared" ca="1" si="67"/>
        <v>1528.8022157817181</v>
      </c>
      <c r="CY55">
        <f t="shared" ca="1" si="67"/>
        <v>1545.9706646649468</v>
      </c>
      <c r="CZ55">
        <f t="shared" ca="1" si="67"/>
        <v>1563.3319152291342</v>
      </c>
      <c r="DA55">
        <f t="shared" ca="1" si="67"/>
        <v>1580.8881326371575</v>
      </c>
      <c r="DB55">
        <f t="shared" ca="1" si="67"/>
        <v>1598.6415063666727</v>
      </c>
      <c r="DC55">
        <f t="shared" ca="1" si="67"/>
        <v>1616.5942504831703</v>
      </c>
      <c r="DD55">
        <f t="shared" ca="1" si="67"/>
        <v>1616.5942504824725</v>
      </c>
      <c r="DE55">
        <f t="shared" ca="1" si="67"/>
        <v>0</v>
      </c>
      <c r="DF55">
        <f t="shared" ca="1" si="67"/>
        <v>0</v>
      </c>
      <c r="DG55">
        <f t="shared" ca="1" si="67"/>
        <v>0</v>
      </c>
      <c r="DH55">
        <f t="shared" ca="1" si="67"/>
        <v>0</v>
      </c>
      <c r="DI55">
        <f t="shared" ca="1" si="67"/>
        <v>0</v>
      </c>
      <c r="DJ55">
        <f t="shared" ca="1" si="67"/>
        <v>0</v>
      </c>
      <c r="DK55">
        <f t="shared" ca="1" si="67"/>
        <v>0</v>
      </c>
      <c r="DL55">
        <f t="shared" ca="1" si="67"/>
        <v>0</v>
      </c>
      <c r="DM55">
        <f t="shared" ca="1" si="67"/>
        <v>0</v>
      </c>
      <c r="DN55">
        <f t="shared" ca="1" si="67"/>
        <v>0</v>
      </c>
      <c r="DO55">
        <f t="shared" ca="1" si="67"/>
        <v>0</v>
      </c>
      <c r="DP55">
        <f t="shared" ca="1" si="67"/>
        <v>0</v>
      </c>
      <c r="DQ55">
        <f t="shared" ca="1" si="67"/>
        <v>0</v>
      </c>
      <c r="DR55">
        <f t="shared" ca="1" si="67"/>
        <v>0</v>
      </c>
      <c r="DS55">
        <f t="shared" ca="1" si="67"/>
        <v>0</v>
      </c>
    </row>
    <row r="56" spans="1:123" s="11" customFormat="1" x14ac:dyDescent="0.35">
      <c r="A56" s="62" t="s">
        <v>58</v>
      </c>
      <c r="C56" s="11">
        <f ca="1">C55^2</f>
        <v>10325932227.067339</v>
      </c>
    </row>
    <row r="57" spans="1:123" s="50" customFormat="1" ht="13.15" x14ac:dyDescent="0.4">
      <c r="A57" s="49" t="s">
        <v>34</v>
      </c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  <c r="CR57" s="49"/>
      <c r="CS57" s="49"/>
      <c r="CT57" s="49"/>
      <c r="CU57" s="49"/>
      <c r="CV57" s="49"/>
      <c r="CW57" s="49"/>
      <c r="CX57" s="49"/>
      <c r="CY57" s="49"/>
      <c r="CZ57" s="49"/>
      <c r="DA57" s="49"/>
      <c r="DB57" s="49"/>
      <c r="DC57" s="49"/>
      <c r="DD57" s="49"/>
      <c r="DE57" s="49"/>
      <c r="DF57" s="49"/>
      <c r="DG57" s="49"/>
      <c r="DH57" s="49"/>
      <c r="DI57" s="49"/>
      <c r="DJ57" s="49"/>
      <c r="DK57" s="49"/>
      <c r="DL57" s="49"/>
      <c r="DM57" s="49"/>
      <c r="DN57" s="49"/>
      <c r="DO57" s="49"/>
      <c r="DP57" s="49"/>
      <c r="DQ57" s="49"/>
      <c r="DR57" s="49"/>
      <c r="DS57" s="49"/>
    </row>
    <row r="58" spans="1:123" s="11" customFormat="1" x14ac:dyDescent="0.35">
      <c r="A58" s="44" t="s">
        <v>40</v>
      </c>
      <c r="C58" s="11">
        <f ca="1">C48+C64</f>
        <v>102081698.62656559</v>
      </c>
    </row>
    <row r="59" spans="1:123" s="11" customFormat="1" x14ac:dyDescent="0.35">
      <c r="A59" s="44" t="s">
        <v>52</v>
      </c>
      <c r="C59" s="11">
        <f ca="1">C52+C65</f>
        <v>4675529.2895960547</v>
      </c>
    </row>
    <row r="60" spans="1:123" s="11" customFormat="1" x14ac:dyDescent="0.35">
      <c r="A60" s="44" t="s">
        <v>53</v>
      </c>
      <c r="C60" s="11">
        <f ca="1">C55+C66</f>
        <v>97406169.336969778</v>
      </c>
    </row>
    <row r="61" spans="1:123" s="11" customFormat="1" x14ac:dyDescent="0.35">
      <c r="A61" s="44" t="s">
        <v>59</v>
      </c>
      <c r="C61" s="11">
        <f ca="1">C49+C67</f>
        <v>10418705546262.303</v>
      </c>
    </row>
    <row r="62" spans="1:123" s="11" customFormat="1" x14ac:dyDescent="0.35">
      <c r="A62" s="44" t="s">
        <v>60</v>
      </c>
      <c r="C62" s="11">
        <f ca="1">C53+C68</f>
        <v>30628332260.229935</v>
      </c>
    </row>
    <row r="63" spans="1:123" s="11" customFormat="1" x14ac:dyDescent="0.35">
      <c r="A63" s="44" t="s">
        <v>61</v>
      </c>
      <c r="C63" s="11">
        <f ca="1">C56+C69</f>
        <v>9494483500213.1738</v>
      </c>
    </row>
    <row r="64" spans="1:123" s="11" customFormat="1" x14ac:dyDescent="0.35">
      <c r="A64" s="44" t="s">
        <v>41</v>
      </c>
      <c r="C64" s="11">
        <v>101917736.65848851</v>
      </c>
    </row>
    <row r="65" spans="1:3" s="11" customFormat="1" x14ac:dyDescent="0.35">
      <c r="A65" s="44" t="s">
        <v>54</v>
      </c>
      <c r="C65" s="11">
        <v>4613183.9157694541</v>
      </c>
    </row>
    <row r="66" spans="1:3" s="11" customFormat="1" x14ac:dyDescent="0.35">
      <c r="A66" s="44" t="s">
        <v>55</v>
      </c>
      <c r="C66" s="11">
        <v>97304552.742719293</v>
      </c>
    </row>
    <row r="67" spans="1:3" s="11" customFormat="1" x14ac:dyDescent="0.35">
      <c r="A67" s="44" t="s">
        <v>59</v>
      </c>
      <c r="C67" s="11">
        <v>10391822019286.592</v>
      </c>
    </row>
    <row r="68" spans="1:3" s="11" customFormat="1" x14ac:dyDescent="0.35">
      <c r="A68" s="44" t="s">
        <v>60</v>
      </c>
      <c r="C68" s="11">
        <v>26741386622.651356</v>
      </c>
    </row>
    <row r="69" spans="1:3" s="11" customFormat="1" x14ac:dyDescent="0.35">
      <c r="A69" s="44" t="s">
        <v>61</v>
      </c>
      <c r="C69" s="11">
        <v>9484157567986.1074</v>
      </c>
    </row>
    <row r="70" spans="1:3" s="15" customFormat="1" x14ac:dyDescent="0.35">
      <c r="A70" s="44" t="s">
        <v>42</v>
      </c>
      <c r="C70" s="15">
        <f t="shared" ref="C70" si="68">C64/output.SimNum</f>
        <v>101917.73665848852</v>
      </c>
    </row>
    <row r="71" spans="1:3" s="15" customFormat="1" x14ac:dyDescent="0.35">
      <c r="A71" s="44" t="s">
        <v>56</v>
      </c>
      <c r="C71" s="15">
        <f t="shared" ref="C71:C75" si="69">C65/output.SimNum</f>
        <v>4613.183915769454</v>
      </c>
    </row>
    <row r="72" spans="1:3" x14ac:dyDescent="0.35">
      <c r="A72" s="60" t="s">
        <v>57</v>
      </c>
      <c r="C72" s="15">
        <f t="shared" si="69"/>
        <v>97304.552742719286</v>
      </c>
    </row>
    <row r="73" spans="1:3" x14ac:dyDescent="0.35">
      <c r="A73" s="44" t="s">
        <v>59</v>
      </c>
      <c r="C73" s="15">
        <f t="shared" si="69"/>
        <v>10391822019.286592</v>
      </c>
    </row>
    <row r="74" spans="1:3" x14ac:dyDescent="0.35">
      <c r="A74" s="44" t="s">
        <v>60</v>
      </c>
      <c r="C74" s="15">
        <f t="shared" si="69"/>
        <v>26741386.622651357</v>
      </c>
    </row>
    <row r="75" spans="1:3" x14ac:dyDescent="0.35">
      <c r="A75" s="44" t="s">
        <v>61</v>
      </c>
      <c r="C75" s="15">
        <f t="shared" si="69"/>
        <v>9484157567.9861069</v>
      </c>
    </row>
    <row r="76" spans="1:3" x14ac:dyDescent="0.35">
      <c r="A76" s="60" t="s">
        <v>62</v>
      </c>
      <c r="C76" s="20">
        <f>SQRT(C73-C70^2)/SQRT(output.SimNum)</f>
        <v>67.80098596317336</v>
      </c>
    </row>
    <row r="77" spans="1:3" x14ac:dyDescent="0.35">
      <c r="A77" s="60" t="s">
        <v>63</v>
      </c>
      <c r="C77" s="20">
        <f>SQRT(C74-C71^2)/SQRT(output.SimNum)</f>
        <v>73.891276764834458</v>
      </c>
    </row>
    <row r="78" spans="1:3" x14ac:dyDescent="0.35">
      <c r="A78" s="60" t="s">
        <v>64</v>
      </c>
      <c r="C78" s="20">
        <f>SQRT(C75-C72^2)/SQRT(output.SimNum)</f>
        <v>126.41828793915427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4</xdr:col>
                <xdr:colOff>333375</xdr:colOff>
                <xdr:row>20</xdr:row>
                <xdr:rowOff>28575</xdr:rowOff>
              </from>
              <to>
                <xdr:col>5</xdr:col>
                <xdr:colOff>581025</xdr:colOff>
                <xdr:row>22</xdr:row>
                <xdr:rowOff>90488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IRTree-INPUT</vt:lpstr>
      <vt:lpstr>MODEL</vt:lpstr>
      <vt:lpstr>c_1</vt:lpstr>
      <vt:lpstr>c_2</vt:lpstr>
      <vt:lpstr>CM</vt:lpstr>
      <vt:lpstr>h</vt:lpstr>
      <vt:lpstr>input.SimNum</vt:lpstr>
      <vt:lpstr>out1.PTCashFlow</vt:lpstr>
      <vt:lpstr>output.Cum</vt:lpstr>
      <vt:lpstr>output.Cum2</vt:lpstr>
      <vt:lpstr>output.Indiv</vt:lpstr>
      <vt:lpstr>output.Indiv2</vt:lpstr>
      <vt:lpstr>output.SimNum</vt:lpstr>
      <vt:lpstr>outSUM.CapCF</vt:lpstr>
      <vt:lpstr>outSUM.PTCashFlow</vt:lpstr>
      <vt:lpstr>'IRTree-INPUT'!Print_Area</vt:lpstr>
      <vt:lpstr>rm</vt:lpstr>
      <vt:lpstr>sp</vt:lpstr>
      <vt:lpstr>table.IRTree</vt:lpstr>
      <vt:lpstr>table.OptimExercise</vt:lpstr>
    </vt:vector>
  </TitlesOfParts>
  <Company>The University of Chicago, GSB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Veronesi, Pietro</dc:creator>
  <cp:lastModifiedBy>Veronesi, Pietro</cp:lastModifiedBy>
  <cp:lastPrinted>2009-01-21T23:08:09Z</cp:lastPrinted>
  <dcterms:created xsi:type="dcterms:W3CDTF">2007-04-22T09:20:08Z</dcterms:created>
  <dcterms:modified xsi:type="dcterms:W3CDTF">2017-11-11T01:56:57Z</dcterms:modified>
</cp:coreProperties>
</file>