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jheaton/Library/CloudStorage/GoogleDrive-john.heaton@chicagobooth.edu/My Drive/teaching/Fixed_Income/Assignments/Assignment3/HW3_2024/"/>
    </mc:Choice>
  </mc:AlternateContent>
  <xr:revisionPtr revIDLastSave="0" documentId="13_ncr:1_{D2563646-82F0-0849-8CBE-6D659F76BCD3}" xr6:coauthVersionLast="47" xr6:coauthVersionMax="47" xr10:uidLastSave="{00000000-0000-0000-0000-000000000000}"/>
  <bookViews>
    <workbookView xWindow="-40160" yWindow="6740" windowWidth="30820" windowHeight="20200" xr2:uid="{00000000-000D-0000-FFFF-FFFF00000000}"/>
  </bookViews>
  <sheets>
    <sheet name="FBYields" sheetId="2" r:id="rId1"/>
    <sheet name="Annu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1" i="3" l="1"/>
  <c r="P72" i="3" s="1"/>
  <c r="P73" i="3" s="1"/>
  <c r="F76" i="3"/>
  <c r="K76" i="3" s="1"/>
  <c r="E76" i="3"/>
  <c r="J76" i="3" s="1"/>
  <c r="D76" i="3"/>
  <c r="I76" i="3" s="1"/>
  <c r="C76" i="3"/>
  <c r="H76" i="3" s="1"/>
  <c r="B76" i="3"/>
  <c r="G76" i="3" s="1"/>
  <c r="F75" i="3"/>
  <c r="K75" i="3" s="1"/>
  <c r="E75" i="3"/>
  <c r="J75" i="3" s="1"/>
  <c r="D75" i="3"/>
  <c r="I75" i="3" s="1"/>
  <c r="C75" i="3"/>
  <c r="H75" i="3" s="1"/>
  <c r="B75" i="3"/>
  <c r="G75" i="3" s="1"/>
  <c r="F74" i="3"/>
  <c r="K74" i="3" s="1"/>
  <c r="E74" i="3"/>
  <c r="J74" i="3" s="1"/>
  <c r="D74" i="3"/>
  <c r="I74" i="3" s="1"/>
  <c r="C74" i="3"/>
  <c r="H74" i="3" s="1"/>
  <c r="B74" i="3"/>
  <c r="Q74" i="3" s="1"/>
  <c r="F73" i="3"/>
  <c r="K73" i="3" s="1"/>
  <c r="E73" i="3"/>
  <c r="J73" i="3" s="1"/>
  <c r="D73" i="3"/>
  <c r="I73" i="3" s="1"/>
  <c r="C73" i="3"/>
  <c r="H73" i="3" s="1"/>
  <c r="B73" i="3"/>
  <c r="G73" i="3" s="1"/>
  <c r="F72" i="3"/>
  <c r="K72" i="3" s="1"/>
  <c r="E72" i="3"/>
  <c r="J72" i="3" s="1"/>
  <c r="D72" i="3"/>
  <c r="I72" i="3" s="1"/>
  <c r="C72" i="3"/>
  <c r="H72" i="3" s="1"/>
  <c r="B72" i="3"/>
  <c r="Q72" i="3" s="1"/>
  <c r="F71" i="3"/>
  <c r="K71" i="3" s="1"/>
  <c r="E71" i="3"/>
  <c r="J71" i="3" s="1"/>
  <c r="D71" i="3"/>
  <c r="I71" i="3" s="1"/>
  <c r="C71" i="3"/>
  <c r="H71" i="3" s="1"/>
  <c r="B71" i="3"/>
  <c r="Q71" i="3" s="1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A76" i="3"/>
  <c r="A71" i="3"/>
  <c r="A72" i="3" s="1"/>
  <c r="A73" i="3" s="1"/>
  <c r="A74" i="3" s="1"/>
  <c r="A75" i="3" s="1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G72" i="3" l="1"/>
  <c r="V73" i="3"/>
  <c r="Z73" i="3" s="1"/>
  <c r="V76" i="3"/>
  <c r="Z76" i="3" s="1"/>
  <c r="O76" i="3"/>
  <c r="U76" i="3" s="1"/>
  <c r="O71" i="3"/>
  <c r="U71" i="3" s="1"/>
  <c r="N71" i="3"/>
  <c r="T71" i="3" s="1"/>
  <c r="N76" i="3"/>
  <c r="T76" i="3" s="1"/>
  <c r="V72" i="3"/>
  <c r="Z72" i="3" s="1"/>
  <c r="W72" i="3"/>
  <c r="AA72" i="3" s="1"/>
  <c r="L72" i="3"/>
  <c r="R72" i="3" s="1"/>
  <c r="G74" i="3"/>
  <c r="V74" i="3" s="1"/>
  <c r="Z74" i="3" s="1"/>
  <c r="V75" i="3"/>
  <c r="Z75" i="3" s="1"/>
  <c r="AD75" i="3" s="1"/>
  <c r="L73" i="3"/>
  <c r="R73" i="3" s="1"/>
  <c r="W73" i="3"/>
  <c r="AA73" i="3" s="1"/>
  <c r="M73" i="3"/>
  <c r="S73" i="3" s="1"/>
  <c r="X73" i="3"/>
  <c r="AB73" i="3" s="1"/>
  <c r="M76" i="3"/>
  <c r="S76" i="3" s="1"/>
  <c r="L76" i="3"/>
  <c r="R76" i="3" s="1"/>
  <c r="W76" i="3"/>
  <c r="AA76" i="3" s="1"/>
  <c r="O75" i="3"/>
  <c r="U75" i="3" s="1"/>
  <c r="X74" i="3"/>
  <c r="AB74" i="3" s="1"/>
  <c r="X76" i="3"/>
  <c r="AB76" i="3" s="1"/>
  <c r="AD76" i="3" s="1"/>
  <c r="N75" i="3"/>
  <c r="T75" i="3" s="1"/>
  <c r="Y75" i="3"/>
  <c r="AC75" i="3" s="1"/>
  <c r="M75" i="3"/>
  <c r="S75" i="3" s="1"/>
  <c r="X75" i="3"/>
  <c r="AB75" i="3" s="1"/>
  <c r="M72" i="3"/>
  <c r="S72" i="3" s="1"/>
  <c r="X72" i="3"/>
  <c r="AB72" i="3" s="1"/>
  <c r="O74" i="3"/>
  <c r="U74" i="3" s="1"/>
  <c r="P74" i="3"/>
  <c r="N73" i="3"/>
  <c r="T73" i="3" s="1"/>
  <c r="Y73" i="3"/>
  <c r="AC73" i="3" s="1"/>
  <c r="O73" i="3"/>
  <c r="U73" i="3" s="1"/>
  <c r="M71" i="3"/>
  <c r="S71" i="3" s="1"/>
  <c r="N72" i="3"/>
  <c r="T72" i="3" s="1"/>
  <c r="Y72" i="3"/>
  <c r="AC72" i="3" s="1"/>
  <c r="N74" i="3"/>
  <c r="T74" i="3" s="1"/>
  <c r="Y74" i="3"/>
  <c r="AC74" i="3" s="1"/>
  <c r="O72" i="3"/>
  <c r="U72" i="3" s="1"/>
  <c r="L75" i="3"/>
  <c r="R75" i="3" s="1"/>
  <c r="W75" i="3"/>
  <c r="AA75" i="3" s="1"/>
  <c r="G71" i="3"/>
  <c r="L71" i="3" s="1"/>
  <c r="R71" i="3" s="1"/>
  <c r="M74" i="3"/>
  <c r="S74" i="3" s="1"/>
  <c r="Q73" i="3"/>
  <c r="Y76" i="3"/>
  <c r="AC76" i="3" s="1"/>
  <c r="Q75" i="3"/>
  <c r="Q76" i="3"/>
  <c r="W74" i="3"/>
  <c r="AA74" i="3" s="1"/>
  <c r="A6" i="3"/>
  <c r="B786" i="2"/>
  <c r="B785" i="2"/>
  <c r="B784" i="2"/>
  <c r="B783" i="2"/>
  <c r="B782" i="2"/>
  <c r="B781" i="2"/>
  <c r="AD73" i="3" l="1"/>
  <c r="AD72" i="3"/>
  <c r="L74" i="3"/>
  <c r="R74" i="3" s="1"/>
  <c r="AD74" i="3"/>
  <c r="P75" i="3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P76" i="3" l="1"/>
  <c r="A7" i="3"/>
  <c r="J7" i="3" l="1"/>
  <c r="I7" i="3"/>
  <c r="A8" i="3"/>
  <c r="H6" i="3"/>
  <c r="H7" i="3"/>
  <c r="I6" i="3"/>
  <c r="G6" i="3"/>
  <c r="J6" i="3"/>
  <c r="G7" i="3"/>
  <c r="K6" i="3"/>
  <c r="K7" i="3"/>
  <c r="Y7" i="3" l="1"/>
  <c r="AC7" i="3" s="1"/>
  <c r="M7" i="3"/>
  <c r="S7" i="3" s="1"/>
  <c r="X7" i="3"/>
  <c r="AB7" i="3" s="1"/>
  <c r="V7" i="3"/>
  <c r="Z7" i="3" s="1"/>
  <c r="J8" i="3"/>
  <c r="Y8" i="3" s="1"/>
  <c r="AC8" i="3" s="1"/>
  <c r="K8" i="3"/>
  <c r="H8" i="3"/>
  <c r="W8" i="3" s="1"/>
  <c r="AA8" i="3" s="1"/>
  <c r="I8" i="3"/>
  <c r="X8" i="3" s="1"/>
  <c r="AB8" i="3" s="1"/>
  <c r="W7" i="3"/>
  <c r="AA7" i="3" s="1"/>
  <c r="L6" i="3"/>
  <c r="R6" i="3" s="1"/>
  <c r="M6" i="3"/>
  <c r="S6" i="3" s="1"/>
  <c r="O7" i="3"/>
  <c r="U7" i="3" s="1"/>
  <c r="A9" i="3"/>
  <c r="N7" i="3"/>
  <c r="T7" i="3" s="1"/>
  <c r="N6" i="3"/>
  <c r="T6" i="3" s="1"/>
  <c r="O6" i="3"/>
  <c r="U6" i="3" s="1"/>
  <c r="L7" i="3"/>
  <c r="R7" i="3" s="1"/>
  <c r="Q6" i="3"/>
  <c r="Q7" i="3"/>
  <c r="AD7" i="3" l="1"/>
  <c r="H9" i="3"/>
  <c r="W9" i="3" s="1"/>
  <c r="AA9" i="3" s="1"/>
  <c r="I9" i="3"/>
  <c r="X9" i="3" s="1"/>
  <c r="AB9" i="3" s="1"/>
  <c r="K9" i="3"/>
  <c r="N8" i="3"/>
  <c r="T8" i="3" s="1"/>
  <c r="O8" i="3"/>
  <c r="U8" i="3" s="1"/>
  <c r="M8" i="3"/>
  <c r="S8" i="3" s="1"/>
  <c r="G8" i="3"/>
  <c r="Q8" i="3"/>
  <c r="A10" i="3"/>
  <c r="J9" i="3"/>
  <c r="Y9" i="3" s="1"/>
  <c r="AC9" i="3" s="1"/>
  <c r="L8" i="3" l="1"/>
  <c r="R8" i="3" s="1"/>
  <c r="V8" i="3"/>
  <c r="Z8" i="3" s="1"/>
  <c r="AD8" i="3" s="1"/>
  <c r="K10" i="3"/>
  <c r="J10" i="3"/>
  <c r="O9" i="3"/>
  <c r="U9" i="3" s="1"/>
  <c r="N9" i="3"/>
  <c r="T9" i="3" s="1"/>
  <c r="M9" i="3"/>
  <c r="S9" i="3" s="1"/>
  <c r="A11" i="3"/>
  <c r="I10" i="3"/>
  <c r="X10" i="3" s="1"/>
  <c r="AB10" i="3" s="1"/>
  <c r="H10" i="3"/>
  <c r="W10" i="3" s="1"/>
  <c r="AA10" i="3" s="1"/>
  <c r="G9" i="3"/>
  <c r="Q9" i="3"/>
  <c r="N10" i="3" l="1"/>
  <c r="T10" i="3" s="1"/>
  <c r="Y10" i="3"/>
  <c r="AC10" i="3" s="1"/>
  <c r="L9" i="3"/>
  <c r="R9" i="3" s="1"/>
  <c r="V9" i="3"/>
  <c r="Z9" i="3" s="1"/>
  <c r="AD9" i="3" s="1"/>
  <c r="K11" i="3"/>
  <c r="J11" i="3"/>
  <c r="Y11" i="3" s="1"/>
  <c r="AC11" i="3" s="1"/>
  <c r="H11" i="3"/>
  <c r="W11" i="3" s="1"/>
  <c r="AA11" i="3" s="1"/>
  <c r="I11" i="3"/>
  <c r="O10" i="3"/>
  <c r="U10" i="3" s="1"/>
  <c r="A12" i="3"/>
  <c r="G10" i="3"/>
  <c r="Q10" i="3"/>
  <c r="M10" i="3"/>
  <c r="S10" i="3" s="1"/>
  <c r="M11" i="3" l="1"/>
  <c r="S11" i="3" s="1"/>
  <c r="X11" i="3"/>
  <c r="AB11" i="3" s="1"/>
  <c r="L10" i="3"/>
  <c r="R10" i="3" s="1"/>
  <c r="V10" i="3"/>
  <c r="Z10" i="3" s="1"/>
  <c r="AD10" i="3" s="1"/>
  <c r="I12" i="3"/>
  <c r="X12" i="3" s="1"/>
  <c r="AB12" i="3" s="1"/>
  <c r="H12" i="3"/>
  <c r="W12" i="3" s="1"/>
  <c r="AA12" i="3" s="1"/>
  <c r="J12" i="3"/>
  <c r="Y12" i="3" s="1"/>
  <c r="AC12" i="3" s="1"/>
  <c r="N11" i="3"/>
  <c r="T11" i="3" s="1"/>
  <c r="G11" i="3"/>
  <c r="Q11" i="3"/>
  <c r="O11" i="3"/>
  <c r="U11" i="3" s="1"/>
  <c r="A13" i="3"/>
  <c r="K12" i="3"/>
  <c r="J13" i="3" l="1"/>
  <c r="Y13" i="3" s="1"/>
  <c r="AC13" i="3" s="1"/>
  <c r="H13" i="3"/>
  <c r="W13" i="3" s="1"/>
  <c r="AA13" i="3" s="1"/>
  <c r="L11" i="3"/>
  <c r="R11" i="3" s="1"/>
  <c r="V11" i="3"/>
  <c r="Z11" i="3" s="1"/>
  <c r="AD11" i="3" s="1"/>
  <c r="O12" i="3"/>
  <c r="U12" i="3" s="1"/>
  <c r="M12" i="3"/>
  <c r="S12" i="3" s="1"/>
  <c r="G12" i="3"/>
  <c r="Q12" i="3"/>
  <c r="N12" i="3"/>
  <c r="T12" i="3" s="1"/>
  <c r="A14" i="3"/>
  <c r="K13" i="3"/>
  <c r="I13" i="3"/>
  <c r="X13" i="3" s="1"/>
  <c r="AB13" i="3" s="1"/>
  <c r="O13" i="3" l="1"/>
  <c r="U13" i="3" s="1"/>
  <c r="K14" i="3"/>
  <c r="I14" i="3"/>
  <c r="X14" i="3" s="1"/>
  <c r="AB14" i="3" s="1"/>
  <c r="L12" i="3"/>
  <c r="R12" i="3" s="1"/>
  <c r="V12" i="3"/>
  <c r="Z12" i="3" s="1"/>
  <c r="AD12" i="3" s="1"/>
  <c r="M13" i="3"/>
  <c r="S13" i="3" s="1"/>
  <c r="N13" i="3"/>
  <c r="T13" i="3" s="1"/>
  <c r="G13" i="3"/>
  <c r="V13" i="3" s="1"/>
  <c r="Z13" i="3" s="1"/>
  <c r="AD13" i="3" s="1"/>
  <c r="Q13" i="3"/>
  <c r="A15" i="3"/>
  <c r="J14" i="3"/>
  <c r="H14" i="3"/>
  <c r="W14" i="3" s="1"/>
  <c r="AA14" i="3" s="1"/>
  <c r="J15" i="3" l="1"/>
  <c r="Y15" i="3" s="1"/>
  <c r="AC15" i="3" s="1"/>
  <c r="N14" i="3"/>
  <c r="T14" i="3" s="1"/>
  <c r="Y14" i="3"/>
  <c r="AC14" i="3" s="1"/>
  <c r="L13" i="3"/>
  <c r="R13" i="3" s="1"/>
  <c r="M14" i="3"/>
  <c r="S14" i="3" s="1"/>
  <c r="O14" i="3"/>
  <c r="U14" i="3" s="1"/>
  <c r="Q14" i="3"/>
  <c r="G14" i="3"/>
  <c r="A16" i="3"/>
  <c r="H15" i="3"/>
  <c r="W15" i="3" s="1"/>
  <c r="AA15" i="3" s="1"/>
  <c r="I15" i="3"/>
  <c r="X15" i="3" s="1"/>
  <c r="AB15" i="3" s="1"/>
  <c r="K15" i="3"/>
  <c r="L14" i="3" l="1"/>
  <c r="R14" i="3" s="1"/>
  <c r="V14" i="3"/>
  <c r="Z14" i="3" s="1"/>
  <c r="AD14" i="3" s="1"/>
  <c r="O15" i="3"/>
  <c r="U15" i="3" s="1"/>
  <c r="J16" i="3"/>
  <c r="K16" i="3"/>
  <c r="H16" i="3"/>
  <c r="W16" i="3" s="1"/>
  <c r="AA16" i="3" s="1"/>
  <c r="I16" i="3"/>
  <c r="X16" i="3" s="1"/>
  <c r="AB16" i="3" s="1"/>
  <c r="M15" i="3"/>
  <c r="S15" i="3" s="1"/>
  <c r="Q15" i="3"/>
  <c r="G15" i="3"/>
  <c r="V15" i="3" s="1"/>
  <c r="Z15" i="3" s="1"/>
  <c r="AD15" i="3" s="1"/>
  <c r="N15" i="3"/>
  <c r="T15" i="3" s="1"/>
  <c r="A17" i="3"/>
  <c r="L15" i="3" l="1"/>
  <c r="R15" i="3" s="1"/>
  <c r="N16" i="3"/>
  <c r="T16" i="3" s="1"/>
  <c r="Y16" i="3"/>
  <c r="AC16" i="3" s="1"/>
  <c r="J17" i="3"/>
  <c r="Y17" i="3" s="1"/>
  <c r="AC17" i="3" s="1"/>
  <c r="K17" i="3"/>
  <c r="O16" i="3"/>
  <c r="U16" i="3" s="1"/>
  <c r="G16" i="3"/>
  <c r="Q16" i="3"/>
  <c r="M16" i="3"/>
  <c r="S16" i="3" s="1"/>
  <c r="A18" i="3"/>
  <c r="I17" i="3"/>
  <c r="X17" i="3" s="1"/>
  <c r="AB17" i="3" s="1"/>
  <c r="H17" i="3"/>
  <c r="W17" i="3" s="1"/>
  <c r="AA17" i="3" s="1"/>
  <c r="I18" i="3" l="1"/>
  <c r="X18" i="3" s="1"/>
  <c r="AB18" i="3" s="1"/>
  <c r="L16" i="3"/>
  <c r="R16" i="3" s="1"/>
  <c r="V16" i="3"/>
  <c r="Z16" i="3" s="1"/>
  <c r="AD16" i="3" s="1"/>
  <c r="O17" i="3"/>
  <c r="U17" i="3" s="1"/>
  <c r="N17" i="3"/>
  <c r="T17" i="3" s="1"/>
  <c r="G17" i="3"/>
  <c r="Q17" i="3"/>
  <c r="M17" i="3"/>
  <c r="S17" i="3" s="1"/>
  <c r="A19" i="3"/>
  <c r="J18" i="3"/>
  <c r="K18" i="3"/>
  <c r="H18" i="3"/>
  <c r="W18" i="3" s="1"/>
  <c r="AA18" i="3" s="1"/>
  <c r="N18" i="3" l="1"/>
  <c r="T18" i="3" s="1"/>
  <c r="Y18" i="3"/>
  <c r="AC18" i="3" s="1"/>
  <c r="H19" i="3"/>
  <c r="W19" i="3" s="1"/>
  <c r="AA19" i="3" s="1"/>
  <c r="I19" i="3"/>
  <c r="X19" i="3" s="1"/>
  <c r="AB19" i="3" s="1"/>
  <c r="J19" i="3"/>
  <c r="L17" i="3"/>
  <c r="R17" i="3" s="1"/>
  <c r="V17" i="3"/>
  <c r="Z17" i="3" s="1"/>
  <c r="AD17" i="3" s="1"/>
  <c r="M18" i="3"/>
  <c r="S18" i="3" s="1"/>
  <c r="O18" i="3"/>
  <c r="U18" i="3" s="1"/>
  <c r="A20" i="3"/>
  <c r="K19" i="3"/>
  <c r="G18" i="3"/>
  <c r="Q18" i="3"/>
  <c r="N19" i="3" l="1"/>
  <c r="T19" i="3" s="1"/>
  <c r="Y19" i="3"/>
  <c r="AC19" i="3" s="1"/>
  <c r="H20" i="3"/>
  <c r="W20" i="3" s="1"/>
  <c r="AA20" i="3" s="1"/>
  <c r="J20" i="3"/>
  <c r="Y20" i="3" s="1"/>
  <c r="AC20" i="3" s="1"/>
  <c r="K20" i="3"/>
  <c r="O20" i="3" s="1"/>
  <c r="U20" i="3" s="1"/>
  <c r="L18" i="3"/>
  <c r="R18" i="3" s="1"/>
  <c r="V18" i="3"/>
  <c r="Z18" i="3" s="1"/>
  <c r="AD18" i="3" s="1"/>
  <c r="O19" i="3"/>
  <c r="U19" i="3" s="1"/>
  <c r="A21" i="3"/>
  <c r="I20" i="3"/>
  <c r="X20" i="3" s="1"/>
  <c r="AB20" i="3" s="1"/>
  <c r="M19" i="3"/>
  <c r="S19" i="3" s="1"/>
  <c r="G19" i="3"/>
  <c r="V19" i="3" s="1"/>
  <c r="Z19" i="3" s="1"/>
  <c r="Q19" i="3"/>
  <c r="H21" i="3" l="1"/>
  <c r="W21" i="3" s="1"/>
  <c r="AA21" i="3" s="1"/>
  <c r="AD19" i="3"/>
  <c r="L19" i="3"/>
  <c r="R19" i="3" s="1"/>
  <c r="M20" i="3"/>
  <c r="S20" i="3" s="1"/>
  <c r="G20" i="3"/>
  <c r="Q20" i="3"/>
  <c r="N20" i="3"/>
  <c r="T20" i="3" s="1"/>
  <c r="A22" i="3"/>
  <c r="J21" i="3"/>
  <c r="Y21" i="3" s="1"/>
  <c r="AC21" i="3" s="1"/>
  <c r="K21" i="3"/>
  <c r="I21" i="3"/>
  <c r="H22" i="3" l="1"/>
  <c r="W22" i="3" s="1"/>
  <c r="AA22" i="3" s="1"/>
  <c r="J22" i="3"/>
  <c r="Y22" i="3" s="1"/>
  <c r="AC22" i="3" s="1"/>
  <c r="K22" i="3"/>
  <c r="M21" i="3"/>
  <c r="S21" i="3" s="1"/>
  <c r="X21" i="3"/>
  <c r="AB21" i="3" s="1"/>
  <c r="L20" i="3"/>
  <c r="R20" i="3" s="1"/>
  <c r="V20" i="3"/>
  <c r="Z20" i="3" s="1"/>
  <c r="AD20" i="3" s="1"/>
  <c r="O21" i="3"/>
  <c r="U21" i="3" s="1"/>
  <c r="G21" i="3"/>
  <c r="Q21" i="3"/>
  <c r="N21" i="3"/>
  <c r="T21" i="3" s="1"/>
  <c r="A23" i="3"/>
  <c r="I22" i="3"/>
  <c r="X22" i="3" s="1"/>
  <c r="AB22" i="3" s="1"/>
  <c r="H23" i="3" l="1"/>
  <c r="W23" i="3" s="1"/>
  <c r="AA23" i="3" s="1"/>
  <c r="I23" i="3"/>
  <c r="X23" i="3" s="1"/>
  <c r="AB23" i="3" s="1"/>
  <c r="K23" i="3"/>
  <c r="L21" i="3"/>
  <c r="R21" i="3" s="1"/>
  <c r="V21" i="3"/>
  <c r="Z21" i="3" s="1"/>
  <c r="AD21" i="3" s="1"/>
  <c r="N22" i="3"/>
  <c r="T22" i="3" s="1"/>
  <c r="G22" i="3"/>
  <c r="Q22" i="3"/>
  <c r="M22" i="3"/>
  <c r="S22" i="3" s="1"/>
  <c r="O22" i="3"/>
  <c r="U22" i="3" s="1"/>
  <c r="A24" i="3"/>
  <c r="J23" i="3"/>
  <c r="Y23" i="3" s="1"/>
  <c r="AC23" i="3" s="1"/>
  <c r="K24" i="3" l="1"/>
  <c r="I24" i="3"/>
  <c r="L22" i="3"/>
  <c r="R22" i="3" s="1"/>
  <c r="V22" i="3"/>
  <c r="Z22" i="3" s="1"/>
  <c r="AD22" i="3" s="1"/>
  <c r="O23" i="3"/>
  <c r="U23" i="3" s="1"/>
  <c r="M23" i="3"/>
  <c r="S23" i="3" s="1"/>
  <c r="G23" i="3"/>
  <c r="Q23" i="3"/>
  <c r="A25" i="3"/>
  <c r="H24" i="3"/>
  <c r="W24" i="3" s="1"/>
  <c r="AA24" i="3" s="1"/>
  <c r="J24" i="3"/>
  <c r="Y24" i="3" s="1"/>
  <c r="AC24" i="3" s="1"/>
  <c r="N23" i="3"/>
  <c r="T23" i="3" s="1"/>
  <c r="M24" i="3" l="1"/>
  <c r="S24" i="3" s="1"/>
  <c r="X24" i="3"/>
  <c r="AB24" i="3" s="1"/>
  <c r="H25" i="3"/>
  <c r="W25" i="3" s="1"/>
  <c r="AA25" i="3" s="1"/>
  <c r="I25" i="3"/>
  <c r="X25" i="3" s="1"/>
  <c r="AB25" i="3" s="1"/>
  <c r="J25" i="3"/>
  <c r="Y25" i="3" s="1"/>
  <c r="AC25" i="3" s="1"/>
  <c r="K25" i="3"/>
  <c r="L23" i="3"/>
  <c r="R23" i="3" s="1"/>
  <c r="V23" i="3"/>
  <c r="Z23" i="3" s="1"/>
  <c r="AD23" i="3" s="1"/>
  <c r="A26" i="3"/>
  <c r="O24" i="3"/>
  <c r="U24" i="3" s="1"/>
  <c r="N24" i="3"/>
  <c r="T24" i="3" s="1"/>
  <c r="G24" i="3"/>
  <c r="Q24" i="3"/>
  <c r="L24" i="3" l="1"/>
  <c r="R24" i="3" s="1"/>
  <c r="V24" i="3"/>
  <c r="Z24" i="3" s="1"/>
  <c r="AD24" i="3" s="1"/>
  <c r="H26" i="3"/>
  <c r="W26" i="3" s="1"/>
  <c r="AA26" i="3" s="1"/>
  <c r="J26" i="3"/>
  <c r="Y26" i="3" s="1"/>
  <c r="AC26" i="3" s="1"/>
  <c r="O25" i="3"/>
  <c r="U25" i="3" s="1"/>
  <c r="M25" i="3"/>
  <c r="S25" i="3" s="1"/>
  <c r="G25" i="3"/>
  <c r="V25" i="3" s="1"/>
  <c r="Z25" i="3" s="1"/>
  <c r="AD25" i="3" s="1"/>
  <c r="Q25" i="3"/>
  <c r="N25" i="3"/>
  <c r="T25" i="3" s="1"/>
  <c r="A27" i="3"/>
  <c r="I26" i="3"/>
  <c r="X26" i="3" s="1"/>
  <c r="AB26" i="3" s="1"/>
  <c r="K26" i="3"/>
  <c r="K27" i="3" l="1"/>
  <c r="I27" i="3"/>
  <c r="X27" i="3" s="1"/>
  <c r="AB27" i="3" s="1"/>
  <c r="L25" i="3"/>
  <c r="R25" i="3" s="1"/>
  <c r="N26" i="3"/>
  <c r="T26" i="3" s="1"/>
  <c r="G26" i="3"/>
  <c r="Q26" i="3"/>
  <c r="M26" i="3"/>
  <c r="S26" i="3" s="1"/>
  <c r="O26" i="3"/>
  <c r="U26" i="3" s="1"/>
  <c r="A28" i="3"/>
  <c r="H27" i="3"/>
  <c r="W27" i="3" s="1"/>
  <c r="AA27" i="3" s="1"/>
  <c r="J27" i="3"/>
  <c r="Y27" i="3" s="1"/>
  <c r="AC27" i="3" s="1"/>
  <c r="L26" i="3" l="1"/>
  <c r="R26" i="3" s="1"/>
  <c r="V26" i="3"/>
  <c r="Z26" i="3" s="1"/>
  <c r="AD26" i="3" s="1"/>
  <c r="H28" i="3"/>
  <c r="W28" i="3" s="1"/>
  <c r="AA28" i="3" s="1"/>
  <c r="J28" i="3"/>
  <c r="Y28" i="3" s="1"/>
  <c r="AC28" i="3" s="1"/>
  <c r="K28" i="3"/>
  <c r="O27" i="3"/>
  <c r="U27" i="3" s="1"/>
  <c r="M27" i="3"/>
  <c r="S27" i="3" s="1"/>
  <c r="G27" i="3"/>
  <c r="Q27" i="3"/>
  <c r="A29" i="3"/>
  <c r="I28" i="3"/>
  <c r="N27" i="3"/>
  <c r="T27" i="3" s="1"/>
  <c r="J29" i="3" l="1"/>
  <c r="Y29" i="3" s="1"/>
  <c r="AC29" i="3" s="1"/>
  <c r="K29" i="3"/>
  <c r="H29" i="3"/>
  <c r="W29" i="3" s="1"/>
  <c r="AA29" i="3" s="1"/>
  <c r="M28" i="3"/>
  <c r="S28" i="3" s="1"/>
  <c r="X28" i="3"/>
  <c r="AB28" i="3" s="1"/>
  <c r="L27" i="3"/>
  <c r="R27" i="3" s="1"/>
  <c r="V27" i="3"/>
  <c r="Z27" i="3" s="1"/>
  <c r="AD27" i="3" s="1"/>
  <c r="N28" i="3"/>
  <c r="T28" i="3" s="1"/>
  <c r="A30" i="3"/>
  <c r="I29" i="3"/>
  <c r="G28" i="3"/>
  <c r="Q28" i="3"/>
  <c r="O28" i="3"/>
  <c r="U28" i="3" s="1"/>
  <c r="L28" i="3" l="1"/>
  <c r="R28" i="3" s="1"/>
  <c r="V28" i="3"/>
  <c r="Z28" i="3" s="1"/>
  <c r="AD28" i="3" s="1"/>
  <c r="M29" i="3"/>
  <c r="S29" i="3" s="1"/>
  <c r="X29" i="3"/>
  <c r="AB29" i="3" s="1"/>
  <c r="O29" i="3"/>
  <c r="U29" i="3" s="1"/>
  <c r="H30" i="3"/>
  <c r="W30" i="3" s="1"/>
  <c r="AA30" i="3" s="1"/>
  <c r="J30" i="3"/>
  <c r="Y30" i="3" s="1"/>
  <c r="AC30" i="3" s="1"/>
  <c r="K30" i="3"/>
  <c r="G29" i="3"/>
  <c r="V29" i="3" s="1"/>
  <c r="Z29" i="3" s="1"/>
  <c r="AD29" i="3" s="1"/>
  <c r="Q29" i="3"/>
  <c r="N29" i="3"/>
  <c r="T29" i="3" s="1"/>
  <c r="L29" i="3"/>
  <c r="R29" i="3" s="1"/>
  <c r="A31" i="3"/>
  <c r="I30" i="3"/>
  <c r="X30" i="3" s="1"/>
  <c r="AB30" i="3" s="1"/>
  <c r="J31" i="3" l="1"/>
  <c r="Y31" i="3" s="1"/>
  <c r="AC31" i="3" s="1"/>
  <c r="K31" i="3"/>
  <c r="N30" i="3"/>
  <c r="T30" i="3" s="1"/>
  <c r="O30" i="3"/>
  <c r="U30" i="3" s="1"/>
  <c r="M30" i="3"/>
  <c r="S30" i="3" s="1"/>
  <c r="G30" i="3"/>
  <c r="Q30" i="3"/>
  <c r="A32" i="3"/>
  <c r="H31" i="3"/>
  <c r="W31" i="3" s="1"/>
  <c r="AA31" i="3" s="1"/>
  <c r="I31" i="3"/>
  <c r="M31" i="3" l="1"/>
  <c r="S31" i="3" s="1"/>
  <c r="X31" i="3"/>
  <c r="AB31" i="3" s="1"/>
  <c r="J32" i="3"/>
  <c r="I32" i="3"/>
  <c r="X32" i="3" s="1"/>
  <c r="AB32" i="3" s="1"/>
  <c r="L30" i="3"/>
  <c r="R30" i="3" s="1"/>
  <c r="V30" i="3"/>
  <c r="Z30" i="3" s="1"/>
  <c r="AD30" i="3" s="1"/>
  <c r="N31" i="3"/>
  <c r="T31" i="3" s="1"/>
  <c r="G31" i="3"/>
  <c r="Q31" i="3"/>
  <c r="O31" i="3"/>
  <c r="U31" i="3" s="1"/>
  <c r="A33" i="3"/>
  <c r="K32" i="3"/>
  <c r="H32" i="3"/>
  <c r="W32" i="3" s="1"/>
  <c r="AA32" i="3" s="1"/>
  <c r="N32" i="3" l="1"/>
  <c r="T32" i="3" s="1"/>
  <c r="Y32" i="3"/>
  <c r="AC32" i="3" s="1"/>
  <c r="H33" i="3"/>
  <c r="W33" i="3" s="1"/>
  <c r="AA33" i="3" s="1"/>
  <c r="I33" i="3"/>
  <c r="X33" i="3" s="1"/>
  <c r="AB33" i="3" s="1"/>
  <c r="J33" i="3"/>
  <c r="Y33" i="3" s="1"/>
  <c r="AC33" i="3" s="1"/>
  <c r="K33" i="3"/>
  <c r="L31" i="3"/>
  <c r="R31" i="3" s="1"/>
  <c r="V31" i="3"/>
  <c r="Z31" i="3" s="1"/>
  <c r="AD31" i="3" s="1"/>
  <c r="O32" i="3"/>
  <c r="U32" i="3" s="1"/>
  <c r="G32" i="3"/>
  <c r="Q32" i="3"/>
  <c r="M32" i="3"/>
  <c r="S32" i="3" s="1"/>
  <c r="A34" i="3"/>
  <c r="K34" i="3" l="1"/>
  <c r="J34" i="3"/>
  <c r="L32" i="3"/>
  <c r="R32" i="3" s="1"/>
  <c r="V32" i="3"/>
  <c r="Z32" i="3" s="1"/>
  <c r="AD32" i="3" s="1"/>
  <c r="O33" i="3"/>
  <c r="U33" i="3" s="1"/>
  <c r="M33" i="3"/>
  <c r="S33" i="3" s="1"/>
  <c r="G33" i="3"/>
  <c r="Q33" i="3"/>
  <c r="N33" i="3"/>
  <c r="T33" i="3" s="1"/>
  <c r="A35" i="3"/>
  <c r="I34" i="3"/>
  <c r="X34" i="3" s="1"/>
  <c r="AB34" i="3" s="1"/>
  <c r="H34" i="3"/>
  <c r="W34" i="3" s="1"/>
  <c r="AA34" i="3" s="1"/>
  <c r="N34" i="3" l="1"/>
  <c r="T34" i="3" s="1"/>
  <c r="Y34" i="3"/>
  <c r="AC34" i="3" s="1"/>
  <c r="L33" i="3"/>
  <c r="R33" i="3" s="1"/>
  <c r="V33" i="3"/>
  <c r="Z33" i="3" s="1"/>
  <c r="AD33" i="3" s="1"/>
  <c r="K35" i="3"/>
  <c r="H35" i="3"/>
  <c r="W35" i="3" s="1"/>
  <c r="AA35" i="3" s="1"/>
  <c r="I35" i="3"/>
  <c r="X35" i="3" s="1"/>
  <c r="AB35" i="3" s="1"/>
  <c r="M34" i="3"/>
  <c r="S34" i="3" s="1"/>
  <c r="Q34" i="3"/>
  <c r="G34" i="3"/>
  <c r="O34" i="3"/>
  <c r="U34" i="3" s="1"/>
  <c r="A36" i="3"/>
  <c r="J35" i="3"/>
  <c r="J36" i="3" l="1"/>
  <c r="Y36" i="3" s="1"/>
  <c r="AC36" i="3" s="1"/>
  <c r="L34" i="3"/>
  <c r="R34" i="3" s="1"/>
  <c r="V34" i="3"/>
  <c r="Z34" i="3" s="1"/>
  <c r="AD34" i="3" s="1"/>
  <c r="N35" i="3"/>
  <c r="T35" i="3" s="1"/>
  <c r="Y35" i="3"/>
  <c r="AC35" i="3" s="1"/>
  <c r="M35" i="3"/>
  <c r="S35" i="3" s="1"/>
  <c r="O35" i="3"/>
  <c r="U35" i="3" s="1"/>
  <c r="Q35" i="3"/>
  <c r="G35" i="3"/>
  <c r="A37" i="3"/>
  <c r="K36" i="3"/>
  <c r="H36" i="3"/>
  <c r="W36" i="3" s="1"/>
  <c r="AA36" i="3" s="1"/>
  <c r="I36" i="3"/>
  <c r="X36" i="3" s="1"/>
  <c r="AB36" i="3" s="1"/>
  <c r="L35" i="3" l="1"/>
  <c r="R35" i="3" s="1"/>
  <c r="V35" i="3"/>
  <c r="Z35" i="3" s="1"/>
  <c r="AD35" i="3" s="1"/>
  <c r="I37" i="3"/>
  <c r="X37" i="3" s="1"/>
  <c r="AB37" i="3" s="1"/>
  <c r="H37" i="3"/>
  <c r="W37" i="3" s="1"/>
  <c r="AA37" i="3" s="1"/>
  <c r="N36" i="3"/>
  <c r="T36" i="3" s="1"/>
  <c r="O36" i="3"/>
  <c r="U36" i="3" s="1"/>
  <c r="G36" i="3"/>
  <c r="Q36" i="3"/>
  <c r="M36" i="3"/>
  <c r="S36" i="3" s="1"/>
  <c r="A38" i="3"/>
  <c r="J37" i="3"/>
  <c r="Y37" i="3" s="1"/>
  <c r="AC37" i="3" s="1"/>
  <c r="K37" i="3"/>
  <c r="H38" i="3" l="1"/>
  <c r="W38" i="3" s="1"/>
  <c r="AA38" i="3" s="1"/>
  <c r="I38" i="3"/>
  <c r="X38" i="3" s="1"/>
  <c r="AB38" i="3" s="1"/>
  <c r="J38" i="3"/>
  <c r="Y38" i="3" s="1"/>
  <c r="AC38" i="3" s="1"/>
  <c r="K38" i="3"/>
  <c r="L36" i="3"/>
  <c r="R36" i="3" s="1"/>
  <c r="V36" i="3"/>
  <c r="Z36" i="3" s="1"/>
  <c r="AD36" i="3" s="1"/>
  <c r="N37" i="3"/>
  <c r="T37" i="3" s="1"/>
  <c r="M37" i="3"/>
  <c r="S37" i="3" s="1"/>
  <c r="A39" i="3"/>
  <c r="G37" i="3"/>
  <c r="Q37" i="3"/>
  <c r="O37" i="3"/>
  <c r="U37" i="3" s="1"/>
  <c r="O38" i="3" l="1"/>
  <c r="U38" i="3" s="1"/>
  <c r="L37" i="3"/>
  <c r="R37" i="3" s="1"/>
  <c r="V37" i="3"/>
  <c r="Z37" i="3" s="1"/>
  <c r="AD37" i="3" s="1"/>
  <c r="J39" i="3"/>
  <c r="H39" i="3"/>
  <c r="W39" i="3" s="1"/>
  <c r="AA39" i="3" s="1"/>
  <c r="I39" i="3"/>
  <c r="X39" i="3" s="1"/>
  <c r="AB39" i="3" s="1"/>
  <c r="K39" i="3"/>
  <c r="A40" i="3"/>
  <c r="G38" i="3"/>
  <c r="Q38" i="3"/>
  <c r="N38" i="3"/>
  <c r="T38" i="3" s="1"/>
  <c r="M38" i="3"/>
  <c r="S38" i="3" s="1"/>
  <c r="N39" i="3" l="1"/>
  <c r="T39" i="3" s="1"/>
  <c r="Y39" i="3"/>
  <c r="AC39" i="3" s="1"/>
  <c r="L38" i="3"/>
  <c r="R38" i="3" s="1"/>
  <c r="V38" i="3"/>
  <c r="Z38" i="3" s="1"/>
  <c r="AD38" i="3" s="1"/>
  <c r="J40" i="3"/>
  <c r="Y40" i="3" s="1"/>
  <c r="AC40" i="3" s="1"/>
  <c r="K40" i="3"/>
  <c r="I40" i="3"/>
  <c r="X40" i="3" s="1"/>
  <c r="AB40" i="3" s="1"/>
  <c r="M39" i="3"/>
  <c r="S39" i="3" s="1"/>
  <c r="O39" i="3"/>
  <c r="U39" i="3" s="1"/>
  <c r="G39" i="3"/>
  <c r="Q39" i="3"/>
  <c r="A41" i="3"/>
  <c r="H40" i="3"/>
  <c r="W40" i="3" s="1"/>
  <c r="AA40" i="3" s="1"/>
  <c r="I41" i="3" l="1"/>
  <c r="K41" i="3"/>
  <c r="L39" i="3"/>
  <c r="R39" i="3" s="1"/>
  <c r="V39" i="3"/>
  <c r="Z39" i="3" s="1"/>
  <c r="AD39" i="3" s="1"/>
  <c r="N40" i="3"/>
  <c r="T40" i="3" s="1"/>
  <c r="O40" i="3"/>
  <c r="U40" i="3" s="1"/>
  <c r="G40" i="3"/>
  <c r="Q40" i="3"/>
  <c r="M40" i="3"/>
  <c r="S40" i="3" s="1"/>
  <c r="A42" i="3"/>
  <c r="J41" i="3"/>
  <c r="Y41" i="3" s="1"/>
  <c r="AC41" i="3" s="1"/>
  <c r="H41" i="3"/>
  <c r="W41" i="3" s="1"/>
  <c r="AA41" i="3" s="1"/>
  <c r="M41" i="3" l="1"/>
  <c r="S41" i="3" s="1"/>
  <c r="X41" i="3"/>
  <c r="AB41" i="3" s="1"/>
  <c r="K42" i="3"/>
  <c r="I42" i="3"/>
  <c r="X42" i="3" s="1"/>
  <c r="AB42" i="3" s="1"/>
  <c r="J42" i="3"/>
  <c r="Y42" i="3" s="1"/>
  <c r="AC42" i="3" s="1"/>
  <c r="L40" i="3"/>
  <c r="R40" i="3" s="1"/>
  <c r="V40" i="3"/>
  <c r="Z40" i="3" s="1"/>
  <c r="AD40" i="3" s="1"/>
  <c r="N41" i="3"/>
  <c r="T41" i="3" s="1"/>
  <c r="A43" i="3"/>
  <c r="H42" i="3"/>
  <c r="W42" i="3" s="1"/>
  <c r="AA42" i="3" s="1"/>
  <c r="G41" i="3"/>
  <c r="Q41" i="3"/>
  <c r="O41" i="3"/>
  <c r="U41" i="3" s="1"/>
  <c r="L41" i="3" l="1"/>
  <c r="R41" i="3" s="1"/>
  <c r="V41" i="3"/>
  <c r="Z41" i="3" s="1"/>
  <c r="AD41" i="3" s="1"/>
  <c r="K43" i="3"/>
  <c r="I43" i="3"/>
  <c r="X43" i="3" s="1"/>
  <c r="AB43" i="3" s="1"/>
  <c r="J43" i="3"/>
  <c r="Y43" i="3" s="1"/>
  <c r="AC43" i="3" s="1"/>
  <c r="H43" i="3"/>
  <c r="W43" i="3" s="1"/>
  <c r="AA43" i="3" s="1"/>
  <c r="M42" i="3"/>
  <c r="S42" i="3" s="1"/>
  <c r="O42" i="3"/>
  <c r="U42" i="3" s="1"/>
  <c r="A44" i="3"/>
  <c r="Q42" i="3"/>
  <c r="G42" i="3"/>
  <c r="N42" i="3"/>
  <c r="T42" i="3" s="1"/>
  <c r="L42" i="3" l="1"/>
  <c r="R42" i="3" s="1"/>
  <c r="V42" i="3"/>
  <c r="Z42" i="3" s="1"/>
  <c r="AD42" i="3" s="1"/>
  <c r="J44" i="3"/>
  <c r="Y44" i="3" s="1"/>
  <c r="AC44" i="3" s="1"/>
  <c r="K44" i="3"/>
  <c r="M43" i="3"/>
  <c r="S43" i="3" s="1"/>
  <c r="N43" i="3"/>
  <c r="T43" i="3" s="1"/>
  <c r="Q43" i="3"/>
  <c r="G43" i="3"/>
  <c r="O43" i="3"/>
  <c r="U43" i="3" s="1"/>
  <c r="A45" i="3"/>
  <c r="H44" i="3"/>
  <c r="W44" i="3" s="1"/>
  <c r="AA44" i="3" s="1"/>
  <c r="I44" i="3"/>
  <c r="X44" i="3" s="1"/>
  <c r="AB44" i="3" s="1"/>
  <c r="O44" i="3" l="1"/>
  <c r="U44" i="3" s="1"/>
  <c r="L43" i="3"/>
  <c r="R43" i="3" s="1"/>
  <c r="V43" i="3"/>
  <c r="Z43" i="3" s="1"/>
  <c r="AD43" i="3" s="1"/>
  <c r="H45" i="3"/>
  <c r="W45" i="3" s="1"/>
  <c r="AA45" i="3" s="1"/>
  <c r="N44" i="3"/>
  <c r="T44" i="3" s="1"/>
  <c r="G44" i="3"/>
  <c r="Q44" i="3"/>
  <c r="M44" i="3"/>
  <c r="S44" i="3" s="1"/>
  <c r="A46" i="3"/>
  <c r="J45" i="3"/>
  <c r="Y45" i="3" s="1"/>
  <c r="AC45" i="3" s="1"/>
  <c r="K45" i="3"/>
  <c r="I45" i="3"/>
  <c r="X45" i="3" s="1"/>
  <c r="AB45" i="3" s="1"/>
  <c r="H46" i="3" l="1"/>
  <c r="W46" i="3" s="1"/>
  <c r="AA46" i="3" s="1"/>
  <c r="L44" i="3"/>
  <c r="R44" i="3" s="1"/>
  <c r="V44" i="3"/>
  <c r="Z44" i="3" s="1"/>
  <c r="AD44" i="3" s="1"/>
  <c r="O45" i="3"/>
  <c r="U45" i="3" s="1"/>
  <c r="Q45" i="3"/>
  <c r="G45" i="3"/>
  <c r="N45" i="3"/>
  <c r="T45" i="3" s="1"/>
  <c r="M45" i="3"/>
  <c r="S45" i="3" s="1"/>
  <c r="A47" i="3"/>
  <c r="I46" i="3"/>
  <c r="X46" i="3" s="1"/>
  <c r="AB46" i="3" s="1"/>
  <c r="J46" i="3"/>
  <c r="K46" i="3"/>
  <c r="N46" i="3" l="1"/>
  <c r="T46" i="3" s="1"/>
  <c r="Y46" i="3"/>
  <c r="AC46" i="3" s="1"/>
  <c r="J47" i="3"/>
  <c r="H47" i="3"/>
  <c r="W47" i="3" s="1"/>
  <c r="AA47" i="3" s="1"/>
  <c r="I47" i="3"/>
  <c r="X47" i="3" s="1"/>
  <c r="AB47" i="3" s="1"/>
  <c r="K47" i="3"/>
  <c r="L45" i="3"/>
  <c r="R45" i="3" s="1"/>
  <c r="V45" i="3"/>
  <c r="Z45" i="3" s="1"/>
  <c r="AD45" i="3" s="1"/>
  <c r="M46" i="3"/>
  <c r="S46" i="3" s="1"/>
  <c r="O46" i="3"/>
  <c r="U46" i="3" s="1"/>
  <c r="A48" i="3"/>
  <c r="G46" i="3"/>
  <c r="Q46" i="3"/>
  <c r="N47" i="3" l="1"/>
  <c r="T47" i="3" s="1"/>
  <c r="Y47" i="3"/>
  <c r="AC47" i="3" s="1"/>
  <c r="K48" i="3"/>
  <c r="H48" i="3"/>
  <c r="W48" i="3" s="1"/>
  <c r="AA48" i="3" s="1"/>
  <c r="I48" i="3"/>
  <c r="X48" i="3" s="1"/>
  <c r="AB48" i="3" s="1"/>
  <c r="L46" i="3"/>
  <c r="R46" i="3" s="1"/>
  <c r="V46" i="3"/>
  <c r="Z46" i="3" s="1"/>
  <c r="AD46" i="3" s="1"/>
  <c r="O47" i="3"/>
  <c r="U47" i="3" s="1"/>
  <c r="A49" i="3"/>
  <c r="J48" i="3"/>
  <c r="M47" i="3"/>
  <c r="S47" i="3" s="1"/>
  <c r="G47" i="3"/>
  <c r="Q47" i="3"/>
  <c r="N48" i="3" l="1"/>
  <c r="T48" i="3" s="1"/>
  <c r="Y48" i="3"/>
  <c r="AC48" i="3" s="1"/>
  <c r="H49" i="3"/>
  <c r="W49" i="3" s="1"/>
  <c r="AA49" i="3" s="1"/>
  <c r="I49" i="3"/>
  <c r="X49" i="3" s="1"/>
  <c r="AB49" i="3" s="1"/>
  <c r="J49" i="3"/>
  <c r="Y49" i="3" s="1"/>
  <c r="AC49" i="3" s="1"/>
  <c r="K49" i="3"/>
  <c r="L47" i="3"/>
  <c r="R47" i="3" s="1"/>
  <c r="V47" i="3"/>
  <c r="Z47" i="3" s="1"/>
  <c r="AD47" i="3" s="1"/>
  <c r="O48" i="3"/>
  <c r="U48" i="3" s="1"/>
  <c r="G48" i="3"/>
  <c r="Q48" i="3"/>
  <c r="M48" i="3"/>
  <c r="S48" i="3" s="1"/>
  <c r="A50" i="3"/>
  <c r="I50" i="3" l="1"/>
  <c r="X50" i="3" s="1"/>
  <c r="AB50" i="3" s="1"/>
  <c r="J50" i="3"/>
  <c r="Y50" i="3" s="1"/>
  <c r="AC50" i="3" s="1"/>
  <c r="L48" i="3"/>
  <c r="R48" i="3" s="1"/>
  <c r="V48" i="3"/>
  <c r="Z48" i="3" s="1"/>
  <c r="AD48" i="3" s="1"/>
  <c r="O49" i="3"/>
  <c r="U49" i="3" s="1"/>
  <c r="M49" i="3"/>
  <c r="S49" i="3" s="1"/>
  <c r="N49" i="3"/>
  <c r="T49" i="3" s="1"/>
  <c r="G49" i="3"/>
  <c r="Q49" i="3"/>
  <c r="A51" i="3"/>
  <c r="K50" i="3"/>
  <c r="H50" i="3"/>
  <c r="W50" i="3" s="1"/>
  <c r="AA50" i="3" s="1"/>
  <c r="H51" i="3" l="1"/>
  <c r="W51" i="3" s="1"/>
  <c r="AA51" i="3" s="1"/>
  <c r="I51" i="3"/>
  <c r="X51" i="3" s="1"/>
  <c r="AB51" i="3" s="1"/>
  <c r="L49" i="3"/>
  <c r="R49" i="3" s="1"/>
  <c r="V49" i="3"/>
  <c r="Z49" i="3" s="1"/>
  <c r="AD49" i="3" s="1"/>
  <c r="N50" i="3"/>
  <c r="T50" i="3" s="1"/>
  <c r="G50" i="3"/>
  <c r="Q50" i="3"/>
  <c r="M50" i="3"/>
  <c r="S50" i="3" s="1"/>
  <c r="O50" i="3"/>
  <c r="U50" i="3" s="1"/>
  <c r="A52" i="3"/>
  <c r="J51" i="3"/>
  <c r="Y51" i="3" s="1"/>
  <c r="AC51" i="3" s="1"/>
  <c r="K51" i="3"/>
  <c r="H52" i="3" l="1"/>
  <c r="W52" i="3" s="1"/>
  <c r="AA52" i="3" s="1"/>
  <c r="K52" i="3"/>
  <c r="L50" i="3"/>
  <c r="R50" i="3" s="1"/>
  <c r="V50" i="3"/>
  <c r="Z50" i="3" s="1"/>
  <c r="AD50" i="3" s="1"/>
  <c r="O51" i="3"/>
  <c r="U51" i="3" s="1"/>
  <c r="M51" i="3"/>
  <c r="S51" i="3" s="1"/>
  <c r="Q51" i="3"/>
  <c r="G51" i="3"/>
  <c r="A53" i="3"/>
  <c r="I52" i="3"/>
  <c r="J52" i="3"/>
  <c r="Y52" i="3" s="1"/>
  <c r="AC52" i="3" s="1"/>
  <c r="N51" i="3"/>
  <c r="T51" i="3" s="1"/>
  <c r="M52" i="3" l="1"/>
  <c r="S52" i="3" s="1"/>
  <c r="X52" i="3"/>
  <c r="AB52" i="3" s="1"/>
  <c r="I53" i="3"/>
  <c r="X53" i="3" s="1"/>
  <c r="AB53" i="3" s="1"/>
  <c r="J53" i="3"/>
  <c r="Y53" i="3" s="1"/>
  <c r="AC53" i="3" s="1"/>
  <c r="K53" i="3"/>
  <c r="H53" i="3"/>
  <c r="W53" i="3" s="1"/>
  <c r="AA53" i="3" s="1"/>
  <c r="L51" i="3"/>
  <c r="R51" i="3" s="1"/>
  <c r="V51" i="3"/>
  <c r="Z51" i="3" s="1"/>
  <c r="AD51" i="3" s="1"/>
  <c r="A54" i="3"/>
  <c r="O52" i="3"/>
  <c r="U52" i="3" s="1"/>
  <c r="N52" i="3"/>
  <c r="T52" i="3" s="1"/>
  <c r="G52" i="3"/>
  <c r="Q52" i="3"/>
  <c r="H54" i="3" l="1"/>
  <c r="W54" i="3" s="1"/>
  <c r="AA54" i="3" s="1"/>
  <c r="L52" i="3"/>
  <c r="R52" i="3" s="1"/>
  <c r="V52" i="3"/>
  <c r="Z52" i="3" s="1"/>
  <c r="AD52" i="3" s="1"/>
  <c r="O53" i="3"/>
  <c r="U53" i="3" s="1"/>
  <c r="G53" i="3"/>
  <c r="Q53" i="3"/>
  <c r="N53" i="3"/>
  <c r="T53" i="3" s="1"/>
  <c r="M53" i="3"/>
  <c r="S53" i="3" s="1"/>
  <c r="A55" i="3"/>
  <c r="I54" i="3"/>
  <c r="X54" i="3" s="1"/>
  <c r="AB54" i="3" s="1"/>
  <c r="J54" i="3"/>
  <c r="Y54" i="3" s="1"/>
  <c r="AC54" i="3" s="1"/>
  <c r="K54" i="3"/>
  <c r="H55" i="3" l="1"/>
  <c r="W55" i="3" s="1"/>
  <c r="AA55" i="3" s="1"/>
  <c r="L53" i="3"/>
  <c r="R53" i="3" s="1"/>
  <c r="V53" i="3"/>
  <c r="Z53" i="3" s="1"/>
  <c r="AD53" i="3" s="1"/>
  <c r="N54" i="3"/>
  <c r="T54" i="3" s="1"/>
  <c r="M54" i="3"/>
  <c r="S54" i="3" s="1"/>
  <c r="O54" i="3"/>
  <c r="U54" i="3" s="1"/>
  <c r="A56" i="3"/>
  <c r="I55" i="3"/>
  <c r="X55" i="3" s="1"/>
  <c r="AB55" i="3" s="1"/>
  <c r="J55" i="3"/>
  <c r="Y55" i="3" s="1"/>
  <c r="AC55" i="3" s="1"/>
  <c r="K55" i="3"/>
  <c r="G54" i="3"/>
  <c r="Q54" i="3"/>
  <c r="O55" i="3" l="1"/>
  <c r="U55" i="3" s="1"/>
  <c r="L54" i="3"/>
  <c r="R54" i="3" s="1"/>
  <c r="V54" i="3"/>
  <c r="Z54" i="3" s="1"/>
  <c r="AD54" i="3" s="1"/>
  <c r="K56" i="3"/>
  <c r="I56" i="3"/>
  <c r="H56" i="3"/>
  <c r="W56" i="3" s="1"/>
  <c r="AA56" i="3" s="1"/>
  <c r="N55" i="3"/>
  <c r="T55" i="3" s="1"/>
  <c r="G55" i="3"/>
  <c r="V55" i="3" s="1"/>
  <c r="Z55" i="3" s="1"/>
  <c r="AD55" i="3" s="1"/>
  <c r="Q55" i="3"/>
  <c r="A57" i="3"/>
  <c r="J56" i="3"/>
  <c r="Y56" i="3" s="1"/>
  <c r="AC56" i="3" s="1"/>
  <c r="M55" i="3"/>
  <c r="S55" i="3" s="1"/>
  <c r="M56" i="3" l="1"/>
  <c r="S56" i="3" s="1"/>
  <c r="X56" i="3"/>
  <c r="AB56" i="3" s="1"/>
  <c r="H57" i="3"/>
  <c r="W57" i="3" s="1"/>
  <c r="AA57" i="3" s="1"/>
  <c r="I57" i="3"/>
  <c r="J57" i="3"/>
  <c r="Y57" i="3" s="1"/>
  <c r="AC57" i="3" s="1"/>
  <c r="K57" i="3"/>
  <c r="L55" i="3"/>
  <c r="R55" i="3" s="1"/>
  <c r="O56" i="3"/>
  <c r="U56" i="3" s="1"/>
  <c r="A58" i="3"/>
  <c r="N56" i="3"/>
  <c r="T56" i="3" s="1"/>
  <c r="G56" i="3"/>
  <c r="Q56" i="3"/>
  <c r="M57" i="3" l="1"/>
  <c r="S57" i="3" s="1"/>
  <c r="X57" i="3"/>
  <c r="AB57" i="3" s="1"/>
  <c r="L56" i="3"/>
  <c r="R56" i="3" s="1"/>
  <c r="V56" i="3"/>
  <c r="Z56" i="3" s="1"/>
  <c r="AD56" i="3" s="1"/>
  <c r="H58" i="3"/>
  <c r="W58" i="3" s="1"/>
  <c r="AA58" i="3" s="1"/>
  <c r="I58" i="3"/>
  <c r="X58" i="3" s="1"/>
  <c r="AB58" i="3" s="1"/>
  <c r="J58" i="3"/>
  <c r="Y58" i="3" s="1"/>
  <c r="AC58" i="3" s="1"/>
  <c r="A59" i="3"/>
  <c r="K58" i="3"/>
  <c r="N57" i="3"/>
  <c r="T57" i="3" s="1"/>
  <c r="O57" i="3"/>
  <c r="U57" i="3" s="1"/>
  <c r="G57" i="3"/>
  <c r="Q57" i="3"/>
  <c r="I59" i="3" l="1"/>
  <c r="X59" i="3" s="1"/>
  <c r="AB59" i="3" s="1"/>
  <c r="H59" i="3"/>
  <c r="W59" i="3" s="1"/>
  <c r="AA59" i="3" s="1"/>
  <c r="L57" i="3"/>
  <c r="R57" i="3" s="1"/>
  <c r="V57" i="3"/>
  <c r="Z57" i="3" s="1"/>
  <c r="AD57" i="3" s="1"/>
  <c r="N58" i="3"/>
  <c r="T58" i="3" s="1"/>
  <c r="M58" i="3"/>
  <c r="S58" i="3" s="1"/>
  <c r="O58" i="3"/>
  <c r="U58" i="3" s="1"/>
  <c r="A60" i="3"/>
  <c r="J59" i="3"/>
  <c r="Y59" i="3" s="1"/>
  <c r="AC59" i="3" s="1"/>
  <c r="K59" i="3"/>
  <c r="O59" i="3" s="1"/>
  <c r="U59" i="3" s="1"/>
  <c r="G58" i="3"/>
  <c r="Q58" i="3"/>
  <c r="L58" i="3" l="1"/>
  <c r="R58" i="3" s="1"/>
  <c r="V58" i="3"/>
  <c r="Z58" i="3" s="1"/>
  <c r="AD58" i="3" s="1"/>
  <c r="I60" i="3"/>
  <c r="H60" i="3"/>
  <c r="W60" i="3" s="1"/>
  <c r="AA60" i="3" s="1"/>
  <c r="K60" i="3"/>
  <c r="J60" i="3"/>
  <c r="Y60" i="3" s="1"/>
  <c r="AC60" i="3" s="1"/>
  <c r="G59" i="3"/>
  <c r="V59" i="3" s="1"/>
  <c r="Z59" i="3" s="1"/>
  <c r="AD59" i="3" s="1"/>
  <c r="Q59" i="3"/>
  <c r="A61" i="3"/>
  <c r="N59" i="3"/>
  <c r="T59" i="3" s="1"/>
  <c r="M59" i="3"/>
  <c r="S59" i="3" s="1"/>
  <c r="L59" i="3" l="1"/>
  <c r="R59" i="3" s="1"/>
  <c r="M60" i="3"/>
  <c r="S60" i="3" s="1"/>
  <c r="X60" i="3"/>
  <c r="AB60" i="3" s="1"/>
  <c r="I61" i="3"/>
  <c r="X61" i="3" s="1"/>
  <c r="AB61" i="3" s="1"/>
  <c r="J61" i="3"/>
  <c r="Y61" i="3" s="1"/>
  <c r="AC61" i="3" s="1"/>
  <c r="K61" i="3"/>
  <c r="H61" i="3"/>
  <c r="W61" i="3" s="1"/>
  <c r="AA61" i="3" s="1"/>
  <c r="N60" i="3"/>
  <c r="T60" i="3" s="1"/>
  <c r="A62" i="3"/>
  <c r="G60" i="3"/>
  <c r="Q60" i="3"/>
  <c r="O60" i="3"/>
  <c r="U60" i="3" s="1"/>
  <c r="L60" i="3" l="1"/>
  <c r="R60" i="3" s="1"/>
  <c r="V60" i="3"/>
  <c r="Z60" i="3" s="1"/>
  <c r="AD60" i="3" s="1"/>
  <c r="K62" i="3"/>
  <c r="H62" i="3"/>
  <c r="W62" i="3" s="1"/>
  <c r="AA62" i="3" s="1"/>
  <c r="G61" i="3"/>
  <c r="V61" i="3" s="1"/>
  <c r="Z61" i="3" s="1"/>
  <c r="AD61" i="3" s="1"/>
  <c r="Q61" i="3"/>
  <c r="O61" i="3"/>
  <c r="U61" i="3" s="1"/>
  <c r="N61" i="3"/>
  <c r="T61" i="3" s="1"/>
  <c r="M61" i="3"/>
  <c r="S61" i="3" s="1"/>
  <c r="A63" i="3"/>
  <c r="I62" i="3"/>
  <c r="X62" i="3" s="1"/>
  <c r="AB62" i="3" s="1"/>
  <c r="J62" i="3"/>
  <c r="Y62" i="3" s="1"/>
  <c r="AC62" i="3" s="1"/>
  <c r="O62" i="3" l="1"/>
  <c r="U62" i="3" s="1"/>
  <c r="L61" i="3"/>
  <c r="R61" i="3" s="1"/>
  <c r="H63" i="3"/>
  <c r="W63" i="3" s="1"/>
  <c r="AA63" i="3" s="1"/>
  <c r="I63" i="3"/>
  <c r="X63" i="3" s="1"/>
  <c r="AB63" i="3" s="1"/>
  <c r="J63" i="3"/>
  <c r="Y63" i="3" s="1"/>
  <c r="AC63" i="3" s="1"/>
  <c r="K63" i="3"/>
  <c r="A64" i="3"/>
  <c r="G62" i="3"/>
  <c r="Q62" i="3"/>
  <c r="M62" i="3"/>
  <c r="S62" i="3" s="1"/>
  <c r="N62" i="3"/>
  <c r="T62" i="3" s="1"/>
  <c r="L62" i="3" l="1"/>
  <c r="R62" i="3" s="1"/>
  <c r="V62" i="3"/>
  <c r="Z62" i="3" s="1"/>
  <c r="AD62" i="3" s="1"/>
  <c r="K64" i="3"/>
  <c r="H64" i="3"/>
  <c r="W64" i="3" s="1"/>
  <c r="AA64" i="3" s="1"/>
  <c r="I64" i="3"/>
  <c r="X64" i="3" s="1"/>
  <c r="AB64" i="3" s="1"/>
  <c r="M63" i="3"/>
  <c r="S63" i="3" s="1"/>
  <c r="O63" i="3"/>
  <c r="U63" i="3" s="1"/>
  <c r="A65" i="3"/>
  <c r="J64" i="3"/>
  <c r="Y64" i="3" s="1"/>
  <c r="AC64" i="3" s="1"/>
  <c r="G63" i="3"/>
  <c r="Q63" i="3"/>
  <c r="N63" i="3"/>
  <c r="T63" i="3" s="1"/>
  <c r="L63" i="3" l="1"/>
  <c r="R63" i="3" s="1"/>
  <c r="V63" i="3"/>
  <c r="Z63" i="3" s="1"/>
  <c r="AD63" i="3" s="1"/>
  <c r="I65" i="3"/>
  <c r="X65" i="3" s="1"/>
  <c r="AB65" i="3" s="1"/>
  <c r="K65" i="3"/>
  <c r="J65" i="3"/>
  <c r="Y65" i="3" s="1"/>
  <c r="AC65" i="3" s="1"/>
  <c r="H65" i="3"/>
  <c r="W65" i="3" s="1"/>
  <c r="AA65" i="3" s="1"/>
  <c r="N64" i="3"/>
  <c r="T64" i="3" s="1"/>
  <c r="M64" i="3"/>
  <c r="S64" i="3" s="1"/>
  <c r="A66" i="3"/>
  <c r="G64" i="3"/>
  <c r="V64" i="3" s="1"/>
  <c r="Z64" i="3" s="1"/>
  <c r="AD64" i="3" s="1"/>
  <c r="Q64" i="3"/>
  <c r="O64" i="3"/>
  <c r="U64" i="3" s="1"/>
  <c r="L64" i="3" l="1"/>
  <c r="R64" i="3" s="1"/>
  <c r="M65" i="3"/>
  <c r="S65" i="3" s="1"/>
  <c r="O65" i="3"/>
  <c r="U65" i="3" s="1"/>
  <c r="N65" i="3"/>
  <c r="T65" i="3" s="1"/>
  <c r="G65" i="3"/>
  <c r="Q65" i="3"/>
  <c r="A67" i="3"/>
  <c r="I66" i="3"/>
  <c r="X66" i="3" s="1"/>
  <c r="AB66" i="3" s="1"/>
  <c r="J66" i="3"/>
  <c r="K66" i="3"/>
  <c r="H66" i="3"/>
  <c r="W66" i="3" s="1"/>
  <c r="AA66" i="3" s="1"/>
  <c r="N66" i="3" l="1"/>
  <c r="T66" i="3" s="1"/>
  <c r="Y66" i="3"/>
  <c r="AC66" i="3" s="1"/>
  <c r="K67" i="3"/>
  <c r="J67" i="3"/>
  <c r="Y67" i="3" s="1"/>
  <c r="AC67" i="3" s="1"/>
  <c r="L65" i="3"/>
  <c r="R65" i="3" s="1"/>
  <c r="V65" i="3"/>
  <c r="Z65" i="3" s="1"/>
  <c r="AD65" i="3" s="1"/>
  <c r="M66" i="3"/>
  <c r="S66" i="3" s="1"/>
  <c r="G66" i="3"/>
  <c r="Q66" i="3"/>
  <c r="O66" i="3"/>
  <c r="U66" i="3" s="1"/>
  <c r="A68" i="3"/>
  <c r="H67" i="3"/>
  <c r="W67" i="3" s="1"/>
  <c r="AA67" i="3" s="1"/>
  <c r="I67" i="3"/>
  <c r="X67" i="3" s="1"/>
  <c r="AB67" i="3" s="1"/>
  <c r="J68" i="3" l="1"/>
  <c r="Y68" i="3" s="1"/>
  <c r="AC68" i="3" s="1"/>
  <c r="K68" i="3"/>
  <c r="A69" i="3"/>
  <c r="L66" i="3"/>
  <c r="R66" i="3" s="1"/>
  <c r="V66" i="3"/>
  <c r="Z66" i="3" s="1"/>
  <c r="AD66" i="3" s="1"/>
  <c r="M67" i="3"/>
  <c r="S67" i="3" s="1"/>
  <c r="O67" i="3"/>
  <c r="U67" i="3" s="1"/>
  <c r="Q67" i="3"/>
  <c r="G67" i="3"/>
  <c r="H68" i="3"/>
  <c r="W68" i="3" s="1"/>
  <c r="AA68" i="3" s="1"/>
  <c r="I68" i="3"/>
  <c r="X68" i="3" s="1"/>
  <c r="AB68" i="3" s="1"/>
  <c r="N67" i="3"/>
  <c r="T67" i="3" s="1"/>
  <c r="A70" i="3" l="1"/>
  <c r="I69" i="3"/>
  <c r="J69" i="3"/>
  <c r="K69" i="3"/>
  <c r="O69" i="3" s="1"/>
  <c r="U69" i="3" s="1"/>
  <c r="H69" i="3"/>
  <c r="L67" i="3"/>
  <c r="R67" i="3" s="1"/>
  <c r="V67" i="3"/>
  <c r="Z67" i="3" s="1"/>
  <c r="AD67" i="3" s="1"/>
  <c r="M68" i="3"/>
  <c r="S68" i="3" s="1"/>
  <c r="O68" i="3"/>
  <c r="U68" i="3" s="1"/>
  <c r="N68" i="3"/>
  <c r="T68" i="3" s="1"/>
  <c r="G68" i="3"/>
  <c r="Q68" i="3"/>
  <c r="W69" i="3" l="1"/>
  <c r="AA69" i="3" s="1"/>
  <c r="G69" i="3"/>
  <c r="V69" i="3" s="1"/>
  <c r="Z69" i="3" s="1"/>
  <c r="Q69" i="3"/>
  <c r="L68" i="3"/>
  <c r="R68" i="3" s="1"/>
  <c r="V68" i="3"/>
  <c r="Z68" i="3" s="1"/>
  <c r="AD68" i="3" s="1"/>
  <c r="Y69" i="3"/>
  <c r="AC69" i="3" s="1"/>
  <c r="N69" i="3"/>
  <c r="T69" i="3" s="1"/>
  <c r="X69" i="3"/>
  <c r="AB69" i="3" s="1"/>
  <c r="M69" i="3"/>
  <c r="S69" i="3" s="1"/>
  <c r="I70" i="3"/>
  <c r="W71" i="3" s="1"/>
  <c r="AA71" i="3" s="1"/>
  <c r="K70" i="3"/>
  <c r="H70" i="3"/>
  <c r="J70" i="3"/>
  <c r="X71" i="3" s="1"/>
  <c r="AB71" i="3" s="1"/>
  <c r="O70" i="3" l="1"/>
  <c r="U70" i="3" s="1"/>
  <c r="Y71" i="3"/>
  <c r="AC71" i="3" s="1"/>
  <c r="W70" i="3"/>
  <c r="AA70" i="3" s="1"/>
  <c r="V71" i="3"/>
  <c r="Z71" i="3" s="1"/>
  <c r="AD71" i="3" s="1"/>
  <c r="AD69" i="3"/>
  <c r="L69" i="3"/>
  <c r="R69" i="3" s="1"/>
  <c r="X70" i="3"/>
  <c r="AB70" i="3" s="1"/>
  <c r="M70" i="3"/>
  <c r="S70" i="3" s="1"/>
  <c r="Q70" i="3"/>
  <c r="G70" i="3"/>
  <c r="Y70" i="3"/>
  <c r="AC70" i="3" s="1"/>
  <c r="N70" i="3"/>
  <c r="T70" i="3" s="1"/>
  <c r="L70" i="3" l="1"/>
  <c r="R70" i="3" s="1"/>
  <c r="AU5" i="3" s="1" a="1"/>
  <c r="V70" i="3"/>
  <c r="Z70" i="3" s="1"/>
  <c r="AD70" i="3" s="1"/>
  <c r="AN5" i="3" l="1" a="1"/>
  <c r="AO5" i="3" s="1"/>
  <c r="AU5" i="3"/>
  <c r="AU6" i="3"/>
  <c r="AU7" i="3"/>
  <c r="AU8" i="3"/>
  <c r="AU9" i="3"/>
  <c r="AU10" i="3"/>
  <c r="AS10" i="3"/>
  <c r="AN9" i="3"/>
  <c r="AQ9" i="3"/>
  <c r="AR9" i="3"/>
  <c r="AO10" i="3"/>
  <c r="AP10" i="3"/>
  <c r="AP8" i="3" l="1"/>
  <c r="AR7" i="3"/>
  <c r="AN7" i="3"/>
  <c r="AP6" i="3"/>
  <c r="AR5" i="3"/>
  <c r="AN5" i="3"/>
  <c r="AO8" i="3"/>
  <c r="AQ7" i="3"/>
  <c r="AS8" i="3"/>
  <c r="AO6" i="3"/>
  <c r="AQ5" i="3"/>
  <c r="AS6" i="3"/>
  <c r="AR8" i="3"/>
  <c r="AN8" i="3"/>
  <c r="AP7" i="3"/>
  <c r="AP9" i="3"/>
  <c r="AR6" i="3"/>
  <c r="AN6" i="3"/>
  <c r="AP5" i="3"/>
  <c r="AL5" i="3" s="1" a="1"/>
  <c r="AR10" i="3"/>
  <c r="AQ10" i="3"/>
  <c r="AS9" i="3"/>
  <c r="AO9" i="3"/>
  <c r="AQ8" i="3"/>
  <c r="AS7" i="3"/>
  <c r="AO7" i="3"/>
  <c r="AN10" i="3"/>
  <c r="AQ6" i="3"/>
  <c r="AS5" i="3"/>
  <c r="AL10" i="3" l="1"/>
  <c r="AL6" i="3"/>
  <c r="AL9" i="3"/>
  <c r="AL5" i="3"/>
  <c r="AL7" i="3"/>
  <c r="AL8" i="3"/>
  <c r="AE72" i="3" l="1" a="1"/>
  <c r="AE72" i="3" s="1"/>
  <c r="AE31" i="3" a="1"/>
  <c r="AE31" i="3" s="1"/>
  <c r="AE18" i="3" a="1"/>
  <c r="AE18" i="3" s="1"/>
  <c r="AE13" i="3" a="1"/>
  <c r="AE13" i="3" s="1"/>
  <c r="AE68" i="3" a="1"/>
  <c r="AE68" i="3" s="1"/>
  <c r="AE32" i="3" a="1"/>
  <c r="AE32" i="3" s="1"/>
  <c r="AE57" i="3" a="1"/>
  <c r="AE57" i="3" s="1"/>
  <c r="AE25" i="3" a="1"/>
  <c r="AE25" i="3" s="1"/>
  <c r="AE71" i="3" a="1"/>
  <c r="AE71" i="3" s="1"/>
  <c r="AE48" i="3" a="1"/>
  <c r="AE48" i="3" s="1"/>
  <c r="AE16" i="3" a="1"/>
  <c r="AE16" i="3" s="1"/>
  <c r="AE15" i="3" a="1"/>
  <c r="AE15" i="3" s="1"/>
  <c r="AE36" i="3" a="1"/>
  <c r="AE36" i="3" s="1"/>
  <c r="AE49" i="3" a="1"/>
  <c r="AE49" i="3" s="1"/>
  <c r="AE59" i="3" a="1"/>
  <c r="AE59" i="3" s="1"/>
  <c r="AE27" i="3" a="1"/>
  <c r="AE27" i="3" s="1"/>
  <c r="AE73" i="3" a="1"/>
  <c r="AE73" i="3" s="1"/>
  <c r="AE65" i="3" a="1"/>
  <c r="AE65" i="3" s="1"/>
  <c r="AE70" i="3" a="1"/>
  <c r="AE70" i="3" s="1"/>
  <c r="AE39" i="3" a="1"/>
  <c r="AE39" i="3" s="1"/>
  <c r="AE53" i="3" a="1"/>
  <c r="AE53" i="3" s="1"/>
  <c r="AE17" i="3" a="1"/>
  <c r="AE17" i="3" s="1"/>
  <c r="AE52" i="3" a="1"/>
  <c r="AE52" i="3" s="1"/>
  <c r="AE7" i="3" a="1"/>
  <c r="AE7" i="3" s="1"/>
  <c r="AE74" i="3" a="1"/>
  <c r="AE74" i="3" s="1"/>
  <c r="AE33" i="3" a="1"/>
  <c r="AE33" i="3" s="1"/>
  <c r="AE38" i="3" a="1"/>
  <c r="AE38" i="3" s="1"/>
  <c r="AE56" i="3" a="1"/>
  <c r="AE56" i="3" s="1"/>
  <c r="AE21" i="3" a="1"/>
  <c r="AE21" i="3" s="1"/>
  <c r="AE19" i="3" a="1"/>
  <c r="AE19" i="3" s="1"/>
  <c r="AE24" i="3" a="1"/>
  <c r="AE24" i="3" s="1"/>
  <c r="AE54" i="3" a="1"/>
  <c r="AE54" i="3" s="1"/>
  <c r="AE75" i="3" a="1"/>
  <c r="AE75" i="3" s="1"/>
  <c r="AE12" i="3" a="1"/>
  <c r="AE12" i="3" s="1"/>
  <c r="AE55" i="3" a="1"/>
  <c r="AE55" i="3" s="1"/>
  <c r="AE41" i="3" a="1"/>
  <c r="AE41" i="3" s="1"/>
  <c r="AE10" i="3" a="1"/>
  <c r="AE10" i="3" s="1"/>
  <c r="AE58" i="3" a="1"/>
  <c r="AE58" i="3" s="1"/>
  <c r="AE76" i="3" a="1"/>
  <c r="AE76" i="3" s="1"/>
  <c r="AE20" i="3" a="1"/>
  <c r="AE20" i="3" s="1"/>
  <c r="AE23" i="3" a="1"/>
  <c r="AE23" i="3" s="1"/>
  <c r="AE9" i="3" a="1"/>
  <c r="AE9" i="3" s="1"/>
  <c r="AE45" i="3" a="1"/>
  <c r="AE45" i="3" s="1"/>
  <c r="AE26" i="3" a="1"/>
  <c r="AE26" i="3" s="1"/>
  <c r="AE6" i="3"/>
  <c r="AE60" i="3" a="1"/>
  <c r="AE60" i="3" s="1"/>
  <c r="AE62" i="3" a="1"/>
  <c r="AE62" i="3" s="1"/>
  <c r="AE67" i="3" a="1"/>
  <c r="AE67" i="3" s="1"/>
  <c r="AE42" i="3" a="1"/>
  <c r="AE42" i="3" s="1"/>
  <c r="AE40" i="3" a="1"/>
  <c r="AE40" i="3" s="1"/>
  <c r="AE11" i="3" a="1"/>
  <c r="AE11" i="3" s="1"/>
  <c r="AE22" i="3" a="1"/>
  <c r="AE22" i="3" s="1"/>
  <c r="AE43" i="3" a="1"/>
  <c r="AE43" i="3" s="1"/>
  <c r="AE50" i="3" a="1"/>
  <c r="AE50" i="3" s="1"/>
  <c r="AE37" i="3" a="1"/>
  <c r="AE37" i="3" s="1"/>
  <c r="AE44" i="3" a="1"/>
  <c r="AE44" i="3" s="1"/>
  <c r="AE14" i="3" a="1"/>
  <c r="AE14" i="3" s="1"/>
  <c r="AE66" i="3" a="1"/>
  <c r="AE66" i="3" s="1"/>
  <c r="AE30" i="3" a="1"/>
  <c r="AE30" i="3" s="1"/>
  <c r="AE35" i="3" a="1"/>
  <c r="AE35" i="3" s="1"/>
  <c r="AE46" i="3" a="1"/>
  <c r="AE46" i="3" s="1"/>
  <c r="AE61" i="3" a="1"/>
  <c r="AE61" i="3" s="1"/>
  <c r="AE8" i="3" a="1"/>
  <c r="AE8" i="3" s="1"/>
  <c r="AE34" i="3" a="1"/>
  <c r="AE34" i="3" s="1"/>
  <c r="AE47" i="3" a="1"/>
  <c r="AE47" i="3" s="1"/>
  <c r="AE69" i="3" a="1"/>
  <c r="AE69" i="3" s="1"/>
  <c r="AE63" i="3" a="1"/>
  <c r="AE63" i="3" s="1"/>
  <c r="AE29" i="3" a="1"/>
  <c r="AE29" i="3" s="1"/>
  <c r="AE28" i="3" a="1"/>
  <c r="AE28" i="3" s="1"/>
  <c r="AE51" i="3" a="1"/>
  <c r="AE51" i="3" s="1"/>
  <c r="AE64" i="3" a="1"/>
  <c r="AE64" i="3" s="1"/>
</calcChain>
</file>

<file path=xl/sharedStrings.xml><?xml version="1.0" encoding="utf-8"?>
<sst xmlns="http://schemas.openxmlformats.org/spreadsheetml/2006/main" count="54" uniqueCount="32">
  <si>
    <t>1 month</t>
  </si>
  <si>
    <t>3 month</t>
  </si>
  <si>
    <t>1 year</t>
  </si>
  <si>
    <t>2 year</t>
  </si>
  <si>
    <t>3 year</t>
  </si>
  <si>
    <t>4 year</t>
  </si>
  <si>
    <t>5 year</t>
  </si>
  <si>
    <t>%Data Source: University of Chicago CRSP</t>
  </si>
  <si>
    <t>%</t>
  </si>
  <si>
    <t>% Date</t>
  </si>
  <si>
    <t>1 - 5 years: Fama Bliss Yields, continuously compounded</t>
  </si>
  <si>
    <t>1 - 3 months: Fama Interest Rates, continuously compounded</t>
  </si>
  <si>
    <t>1-&gt;2</t>
  </si>
  <si>
    <t>4-&gt;5</t>
  </si>
  <si>
    <t>3-&gt;4</t>
  </si>
  <si>
    <t>2-&gt;3</t>
  </si>
  <si>
    <t>Ave[xr]</t>
  </si>
  <si>
    <t>0-&gt;1</t>
  </si>
  <si>
    <t>NaN</t>
  </si>
  <si>
    <t>Zeroes ("exp(-yield * Mat)")</t>
  </si>
  <si>
    <t>Forwards Prices (Z(T2)/Z(T1))</t>
  </si>
  <si>
    <t>Yield (%)</t>
  </si>
  <si>
    <t>Forward Rates (%)</t>
  </si>
  <si>
    <t xml:space="preserve">Log Holding Period Returns (%) = </t>
  </si>
  <si>
    <t xml:space="preserve"> = LN(Z(t+1,T-1)/Z(t,T))*100</t>
  </si>
  <si>
    <t>Excess Holding Period Return</t>
  </si>
  <si>
    <t>= Log HPR - 1-year yield</t>
  </si>
  <si>
    <t>Beta</t>
  </si>
  <si>
    <t>(X'X)^{-1)</t>
  </si>
  <si>
    <t>X'Y</t>
  </si>
  <si>
    <t>CP</t>
  </si>
  <si>
    <t>Bond Maturity at Investment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</si>
</sst>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0" fontId="0" fillId="0" borderId="0" xfId="0" quotePrefix="1"/>
    <xf numFmtId="0" fontId="0" fillId="0" borderId="10" xfId="0" applyBorder="1"/>
    <xf numFmtId="0" fontId="0" fillId="0" borderId="10" xfId="0" quotePrefix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quotePrefix="1" applyBorder="1"/>
    <xf numFmtId="0" fontId="0" fillId="0" borderId="12" xfId="0" quotePrefix="1" applyBorder="1"/>
    <xf numFmtId="0" fontId="0" fillId="0" borderId="14" xfId="0" quotePrefix="1" applyBorder="1"/>
    <xf numFmtId="164" fontId="18" fillId="0" borderId="0" xfId="42" applyNumberFormat="1"/>
    <xf numFmtId="164" fontId="0" fillId="0" borderId="0" xfId="0" quotePrefix="1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864"/>
  <sheetViews>
    <sheetView tabSelected="1" workbookViewId="0">
      <selection activeCell="L19" sqref="L19"/>
    </sheetView>
  </sheetViews>
  <sheetFormatPr baseColWidth="10" defaultColWidth="8.83203125" defaultRowHeight="15" x14ac:dyDescent="0.2"/>
  <cols>
    <col min="3" max="4" width="12.6640625" bestFit="1" customWidth="1"/>
    <col min="5" max="5" width="12.6640625" customWidth="1"/>
    <col min="6" max="9" width="12.6640625" bestFit="1" customWidth="1"/>
    <col min="10" max="10" width="9.1640625" style="2"/>
    <col min="15" max="15" width="9.1640625" style="2"/>
    <col min="19" max="19" width="9.1640625" style="2"/>
    <col min="23" max="23" width="9.1640625" style="2"/>
    <col min="27" max="27" width="9.1640625" style="2"/>
  </cols>
  <sheetData>
    <row r="1" spans="1:22" x14ac:dyDescent="0.2">
      <c r="A1" t="s">
        <v>7</v>
      </c>
    </row>
    <row r="2" spans="1:22" x14ac:dyDescent="0.2">
      <c r="A2" t="s">
        <v>8</v>
      </c>
      <c r="C2" t="s">
        <v>10</v>
      </c>
    </row>
    <row r="3" spans="1:22" x14ac:dyDescent="0.2">
      <c r="A3" t="s">
        <v>8</v>
      </c>
      <c r="C3" t="s">
        <v>11</v>
      </c>
    </row>
    <row r="5" spans="1:22" x14ac:dyDescent="0.2">
      <c r="A5" t="s">
        <v>9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O5" s="3"/>
      <c r="P5" s="1"/>
      <c r="Q5" s="1"/>
      <c r="R5" s="1"/>
      <c r="S5" s="3"/>
      <c r="T5" s="1"/>
      <c r="U5" s="1"/>
      <c r="V5" s="1"/>
    </row>
    <row r="6" spans="1:22" x14ac:dyDescent="0.2">
      <c r="A6">
        <v>19520630</v>
      </c>
      <c r="B6">
        <f>ROUND(A6/100,0)</f>
        <v>195206</v>
      </c>
      <c r="C6" s="10">
        <v>1.7654975044000001</v>
      </c>
      <c r="D6" s="10">
        <v>1.7678630858</v>
      </c>
      <c r="E6" s="10">
        <v>1.839044729</v>
      </c>
      <c r="F6" s="10">
        <v>1.9094329752999999</v>
      </c>
      <c r="G6" s="10">
        <v>1.9751411607</v>
      </c>
      <c r="H6" s="10">
        <v>1.9128122484000001</v>
      </c>
      <c r="I6" s="10">
        <v>2.0166812594999999</v>
      </c>
    </row>
    <row r="7" spans="1:22" x14ac:dyDescent="0.2">
      <c r="A7">
        <v>19520731</v>
      </c>
      <c r="B7">
        <f t="shared" ref="B7:B70" si="0">ROUND(A7/100,0)</f>
        <v>195207</v>
      </c>
      <c r="C7" s="10">
        <v>1.8113255526000001</v>
      </c>
      <c r="D7" s="10">
        <v>1.8953939085</v>
      </c>
      <c r="E7" s="10">
        <v>1.9236276208</v>
      </c>
      <c r="F7" s="10">
        <v>2.0274979415000001</v>
      </c>
      <c r="G7" s="10">
        <v>2.0907291851999998</v>
      </c>
      <c r="H7" s="10">
        <v>1.9993805899999999</v>
      </c>
      <c r="I7" s="10">
        <v>2.1390484453999998</v>
      </c>
    </row>
    <row r="8" spans="1:22" x14ac:dyDescent="0.2">
      <c r="A8">
        <v>19520829</v>
      </c>
      <c r="B8">
        <f t="shared" si="0"/>
        <v>195208</v>
      </c>
      <c r="C8" s="10">
        <v>1.6996199365</v>
      </c>
      <c r="D8" s="10">
        <v>1.8648336602</v>
      </c>
      <c r="E8" s="10">
        <v>1.9506124186</v>
      </c>
      <c r="F8" s="10">
        <v>2.0485160779</v>
      </c>
      <c r="G8" s="10">
        <v>2.1360283099999999</v>
      </c>
      <c r="H8" s="10">
        <v>2.0407651301</v>
      </c>
      <c r="I8" s="10">
        <v>2.2002069186000002</v>
      </c>
    </row>
    <row r="9" spans="1:22" x14ac:dyDescent="0.2">
      <c r="A9">
        <v>19520930</v>
      </c>
      <c r="B9">
        <f t="shared" si="0"/>
        <v>195209</v>
      </c>
      <c r="C9" s="10">
        <v>1.521784647</v>
      </c>
      <c r="D9" s="10">
        <v>1.7067941688999999</v>
      </c>
      <c r="E9" s="10">
        <v>1.9884517391000001</v>
      </c>
      <c r="F9" s="10">
        <v>2.0881068789000001</v>
      </c>
      <c r="G9" s="10">
        <v>2.1494679389</v>
      </c>
      <c r="H9" s="10">
        <v>2.0598495109999999</v>
      </c>
      <c r="I9" s="10">
        <v>2.2917837821</v>
      </c>
    </row>
    <row r="10" spans="1:22" x14ac:dyDescent="0.2">
      <c r="A10">
        <v>19521031</v>
      </c>
      <c r="B10">
        <f t="shared" si="0"/>
        <v>195210</v>
      </c>
      <c r="C10" s="10">
        <v>1.4203329214</v>
      </c>
      <c r="D10" s="10">
        <v>1.7934879139</v>
      </c>
      <c r="E10" s="10">
        <v>1.9125448040999999</v>
      </c>
      <c r="F10" s="10">
        <v>2.0600319606999999</v>
      </c>
      <c r="G10" s="10">
        <v>2.1483427163000002</v>
      </c>
      <c r="H10" s="10">
        <v>2.1023959582999998</v>
      </c>
      <c r="I10" s="10">
        <v>2.1672628003000001</v>
      </c>
    </row>
    <row r="11" spans="1:22" x14ac:dyDescent="0.2">
      <c r="A11">
        <v>19521128</v>
      </c>
      <c r="B11">
        <f t="shared" si="0"/>
        <v>195211</v>
      </c>
      <c r="C11" s="10">
        <v>1.8265465061999999</v>
      </c>
      <c r="D11" s="10">
        <v>1.9920987287</v>
      </c>
      <c r="E11" s="10">
        <v>2.0545477967000001</v>
      </c>
      <c r="F11" s="10">
        <v>2.1695071665999999</v>
      </c>
      <c r="G11" s="10">
        <v>2.1863730037</v>
      </c>
      <c r="H11" s="10">
        <v>2.1134929931999999</v>
      </c>
      <c r="I11" s="10">
        <v>2.1843991220999999</v>
      </c>
    </row>
    <row r="12" spans="1:22" x14ac:dyDescent="0.2">
      <c r="A12">
        <v>19521231</v>
      </c>
      <c r="B12">
        <f t="shared" si="0"/>
        <v>195212</v>
      </c>
      <c r="C12" s="10">
        <v>1.9535916753</v>
      </c>
      <c r="D12" s="10">
        <v>2.0329970978</v>
      </c>
      <c r="E12" s="10">
        <v>1.9980839282</v>
      </c>
      <c r="F12" s="10">
        <v>2.1907336418000001</v>
      </c>
      <c r="G12" s="10">
        <v>2.2112421907000002</v>
      </c>
      <c r="H12" s="10">
        <v>2.1090326506000001</v>
      </c>
      <c r="I12" s="10">
        <v>2.2085656926000001</v>
      </c>
    </row>
    <row r="13" spans="1:22" x14ac:dyDescent="0.2">
      <c r="A13">
        <v>19530130</v>
      </c>
      <c r="B13">
        <f t="shared" si="0"/>
        <v>195301</v>
      </c>
      <c r="C13" s="10">
        <v>1.8266121550000001</v>
      </c>
      <c r="D13" s="10">
        <v>1.9818998542999999</v>
      </c>
      <c r="E13" s="10">
        <v>1.9734958362999999</v>
      </c>
      <c r="F13" s="10">
        <v>2.1444690396000001</v>
      </c>
      <c r="G13" s="10">
        <v>2.1315328097999999</v>
      </c>
      <c r="H13" s="10">
        <v>2.1327378277000002</v>
      </c>
      <c r="I13" s="10">
        <v>2.2673045155999998</v>
      </c>
    </row>
    <row r="14" spans="1:22" x14ac:dyDescent="0.2">
      <c r="A14">
        <v>19530227</v>
      </c>
      <c r="B14">
        <f t="shared" si="0"/>
        <v>195302</v>
      </c>
      <c r="C14" s="10">
        <v>2.0296965114000001</v>
      </c>
      <c r="D14" s="10">
        <v>2.1245790205000001</v>
      </c>
      <c r="E14" s="10">
        <v>2.0765877478000001</v>
      </c>
      <c r="F14" s="10">
        <v>2.1929463934000002</v>
      </c>
      <c r="G14" s="10">
        <v>2.1773279722000001</v>
      </c>
      <c r="H14" s="10">
        <v>2.1858603387</v>
      </c>
      <c r="I14" s="10">
        <v>2.3454805928</v>
      </c>
    </row>
    <row r="15" spans="1:22" x14ac:dyDescent="0.2">
      <c r="A15">
        <v>19530331</v>
      </c>
      <c r="B15">
        <f t="shared" si="0"/>
        <v>195303</v>
      </c>
      <c r="C15" s="10">
        <v>1.9888976671</v>
      </c>
      <c r="D15" s="10">
        <v>2.0585140074999999</v>
      </c>
      <c r="E15" s="10">
        <v>2.0742052204000001</v>
      </c>
      <c r="F15" s="10">
        <v>2.2143717402999998</v>
      </c>
      <c r="G15" s="10">
        <v>2.3520566372</v>
      </c>
      <c r="H15" s="10">
        <v>2.3589360201999998</v>
      </c>
      <c r="I15" s="10">
        <v>2.4833252593999999</v>
      </c>
    </row>
    <row r="16" spans="1:22" x14ac:dyDescent="0.2">
      <c r="A16">
        <v>19530430</v>
      </c>
      <c r="B16">
        <f t="shared" si="0"/>
        <v>195304</v>
      </c>
      <c r="C16" s="10">
        <v>2.0805926755000002</v>
      </c>
      <c r="D16" s="10">
        <v>2.2724615954999998</v>
      </c>
      <c r="E16" s="10">
        <v>2.3642006010999999</v>
      </c>
      <c r="F16" s="10">
        <v>2.4834493769999999</v>
      </c>
      <c r="G16" s="10">
        <v>2.1947545812000002</v>
      </c>
      <c r="H16" s="10">
        <v>2.4213905641000002</v>
      </c>
      <c r="I16" s="10">
        <v>2.6902734232999999</v>
      </c>
    </row>
    <row r="17" spans="1:9" x14ac:dyDescent="0.2">
      <c r="A17">
        <v>19530529</v>
      </c>
      <c r="B17">
        <f t="shared" si="0"/>
        <v>195305</v>
      </c>
      <c r="C17" s="10">
        <v>1.9281092012000001</v>
      </c>
      <c r="D17" s="10">
        <v>2.2673084005000002</v>
      </c>
      <c r="E17" s="10">
        <v>2.5952844273000002</v>
      </c>
      <c r="F17" s="10">
        <v>2.6546050259</v>
      </c>
      <c r="G17" s="10">
        <v>2.4115536145999998</v>
      </c>
      <c r="H17" s="10">
        <v>2.6242461498999998</v>
      </c>
      <c r="I17" s="10">
        <v>3.0356604321999998</v>
      </c>
    </row>
    <row r="18" spans="1:9" x14ac:dyDescent="0.2">
      <c r="A18">
        <v>19530630</v>
      </c>
      <c r="B18">
        <f t="shared" si="0"/>
        <v>195306</v>
      </c>
      <c r="C18" s="10">
        <v>1.6740313019999999</v>
      </c>
      <c r="D18" s="10">
        <v>2.0228435619999998</v>
      </c>
      <c r="E18" s="10">
        <v>2.4207484724000001</v>
      </c>
      <c r="F18" s="10">
        <v>2.4430177999999998</v>
      </c>
      <c r="G18" s="10">
        <v>2.3064287510999999</v>
      </c>
      <c r="H18" s="10">
        <v>2.4397417955999998</v>
      </c>
      <c r="I18" s="10">
        <v>2.7915218535999999</v>
      </c>
    </row>
    <row r="19" spans="1:9" x14ac:dyDescent="0.2">
      <c r="A19">
        <v>19530731</v>
      </c>
      <c r="B19">
        <f t="shared" si="0"/>
        <v>195307</v>
      </c>
      <c r="C19" s="10">
        <v>1.9281898606000001</v>
      </c>
      <c r="D19" s="10">
        <v>2.1194789043000002</v>
      </c>
      <c r="E19" s="10">
        <v>2.2919358576</v>
      </c>
      <c r="F19" s="10">
        <v>2.3364136583000001</v>
      </c>
      <c r="G19" s="10">
        <v>2.2787948117000001</v>
      </c>
      <c r="H19" s="10">
        <v>2.4205762202000001</v>
      </c>
      <c r="I19" s="10">
        <v>2.7157653097000001</v>
      </c>
    </row>
    <row r="20" spans="1:9" x14ac:dyDescent="0.2">
      <c r="A20">
        <v>19530831</v>
      </c>
      <c r="B20">
        <f t="shared" si="0"/>
        <v>195308</v>
      </c>
      <c r="C20" s="10">
        <v>1.7756621332</v>
      </c>
      <c r="D20" s="10">
        <v>1.9614411053</v>
      </c>
      <c r="E20" s="10">
        <v>2.3712791116999998</v>
      </c>
      <c r="F20" s="10">
        <v>2.2599545646000001</v>
      </c>
      <c r="G20" s="10">
        <v>2.2945301081</v>
      </c>
      <c r="H20" s="10">
        <v>2.4635094918</v>
      </c>
      <c r="I20" s="10">
        <v>2.7895654079000001</v>
      </c>
    </row>
    <row r="21" spans="1:9" x14ac:dyDescent="0.2">
      <c r="A21">
        <v>19530930</v>
      </c>
      <c r="B21">
        <f t="shared" si="0"/>
        <v>195309</v>
      </c>
      <c r="C21" s="10">
        <v>1.3951022313999999</v>
      </c>
      <c r="D21" s="10">
        <v>1.5441063122000001</v>
      </c>
      <c r="E21" s="10">
        <v>2.0241090214000002</v>
      </c>
      <c r="F21" s="10">
        <v>2.114831159</v>
      </c>
      <c r="G21" s="10">
        <v>2.2452558299000001</v>
      </c>
      <c r="H21" s="10">
        <v>2.2266183222000002</v>
      </c>
      <c r="I21" s="10">
        <v>2.4249369942999999</v>
      </c>
    </row>
    <row r="22" spans="1:9" x14ac:dyDescent="0.2">
      <c r="A22">
        <v>19531030</v>
      </c>
      <c r="B22">
        <f t="shared" si="0"/>
        <v>195310</v>
      </c>
      <c r="C22" s="10">
        <v>0.93828815799999998</v>
      </c>
      <c r="D22" s="10">
        <v>1.2693454981000001</v>
      </c>
      <c r="E22" s="10">
        <v>1.6639400254000001</v>
      </c>
      <c r="F22" s="10">
        <v>1.8293497433999999</v>
      </c>
      <c r="G22" s="10">
        <v>1.9326771329000001</v>
      </c>
      <c r="H22" s="10">
        <v>2.0425794197</v>
      </c>
      <c r="I22" s="10">
        <v>2.2495634901999999</v>
      </c>
    </row>
    <row r="23" spans="1:9" x14ac:dyDescent="0.2">
      <c r="A23">
        <v>19531130</v>
      </c>
      <c r="B23">
        <f t="shared" si="0"/>
        <v>195311</v>
      </c>
      <c r="C23" s="10">
        <v>1.1919277814</v>
      </c>
      <c r="D23" s="10">
        <v>1.5643135338</v>
      </c>
      <c r="E23" s="10">
        <v>1.5768045112</v>
      </c>
      <c r="F23" s="10">
        <v>1.8493702393</v>
      </c>
      <c r="G23" s="10">
        <v>1.9070661428</v>
      </c>
      <c r="H23" s="10">
        <v>2.0421224794000001</v>
      </c>
      <c r="I23" s="10">
        <v>2.4222616356</v>
      </c>
    </row>
    <row r="24" spans="1:9" x14ac:dyDescent="0.2">
      <c r="A24">
        <v>19531231</v>
      </c>
      <c r="B24">
        <f t="shared" si="0"/>
        <v>195312</v>
      </c>
      <c r="C24" s="10">
        <v>1.2935537122</v>
      </c>
      <c r="D24" s="10">
        <v>1.3965076899</v>
      </c>
      <c r="E24" s="10">
        <v>1.5744963840999999</v>
      </c>
      <c r="F24" s="10">
        <v>1.7995008871</v>
      </c>
      <c r="G24" s="10">
        <v>1.9616303346999999</v>
      </c>
      <c r="H24" s="10">
        <v>1.9504135375</v>
      </c>
      <c r="I24" s="10">
        <v>2.2122096163</v>
      </c>
    </row>
    <row r="25" spans="1:9" x14ac:dyDescent="0.2">
      <c r="A25">
        <v>19540129</v>
      </c>
      <c r="B25">
        <f t="shared" si="0"/>
        <v>195401</v>
      </c>
      <c r="C25" s="10">
        <v>0.93828815799999998</v>
      </c>
      <c r="D25" s="10">
        <v>1.0151583662000001</v>
      </c>
      <c r="E25" s="10">
        <v>1.1540144102000001</v>
      </c>
      <c r="F25" s="10">
        <v>1.4403170994000001</v>
      </c>
      <c r="G25" s="10">
        <v>1.6708688142999999</v>
      </c>
      <c r="H25" s="10">
        <v>1.6937380006</v>
      </c>
      <c r="I25" s="10">
        <v>2.1232114714999999</v>
      </c>
    </row>
    <row r="26" spans="1:9" x14ac:dyDescent="0.2">
      <c r="A26">
        <v>19540226</v>
      </c>
      <c r="B26">
        <f t="shared" si="0"/>
        <v>195402</v>
      </c>
      <c r="C26" s="10">
        <v>0.85205481100000002</v>
      </c>
      <c r="D26" s="10">
        <v>1.0050145221</v>
      </c>
      <c r="E26" s="10">
        <v>1.1003291718999999</v>
      </c>
      <c r="F26" s="10">
        <v>1.2936592119000001</v>
      </c>
      <c r="G26" s="10">
        <v>1.4962385557</v>
      </c>
      <c r="H26" s="10">
        <v>1.6281248741000001</v>
      </c>
      <c r="I26" s="10">
        <v>1.8791966337999999</v>
      </c>
    </row>
    <row r="27" spans="1:9" x14ac:dyDescent="0.2">
      <c r="A27">
        <v>19540331</v>
      </c>
      <c r="B27">
        <f t="shared" si="0"/>
        <v>195403</v>
      </c>
      <c r="C27" s="10">
        <v>0.98394951490000004</v>
      </c>
      <c r="D27" s="10">
        <v>1.0202796973999999</v>
      </c>
      <c r="E27" s="10">
        <v>1.0584944006999999</v>
      </c>
      <c r="F27" s="10">
        <v>1.2118480209</v>
      </c>
      <c r="G27" s="10">
        <v>1.4255341313000001</v>
      </c>
      <c r="H27" s="10">
        <v>1.5968924735000001</v>
      </c>
      <c r="I27" s="10">
        <v>1.8174783918999999</v>
      </c>
    </row>
    <row r="28" spans="1:9" x14ac:dyDescent="0.2">
      <c r="A28">
        <v>19540430</v>
      </c>
      <c r="B28">
        <f t="shared" si="0"/>
        <v>195404</v>
      </c>
      <c r="C28" s="10">
        <v>0.65927967759999995</v>
      </c>
      <c r="D28" s="10">
        <v>0.79160336789999997</v>
      </c>
      <c r="E28" s="10">
        <v>0.83752886010000005</v>
      </c>
      <c r="F28" s="10">
        <v>1.1360692071</v>
      </c>
      <c r="G28" s="10">
        <v>1.3820043602000001</v>
      </c>
      <c r="H28" s="10">
        <v>1.54445575</v>
      </c>
      <c r="I28" s="10">
        <v>1.5792542756000001</v>
      </c>
    </row>
    <row r="29" spans="1:9" x14ac:dyDescent="0.2">
      <c r="A29">
        <v>19540528</v>
      </c>
      <c r="B29">
        <f t="shared" si="0"/>
        <v>195405</v>
      </c>
      <c r="C29" s="10">
        <v>0.60847174520000002</v>
      </c>
      <c r="D29" s="10">
        <v>0.70018944999999999</v>
      </c>
      <c r="E29" s="10">
        <v>0.84796737229999997</v>
      </c>
      <c r="F29" s="10">
        <v>1.0979357220999999</v>
      </c>
      <c r="G29" s="10">
        <v>1.4291535610999999</v>
      </c>
      <c r="H29" s="10">
        <v>1.8251640328000001</v>
      </c>
      <c r="I29" s="10">
        <v>1.773992351</v>
      </c>
    </row>
    <row r="30" spans="1:9" x14ac:dyDescent="0.2">
      <c r="A30">
        <v>19540630</v>
      </c>
      <c r="B30">
        <f t="shared" si="0"/>
        <v>195406</v>
      </c>
      <c r="C30" s="10">
        <v>0.59835069149999998</v>
      </c>
      <c r="D30" s="10">
        <v>0.62912177930000002</v>
      </c>
      <c r="E30" s="10">
        <v>0.73165959970000005</v>
      </c>
      <c r="F30" s="10">
        <v>0.91252896610000001</v>
      </c>
      <c r="G30" s="10">
        <v>1.3196040225000001</v>
      </c>
      <c r="H30" s="10">
        <v>1.6478813549</v>
      </c>
      <c r="I30" s="10">
        <v>1.7668413419</v>
      </c>
    </row>
    <row r="31" spans="1:9" x14ac:dyDescent="0.2">
      <c r="A31">
        <v>19540730</v>
      </c>
      <c r="B31">
        <f t="shared" si="0"/>
        <v>195407</v>
      </c>
      <c r="C31" s="10">
        <v>0.65927967759999995</v>
      </c>
      <c r="D31" s="10">
        <v>0.78143667009999995</v>
      </c>
      <c r="E31" s="10">
        <v>0.63280751239999999</v>
      </c>
      <c r="F31" s="10">
        <v>0.92031285659999995</v>
      </c>
      <c r="G31" s="10">
        <v>1.3315605037</v>
      </c>
      <c r="H31" s="10">
        <v>1.6025839775999999</v>
      </c>
      <c r="I31" s="10">
        <v>1.7485648932</v>
      </c>
    </row>
    <row r="32" spans="1:9" x14ac:dyDescent="0.2">
      <c r="A32">
        <v>19540831</v>
      </c>
      <c r="B32">
        <f t="shared" si="0"/>
        <v>195408</v>
      </c>
      <c r="C32" s="10">
        <v>1.0294860118</v>
      </c>
      <c r="D32" s="10">
        <v>1.0201956352999999</v>
      </c>
      <c r="E32" s="10">
        <v>0.82402047639999998</v>
      </c>
      <c r="F32" s="10">
        <v>0.92388142979999999</v>
      </c>
      <c r="G32" s="10">
        <v>1.3303044448000001</v>
      </c>
      <c r="H32" s="10">
        <v>1.6057779793</v>
      </c>
      <c r="I32" s="10">
        <v>1.8157602793000001</v>
      </c>
    </row>
    <row r="33" spans="1:9" x14ac:dyDescent="0.2">
      <c r="A33">
        <v>19540930</v>
      </c>
      <c r="B33">
        <f t="shared" si="0"/>
        <v>195409</v>
      </c>
      <c r="C33" s="10">
        <v>0.88249486200000005</v>
      </c>
      <c r="D33" s="10">
        <v>0.98973838830000005</v>
      </c>
      <c r="E33" s="10">
        <v>0.93906226319999997</v>
      </c>
      <c r="F33" s="10">
        <v>1.0530238568000001</v>
      </c>
      <c r="G33" s="10">
        <v>1.5220843326</v>
      </c>
      <c r="H33" s="10">
        <v>1.6307972808</v>
      </c>
      <c r="I33" s="10">
        <v>1.8805722406000001</v>
      </c>
    </row>
    <row r="34" spans="1:9" x14ac:dyDescent="0.2">
      <c r="A34">
        <v>19541029</v>
      </c>
      <c r="B34">
        <f t="shared" si="0"/>
        <v>195410</v>
      </c>
      <c r="C34" s="10">
        <v>0.70992887869999999</v>
      </c>
      <c r="D34" s="10">
        <v>1.0049840298999999</v>
      </c>
      <c r="E34" s="10">
        <v>1.0458590361</v>
      </c>
      <c r="F34" s="10">
        <v>1.3039806094999999</v>
      </c>
      <c r="G34" s="10">
        <v>1.5905909504</v>
      </c>
      <c r="H34" s="10">
        <v>1.7793068311</v>
      </c>
      <c r="I34" s="10">
        <v>1.8456127707000001</v>
      </c>
    </row>
    <row r="35" spans="1:9" x14ac:dyDescent="0.2">
      <c r="A35">
        <v>19541130</v>
      </c>
      <c r="B35">
        <f t="shared" si="0"/>
        <v>195411</v>
      </c>
      <c r="C35" s="10">
        <v>0.86208860119999997</v>
      </c>
      <c r="D35" s="10">
        <v>1.0456941071999999</v>
      </c>
      <c r="E35" s="10">
        <v>1.0420896868</v>
      </c>
      <c r="F35" s="10">
        <v>1.3406295467</v>
      </c>
      <c r="G35" s="10">
        <v>1.6045193889</v>
      </c>
      <c r="H35" s="10">
        <v>1.8771642022999999</v>
      </c>
      <c r="I35" s="10">
        <v>1.9411170368999999</v>
      </c>
    </row>
    <row r="36" spans="1:9" x14ac:dyDescent="0.2">
      <c r="A36">
        <v>19541231</v>
      </c>
      <c r="B36">
        <f t="shared" si="0"/>
        <v>195412</v>
      </c>
      <c r="C36" s="10">
        <v>0.96370500209999999</v>
      </c>
      <c r="D36" s="10">
        <v>1.0050145221</v>
      </c>
      <c r="E36" s="10">
        <v>1.1389241527</v>
      </c>
      <c r="F36" s="10">
        <v>1.4828321483</v>
      </c>
      <c r="G36" s="10">
        <v>1.7134582727000001</v>
      </c>
      <c r="H36" s="10">
        <v>1.9889452451</v>
      </c>
      <c r="I36" s="10">
        <v>2.0264359621999999</v>
      </c>
    </row>
    <row r="37" spans="1:9" x14ac:dyDescent="0.2">
      <c r="A37">
        <v>19550131</v>
      </c>
      <c r="B37">
        <f t="shared" si="0"/>
        <v>195501</v>
      </c>
      <c r="C37" s="10">
        <v>1.1005771178999999</v>
      </c>
      <c r="D37" s="10">
        <v>1.1167866375</v>
      </c>
      <c r="E37" s="10">
        <v>1.2929979543000001</v>
      </c>
      <c r="F37" s="10">
        <v>1.7673750277</v>
      </c>
      <c r="G37" s="10">
        <v>1.878439118</v>
      </c>
      <c r="H37" s="10">
        <v>2.1100943174000002</v>
      </c>
      <c r="I37" s="10">
        <v>2.1345776693</v>
      </c>
    </row>
    <row r="38" spans="1:9" x14ac:dyDescent="0.2">
      <c r="A38">
        <v>19550228</v>
      </c>
      <c r="B38">
        <f t="shared" si="0"/>
        <v>195502</v>
      </c>
      <c r="C38" s="10">
        <v>1.0752156311000001</v>
      </c>
      <c r="D38" s="10">
        <v>1.3709792234</v>
      </c>
      <c r="E38" s="10">
        <v>1.6545216352000001</v>
      </c>
      <c r="F38" s="10">
        <v>1.899718698</v>
      </c>
      <c r="G38" s="10">
        <v>2.0742946315999999</v>
      </c>
      <c r="H38" s="10">
        <v>2.3321013601999998</v>
      </c>
      <c r="I38" s="10">
        <v>2.3430792909</v>
      </c>
    </row>
    <row r="39" spans="1:9" x14ac:dyDescent="0.2">
      <c r="A39">
        <v>19550331</v>
      </c>
      <c r="B39">
        <f t="shared" si="0"/>
        <v>195503</v>
      </c>
      <c r="C39" s="10">
        <v>1.3290032581</v>
      </c>
      <c r="D39" s="10">
        <v>1.4117686859</v>
      </c>
      <c r="E39" s="10">
        <v>1.5584459548</v>
      </c>
      <c r="F39" s="10">
        <v>2.0303329445</v>
      </c>
      <c r="G39" s="10">
        <v>2.1842697232999999</v>
      </c>
      <c r="H39" s="10">
        <v>2.2826411746000002</v>
      </c>
      <c r="I39" s="10">
        <v>2.3388438911999998</v>
      </c>
    </row>
    <row r="40" spans="1:9" x14ac:dyDescent="0.2">
      <c r="A40">
        <v>19550429</v>
      </c>
      <c r="B40">
        <f t="shared" si="0"/>
        <v>195504</v>
      </c>
      <c r="C40" s="10">
        <v>1.5016076443999999</v>
      </c>
      <c r="D40" s="10">
        <v>1.6000088025999999</v>
      </c>
      <c r="E40" s="10">
        <v>1.6301020958000001</v>
      </c>
      <c r="F40" s="10">
        <v>2.1046693358000002</v>
      </c>
      <c r="G40" s="10">
        <v>2.2822998616999999</v>
      </c>
      <c r="H40" s="10">
        <v>2.2751825725999999</v>
      </c>
      <c r="I40" s="10">
        <v>2.3399318159</v>
      </c>
    </row>
    <row r="41" spans="1:9" x14ac:dyDescent="0.2">
      <c r="A41">
        <v>19550531</v>
      </c>
      <c r="B41">
        <f t="shared" si="0"/>
        <v>195505</v>
      </c>
      <c r="C41" s="10">
        <v>1.0396172896</v>
      </c>
      <c r="D41" s="10">
        <v>1.4372727774</v>
      </c>
      <c r="E41" s="10">
        <v>1.8116717429</v>
      </c>
      <c r="F41" s="10">
        <v>2.0488673886000002</v>
      </c>
      <c r="G41" s="10">
        <v>2.3252091802999999</v>
      </c>
      <c r="H41" s="10">
        <v>2.3146562781000002</v>
      </c>
      <c r="I41" s="10">
        <v>2.3903564558000001</v>
      </c>
    </row>
    <row r="42" spans="1:9" x14ac:dyDescent="0.2">
      <c r="A42">
        <v>19550630</v>
      </c>
      <c r="B42">
        <f t="shared" si="0"/>
        <v>195506</v>
      </c>
      <c r="C42" s="10">
        <v>1.3290032581</v>
      </c>
      <c r="D42" s="10">
        <v>1.4830198429000001</v>
      </c>
      <c r="E42" s="10">
        <v>1.8391172343</v>
      </c>
      <c r="F42" s="10">
        <v>2.1658956061999999</v>
      </c>
      <c r="G42" s="10">
        <v>2.4253657476999999</v>
      </c>
      <c r="H42" s="10">
        <v>2.4463709116999999</v>
      </c>
      <c r="I42" s="10">
        <v>2.5128153953000001</v>
      </c>
    </row>
    <row r="43" spans="1:9" x14ac:dyDescent="0.2">
      <c r="A43">
        <v>19550729</v>
      </c>
      <c r="B43">
        <f t="shared" si="0"/>
        <v>195507</v>
      </c>
      <c r="C43" s="10">
        <v>1.7199634880000001</v>
      </c>
      <c r="D43" s="10">
        <v>1.7680047099</v>
      </c>
      <c r="E43" s="10">
        <v>2.0046446153000002</v>
      </c>
      <c r="F43" s="10">
        <v>2.3135163591999999</v>
      </c>
      <c r="G43" s="10">
        <v>2.5117209819999999</v>
      </c>
      <c r="H43" s="10">
        <v>2.5217468231</v>
      </c>
      <c r="I43" s="10">
        <v>2.6735712074000002</v>
      </c>
    </row>
    <row r="44" spans="1:9" x14ac:dyDescent="0.2">
      <c r="A44">
        <v>19550831</v>
      </c>
      <c r="B44">
        <f t="shared" si="0"/>
        <v>195508</v>
      </c>
      <c r="C44" s="10">
        <v>2.0094697343000001</v>
      </c>
      <c r="D44" s="10">
        <v>2.1094301381</v>
      </c>
      <c r="E44" s="10">
        <v>2.1405978575</v>
      </c>
      <c r="F44" s="10">
        <v>2.5394985498999998</v>
      </c>
      <c r="G44" s="10">
        <v>2.6447863336999999</v>
      </c>
      <c r="H44" s="10">
        <v>2.6379427505000002</v>
      </c>
      <c r="I44" s="10">
        <v>2.762161356</v>
      </c>
    </row>
    <row r="45" spans="1:9" x14ac:dyDescent="0.2">
      <c r="A45">
        <v>19550930</v>
      </c>
      <c r="B45">
        <f t="shared" si="0"/>
        <v>195509</v>
      </c>
      <c r="C45" s="10">
        <v>2.1312073826</v>
      </c>
      <c r="D45" s="10">
        <v>2.1602571662000001</v>
      </c>
      <c r="E45" s="10">
        <v>1.9984328228999999</v>
      </c>
      <c r="F45" s="10">
        <v>2.3844290399000001</v>
      </c>
      <c r="G45" s="10">
        <v>2.4857174726000002</v>
      </c>
      <c r="H45" s="10">
        <v>2.5773482012</v>
      </c>
      <c r="I45" s="10">
        <v>2.6566589286000002</v>
      </c>
    </row>
    <row r="46" spans="1:9" x14ac:dyDescent="0.2">
      <c r="A46">
        <v>19551031</v>
      </c>
      <c r="B46">
        <f t="shared" si="0"/>
        <v>195510</v>
      </c>
      <c r="C46" s="10">
        <v>2.0295704842000002</v>
      </c>
      <c r="D46" s="10">
        <v>2.1447841288</v>
      </c>
      <c r="E46" s="10">
        <v>2.0697491552999998</v>
      </c>
      <c r="F46" s="10">
        <v>2.3055867996999999</v>
      </c>
      <c r="G46" s="10">
        <v>2.4389313391999998</v>
      </c>
      <c r="H46" s="10">
        <v>2.5036994772000001</v>
      </c>
      <c r="I46" s="10">
        <v>2.5360983334</v>
      </c>
    </row>
    <row r="47" spans="1:9" x14ac:dyDescent="0.2">
      <c r="A47">
        <v>19551130</v>
      </c>
      <c r="B47">
        <f t="shared" si="0"/>
        <v>195511</v>
      </c>
      <c r="C47" s="10">
        <v>2.1822484690000001</v>
      </c>
      <c r="D47" s="10">
        <v>2.4510342292999998</v>
      </c>
      <c r="E47" s="10">
        <v>2.5723836658999999</v>
      </c>
      <c r="F47" s="10">
        <v>2.4645418378000001</v>
      </c>
      <c r="G47" s="10">
        <v>2.7526957654999999</v>
      </c>
      <c r="H47" s="10">
        <v>2.5888933660000002</v>
      </c>
      <c r="I47" s="10">
        <v>2.7228404867</v>
      </c>
    </row>
    <row r="48" spans="1:9" x14ac:dyDescent="0.2">
      <c r="A48">
        <v>19551230</v>
      </c>
      <c r="B48">
        <f t="shared" si="0"/>
        <v>195512</v>
      </c>
      <c r="C48" s="10">
        <v>2.4462184013999999</v>
      </c>
      <c r="D48" s="10">
        <v>2.5120716177000002</v>
      </c>
      <c r="E48" s="10">
        <v>2.6531034552000001</v>
      </c>
      <c r="F48" s="10">
        <v>2.6254197375000001</v>
      </c>
      <c r="G48" s="10">
        <v>2.8050193406999999</v>
      </c>
      <c r="H48" s="10">
        <v>2.6310431821</v>
      </c>
      <c r="I48" s="10">
        <v>2.8002076528000002</v>
      </c>
    </row>
    <row r="49" spans="1:9" x14ac:dyDescent="0.2">
      <c r="A49">
        <v>19560131</v>
      </c>
      <c r="B49">
        <f t="shared" si="0"/>
        <v>195601</v>
      </c>
      <c r="C49" s="10">
        <v>2.2631142480999999</v>
      </c>
      <c r="D49" s="10">
        <v>2.3898815098999999</v>
      </c>
      <c r="E49" s="10">
        <v>2.3705126669999999</v>
      </c>
      <c r="F49" s="10">
        <v>2.4697571135</v>
      </c>
      <c r="G49" s="10">
        <v>2.5807515954000002</v>
      </c>
      <c r="H49" s="10">
        <v>2.5794767961999998</v>
      </c>
      <c r="I49" s="10">
        <v>2.6305610853000001</v>
      </c>
    </row>
    <row r="50" spans="1:9" x14ac:dyDescent="0.2">
      <c r="A50">
        <v>19560229</v>
      </c>
      <c r="B50">
        <f t="shared" si="0"/>
        <v>195602</v>
      </c>
      <c r="C50" s="10">
        <v>1.9891620897</v>
      </c>
      <c r="D50" s="10">
        <v>2.313334904</v>
      </c>
      <c r="E50" s="10">
        <v>2.5112411142000002</v>
      </c>
      <c r="F50" s="10">
        <v>2.4487787506999998</v>
      </c>
      <c r="G50" s="10">
        <v>2.628887668</v>
      </c>
      <c r="H50" s="10">
        <v>2.6145153581999998</v>
      </c>
      <c r="I50" s="10">
        <v>2.6907824482999998</v>
      </c>
    </row>
    <row r="51" spans="1:9" x14ac:dyDescent="0.2">
      <c r="A51">
        <v>19560329</v>
      </c>
      <c r="B51">
        <f t="shared" si="0"/>
        <v>195603</v>
      </c>
      <c r="C51" s="10">
        <v>2.1567297695000001</v>
      </c>
      <c r="D51" s="10">
        <v>2.3081601036000001</v>
      </c>
      <c r="E51" s="10">
        <v>2.5189483704</v>
      </c>
      <c r="F51" s="10">
        <v>2.7068806465000002</v>
      </c>
      <c r="G51" s="10">
        <v>2.7062581835000001</v>
      </c>
      <c r="H51" s="10">
        <v>2.7229029513</v>
      </c>
      <c r="I51" s="10">
        <v>2.9694779652999999</v>
      </c>
    </row>
    <row r="52" spans="1:9" x14ac:dyDescent="0.2">
      <c r="A52">
        <v>19560430</v>
      </c>
      <c r="B52">
        <f t="shared" si="0"/>
        <v>195604</v>
      </c>
      <c r="C52" s="10">
        <v>2.6085813231000001</v>
      </c>
      <c r="D52" s="10">
        <v>2.7056340159999999</v>
      </c>
      <c r="E52" s="10">
        <v>2.941372249</v>
      </c>
      <c r="F52" s="10">
        <v>3.1509852682999999</v>
      </c>
      <c r="G52" s="10">
        <v>3.0575082221000001</v>
      </c>
      <c r="H52" s="10">
        <v>2.922079476</v>
      </c>
      <c r="I52" s="10">
        <v>3.0443434327999999</v>
      </c>
    </row>
    <row r="53" spans="1:9" x14ac:dyDescent="0.2">
      <c r="A53">
        <v>19560531</v>
      </c>
      <c r="B53">
        <f t="shared" si="0"/>
        <v>195605</v>
      </c>
      <c r="C53" s="10">
        <v>2.4361418027999999</v>
      </c>
      <c r="D53" s="10">
        <v>2.5989028469000002</v>
      </c>
      <c r="E53" s="10">
        <v>2.8301095470000002</v>
      </c>
      <c r="F53" s="10">
        <v>2.8945726105</v>
      </c>
      <c r="G53" s="10">
        <v>2.8441762183999999</v>
      </c>
      <c r="H53" s="10">
        <v>2.8717952097000001</v>
      </c>
      <c r="I53" s="10">
        <v>2.9118593597000002</v>
      </c>
    </row>
    <row r="54" spans="1:9" x14ac:dyDescent="0.2">
      <c r="A54">
        <v>19560629</v>
      </c>
      <c r="B54">
        <f t="shared" si="0"/>
        <v>195606</v>
      </c>
      <c r="C54" s="10">
        <v>2.2324113314999998</v>
      </c>
      <c r="D54" s="10">
        <v>2.4304463845000002</v>
      </c>
      <c r="E54" s="10">
        <v>2.5495806829999998</v>
      </c>
      <c r="F54" s="10">
        <v>2.818871599</v>
      </c>
      <c r="G54" s="10">
        <v>2.7805113505999999</v>
      </c>
      <c r="H54" s="10">
        <v>2.8263461619000001</v>
      </c>
      <c r="I54" s="10">
        <v>2.8428327556999999</v>
      </c>
    </row>
    <row r="55" spans="1:9" x14ac:dyDescent="0.2">
      <c r="A55">
        <v>19560731</v>
      </c>
      <c r="B55">
        <f t="shared" si="0"/>
        <v>195607</v>
      </c>
      <c r="C55" s="10">
        <v>2.0549141181000001</v>
      </c>
      <c r="D55" s="10">
        <v>2.3644250479000002</v>
      </c>
      <c r="E55" s="10">
        <v>2.7161770272000001</v>
      </c>
      <c r="F55" s="10">
        <v>3.1056214102999999</v>
      </c>
      <c r="G55" s="10">
        <v>2.9171599643000001</v>
      </c>
      <c r="H55" s="10">
        <v>3.0658317941000002</v>
      </c>
      <c r="I55" s="10">
        <v>3.1287557149</v>
      </c>
    </row>
    <row r="56" spans="1:9" x14ac:dyDescent="0.2">
      <c r="A56">
        <v>19560831</v>
      </c>
      <c r="B56">
        <f t="shared" si="0"/>
        <v>195608</v>
      </c>
      <c r="C56" s="10">
        <v>2.4360396938000002</v>
      </c>
      <c r="D56" s="10">
        <v>2.6753060679999998</v>
      </c>
      <c r="E56" s="10">
        <v>3.1245450416999998</v>
      </c>
      <c r="F56" s="10">
        <v>3.1873723102999998</v>
      </c>
      <c r="G56" s="10">
        <v>3.2304364782000001</v>
      </c>
      <c r="H56" s="10">
        <v>3.3826735209000001</v>
      </c>
      <c r="I56" s="10">
        <v>3.4378914536999998</v>
      </c>
    </row>
    <row r="57" spans="1:9" x14ac:dyDescent="0.2">
      <c r="A57">
        <v>19560928</v>
      </c>
      <c r="B57">
        <f t="shared" si="0"/>
        <v>195609</v>
      </c>
      <c r="C57" s="10">
        <v>2.7105058505000001</v>
      </c>
      <c r="D57" s="10">
        <v>2.9407589383000001</v>
      </c>
      <c r="E57" s="10">
        <v>3.1810194426999998</v>
      </c>
      <c r="F57" s="10">
        <v>3.2238515143000002</v>
      </c>
      <c r="G57" s="10">
        <v>3.3230104814999999</v>
      </c>
      <c r="H57" s="10">
        <v>3.4416451335999998</v>
      </c>
      <c r="I57" s="10">
        <v>3.5007271169999998</v>
      </c>
    </row>
    <row r="58" spans="1:9" x14ac:dyDescent="0.2">
      <c r="A58">
        <v>19561031</v>
      </c>
      <c r="B58">
        <f t="shared" si="0"/>
        <v>195610</v>
      </c>
      <c r="C58" s="10">
        <v>2.4769475247999999</v>
      </c>
      <c r="D58" s="10">
        <v>2.8899713284000002</v>
      </c>
      <c r="E58" s="10">
        <v>3.0798433056999999</v>
      </c>
      <c r="F58" s="10">
        <v>3.2132299066000001</v>
      </c>
      <c r="G58" s="10">
        <v>3.2331006476000002</v>
      </c>
      <c r="H58" s="10">
        <v>3.3539897182999998</v>
      </c>
      <c r="I58" s="10">
        <v>3.4626155226000002</v>
      </c>
    </row>
    <row r="59" spans="1:9" x14ac:dyDescent="0.2">
      <c r="A59">
        <v>19561130</v>
      </c>
      <c r="B59">
        <f t="shared" si="0"/>
        <v>195611</v>
      </c>
      <c r="C59" s="10">
        <v>2.6647664829000002</v>
      </c>
      <c r="D59" s="10">
        <v>3.0633254729999999</v>
      </c>
      <c r="E59" s="10">
        <v>3.4274971815000002</v>
      </c>
      <c r="F59" s="10">
        <v>3.4951819932000001</v>
      </c>
      <c r="G59" s="10">
        <v>3.566162652</v>
      </c>
      <c r="H59" s="10">
        <v>3.4829322872000001</v>
      </c>
      <c r="I59" s="10">
        <v>3.6202585842000001</v>
      </c>
    </row>
    <row r="60" spans="1:9" x14ac:dyDescent="0.2">
      <c r="A60">
        <v>19561231</v>
      </c>
      <c r="B60">
        <f t="shared" si="0"/>
        <v>195612</v>
      </c>
      <c r="C60" s="10">
        <v>3.0405341300000002</v>
      </c>
      <c r="D60" s="10">
        <v>3.2938698070000001</v>
      </c>
      <c r="E60" s="10">
        <v>3.4442563244</v>
      </c>
      <c r="F60" s="10">
        <v>3.5749862759000002</v>
      </c>
      <c r="G60" s="10">
        <v>3.5393292079999998</v>
      </c>
      <c r="H60" s="10">
        <v>3.5276991181000001</v>
      </c>
      <c r="I60" s="10">
        <v>3.6641739782</v>
      </c>
    </row>
    <row r="61" spans="1:9" x14ac:dyDescent="0.2">
      <c r="A61">
        <v>19570131</v>
      </c>
      <c r="B61">
        <f t="shared" si="0"/>
        <v>195701</v>
      </c>
      <c r="C61" s="10">
        <v>3.0308444201000002</v>
      </c>
      <c r="D61" s="10">
        <v>3.1605404078000001</v>
      </c>
      <c r="E61" s="10">
        <v>2.9731442880999999</v>
      </c>
      <c r="F61" s="10">
        <v>3.3002557683</v>
      </c>
      <c r="G61" s="10">
        <v>3.2231200424000002</v>
      </c>
      <c r="H61" s="10">
        <v>3.2311953463999998</v>
      </c>
      <c r="I61" s="10">
        <v>3.3097848916000001</v>
      </c>
    </row>
    <row r="62" spans="1:9" x14ac:dyDescent="0.2">
      <c r="A62">
        <v>19570228</v>
      </c>
      <c r="B62">
        <f t="shared" si="0"/>
        <v>195702</v>
      </c>
      <c r="C62" s="10">
        <v>2.8936062211000002</v>
      </c>
      <c r="D62" s="10">
        <v>3.3140097132999999</v>
      </c>
      <c r="E62" s="10">
        <v>3.2350057534999999</v>
      </c>
      <c r="F62" s="10">
        <v>3.3698647062</v>
      </c>
      <c r="G62" s="10">
        <v>3.3603088210999998</v>
      </c>
      <c r="H62" s="10">
        <v>3.3712684177000001</v>
      </c>
      <c r="I62" s="10">
        <v>3.3822688597999999</v>
      </c>
    </row>
    <row r="63" spans="1:9" x14ac:dyDescent="0.2">
      <c r="A63">
        <v>19570329</v>
      </c>
      <c r="B63">
        <f t="shared" si="0"/>
        <v>195703</v>
      </c>
      <c r="C63" s="10">
        <v>2.8833590652000001</v>
      </c>
      <c r="D63" s="10">
        <v>3.0020375754000002</v>
      </c>
      <c r="E63" s="10">
        <v>3.3787899563999999</v>
      </c>
      <c r="F63" s="10">
        <v>3.2249574118000002</v>
      </c>
      <c r="G63" s="10">
        <v>3.2740749131000002</v>
      </c>
      <c r="H63" s="10">
        <v>3.3881378123000001</v>
      </c>
      <c r="I63" s="10">
        <v>3.3974294103</v>
      </c>
    </row>
    <row r="64" spans="1:9" x14ac:dyDescent="0.2">
      <c r="A64">
        <v>19570430</v>
      </c>
      <c r="B64">
        <f t="shared" si="0"/>
        <v>195704</v>
      </c>
      <c r="C64" s="10">
        <v>3.0354935602999999</v>
      </c>
      <c r="D64" s="10">
        <v>3.0688200401999999</v>
      </c>
      <c r="E64" s="10">
        <v>3.4765587631999999</v>
      </c>
      <c r="F64" s="10">
        <v>3.2361743312</v>
      </c>
      <c r="G64" s="10">
        <v>3.4725946384999999</v>
      </c>
      <c r="H64" s="10">
        <v>3.5094104957000001</v>
      </c>
      <c r="I64" s="10">
        <v>3.5376746934000001</v>
      </c>
    </row>
    <row r="65" spans="1:9" x14ac:dyDescent="0.2">
      <c r="A65">
        <v>19570531</v>
      </c>
      <c r="B65">
        <f t="shared" si="0"/>
        <v>195705</v>
      </c>
      <c r="C65" s="10">
        <v>3.1884461650999998</v>
      </c>
      <c r="D65" s="10">
        <v>3.3341478726</v>
      </c>
      <c r="E65" s="10">
        <v>3.4928601746000001</v>
      </c>
      <c r="F65" s="10">
        <v>3.3910005545000002</v>
      </c>
      <c r="G65" s="10">
        <v>3.6023889443999999</v>
      </c>
      <c r="H65" s="10">
        <v>3.6387244315</v>
      </c>
      <c r="I65" s="10">
        <v>3.7071857486000002</v>
      </c>
    </row>
    <row r="66" spans="1:9" x14ac:dyDescent="0.2">
      <c r="A66">
        <v>19570627</v>
      </c>
      <c r="B66">
        <f t="shared" si="0"/>
        <v>195706</v>
      </c>
      <c r="C66" s="10">
        <v>3.0715408872999999</v>
      </c>
      <c r="D66" s="10">
        <v>3.2831930264000002</v>
      </c>
      <c r="E66" s="10">
        <v>3.5808036445</v>
      </c>
      <c r="F66" s="10">
        <v>3.5127718289000001</v>
      </c>
      <c r="G66" s="10">
        <v>3.7130380564999999</v>
      </c>
      <c r="H66" s="10">
        <v>3.8456421438000001</v>
      </c>
      <c r="I66" s="10">
        <v>3.9460548186</v>
      </c>
    </row>
    <row r="67" spans="1:9" x14ac:dyDescent="0.2">
      <c r="A67">
        <v>19570731</v>
      </c>
      <c r="B67">
        <f t="shared" si="0"/>
        <v>195707</v>
      </c>
      <c r="C67" s="10">
        <v>3.0716417844000001</v>
      </c>
      <c r="D67" s="10">
        <v>3.4265025024</v>
      </c>
      <c r="E67" s="10">
        <v>3.8863022220999999</v>
      </c>
      <c r="F67" s="10">
        <v>3.6588885186</v>
      </c>
      <c r="G67" s="10">
        <v>3.7966990713</v>
      </c>
      <c r="H67" s="10">
        <v>3.9225614374000002</v>
      </c>
      <c r="I67" s="10">
        <v>4.0427621725999998</v>
      </c>
    </row>
    <row r="68" spans="1:9" x14ac:dyDescent="0.2">
      <c r="A68">
        <v>19570830</v>
      </c>
      <c r="B68">
        <f t="shared" si="0"/>
        <v>195708</v>
      </c>
      <c r="C68" s="10">
        <v>3.0713555463</v>
      </c>
      <c r="D68" s="10">
        <v>3.5439551985</v>
      </c>
      <c r="E68" s="10">
        <v>3.8906818643999999</v>
      </c>
      <c r="F68" s="10">
        <v>3.6573381720999998</v>
      </c>
      <c r="G68" s="10">
        <v>3.7825523137000001</v>
      </c>
      <c r="H68" s="10">
        <v>3.8438449739</v>
      </c>
      <c r="I68" s="10">
        <v>3.7427360231</v>
      </c>
    </row>
    <row r="69" spans="1:9" x14ac:dyDescent="0.2">
      <c r="A69">
        <v>19570930</v>
      </c>
      <c r="B69">
        <f t="shared" si="0"/>
        <v>195709</v>
      </c>
      <c r="C69" s="10">
        <v>3.0455747213</v>
      </c>
      <c r="D69" s="10">
        <v>3.4870403573000002</v>
      </c>
      <c r="E69" s="10">
        <v>4.0372485410000003</v>
      </c>
      <c r="F69" s="10">
        <v>3.8799858933000002</v>
      </c>
      <c r="G69" s="10">
        <v>3.8825019669</v>
      </c>
      <c r="H69" s="10">
        <v>3.9246558879000002</v>
      </c>
      <c r="I69" s="10">
        <v>4.0837009139999996</v>
      </c>
    </row>
    <row r="70" spans="1:9" x14ac:dyDescent="0.2">
      <c r="A70">
        <v>19571031</v>
      </c>
      <c r="B70">
        <f t="shared" si="0"/>
        <v>195710</v>
      </c>
      <c r="C70" s="10">
        <v>3.3512714008</v>
      </c>
      <c r="D70" s="10">
        <v>3.6564701041999998</v>
      </c>
      <c r="E70" s="10">
        <v>3.8175888369000002</v>
      </c>
      <c r="F70" s="10">
        <v>3.9725936721999999</v>
      </c>
      <c r="G70" s="10">
        <v>4.0025027780000002</v>
      </c>
      <c r="H70" s="10">
        <v>4.0862295480000004</v>
      </c>
      <c r="I70" s="10">
        <v>3.8501739619999999</v>
      </c>
    </row>
    <row r="71" spans="1:9" x14ac:dyDescent="0.2">
      <c r="A71">
        <v>19571129</v>
      </c>
      <c r="B71">
        <f t="shared" ref="B71:B134" si="1">ROUND(A71/100,0)</f>
        <v>195711</v>
      </c>
      <c r="C71" s="10">
        <v>2.6647664829000002</v>
      </c>
      <c r="D71" s="10">
        <v>3.1706153801000001</v>
      </c>
      <c r="E71" s="10">
        <v>3.4440852730999998</v>
      </c>
      <c r="F71" s="10">
        <v>3.0312702283999999</v>
      </c>
      <c r="G71" s="10">
        <v>3.0842712407000001</v>
      </c>
      <c r="H71" s="10">
        <v>3.2992925721000002</v>
      </c>
      <c r="I71" s="10">
        <v>3.4490396182</v>
      </c>
    </row>
    <row r="72" spans="1:9" x14ac:dyDescent="0.2">
      <c r="A72">
        <v>19571231</v>
      </c>
      <c r="B72">
        <f t="shared" si="1"/>
        <v>195712</v>
      </c>
      <c r="C72" s="10">
        <v>2.689772547</v>
      </c>
      <c r="D72" s="10">
        <v>2.7769875123999999</v>
      </c>
      <c r="E72" s="10">
        <v>2.6857517851999999</v>
      </c>
      <c r="F72" s="10">
        <v>2.5457752946999999</v>
      </c>
      <c r="G72" s="10">
        <v>2.6961502775000001</v>
      </c>
      <c r="H72" s="10">
        <v>2.8323803520999999</v>
      </c>
      <c r="I72" s="10">
        <v>2.8253229432999998</v>
      </c>
    </row>
    <row r="73" spans="1:9" x14ac:dyDescent="0.2">
      <c r="A73">
        <v>19580131</v>
      </c>
      <c r="B73">
        <f t="shared" si="1"/>
        <v>195801</v>
      </c>
      <c r="C73" s="10">
        <v>1.4965227548</v>
      </c>
      <c r="D73" s="10">
        <v>1.4728221835999999</v>
      </c>
      <c r="E73" s="10">
        <v>2.0569271217999998</v>
      </c>
      <c r="F73" s="10">
        <v>2.2379412903999998</v>
      </c>
      <c r="G73" s="10">
        <v>2.4414532858000002</v>
      </c>
      <c r="H73" s="10">
        <v>2.7468714153999998</v>
      </c>
      <c r="I73" s="10">
        <v>2.8320649974999998</v>
      </c>
    </row>
    <row r="74" spans="1:9" x14ac:dyDescent="0.2">
      <c r="A74">
        <v>19580228</v>
      </c>
      <c r="B74">
        <f t="shared" si="1"/>
        <v>195802</v>
      </c>
      <c r="C74" s="10">
        <v>1.1006149551</v>
      </c>
      <c r="D74" s="10">
        <v>1.2642561256</v>
      </c>
      <c r="E74" s="10">
        <v>1.7339819060999999</v>
      </c>
      <c r="F74" s="10">
        <v>1.9054129296</v>
      </c>
      <c r="G74" s="10">
        <v>2.1699817494999998</v>
      </c>
      <c r="H74" s="10">
        <v>2.4964146437000001</v>
      </c>
      <c r="I74" s="10">
        <v>2.6105005423000001</v>
      </c>
    </row>
    <row r="75" spans="1:9" x14ac:dyDescent="0.2">
      <c r="A75">
        <v>19580331</v>
      </c>
      <c r="B75">
        <f t="shared" si="1"/>
        <v>195803</v>
      </c>
      <c r="C75" s="10">
        <v>0.98899419690000001</v>
      </c>
      <c r="D75" s="10">
        <v>1.0862668699</v>
      </c>
      <c r="E75" s="10">
        <v>1.4962997921000001</v>
      </c>
      <c r="F75" s="10">
        <v>1.9383471268000001</v>
      </c>
      <c r="G75" s="10">
        <v>2.1828431622000002</v>
      </c>
      <c r="H75" s="10">
        <v>2.3847513554000002</v>
      </c>
      <c r="I75" s="10">
        <v>2.5375131138000002</v>
      </c>
    </row>
    <row r="76" spans="1:9" x14ac:dyDescent="0.2">
      <c r="A76">
        <v>19580430</v>
      </c>
      <c r="B76">
        <f t="shared" si="1"/>
        <v>195804</v>
      </c>
      <c r="C76" s="10">
        <v>1.1767684069</v>
      </c>
      <c r="D76" s="10">
        <v>1.2083517279</v>
      </c>
      <c r="E76" s="10">
        <v>1.2753109011999999</v>
      </c>
      <c r="F76" s="10">
        <v>1.6573766668000001</v>
      </c>
      <c r="G76" s="10">
        <v>1.9851117629999999</v>
      </c>
      <c r="H76" s="10">
        <v>2.1971524936</v>
      </c>
      <c r="I76" s="10">
        <v>2.439321573</v>
      </c>
    </row>
    <row r="77" spans="1:9" x14ac:dyDescent="0.2">
      <c r="A77">
        <v>19580529</v>
      </c>
      <c r="B77">
        <f t="shared" si="1"/>
        <v>195805</v>
      </c>
      <c r="C77" s="10">
        <v>0.35491860269999997</v>
      </c>
      <c r="D77" s="10">
        <v>0.57323682030000001</v>
      </c>
      <c r="E77" s="10">
        <v>1.1194546225999999</v>
      </c>
      <c r="F77" s="10">
        <v>1.4794471915</v>
      </c>
      <c r="G77" s="10">
        <v>1.9344900113000001</v>
      </c>
      <c r="H77" s="10">
        <v>2.0309504654000001</v>
      </c>
      <c r="I77" s="10">
        <v>2.3690556010999999</v>
      </c>
    </row>
    <row r="78" spans="1:9" x14ac:dyDescent="0.2">
      <c r="A78">
        <v>19580630</v>
      </c>
      <c r="B78">
        <f t="shared" si="1"/>
        <v>195806</v>
      </c>
      <c r="C78" s="10">
        <v>0.68460931670000003</v>
      </c>
      <c r="D78" s="10">
        <v>0.7408149369</v>
      </c>
      <c r="E78" s="10">
        <v>1.0999651510999999</v>
      </c>
      <c r="F78" s="10">
        <v>1.6663812158</v>
      </c>
      <c r="G78" s="10">
        <v>2.1979458052999998</v>
      </c>
      <c r="H78" s="10">
        <v>2.4896742917000001</v>
      </c>
      <c r="I78" s="10">
        <v>2.5612100957999999</v>
      </c>
    </row>
    <row r="79" spans="1:9" x14ac:dyDescent="0.2">
      <c r="A79">
        <v>19580731</v>
      </c>
      <c r="B79">
        <f t="shared" si="1"/>
        <v>195807</v>
      </c>
      <c r="C79" s="10">
        <v>0.74044108450000001</v>
      </c>
      <c r="D79" s="10">
        <v>0.9033908437</v>
      </c>
      <c r="E79" s="10">
        <v>1.6130295824000001</v>
      </c>
      <c r="F79" s="10">
        <v>1.8794226944000001</v>
      </c>
      <c r="G79" s="10">
        <v>2.4426005143</v>
      </c>
      <c r="H79" s="10">
        <v>2.7693870533</v>
      </c>
      <c r="I79" s="10">
        <v>2.8215543315999998</v>
      </c>
    </row>
    <row r="80" spans="1:9" x14ac:dyDescent="0.2">
      <c r="A80">
        <v>19580829</v>
      </c>
      <c r="B80">
        <f t="shared" si="1"/>
        <v>195808</v>
      </c>
      <c r="C80" s="10">
        <v>1.9027555486000001</v>
      </c>
      <c r="D80" s="10">
        <v>2.3489755458000001</v>
      </c>
      <c r="E80" s="10">
        <v>2.7737280562</v>
      </c>
      <c r="F80" s="10">
        <v>3.3362981250999999</v>
      </c>
      <c r="G80" s="10">
        <v>3.3983156869000002</v>
      </c>
      <c r="H80" s="10">
        <v>3.6457369881999999</v>
      </c>
      <c r="I80" s="10">
        <v>3.6250566623</v>
      </c>
    </row>
    <row r="81" spans="1:9" x14ac:dyDescent="0.2">
      <c r="A81">
        <v>19580930</v>
      </c>
      <c r="B81">
        <f t="shared" si="1"/>
        <v>195809</v>
      </c>
      <c r="C81" s="10">
        <v>1.7349194594999999</v>
      </c>
      <c r="D81" s="10">
        <v>2.6954219126000001</v>
      </c>
      <c r="E81" s="10">
        <v>2.9801360273999999</v>
      </c>
      <c r="F81" s="10">
        <v>3.3957733256</v>
      </c>
      <c r="G81" s="10">
        <v>3.4733044770000001</v>
      </c>
      <c r="H81" s="10">
        <v>3.6746636956000001</v>
      </c>
      <c r="I81" s="10">
        <v>3.7080834950999999</v>
      </c>
    </row>
    <row r="82" spans="1:9" x14ac:dyDescent="0.2">
      <c r="A82">
        <v>19581031</v>
      </c>
      <c r="B82">
        <f t="shared" si="1"/>
        <v>195810</v>
      </c>
      <c r="C82" s="10">
        <v>1.5218668149000001</v>
      </c>
      <c r="D82" s="10">
        <v>2.5886052229000001</v>
      </c>
      <c r="E82" s="10">
        <v>3.0333038179999998</v>
      </c>
      <c r="F82" s="10">
        <v>3.2631486149</v>
      </c>
      <c r="G82" s="10">
        <v>3.6592865625000002</v>
      </c>
      <c r="H82" s="10">
        <v>3.6095144826999999</v>
      </c>
      <c r="I82" s="10">
        <v>3.6376011199999998</v>
      </c>
    </row>
    <row r="83" spans="1:9" x14ac:dyDescent="0.2">
      <c r="A83">
        <v>19581128</v>
      </c>
      <c r="B83">
        <f t="shared" si="1"/>
        <v>195811</v>
      </c>
      <c r="C83" s="10">
        <v>2.2380613191999998</v>
      </c>
      <c r="D83" s="10">
        <v>2.8233403872</v>
      </c>
      <c r="E83" s="10">
        <v>3.2221982947000001</v>
      </c>
      <c r="F83" s="10">
        <v>3.1954962915</v>
      </c>
      <c r="G83" s="10">
        <v>3.5535168896</v>
      </c>
      <c r="H83" s="10">
        <v>3.6149018353</v>
      </c>
      <c r="I83" s="10">
        <v>3.4100542523000001</v>
      </c>
    </row>
    <row r="84" spans="1:9" x14ac:dyDescent="0.2">
      <c r="A84">
        <v>19581231</v>
      </c>
      <c r="B84">
        <f t="shared" si="1"/>
        <v>195812</v>
      </c>
      <c r="C84" s="10">
        <v>2.4871011005999999</v>
      </c>
      <c r="D84" s="10">
        <v>2.7112487766000002</v>
      </c>
      <c r="E84" s="10">
        <v>2.9536654768999999</v>
      </c>
      <c r="F84" s="10">
        <v>3.1206004855999998</v>
      </c>
      <c r="G84" s="10">
        <v>3.6314777373</v>
      </c>
      <c r="H84" s="10">
        <v>3.7290431303</v>
      </c>
      <c r="I84" s="10">
        <v>3.7632531250999999</v>
      </c>
    </row>
    <row r="85" spans="1:9" x14ac:dyDescent="0.2">
      <c r="A85">
        <v>19590130</v>
      </c>
      <c r="B85">
        <f t="shared" si="1"/>
        <v>195901</v>
      </c>
      <c r="C85" s="10">
        <v>2.4208525099</v>
      </c>
      <c r="D85" s="10">
        <v>2.6804131787999999</v>
      </c>
      <c r="E85" s="10">
        <v>3.1091904651000002</v>
      </c>
      <c r="F85" s="10">
        <v>3.3761544028000001</v>
      </c>
      <c r="G85" s="10">
        <v>3.8301395325000001</v>
      </c>
      <c r="H85" s="10">
        <v>3.9501753763999998</v>
      </c>
      <c r="I85" s="10">
        <v>3.9282032491000001</v>
      </c>
    </row>
    <row r="86" spans="1:9" x14ac:dyDescent="0.2">
      <c r="A86">
        <v>19590227</v>
      </c>
      <c r="B86">
        <f t="shared" si="1"/>
        <v>195902</v>
      </c>
      <c r="C86" s="10">
        <v>2.3090560555000001</v>
      </c>
      <c r="D86" s="10">
        <v>2.7774155890999999</v>
      </c>
      <c r="E86" s="10">
        <v>3.4435447292000001</v>
      </c>
      <c r="F86" s="10">
        <v>3.4058235636999998</v>
      </c>
      <c r="G86" s="10">
        <v>3.6306550570999998</v>
      </c>
      <c r="H86" s="10">
        <v>3.7787945801</v>
      </c>
      <c r="I86" s="10">
        <v>3.7555055709</v>
      </c>
    </row>
    <row r="87" spans="1:9" x14ac:dyDescent="0.2">
      <c r="A87">
        <v>19590331</v>
      </c>
      <c r="B87">
        <f t="shared" si="1"/>
        <v>195903</v>
      </c>
      <c r="C87" s="10">
        <v>2.3595599615</v>
      </c>
      <c r="D87" s="10">
        <v>2.9002493903</v>
      </c>
      <c r="E87" s="10">
        <v>3.5446068545</v>
      </c>
      <c r="F87" s="10">
        <v>3.7021962155999999</v>
      </c>
      <c r="G87" s="10">
        <v>3.8222259592999999</v>
      </c>
      <c r="H87" s="10">
        <v>3.8476648952999999</v>
      </c>
      <c r="I87" s="10">
        <v>3.9127462606000001</v>
      </c>
    </row>
    <row r="88" spans="1:9" x14ac:dyDescent="0.2">
      <c r="A88">
        <v>19590430</v>
      </c>
      <c r="B88">
        <f t="shared" si="1"/>
        <v>195904</v>
      </c>
      <c r="C88" s="10">
        <v>2.7105942811000001</v>
      </c>
      <c r="D88" s="10">
        <v>2.8898564924999999</v>
      </c>
      <c r="E88" s="10">
        <v>3.789666585</v>
      </c>
      <c r="F88" s="10">
        <v>3.9045691549999999</v>
      </c>
      <c r="G88" s="10">
        <v>3.9312970118999999</v>
      </c>
      <c r="H88" s="10">
        <v>4.0748020095999999</v>
      </c>
      <c r="I88" s="10">
        <v>4.0849352235999996</v>
      </c>
    </row>
    <row r="89" spans="1:9" x14ac:dyDescent="0.2">
      <c r="A89">
        <v>19590529</v>
      </c>
      <c r="B89">
        <f t="shared" si="1"/>
        <v>195905</v>
      </c>
      <c r="C89" s="10">
        <v>2.7003246368</v>
      </c>
      <c r="D89" s="10">
        <v>3.0684374724999999</v>
      </c>
      <c r="E89" s="10">
        <v>3.843139227</v>
      </c>
      <c r="F89" s="10">
        <v>3.9688900214</v>
      </c>
      <c r="G89" s="10">
        <v>4.1220386597000003</v>
      </c>
      <c r="H89" s="10">
        <v>4.1796895583999998</v>
      </c>
      <c r="I89" s="10">
        <v>4.2307423223000002</v>
      </c>
    </row>
    <row r="90" spans="1:9" x14ac:dyDescent="0.2">
      <c r="A90">
        <v>19590630</v>
      </c>
      <c r="B90">
        <f t="shared" si="1"/>
        <v>195906</v>
      </c>
      <c r="C90" s="10">
        <v>2.6643735555000001</v>
      </c>
      <c r="D90" s="10">
        <v>3.2579344586999999</v>
      </c>
      <c r="E90" s="10">
        <v>4.0831019960999999</v>
      </c>
      <c r="F90" s="10">
        <v>4.2861824561999997</v>
      </c>
      <c r="G90" s="10">
        <v>4.2760092152000002</v>
      </c>
      <c r="H90" s="10">
        <v>4.4145219597000001</v>
      </c>
      <c r="I90" s="10">
        <v>4.4325815958000003</v>
      </c>
    </row>
    <row r="91" spans="1:9" x14ac:dyDescent="0.2">
      <c r="A91">
        <v>19590731</v>
      </c>
      <c r="B91">
        <f t="shared" si="1"/>
        <v>195907</v>
      </c>
      <c r="C91" s="10">
        <v>2.3090560555000001</v>
      </c>
      <c r="D91" s="10">
        <v>3.0327099898999998</v>
      </c>
      <c r="E91" s="10">
        <v>4.3269466252999997</v>
      </c>
      <c r="F91" s="10">
        <v>4.1046954778</v>
      </c>
      <c r="G91" s="10">
        <v>4.2154696200000004</v>
      </c>
      <c r="H91" s="10">
        <v>4.4118339591</v>
      </c>
      <c r="I91" s="10">
        <v>4.5562542281000002</v>
      </c>
    </row>
    <row r="92" spans="1:9" x14ac:dyDescent="0.2">
      <c r="A92">
        <v>19590831</v>
      </c>
      <c r="B92">
        <f t="shared" si="1"/>
        <v>195908</v>
      </c>
      <c r="C92" s="10">
        <v>3.4268747799999999</v>
      </c>
      <c r="D92" s="10">
        <v>3.8720340368000001</v>
      </c>
      <c r="E92" s="10">
        <v>4.4838437761999996</v>
      </c>
      <c r="F92" s="10">
        <v>4.4646448388</v>
      </c>
      <c r="G92" s="10">
        <v>4.5321788305000004</v>
      </c>
      <c r="H92" s="10">
        <v>4.6649425104000004</v>
      </c>
      <c r="I92" s="10">
        <v>4.6973140920000001</v>
      </c>
    </row>
    <row r="93" spans="1:9" x14ac:dyDescent="0.2">
      <c r="A93">
        <v>19590930</v>
      </c>
      <c r="B93">
        <f t="shared" si="1"/>
        <v>195909</v>
      </c>
      <c r="C93" s="10">
        <v>3.5802824518</v>
      </c>
      <c r="D93" s="10">
        <v>4.1532632017999997</v>
      </c>
      <c r="E93" s="10">
        <v>4.7900583705999997</v>
      </c>
      <c r="F93" s="10">
        <v>4.7554189398000002</v>
      </c>
      <c r="G93" s="10">
        <v>4.7380614813999999</v>
      </c>
      <c r="H93" s="10">
        <v>4.7538698464999998</v>
      </c>
      <c r="I93" s="10">
        <v>4.6874149890999997</v>
      </c>
    </row>
    <row r="94" spans="1:9" x14ac:dyDescent="0.2">
      <c r="A94">
        <v>19591030</v>
      </c>
      <c r="B94">
        <f t="shared" si="1"/>
        <v>195910</v>
      </c>
      <c r="C94" s="10">
        <v>3.0205948129000002</v>
      </c>
      <c r="D94" s="10">
        <v>4.0657181269000002</v>
      </c>
      <c r="E94" s="10">
        <v>4.1787525901000002</v>
      </c>
      <c r="F94" s="10">
        <v>4.2192973508999998</v>
      </c>
      <c r="G94" s="10">
        <v>4.4962771557999996</v>
      </c>
      <c r="H94" s="10">
        <v>4.5300994938999999</v>
      </c>
      <c r="I94" s="10">
        <v>4.2425452675999997</v>
      </c>
    </row>
    <row r="95" spans="1:9" x14ac:dyDescent="0.2">
      <c r="A95">
        <v>19591130</v>
      </c>
      <c r="B95">
        <f t="shared" si="1"/>
        <v>195911</v>
      </c>
      <c r="C95" s="10">
        <v>2.9692952937000001</v>
      </c>
      <c r="D95" s="10">
        <v>4.5125855707999998</v>
      </c>
      <c r="E95" s="10">
        <v>4.8143589049999997</v>
      </c>
      <c r="F95" s="10">
        <v>4.7647373716999999</v>
      </c>
      <c r="G95" s="10">
        <v>4.7786429887999997</v>
      </c>
      <c r="H95" s="10">
        <v>4.8553849642999998</v>
      </c>
      <c r="I95" s="10">
        <v>4.5877216859000001</v>
      </c>
    </row>
    <row r="96" spans="1:9" x14ac:dyDescent="0.2">
      <c r="A96">
        <v>19591231</v>
      </c>
      <c r="B96">
        <f t="shared" si="1"/>
        <v>195912</v>
      </c>
      <c r="C96" s="10">
        <v>4.0634263833000004</v>
      </c>
      <c r="D96" s="10">
        <v>4.4399608281000003</v>
      </c>
      <c r="E96" s="10">
        <v>4.8604669381000001</v>
      </c>
      <c r="F96" s="10">
        <v>4.9203821438000004</v>
      </c>
      <c r="G96" s="10">
        <v>4.9876653517999996</v>
      </c>
      <c r="H96" s="10">
        <v>4.8801532501000002</v>
      </c>
      <c r="I96" s="10">
        <v>4.8105494818999999</v>
      </c>
    </row>
    <row r="97" spans="1:9" x14ac:dyDescent="0.2">
      <c r="A97">
        <v>19600129</v>
      </c>
      <c r="B97">
        <f t="shared" si="1"/>
        <v>196001</v>
      </c>
      <c r="C97" s="10">
        <v>3.4273240756000001</v>
      </c>
      <c r="D97" s="10">
        <v>4.0401224717000002</v>
      </c>
      <c r="E97" s="10">
        <v>4.6327518206000002</v>
      </c>
      <c r="F97" s="10">
        <v>4.6378878872999998</v>
      </c>
      <c r="G97" s="10">
        <v>4.6922453065000003</v>
      </c>
      <c r="H97" s="10">
        <v>4.6632306468999998</v>
      </c>
      <c r="I97" s="10">
        <v>4.6551068153999999</v>
      </c>
    </row>
    <row r="98" spans="1:9" x14ac:dyDescent="0.2">
      <c r="A98">
        <v>19600229</v>
      </c>
      <c r="B98">
        <f t="shared" si="1"/>
        <v>196002</v>
      </c>
      <c r="C98" s="10">
        <v>3.8082097678000002</v>
      </c>
      <c r="D98" s="10">
        <v>4.2305997501999997</v>
      </c>
      <c r="E98" s="10">
        <v>4.5578376456000003</v>
      </c>
      <c r="F98" s="10">
        <v>4.4114730656000001</v>
      </c>
      <c r="G98" s="10">
        <v>4.6572125743999999</v>
      </c>
      <c r="H98" s="10">
        <v>4.6201272503000004</v>
      </c>
      <c r="I98" s="10">
        <v>4.5871271856</v>
      </c>
    </row>
    <row r="99" spans="1:9" x14ac:dyDescent="0.2">
      <c r="A99">
        <v>19600331</v>
      </c>
      <c r="B99">
        <f t="shared" si="1"/>
        <v>196003</v>
      </c>
      <c r="C99" s="10">
        <v>2.5378279414999998</v>
      </c>
      <c r="D99" s="10">
        <v>3.0736940085</v>
      </c>
      <c r="E99" s="10">
        <v>3.622661795</v>
      </c>
      <c r="F99" s="10">
        <v>3.7586334741999998</v>
      </c>
      <c r="G99" s="10">
        <v>3.8299193337999999</v>
      </c>
      <c r="H99" s="10">
        <v>3.9883219968999999</v>
      </c>
      <c r="I99" s="10">
        <v>4.0432869388999997</v>
      </c>
    </row>
    <row r="100" spans="1:9" x14ac:dyDescent="0.2">
      <c r="A100">
        <v>19600429</v>
      </c>
      <c r="B100">
        <f t="shared" si="1"/>
        <v>196004</v>
      </c>
      <c r="C100" s="10">
        <v>2.893542015</v>
      </c>
      <c r="D100" s="10">
        <v>3.0735515796000001</v>
      </c>
      <c r="E100" s="10">
        <v>4.1467061511000001</v>
      </c>
      <c r="F100" s="10">
        <v>4.0485916516999998</v>
      </c>
      <c r="G100" s="10">
        <v>4.1937024462999997</v>
      </c>
      <c r="H100" s="10">
        <v>4.3728147152999997</v>
      </c>
      <c r="I100" s="10">
        <v>4.2180049514000002</v>
      </c>
    </row>
    <row r="101" spans="1:9" x14ac:dyDescent="0.2">
      <c r="A101">
        <v>19600531</v>
      </c>
      <c r="B101">
        <f t="shared" si="1"/>
        <v>196005</v>
      </c>
      <c r="C101" s="10">
        <v>2.3341678625000002</v>
      </c>
      <c r="D101" s="10">
        <v>3.2119516286000001</v>
      </c>
      <c r="E101" s="10">
        <v>4.0316550450999999</v>
      </c>
      <c r="F101" s="10">
        <v>4.1704869435000003</v>
      </c>
      <c r="G101" s="10">
        <v>4.1408203356</v>
      </c>
      <c r="H101" s="10">
        <v>4.2946757161000004</v>
      </c>
      <c r="I101" s="10">
        <v>4.3988147201999999</v>
      </c>
    </row>
    <row r="102" spans="1:9" x14ac:dyDescent="0.2">
      <c r="A102">
        <v>19600630</v>
      </c>
      <c r="B102">
        <f t="shared" si="1"/>
        <v>196006</v>
      </c>
      <c r="C102" s="10">
        <v>1.7250132623000001</v>
      </c>
      <c r="D102" s="10">
        <v>2.2163919650000001</v>
      </c>
      <c r="E102" s="10">
        <v>3.1688928423</v>
      </c>
      <c r="F102" s="10">
        <v>3.6993851809999998</v>
      </c>
      <c r="G102" s="10">
        <v>3.7523477686</v>
      </c>
      <c r="H102" s="10">
        <v>3.9500697466000001</v>
      </c>
      <c r="I102" s="10">
        <v>3.9785960618999998</v>
      </c>
    </row>
    <row r="103" spans="1:9" x14ac:dyDescent="0.2">
      <c r="A103">
        <v>19600729</v>
      </c>
      <c r="B103">
        <f t="shared" si="1"/>
        <v>196007</v>
      </c>
      <c r="C103" s="10">
        <v>1.750398892</v>
      </c>
      <c r="D103" s="10">
        <v>2.2214179756000001</v>
      </c>
      <c r="E103" s="10">
        <v>2.8363672311000001</v>
      </c>
      <c r="F103" s="10">
        <v>3.0977206811000002</v>
      </c>
      <c r="G103" s="10">
        <v>3.1078067147000001</v>
      </c>
      <c r="H103" s="10">
        <v>3.4932043663000001</v>
      </c>
      <c r="I103" s="10">
        <v>3.4222287532000002</v>
      </c>
    </row>
    <row r="104" spans="1:9" x14ac:dyDescent="0.2">
      <c r="A104">
        <v>19600831</v>
      </c>
      <c r="B104">
        <f t="shared" si="1"/>
        <v>196008</v>
      </c>
      <c r="C104" s="10">
        <v>2.0044308810999998</v>
      </c>
      <c r="D104" s="10">
        <v>2.262340408</v>
      </c>
      <c r="E104" s="10">
        <v>2.8979990358999999</v>
      </c>
      <c r="F104" s="10">
        <v>2.9642050675</v>
      </c>
      <c r="G104" s="10">
        <v>3.2749297610000001</v>
      </c>
      <c r="H104" s="10">
        <v>3.5228328210000002</v>
      </c>
      <c r="I104" s="10">
        <v>3.510985131</v>
      </c>
    </row>
    <row r="105" spans="1:9" x14ac:dyDescent="0.2">
      <c r="A105">
        <v>19600930</v>
      </c>
      <c r="B105">
        <f t="shared" si="1"/>
        <v>196009</v>
      </c>
      <c r="C105" s="10">
        <v>2.4462184013999999</v>
      </c>
      <c r="D105" s="10">
        <v>2.3386929516000001</v>
      </c>
      <c r="E105" s="10">
        <v>2.8469582821000001</v>
      </c>
      <c r="F105" s="10">
        <v>2.7097091343000002</v>
      </c>
      <c r="G105" s="10">
        <v>3.3359390949000001</v>
      </c>
      <c r="H105" s="10">
        <v>3.6009451214000001</v>
      </c>
      <c r="I105" s="10">
        <v>3.4924778957</v>
      </c>
    </row>
    <row r="106" spans="1:9" x14ac:dyDescent="0.2">
      <c r="A106">
        <v>19601031</v>
      </c>
      <c r="B106">
        <f t="shared" si="1"/>
        <v>196010</v>
      </c>
      <c r="C106" s="10">
        <v>1.5218085252</v>
      </c>
      <c r="D106" s="10">
        <v>2.1350223056000002</v>
      </c>
      <c r="E106" s="10">
        <v>2.8272371583</v>
      </c>
      <c r="F106" s="10">
        <v>3.0630491269000002</v>
      </c>
      <c r="G106" s="10">
        <v>3.4110640217000001</v>
      </c>
      <c r="H106" s="10">
        <v>3.6365439159999999</v>
      </c>
      <c r="I106" s="10">
        <v>3.5569668631</v>
      </c>
    </row>
    <row r="107" spans="1:9" x14ac:dyDescent="0.2">
      <c r="A107">
        <v>19601130</v>
      </c>
      <c r="B107">
        <f t="shared" si="1"/>
        <v>196011</v>
      </c>
      <c r="C107" s="10">
        <v>1.877482393</v>
      </c>
      <c r="D107" s="10">
        <v>2.4203969849</v>
      </c>
      <c r="E107" s="10">
        <v>3.0110975478999999</v>
      </c>
      <c r="F107" s="10">
        <v>3.1892566807999998</v>
      </c>
      <c r="G107" s="10">
        <v>3.5131857040000001</v>
      </c>
      <c r="H107" s="10">
        <v>3.8420705169999998</v>
      </c>
      <c r="I107" s="10">
        <v>3.6793328315</v>
      </c>
    </row>
    <row r="108" spans="1:9" x14ac:dyDescent="0.2">
      <c r="A108">
        <v>19601230</v>
      </c>
      <c r="B108">
        <f t="shared" si="1"/>
        <v>196012</v>
      </c>
      <c r="C108" s="10">
        <v>2.0804910826</v>
      </c>
      <c r="D108" s="10">
        <v>2.2366938169999999</v>
      </c>
      <c r="E108" s="10">
        <v>2.6349000345000002</v>
      </c>
      <c r="F108" s="10">
        <v>2.7805717247000001</v>
      </c>
      <c r="G108" s="10">
        <v>3.1098561287000002</v>
      </c>
      <c r="H108" s="10">
        <v>3.3470563465000001</v>
      </c>
      <c r="I108" s="10">
        <v>3.4335381979999999</v>
      </c>
    </row>
    <row r="109" spans="1:9" x14ac:dyDescent="0.2">
      <c r="A109">
        <v>19610131</v>
      </c>
      <c r="B109">
        <f t="shared" si="1"/>
        <v>196101</v>
      </c>
      <c r="C109" s="10">
        <v>2.0041431640999998</v>
      </c>
      <c r="D109" s="10">
        <v>2.3389129881000001</v>
      </c>
      <c r="E109" s="10">
        <v>2.7831065101000001</v>
      </c>
      <c r="F109" s="10">
        <v>3.1337718907999998</v>
      </c>
      <c r="G109" s="10">
        <v>3.3653457119999999</v>
      </c>
      <c r="H109" s="10">
        <v>3.5948797349000001</v>
      </c>
      <c r="I109" s="10">
        <v>3.6315801221999999</v>
      </c>
    </row>
    <row r="110" spans="1:9" x14ac:dyDescent="0.2">
      <c r="A110">
        <v>19610228</v>
      </c>
      <c r="B110">
        <f t="shared" si="1"/>
        <v>196102</v>
      </c>
      <c r="C110" s="10">
        <v>2.4459677709999998</v>
      </c>
      <c r="D110" s="10">
        <v>2.6296686533</v>
      </c>
      <c r="E110" s="10">
        <v>2.9744318791</v>
      </c>
      <c r="F110" s="10">
        <v>3.1023433181</v>
      </c>
      <c r="G110" s="10">
        <v>3.3106825667000002</v>
      </c>
      <c r="H110" s="10">
        <v>3.4631080161000001</v>
      </c>
      <c r="I110" s="10">
        <v>3.4882379777999999</v>
      </c>
    </row>
    <row r="111" spans="1:9" x14ac:dyDescent="0.2">
      <c r="A111">
        <v>19610330</v>
      </c>
      <c r="B111">
        <f t="shared" si="1"/>
        <v>196103</v>
      </c>
      <c r="C111" s="10">
        <v>2.1059484482999999</v>
      </c>
      <c r="D111" s="10">
        <v>2.4254435649000001</v>
      </c>
      <c r="E111" s="10">
        <v>2.8964026459999999</v>
      </c>
      <c r="F111" s="10">
        <v>2.9100034676000002</v>
      </c>
      <c r="G111" s="10">
        <v>3.1473983465000002</v>
      </c>
      <c r="H111" s="10">
        <v>3.2756721441000001</v>
      </c>
      <c r="I111" s="10">
        <v>3.4422526672</v>
      </c>
    </row>
    <row r="112" spans="1:9" x14ac:dyDescent="0.2">
      <c r="A112">
        <v>19610428</v>
      </c>
      <c r="B112">
        <f t="shared" si="1"/>
        <v>196104</v>
      </c>
      <c r="C112" s="10">
        <v>1.9027555486000001</v>
      </c>
      <c r="D112" s="10">
        <v>2.2978967451000001</v>
      </c>
      <c r="E112" s="10">
        <v>2.8719823677999998</v>
      </c>
      <c r="F112" s="10">
        <v>3.0525980742000001</v>
      </c>
      <c r="G112" s="10">
        <v>3.2113074477999999</v>
      </c>
      <c r="H112" s="10">
        <v>3.1186924728999998</v>
      </c>
      <c r="I112" s="10">
        <v>3.3462167233</v>
      </c>
    </row>
    <row r="113" spans="1:9" x14ac:dyDescent="0.2">
      <c r="A113">
        <v>19610531</v>
      </c>
      <c r="B113">
        <f t="shared" si="1"/>
        <v>196105</v>
      </c>
      <c r="C113" s="10">
        <v>2.3041185668000002</v>
      </c>
      <c r="D113" s="10">
        <v>2.369420656</v>
      </c>
      <c r="E113" s="10">
        <v>2.9291645381999998</v>
      </c>
      <c r="F113" s="10">
        <v>3.2104392072999999</v>
      </c>
      <c r="G113" s="10">
        <v>3.4203833297999999</v>
      </c>
      <c r="H113" s="10">
        <v>3.2482824665000001</v>
      </c>
      <c r="I113" s="10">
        <v>3.5378902363</v>
      </c>
    </row>
    <row r="114" spans="1:9" x14ac:dyDescent="0.2">
      <c r="A114">
        <v>19610630</v>
      </c>
      <c r="B114">
        <f t="shared" si="1"/>
        <v>196106</v>
      </c>
      <c r="C114" s="10">
        <v>2.0906455045999999</v>
      </c>
      <c r="D114" s="10">
        <v>2.2774838670999999</v>
      </c>
      <c r="E114" s="10">
        <v>2.9978781685999998</v>
      </c>
      <c r="F114" s="10">
        <v>3.2571057926</v>
      </c>
      <c r="G114" s="10">
        <v>3.5129106860000001</v>
      </c>
      <c r="H114" s="10">
        <v>3.6276080938000002</v>
      </c>
      <c r="I114" s="10">
        <v>3.6277489750999998</v>
      </c>
    </row>
    <row r="115" spans="1:9" x14ac:dyDescent="0.2">
      <c r="A115">
        <v>19610731</v>
      </c>
      <c r="B115">
        <f t="shared" si="1"/>
        <v>196107</v>
      </c>
      <c r="C115" s="10">
        <v>1.5979942315</v>
      </c>
      <c r="D115" s="10">
        <v>2.2268077390999998</v>
      </c>
      <c r="E115" s="10">
        <v>2.8900535701000001</v>
      </c>
      <c r="F115" s="10">
        <v>3.1545732392999999</v>
      </c>
      <c r="G115" s="10">
        <v>3.6279887883000002</v>
      </c>
      <c r="H115" s="10">
        <v>3.6303367632999999</v>
      </c>
      <c r="I115" s="10">
        <v>3.6376760797999999</v>
      </c>
    </row>
    <row r="116" spans="1:9" x14ac:dyDescent="0.2">
      <c r="A116">
        <v>19610831</v>
      </c>
      <c r="B116">
        <f t="shared" si="1"/>
        <v>196108</v>
      </c>
      <c r="C116" s="10">
        <v>2.0602687942000002</v>
      </c>
      <c r="D116" s="10">
        <v>2.3795424437000001</v>
      </c>
      <c r="E116" s="10">
        <v>3.0475686148999999</v>
      </c>
      <c r="F116" s="10">
        <v>3.252969717</v>
      </c>
      <c r="G116" s="10">
        <v>3.6281774870999999</v>
      </c>
      <c r="H116" s="10">
        <v>3.8030495852000001</v>
      </c>
      <c r="I116" s="10">
        <v>3.661843996</v>
      </c>
    </row>
    <row r="117" spans="1:9" x14ac:dyDescent="0.2">
      <c r="A117">
        <v>19610929</v>
      </c>
      <c r="B117">
        <f t="shared" si="1"/>
        <v>196109</v>
      </c>
      <c r="C117" s="10">
        <v>2.0601353200000001</v>
      </c>
      <c r="D117" s="10">
        <v>2.2571046419999998</v>
      </c>
      <c r="E117" s="10">
        <v>2.9774555462999999</v>
      </c>
      <c r="F117" s="10">
        <v>3.0997697464999998</v>
      </c>
      <c r="G117" s="10">
        <v>3.6171571488000001</v>
      </c>
      <c r="H117" s="10">
        <v>3.6389449840000001</v>
      </c>
      <c r="I117" s="10">
        <v>3.5859957123999999</v>
      </c>
    </row>
    <row r="118" spans="1:9" x14ac:dyDescent="0.2">
      <c r="A118">
        <v>19611031</v>
      </c>
      <c r="B118">
        <f t="shared" si="1"/>
        <v>196110</v>
      </c>
      <c r="C118" s="10">
        <v>1.9533032427000001</v>
      </c>
      <c r="D118" s="10">
        <v>2.3235804912</v>
      </c>
      <c r="E118" s="10">
        <v>2.9373095963</v>
      </c>
      <c r="F118" s="10">
        <v>3.1659300244000002</v>
      </c>
      <c r="G118" s="10">
        <v>3.5029237737000001</v>
      </c>
      <c r="H118" s="10">
        <v>3.5087746451999999</v>
      </c>
      <c r="I118" s="10">
        <v>3.6817394071999998</v>
      </c>
    </row>
    <row r="119" spans="1:9" x14ac:dyDescent="0.2">
      <c r="A119">
        <v>19611130</v>
      </c>
      <c r="B119">
        <f t="shared" si="1"/>
        <v>196111</v>
      </c>
      <c r="C119" s="10">
        <v>2.3243324694999998</v>
      </c>
      <c r="D119" s="10">
        <v>2.5784516101000001</v>
      </c>
      <c r="E119" s="10">
        <v>2.9698297603000001</v>
      </c>
      <c r="F119" s="10">
        <v>3.3052610410000001</v>
      </c>
      <c r="G119" s="10">
        <v>3.6184125141000001</v>
      </c>
      <c r="H119" s="10">
        <v>3.5262216353000002</v>
      </c>
      <c r="I119" s="10">
        <v>3.7804630918000002</v>
      </c>
    </row>
    <row r="120" spans="1:9" x14ac:dyDescent="0.2">
      <c r="A120">
        <v>19611229</v>
      </c>
      <c r="B120">
        <f t="shared" si="1"/>
        <v>196112</v>
      </c>
      <c r="C120" s="10">
        <v>2.5173967335</v>
      </c>
      <c r="D120" s="10">
        <v>2.6906296348000001</v>
      </c>
      <c r="E120" s="10">
        <v>3.1094835258</v>
      </c>
      <c r="F120" s="10">
        <v>3.3844863116999999</v>
      </c>
      <c r="G120" s="10">
        <v>3.7052071202999999</v>
      </c>
      <c r="H120" s="10">
        <v>3.7267657355999999</v>
      </c>
      <c r="I120" s="10">
        <v>3.8489355409999999</v>
      </c>
    </row>
    <row r="121" spans="1:9" x14ac:dyDescent="0.2">
      <c r="A121">
        <v>19620131</v>
      </c>
      <c r="B121">
        <f t="shared" si="1"/>
        <v>196201</v>
      </c>
      <c r="C121" s="10">
        <v>2.5277367489999998</v>
      </c>
      <c r="D121" s="10">
        <v>2.7623129943000002</v>
      </c>
      <c r="E121" s="10">
        <v>3.2923274596000001</v>
      </c>
      <c r="F121" s="10">
        <v>3.4970677778999999</v>
      </c>
      <c r="G121" s="10">
        <v>3.8017052686000001</v>
      </c>
      <c r="H121" s="10">
        <v>3.8754238795</v>
      </c>
      <c r="I121" s="10">
        <v>3.9544908001999999</v>
      </c>
    </row>
    <row r="122" spans="1:9" x14ac:dyDescent="0.2">
      <c r="A122">
        <v>19620228</v>
      </c>
      <c r="B122">
        <f t="shared" si="1"/>
        <v>196202</v>
      </c>
      <c r="C122" s="10">
        <v>2.4769068700000001</v>
      </c>
      <c r="D122" s="10">
        <v>2.7418925109000001</v>
      </c>
      <c r="E122" s="10">
        <v>3.1347503171</v>
      </c>
      <c r="F122" s="10">
        <v>3.2463803536000002</v>
      </c>
      <c r="G122" s="10">
        <v>3.4718407445000001</v>
      </c>
      <c r="H122" s="10">
        <v>3.5908202917000001</v>
      </c>
      <c r="I122" s="10">
        <v>3.7051902652000002</v>
      </c>
    </row>
    <row r="123" spans="1:9" x14ac:dyDescent="0.2">
      <c r="A123">
        <v>19620330</v>
      </c>
      <c r="B123">
        <f t="shared" si="1"/>
        <v>196203</v>
      </c>
      <c r="C123" s="10">
        <v>2.6800432149</v>
      </c>
      <c r="D123" s="10">
        <v>2.7876201966999998</v>
      </c>
      <c r="E123" s="10">
        <v>2.8865909803999998</v>
      </c>
      <c r="F123" s="10">
        <v>3.1450580402999999</v>
      </c>
      <c r="G123" s="10">
        <v>3.3220297153999998</v>
      </c>
      <c r="H123" s="10">
        <v>3.5110365082000001</v>
      </c>
      <c r="I123" s="10">
        <v>3.5802946973999998</v>
      </c>
    </row>
    <row r="124" spans="1:9" x14ac:dyDescent="0.2">
      <c r="A124">
        <v>19620430</v>
      </c>
      <c r="B124">
        <f t="shared" si="1"/>
        <v>196204</v>
      </c>
      <c r="C124" s="10">
        <v>2.7000136616999999</v>
      </c>
      <c r="D124" s="10">
        <v>2.7574058574999998</v>
      </c>
      <c r="E124" s="10">
        <v>3.0061531775999999</v>
      </c>
      <c r="F124" s="10">
        <v>3.2751668684999999</v>
      </c>
      <c r="G124" s="10">
        <v>3.3651557753999999</v>
      </c>
      <c r="H124" s="10">
        <v>3.5760778868999998</v>
      </c>
      <c r="I124" s="10">
        <v>3.6054226263000002</v>
      </c>
    </row>
    <row r="125" spans="1:9" x14ac:dyDescent="0.2">
      <c r="A125">
        <v>19620531</v>
      </c>
      <c r="B125">
        <f t="shared" si="1"/>
        <v>196205</v>
      </c>
      <c r="C125" s="10">
        <v>2.5225913760999998</v>
      </c>
      <c r="D125" s="10">
        <v>2.7315826602</v>
      </c>
      <c r="E125" s="10">
        <v>2.9430852484000001</v>
      </c>
      <c r="F125" s="10">
        <v>3.1662434275</v>
      </c>
      <c r="G125" s="10">
        <v>3.3210583134</v>
      </c>
      <c r="H125" s="10">
        <v>3.5204501583000001</v>
      </c>
      <c r="I125" s="10">
        <v>3.5775073378000002</v>
      </c>
    </row>
    <row r="126" spans="1:9" x14ac:dyDescent="0.2">
      <c r="A126">
        <v>19620629</v>
      </c>
      <c r="B126">
        <f t="shared" si="1"/>
        <v>196206</v>
      </c>
      <c r="C126" s="10">
        <v>2.9239730334999998</v>
      </c>
      <c r="D126" s="10">
        <v>2.9407732360000001</v>
      </c>
      <c r="E126" s="10">
        <v>3.0712127760999999</v>
      </c>
      <c r="F126" s="10">
        <v>3.3774720194999999</v>
      </c>
      <c r="G126" s="10">
        <v>3.4806610806</v>
      </c>
      <c r="H126" s="10">
        <v>3.6102472098999998</v>
      </c>
      <c r="I126" s="10">
        <v>3.6521043912</v>
      </c>
    </row>
    <row r="127" spans="1:9" x14ac:dyDescent="0.2">
      <c r="A127">
        <v>19620731</v>
      </c>
      <c r="B127">
        <f t="shared" si="1"/>
        <v>196207</v>
      </c>
      <c r="C127" s="10">
        <v>2.6491136866999998</v>
      </c>
      <c r="D127" s="10">
        <v>2.9156044324999999</v>
      </c>
      <c r="E127" s="10">
        <v>3.3081420450999999</v>
      </c>
      <c r="F127" s="10">
        <v>3.4354149518999999</v>
      </c>
      <c r="G127" s="10">
        <v>3.5452425681999999</v>
      </c>
      <c r="H127" s="10">
        <v>3.6450195315</v>
      </c>
      <c r="I127" s="10">
        <v>3.7227436626000001</v>
      </c>
    </row>
    <row r="128" spans="1:9" x14ac:dyDescent="0.2">
      <c r="A128">
        <v>19620831</v>
      </c>
      <c r="B128">
        <f t="shared" si="1"/>
        <v>196208</v>
      </c>
      <c r="C128" s="10">
        <v>2.6800001664000002</v>
      </c>
      <c r="D128" s="10">
        <v>2.8488736553999998</v>
      </c>
      <c r="E128" s="10">
        <v>3.0341130787999999</v>
      </c>
      <c r="F128" s="10">
        <v>3.1644036740999999</v>
      </c>
      <c r="G128" s="10">
        <v>3.3453505256999998</v>
      </c>
      <c r="H128" s="10">
        <v>3.4672648276000002</v>
      </c>
      <c r="I128" s="10">
        <v>3.5379303627000001</v>
      </c>
    </row>
    <row r="129" spans="1:9" x14ac:dyDescent="0.2">
      <c r="A129">
        <v>19620928</v>
      </c>
      <c r="B129">
        <f t="shared" si="1"/>
        <v>196209</v>
      </c>
      <c r="C129" s="10">
        <v>2.7155534437000002</v>
      </c>
      <c r="D129" s="10">
        <v>2.7774012972</v>
      </c>
      <c r="E129" s="10">
        <v>2.9627933422999999</v>
      </c>
      <c r="F129" s="10">
        <v>3.0755481673</v>
      </c>
      <c r="G129" s="10">
        <v>3.3202553242000001</v>
      </c>
      <c r="H129" s="10">
        <v>3.463864155</v>
      </c>
      <c r="I129" s="10">
        <v>3.6642717243999998</v>
      </c>
    </row>
    <row r="130" spans="1:9" x14ac:dyDescent="0.2">
      <c r="A130">
        <v>19621031</v>
      </c>
      <c r="B130">
        <f t="shared" si="1"/>
        <v>196210</v>
      </c>
      <c r="C130" s="10">
        <v>2.4819887269000001</v>
      </c>
      <c r="D130" s="10">
        <v>2.7521036200000002</v>
      </c>
      <c r="E130" s="10">
        <v>2.922020394</v>
      </c>
      <c r="F130" s="10">
        <v>3.0899881927999999</v>
      </c>
      <c r="G130" s="10">
        <v>3.3129721598000001</v>
      </c>
      <c r="H130" s="10">
        <v>3.4033146469000002</v>
      </c>
      <c r="I130" s="10">
        <v>3.6154743565</v>
      </c>
    </row>
    <row r="131" spans="1:9" x14ac:dyDescent="0.2">
      <c r="A131">
        <v>19621130</v>
      </c>
      <c r="B131">
        <f t="shared" si="1"/>
        <v>196211</v>
      </c>
      <c r="C131" s="10">
        <v>2.7003623049000001</v>
      </c>
      <c r="D131" s="10">
        <v>2.8999164223</v>
      </c>
      <c r="E131" s="10">
        <v>2.9216785644000001</v>
      </c>
      <c r="F131" s="10">
        <v>3.1979566247000002</v>
      </c>
      <c r="G131" s="10">
        <v>3.3719097478000002</v>
      </c>
      <c r="H131" s="10">
        <v>3.4278873197999999</v>
      </c>
      <c r="I131" s="10">
        <v>3.5347200475</v>
      </c>
    </row>
    <row r="132" spans="1:9" x14ac:dyDescent="0.2">
      <c r="A132">
        <v>19621231</v>
      </c>
      <c r="B132">
        <f t="shared" si="1"/>
        <v>196212</v>
      </c>
      <c r="C132" s="10">
        <v>2.9541214471999999</v>
      </c>
      <c r="D132" s="10">
        <v>2.9667916243999999</v>
      </c>
      <c r="E132" s="10">
        <v>2.9779629301999999</v>
      </c>
      <c r="F132" s="10">
        <v>3.2042760021999999</v>
      </c>
      <c r="G132" s="10">
        <v>3.3799346565000001</v>
      </c>
      <c r="H132" s="10">
        <v>3.4092596379</v>
      </c>
      <c r="I132" s="10">
        <v>3.4913598582000001</v>
      </c>
    </row>
    <row r="133" spans="1:9" x14ac:dyDescent="0.2">
      <c r="A133">
        <v>19630131</v>
      </c>
      <c r="B133">
        <f t="shared" si="1"/>
        <v>196301</v>
      </c>
      <c r="C133" s="10">
        <v>2.9291468024</v>
      </c>
      <c r="D133" s="10">
        <v>2.9715292039999999</v>
      </c>
      <c r="E133" s="10">
        <v>3.0294693391999998</v>
      </c>
      <c r="F133" s="10">
        <v>3.0632819435999998</v>
      </c>
      <c r="G133" s="10">
        <v>3.3976042065000001</v>
      </c>
      <c r="H133" s="10">
        <v>3.4653353505000002</v>
      </c>
      <c r="I133" s="10">
        <v>3.6023299879000001</v>
      </c>
    </row>
    <row r="134" spans="1:9" x14ac:dyDescent="0.2">
      <c r="A134">
        <v>19630228</v>
      </c>
      <c r="B134">
        <f t="shared" si="1"/>
        <v>196302</v>
      </c>
      <c r="C134" s="10">
        <v>2.8427419496000002</v>
      </c>
      <c r="D134" s="10">
        <v>2.9410145901</v>
      </c>
      <c r="E134" s="10">
        <v>2.961000565</v>
      </c>
      <c r="F134" s="10">
        <v>3.1081288909999998</v>
      </c>
      <c r="G134" s="10">
        <v>3.4002684472000002</v>
      </c>
      <c r="H134" s="10">
        <v>3.4928962128999999</v>
      </c>
      <c r="I134" s="10">
        <v>3.6507393936999999</v>
      </c>
    </row>
    <row r="135" spans="1:9" x14ac:dyDescent="0.2">
      <c r="A135">
        <v>19630329</v>
      </c>
      <c r="B135">
        <f t="shared" ref="B135:B198" si="2">ROUND(A135/100,0)</f>
        <v>196303</v>
      </c>
      <c r="C135" s="10">
        <v>2.8528107953999999</v>
      </c>
      <c r="D135" s="10">
        <v>2.9509982954999998</v>
      </c>
      <c r="E135" s="10">
        <v>3.0271578409000002</v>
      </c>
      <c r="F135" s="10">
        <v>3.1688569404</v>
      </c>
      <c r="G135" s="10">
        <v>3.4248757253000002</v>
      </c>
      <c r="H135" s="10">
        <v>3.6128921182</v>
      </c>
      <c r="I135" s="10">
        <v>3.6714987696999999</v>
      </c>
    </row>
    <row r="136" spans="1:9" x14ac:dyDescent="0.2">
      <c r="A136">
        <v>19630430</v>
      </c>
      <c r="B136">
        <f t="shared" si="2"/>
        <v>196304</v>
      </c>
      <c r="C136" s="10">
        <v>2.8575469466999999</v>
      </c>
      <c r="D136" s="10">
        <v>2.9513383192</v>
      </c>
      <c r="E136" s="10">
        <v>3.0986611838</v>
      </c>
      <c r="F136" s="10">
        <v>3.2773396282</v>
      </c>
      <c r="G136" s="10">
        <v>3.5214734453999998</v>
      </c>
      <c r="H136" s="10">
        <v>3.6394090925999998</v>
      </c>
      <c r="I136" s="10">
        <v>3.6798009665999998</v>
      </c>
    </row>
    <row r="137" spans="1:9" x14ac:dyDescent="0.2">
      <c r="A137">
        <v>19630531</v>
      </c>
      <c r="B137">
        <f t="shared" si="2"/>
        <v>196305</v>
      </c>
      <c r="C137" s="10">
        <v>2.9597052457999999</v>
      </c>
      <c r="D137" s="10">
        <v>3.0429210232999999</v>
      </c>
      <c r="E137" s="10">
        <v>3.1499458232999999</v>
      </c>
      <c r="F137" s="10">
        <v>3.2806213722000002</v>
      </c>
      <c r="G137" s="10">
        <v>3.5499318377</v>
      </c>
      <c r="H137" s="10">
        <v>3.6855940988999998</v>
      </c>
      <c r="I137" s="10">
        <v>3.7365014516000001</v>
      </c>
    </row>
    <row r="138" spans="1:9" x14ac:dyDescent="0.2">
      <c r="A138">
        <v>19630628</v>
      </c>
      <c r="B138">
        <f t="shared" si="2"/>
        <v>196306</v>
      </c>
      <c r="C138" s="10">
        <v>2.9849937538</v>
      </c>
      <c r="D138" s="10">
        <v>3.0326956889000001</v>
      </c>
      <c r="E138" s="10">
        <v>3.1257007489999999</v>
      </c>
      <c r="F138" s="10">
        <v>3.2785651001999998</v>
      </c>
      <c r="G138" s="10">
        <v>3.5351512848</v>
      </c>
      <c r="H138" s="10">
        <v>3.7134923228000001</v>
      </c>
      <c r="I138" s="10">
        <v>3.7706895538</v>
      </c>
    </row>
    <row r="139" spans="1:9" x14ac:dyDescent="0.2">
      <c r="A139">
        <v>19630731</v>
      </c>
      <c r="B139">
        <f t="shared" si="2"/>
        <v>196307</v>
      </c>
      <c r="C139" s="10">
        <v>3.0563925060999999</v>
      </c>
      <c r="D139" s="10">
        <v>3.3191366053000002</v>
      </c>
      <c r="E139" s="10">
        <v>3.4873719840000001</v>
      </c>
      <c r="F139" s="10">
        <v>3.6191873959</v>
      </c>
      <c r="G139" s="10">
        <v>3.6629173364000001</v>
      </c>
      <c r="H139" s="10">
        <v>3.8037677391</v>
      </c>
      <c r="I139" s="10">
        <v>3.8393565584</v>
      </c>
    </row>
    <row r="140" spans="1:9" x14ac:dyDescent="0.2">
      <c r="A140">
        <v>19630830</v>
      </c>
      <c r="B140">
        <f t="shared" si="2"/>
        <v>196308</v>
      </c>
      <c r="C140" s="10">
        <v>3.2646074175000002</v>
      </c>
      <c r="D140" s="10">
        <v>3.4365610558999999</v>
      </c>
      <c r="E140" s="10">
        <v>3.6870898176</v>
      </c>
      <c r="F140" s="10">
        <v>3.6498548512000002</v>
      </c>
      <c r="G140" s="10">
        <v>3.6726505278000001</v>
      </c>
      <c r="H140" s="10">
        <v>3.8406152858999998</v>
      </c>
      <c r="I140" s="10">
        <v>3.8781166077</v>
      </c>
    </row>
    <row r="141" spans="1:9" x14ac:dyDescent="0.2">
      <c r="A141">
        <v>19630930</v>
      </c>
      <c r="B141">
        <f t="shared" si="2"/>
        <v>196309</v>
      </c>
      <c r="C141" s="10">
        <v>3.4319642597</v>
      </c>
      <c r="D141" s="10">
        <v>3.4421600572000002</v>
      </c>
      <c r="E141" s="10">
        <v>3.6974257434000002</v>
      </c>
      <c r="F141" s="10">
        <v>3.6645541991999999</v>
      </c>
      <c r="G141" s="10">
        <v>3.6846978164999999</v>
      </c>
      <c r="H141" s="10">
        <v>3.8551760816999998</v>
      </c>
      <c r="I141" s="10">
        <v>3.9190456996999998</v>
      </c>
    </row>
    <row r="142" spans="1:9" x14ac:dyDescent="0.2">
      <c r="A142">
        <v>19631031</v>
      </c>
      <c r="B142">
        <f t="shared" si="2"/>
        <v>196310</v>
      </c>
      <c r="C142" s="10">
        <v>3.2851004769999999</v>
      </c>
      <c r="D142" s="10">
        <v>3.5286108395000002</v>
      </c>
      <c r="E142" s="10">
        <v>3.6664578970999999</v>
      </c>
      <c r="F142" s="10">
        <v>3.7627694250000001</v>
      </c>
      <c r="G142" s="10">
        <v>3.7477455074999999</v>
      </c>
      <c r="H142" s="10">
        <v>3.9291303085</v>
      </c>
      <c r="I142" s="10">
        <v>3.9780776756999998</v>
      </c>
    </row>
    <row r="143" spans="1:9" x14ac:dyDescent="0.2">
      <c r="A143">
        <v>19631129</v>
      </c>
      <c r="B143">
        <f t="shared" si="2"/>
        <v>196311</v>
      </c>
      <c r="C143" s="10">
        <v>3.2798442312999998</v>
      </c>
      <c r="D143" s="10">
        <v>3.5540053252999999</v>
      </c>
      <c r="E143" s="10">
        <v>3.7923662127000002</v>
      </c>
      <c r="F143" s="10">
        <v>3.8023584412</v>
      </c>
      <c r="G143" s="10">
        <v>3.7858760383000001</v>
      </c>
      <c r="H143" s="10">
        <v>3.9002825468000002</v>
      </c>
      <c r="I143" s="10">
        <v>3.9459612913000002</v>
      </c>
    </row>
    <row r="144" spans="1:9" x14ac:dyDescent="0.2">
      <c r="A144">
        <v>19631231</v>
      </c>
      <c r="B144">
        <f t="shared" si="2"/>
        <v>196312</v>
      </c>
      <c r="C144" s="10">
        <v>3.4826185053000001</v>
      </c>
      <c r="D144" s="10">
        <v>3.5852270240999999</v>
      </c>
      <c r="E144" s="10">
        <v>3.8290343153999999</v>
      </c>
      <c r="F144" s="10">
        <v>3.9076944097999999</v>
      </c>
      <c r="G144" s="10">
        <v>3.9251074869</v>
      </c>
      <c r="H144" s="10">
        <v>4.0076850703</v>
      </c>
      <c r="I144" s="10">
        <v>4.0042673473999999</v>
      </c>
    </row>
    <row r="145" spans="1:9" x14ac:dyDescent="0.2">
      <c r="A145">
        <v>19640131</v>
      </c>
      <c r="B145">
        <f t="shared" si="2"/>
        <v>196401</v>
      </c>
      <c r="C145" s="10">
        <v>3.4476573146999998</v>
      </c>
      <c r="D145" s="10">
        <v>3.5540053252999999</v>
      </c>
      <c r="E145" s="10">
        <v>3.7893073264999999</v>
      </c>
      <c r="F145" s="10">
        <v>3.8929962401</v>
      </c>
      <c r="G145" s="10">
        <v>3.9386295583000002</v>
      </c>
      <c r="H145" s="10">
        <v>3.9428543548000001</v>
      </c>
      <c r="I145" s="10">
        <v>3.9839286737999999</v>
      </c>
    </row>
    <row r="146" spans="1:9" x14ac:dyDescent="0.2">
      <c r="A146">
        <v>19640228</v>
      </c>
      <c r="B146">
        <f t="shared" si="2"/>
        <v>196402</v>
      </c>
      <c r="C146" s="10">
        <v>3.5341425019999999</v>
      </c>
      <c r="D146" s="10">
        <v>3.6562913353000002</v>
      </c>
      <c r="E146" s="10">
        <v>3.9474269830000002</v>
      </c>
      <c r="F146" s="10">
        <v>3.9811143264000002</v>
      </c>
      <c r="G146" s="10">
        <v>4.0248572707000001</v>
      </c>
      <c r="H146" s="10">
        <v>4.0103491544000001</v>
      </c>
      <c r="I146" s="10">
        <v>4.0230308295999997</v>
      </c>
    </row>
    <row r="147" spans="1:9" x14ac:dyDescent="0.2">
      <c r="A147">
        <v>19640331</v>
      </c>
      <c r="B147">
        <f t="shared" si="2"/>
        <v>196403</v>
      </c>
      <c r="C147" s="10">
        <v>3.5283466799999998</v>
      </c>
      <c r="D147" s="10">
        <v>3.5903324611</v>
      </c>
      <c r="E147" s="10">
        <v>3.9104535149999999</v>
      </c>
      <c r="F147" s="10">
        <v>4.0763631931999997</v>
      </c>
      <c r="G147" s="10">
        <v>4.1250494358000003</v>
      </c>
      <c r="H147" s="10">
        <v>4.1449128588999997</v>
      </c>
      <c r="I147" s="10">
        <v>4.0727317499</v>
      </c>
    </row>
    <row r="148" spans="1:9" x14ac:dyDescent="0.2">
      <c r="A148">
        <v>19640430</v>
      </c>
      <c r="B148">
        <f t="shared" si="2"/>
        <v>196404</v>
      </c>
      <c r="C148" s="10">
        <v>3.3562984702000001</v>
      </c>
      <c r="D148" s="10">
        <v>3.5030341658999999</v>
      </c>
      <c r="E148" s="10">
        <v>3.7829186990000001</v>
      </c>
      <c r="F148" s="10">
        <v>3.9781381045000002</v>
      </c>
      <c r="G148" s="10">
        <v>4.0473401730000003</v>
      </c>
      <c r="H148" s="10">
        <v>4.0821956621000002</v>
      </c>
      <c r="I148" s="10">
        <v>4.0768976072000003</v>
      </c>
    </row>
    <row r="149" spans="1:9" x14ac:dyDescent="0.2">
      <c r="A149">
        <v>19640528</v>
      </c>
      <c r="B149">
        <f t="shared" si="2"/>
        <v>196405</v>
      </c>
      <c r="C149" s="10">
        <v>3.2647897226000002</v>
      </c>
      <c r="D149" s="10">
        <v>3.5234860675999999</v>
      </c>
      <c r="E149" s="10">
        <v>3.8322698824999999</v>
      </c>
      <c r="F149" s="10">
        <v>3.9181476982999999</v>
      </c>
      <c r="G149" s="10">
        <v>3.9641699047999999</v>
      </c>
      <c r="H149" s="10">
        <v>4.0211211105000002</v>
      </c>
      <c r="I149" s="10">
        <v>3.9792687245999998</v>
      </c>
    </row>
    <row r="150" spans="1:9" x14ac:dyDescent="0.2">
      <c r="A150">
        <v>19640630</v>
      </c>
      <c r="B150">
        <f t="shared" si="2"/>
        <v>196406</v>
      </c>
      <c r="C150" s="10">
        <v>3.4114327207000001</v>
      </c>
      <c r="D150" s="10">
        <v>3.4929740452</v>
      </c>
      <c r="E150" s="10">
        <v>3.7795392952000002</v>
      </c>
      <c r="F150" s="10">
        <v>3.7785039575999999</v>
      </c>
      <c r="G150" s="10">
        <v>3.893532644</v>
      </c>
      <c r="H150" s="10">
        <v>3.9724796674</v>
      </c>
      <c r="I150" s="10">
        <v>3.9773172034000002</v>
      </c>
    </row>
    <row r="151" spans="1:9" x14ac:dyDescent="0.2">
      <c r="A151">
        <v>19640731</v>
      </c>
      <c r="B151">
        <f t="shared" si="2"/>
        <v>196407</v>
      </c>
      <c r="C151" s="10">
        <v>3.2590936805999999</v>
      </c>
      <c r="D151" s="10">
        <v>3.5083198322000002</v>
      </c>
      <c r="E151" s="10">
        <v>3.7588025845000002</v>
      </c>
      <c r="F151" s="10">
        <v>3.6639463454999999</v>
      </c>
      <c r="G151" s="10">
        <v>3.8682403464999999</v>
      </c>
      <c r="H151" s="10">
        <v>3.9704650289000001</v>
      </c>
      <c r="I151" s="10">
        <v>4.0059631508000004</v>
      </c>
    </row>
    <row r="152" spans="1:9" x14ac:dyDescent="0.2">
      <c r="A152">
        <v>19640831</v>
      </c>
      <c r="B152">
        <f t="shared" si="2"/>
        <v>196408</v>
      </c>
      <c r="C152" s="10">
        <v>3.2639946376000002</v>
      </c>
      <c r="D152" s="10">
        <v>3.4979097209000001</v>
      </c>
      <c r="E152" s="10">
        <v>3.8130300123</v>
      </c>
      <c r="F152" s="10">
        <v>3.7337627705999998</v>
      </c>
      <c r="G152" s="10">
        <v>3.9022138851000001</v>
      </c>
      <c r="H152" s="10">
        <v>3.9910159771</v>
      </c>
      <c r="I152" s="10">
        <v>4.0220379640999999</v>
      </c>
    </row>
    <row r="153" spans="1:9" x14ac:dyDescent="0.2">
      <c r="A153">
        <v>19640930</v>
      </c>
      <c r="B153">
        <f t="shared" si="2"/>
        <v>196409</v>
      </c>
      <c r="C153" s="10">
        <v>3.5234605628</v>
      </c>
      <c r="D153" s="10">
        <v>3.6054855683000002</v>
      </c>
      <c r="E153" s="10">
        <v>3.8973292318000001</v>
      </c>
      <c r="F153" s="10">
        <v>3.7971951383999998</v>
      </c>
      <c r="G153" s="10">
        <v>3.9390216219999998</v>
      </c>
      <c r="H153" s="10">
        <v>3.9952352807999998</v>
      </c>
      <c r="I153" s="10">
        <v>3.9909285798999998</v>
      </c>
    </row>
    <row r="154" spans="1:9" x14ac:dyDescent="0.2">
      <c r="A154">
        <v>19641030</v>
      </c>
      <c r="B154">
        <f t="shared" si="2"/>
        <v>196410</v>
      </c>
      <c r="C154" s="10">
        <v>3.4268747799999999</v>
      </c>
      <c r="D154" s="10">
        <v>3.6051369220999998</v>
      </c>
      <c r="E154" s="10">
        <v>3.9061338258</v>
      </c>
      <c r="F154" s="10">
        <v>3.8617932291999999</v>
      </c>
      <c r="G154" s="10">
        <v>3.9734301366999998</v>
      </c>
      <c r="H154" s="10">
        <v>3.9985912305000002</v>
      </c>
      <c r="I154" s="10">
        <v>4.0054509840000003</v>
      </c>
    </row>
    <row r="155" spans="1:9" x14ac:dyDescent="0.2">
      <c r="A155">
        <v>19641130</v>
      </c>
      <c r="B155">
        <f t="shared" si="2"/>
        <v>196411</v>
      </c>
      <c r="C155" s="10">
        <v>3.5743191907999998</v>
      </c>
      <c r="D155" s="10">
        <v>3.8558310653999999</v>
      </c>
      <c r="E155" s="10">
        <v>4.2140830420000004</v>
      </c>
      <c r="F155" s="10">
        <v>4.0277850345999999</v>
      </c>
      <c r="G155" s="10">
        <v>4.0941808257999996</v>
      </c>
      <c r="H155" s="10">
        <v>4.081104764</v>
      </c>
      <c r="I155" s="10">
        <v>4.0694281165000001</v>
      </c>
    </row>
    <row r="156" spans="1:9" x14ac:dyDescent="0.2">
      <c r="A156">
        <v>19641231</v>
      </c>
      <c r="B156">
        <f t="shared" si="2"/>
        <v>196412</v>
      </c>
      <c r="C156" s="10">
        <v>3.4268275459000002</v>
      </c>
      <c r="D156" s="10">
        <v>3.8148962954000001</v>
      </c>
      <c r="E156" s="10">
        <v>4.0503037415999996</v>
      </c>
      <c r="F156" s="10">
        <v>3.9333364075000001</v>
      </c>
      <c r="G156" s="10">
        <v>3.9752288688999999</v>
      </c>
      <c r="H156" s="10">
        <v>3.9994500972</v>
      </c>
      <c r="I156" s="10">
        <v>4.0756219921000003</v>
      </c>
    </row>
    <row r="157" spans="1:9" x14ac:dyDescent="0.2">
      <c r="A157">
        <v>19650129</v>
      </c>
      <c r="B157">
        <f t="shared" si="2"/>
        <v>196501</v>
      </c>
      <c r="C157" s="10">
        <v>3.8843433384999999</v>
      </c>
      <c r="D157" s="10">
        <v>3.9021164881999999</v>
      </c>
      <c r="E157" s="10">
        <v>4.0771658233999997</v>
      </c>
      <c r="F157" s="10">
        <v>3.9275775774000001</v>
      </c>
      <c r="G157" s="10">
        <v>3.9404646646999999</v>
      </c>
      <c r="H157" s="10">
        <v>3.9742537943</v>
      </c>
      <c r="I157" s="10">
        <v>4.0782335761999997</v>
      </c>
    </row>
    <row r="158" spans="1:9" x14ac:dyDescent="0.2">
      <c r="A158">
        <v>19650226</v>
      </c>
      <c r="B158">
        <f t="shared" si="2"/>
        <v>196502</v>
      </c>
      <c r="C158" s="10">
        <v>3.8493164242</v>
      </c>
      <c r="D158" s="10">
        <v>4.0359037194000003</v>
      </c>
      <c r="E158" s="10">
        <v>4.2040039373999996</v>
      </c>
      <c r="F158" s="10">
        <v>4.0341946829999999</v>
      </c>
      <c r="G158" s="10">
        <v>3.996623112</v>
      </c>
      <c r="H158" s="10">
        <v>4.0022535554000003</v>
      </c>
      <c r="I158" s="10">
        <v>4.1211247160999998</v>
      </c>
    </row>
    <row r="159" spans="1:9" x14ac:dyDescent="0.2">
      <c r="A159">
        <v>19650331</v>
      </c>
      <c r="B159">
        <f t="shared" si="2"/>
        <v>196503</v>
      </c>
      <c r="C159" s="10">
        <v>3.7876912516000001</v>
      </c>
      <c r="D159" s="10">
        <v>3.9944848417999999</v>
      </c>
      <c r="E159" s="10">
        <v>4.1400878947999997</v>
      </c>
      <c r="F159" s="10">
        <v>4.0264933546000004</v>
      </c>
      <c r="G159" s="10">
        <v>4.0242194400000004</v>
      </c>
      <c r="H159" s="10">
        <v>4.0034391957000004</v>
      </c>
      <c r="I159" s="10">
        <v>4.1010985182999997</v>
      </c>
    </row>
    <row r="160" spans="1:9" x14ac:dyDescent="0.2">
      <c r="A160">
        <v>19650430</v>
      </c>
      <c r="B160">
        <f t="shared" si="2"/>
        <v>196504</v>
      </c>
      <c r="C160" s="10">
        <v>3.8590951356000001</v>
      </c>
      <c r="D160" s="10">
        <v>3.9735694502999999</v>
      </c>
      <c r="E160" s="10">
        <v>4.0974497343999996</v>
      </c>
      <c r="F160" s="10">
        <v>4.0247665292999999</v>
      </c>
      <c r="G160" s="10">
        <v>4.0393681484000004</v>
      </c>
      <c r="H160" s="10">
        <v>4.0187259837999996</v>
      </c>
      <c r="I160" s="10">
        <v>4.1166819428999997</v>
      </c>
    </row>
    <row r="161" spans="1:9" x14ac:dyDescent="0.2">
      <c r="A161">
        <v>19650528</v>
      </c>
      <c r="B161">
        <f t="shared" si="2"/>
        <v>196505</v>
      </c>
      <c r="C161" s="10">
        <v>3.7323429467999998</v>
      </c>
      <c r="D161" s="10">
        <v>3.9326187000999999</v>
      </c>
      <c r="E161" s="10">
        <v>4.0773958302000004</v>
      </c>
      <c r="F161" s="10">
        <v>4.0303777216999999</v>
      </c>
      <c r="G161" s="10">
        <v>4.0357087007999999</v>
      </c>
      <c r="H161" s="10">
        <v>4.0169449017999996</v>
      </c>
      <c r="I161" s="10">
        <v>4.1204062083000004</v>
      </c>
    </row>
    <row r="162" spans="1:9" x14ac:dyDescent="0.2">
      <c r="A162">
        <v>19650630</v>
      </c>
      <c r="B162">
        <f t="shared" si="2"/>
        <v>196506</v>
      </c>
      <c r="C162" s="10">
        <v>3.7828371406999999</v>
      </c>
      <c r="D162" s="10">
        <v>3.8664866967</v>
      </c>
      <c r="E162" s="10">
        <v>3.9764244462999998</v>
      </c>
      <c r="F162" s="10">
        <v>3.9317456139</v>
      </c>
      <c r="G162" s="10">
        <v>4.0044583758999996</v>
      </c>
      <c r="H162" s="10">
        <v>4.0173985878999998</v>
      </c>
      <c r="I162" s="10">
        <v>4.0935291960000004</v>
      </c>
    </row>
    <row r="163" spans="1:9" x14ac:dyDescent="0.2">
      <c r="A163">
        <v>19650730</v>
      </c>
      <c r="B163">
        <f t="shared" si="2"/>
        <v>196507</v>
      </c>
      <c r="C163" s="10">
        <v>3.767780664</v>
      </c>
      <c r="D163" s="10">
        <v>3.8711972559999999</v>
      </c>
      <c r="E163" s="10">
        <v>4.0178218018000003</v>
      </c>
      <c r="F163" s="10">
        <v>3.999480659</v>
      </c>
      <c r="G163" s="10">
        <v>4.0484370118999999</v>
      </c>
      <c r="H163" s="10">
        <v>4.1124569910000002</v>
      </c>
      <c r="I163" s="10">
        <v>4.1210472214999996</v>
      </c>
    </row>
    <row r="164" spans="1:9" x14ac:dyDescent="0.2">
      <c r="A164">
        <v>19650831</v>
      </c>
      <c r="B164">
        <f t="shared" si="2"/>
        <v>196508</v>
      </c>
      <c r="C164" s="10">
        <v>3.7826202496999999</v>
      </c>
      <c r="D164" s="10">
        <v>3.8816310967000001</v>
      </c>
      <c r="E164" s="10">
        <v>4.1717927587999997</v>
      </c>
      <c r="F164" s="10">
        <v>4.0867375891000002</v>
      </c>
      <c r="G164" s="10">
        <v>4.1452188298000001</v>
      </c>
      <c r="H164" s="10">
        <v>4.1649988428000002</v>
      </c>
      <c r="I164" s="10">
        <v>4.1536885011000004</v>
      </c>
    </row>
    <row r="165" spans="1:9" x14ac:dyDescent="0.2">
      <c r="A165">
        <v>19650930</v>
      </c>
      <c r="B165">
        <f t="shared" si="2"/>
        <v>196509</v>
      </c>
      <c r="C165" s="10">
        <v>3.9862528701</v>
      </c>
      <c r="D165" s="10">
        <v>4.0864348588999997</v>
      </c>
      <c r="E165" s="10">
        <v>4.3463617475999996</v>
      </c>
      <c r="F165" s="10">
        <v>4.2459413423000001</v>
      </c>
      <c r="G165" s="10">
        <v>4.2637625763000004</v>
      </c>
      <c r="H165" s="10">
        <v>4.2677642873000003</v>
      </c>
      <c r="I165" s="10">
        <v>4.2479952322000001</v>
      </c>
    </row>
    <row r="166" spans="1:9" x14ac:dyDescent="0.2">
      <c r="A166">
        <v>19651029</v>
      </c>
      <c r="B166">
        <f t="shared" si="2"/>
        <v>196510</v>
      </c>
      <c r="C166" s="10">
        <v>3.8491503359000001</v>
      </c>
      <c r="D166" s="10">
        <v>4.1220559693999999</v>
      </c>
      <c r="E166" s="10">
        <v>4.3521845293999997</v>
      </c>
      <c r="F166" s="10">
        <v>4.2553860234999998</v>
      </c>
      <c r="G166" s="10">
        <v>4.2820253835999997</v>
      </c>
      <c r="H166" s="10">
        <v>4.3427300568999998</v>
      </c>
      <c r="I166" s="10">
        <v>4.3202986327000001</v>
      </c>
    </row>
    <row r="167" spans="1:9" x14ac:dyDescent="0.2">
      <c r="A167">
        <v>19651130</v>
      </c>
      <c r="B167">
        <f t="shared" si="2"/>
        <v>196511</v>
      </c>
      <c r="C167" s="10">
        <v>3.7978882397999998</v>
      </c>
      <c r="D167" s="10">
        <v>4.1220559693999999</v>
      </c>
      <c r="E167" s="10">
        <v>4.4364169271999998</v>
      </c>
      <c r="F167" s="10">
        <v>4.2906777615999996</v>
      </c>
      <c r="G167" s="10">
        <v>4.3980465943000002</v>
      </c>
      <c r="H167" s="10">
        <v>4.4318560995</v>
      </c>
      <c r="I167" s="10">
        <v>4.3950685064000004</v>
      </c>
    </row>
    <row r="168" spans="1:9" x14ac:dyDescent="0.2">
      <c r="A168">
        <v>19651231</v>
      </c>
      <c r="B168">
        <f t="shared" si="2"/>
        <v>196512</v>
      </c>
      <c r="C168" s="10">
        <v>4.2660622841000002</v>
      </c>
      <c r="D168" s="10">
        <v>4.5627151661000003</v>
      </c>
      <c r="E168" s="10">
        <v>4.8856956633999999</v>
      </c>
      <c r="F168" s="10">
        <v>4.8080119428000003</v>
      </c>
      <c r="G168" s="10">
        <v>4.8898406545000004</v>
      </c>
      <c r="H168" s="10">
        <v>4.8775433874000003</v>
      </c>
      <c r="I168" s="10">
        <v>4.7702149269999996</v>
      </c>
    </row>
    <row r="169" spans="1:9" x14ac:dyDescent="0.2">
      <c r="A169">
        <v>19660131</v>
      </c>
      <c r="B169">
        <f t="shared" si="2"/>
        <v>196601</v>
      </c>
      <c r="C169" s="10">
        <v>4.5306140154000003</v>
      </c>
      <c r="D169" s="10">
        <v>4.6869951604000004</v>
      </c>
      <c r="E169" s="10">
        <v>4.9198245168000003</v>
      </c>
      <c r="F169" s="10">
        <v>4.8235841059000002</v>
      </c>
      <c r="G169" s="10">
        <v>4.9011674170999999</v>
      </c>
      <c r="H169" s="10">
        <v>4.9049200567</v>
      </c>
      <c r="I169" s="10">
        <v>4.8262615165999998</v>
      </c>
    </row>
    <row r="170" spans="1:9" x14ac:dyDescent="0.2">
      <c r="A170">
        <v>19660228</v>
      </c>
      <c r="B170">
        <f t="shared" si="2"/>
        <v>196602</v>
      </c>
      <c r="C170" s="10">
        <v>4.4593736102000001</v>
      </c>
      <c r="D170" s="10">
        <v>4.6761311137000003</v>
      </c>
      <c r="E170" s="10">
        <v>4.9797868816999999</v>
      </c>
      <c r="F170" s="10">
        <v>4.8999927362999998</v>
      </c>
      <c r="G170" s="10">
        <v>4.9446417857</v>
      </c>
      <c r="H170" s="10">
        <v>4.9940175382999996</v>
      </c>
      <c r="I170" s="10">
        <v>4.9517292675000002</v>
      </c>
    </row>
    <row r="171" spans="1:9" x14ac:dyDescent="0.2">
      <c r="A171">
        <v>19660331</v>
      </c>
      <c r="B171">
        <f t="shared" si="2"/>
        <v>196603</v>
      </c>
      <c r="C171" s="10">
        <v>4.4184177071999997</v>
      </c>
      <c r="D171" s="10">
        <v>4.5937739223999996</v>
      </c>
      <c r="E171" s="10">
        <v>4.9304757525999996</v>
      </c>
      <c r="F171" s="10">
        <v>4.7257042466000003</v>
      </c>
      <c r="G171" s="10">
        <v>4.7399270693000002</v>
      </c>
      <c r="H171" s="10">
        <v>4.7794206558000001</v>
      </c>
      <c r="I171" s="10">
        <v>4.7267054539000002</v>
      </c>
    </row>
    <row r="172" spans="1:9" x14ac:dyDescent="0.2">
      <c r="A172">
        <v>19660429</v>
      </c>
      <c r="B172">
        <f t="shared" si="2"/>
        <v>196604</v>
      </c>
      <c r="C172" s="10">
        <v>4.6022039071999998</v>
      </c>
      <c r="D172" s="10">
        <v>4.7268080229000002</v>
      </c>
      <c r="E172" s="10">
        <v>4.9901939564999998</v>
      </c>
      <c r="F172" s="10">
        <v>4.8323480955999996</v>
      </c>
      <c r="G172" s="10">
        <v>4.8579103652000004</v>
      </c>
      <c r="H172" s="10">
        <v>4.8402949017000001</v>
      </c>
      <c r="I172" s="10">
        <v>4.796956496</v>
      </c>
    </row>
    <row r="173" spans="1:9" x14ac:dyDescent="0.2">
      <c r="A173">
        <v>19660531</v>
      </c>
      <c r="B173">
        <f t="shared" si="2"/>
        <v>196605</v>
      </c>
      <c r="C173" s="10">
        <v>4.4591296327999999</v>
      </c>
      <c r="D173" s="10">
        <v>4.6761311137000003</v>
      </c>
      <c r="E173" s="10">
        <v>5.0903751399999999</v>
      </c>
      <c r="F173" s="10">
        <v>5.0038797691000001</v>
      </c>
      <c r="G173" s="10">
        <v>4.9847291280999997</v>
      </c>
      <c r="H173" s="10">
        <v>4.9975521453000002</v>
      </c>
      <c r="I173" s="10">
        <v>4.8837385148000001</v>
      </c>
    </row>
    <row r="174" spans="1:9" x14ac:dyDescent="0.2">
      <c r="A174">
        <v>19660630</v>
      </c>
      <c r="B174">
        <f t="shared" si="2"/>
        <v>196606</v>
      </c>
      <c r="C174" s="10">
        <v>4.5204669436999998</v>
      </c>
      <c r="D174" s="10">
        <v>4.6501910996999998</v>
      </c>
      <c r="E174" s="10">
        <v>5.1063795196999999</v>
      </c>
      <c r="F174" s="10">
        <v>5.0784920072000004</v>
      </c>
      <c r="G174" s="10">
        <v>5.1204788563000001</v>
      </c>
      <c r="H174" s="10">
        <v>5.1126197026</v>
      </c>
      <c r="I174" s="10">
        <v>5.0073774826999999</v>
      </c>
    </row>
    <row r="175" spans="1:9" x14ac:dyDescent="0.2">
      <c r="A175">
        <v>19660729</v>
      </c>
      <c r="B175">
        <f t="shared" si="2"/>
        <v>196607</v>
      </c>
      <c r="C175" s="10">
        <v>4.5464582804000004</v>
      </c>
      <c r="D175" s="10">
        <v>4.8447954686000001</v>
      </c>
      <c r="E175" s="10">
        <v>5.2459536364000003</v>
      </c>
      <c r="F175" s="10">
        <v>5.1903139006999996</v>
      </c>
      <c r="G175" s="10">
        <v>5.2096023795999997</v>
      </c>
      <c r="H175" s="10">
        <v>5.2250126617000001</v>
      </c>
      <c r="I175" s="10">
        <v>5.1797455476999996</v>
      </c>
    </row>
    <row r="176" spans="1:9" x14ac:dyDescent="0.2">
      <c r="A176">
        <v>19660831</v>
      </c>
      <c r="B176">
        <f t="shared" si="2"/>
        <v>196608</v>
      </c>
      <c r="C176" s="10">
        <v>4.7237476118000004</v>
      </c>
      <c r="D176" s="10">
        <v>5.0350169492000001</v>
      </c>
      <c r="E176" s="10">
        <v>5.9313658722999998</v>
      </c>
      <c r="F176" s="10">
        <v>5.8404941384000004</v>
      </c>
      <c r="G176" s="10">
        <v>5.7658097314000001</v>
      </c>
      <c r="H176" s="10">
        <v>5.7996164963999997</v>
      </c>
      <c r="I176" s="10">
        <v>5.5596029360000001</v>
      </c>
    </row>
    <row r="177" spans="1:9" x14ac:dyDescent="0.2">
      <c r="A177">
        <v>19660930</v>
      </c>
      <c r="B177">
        <f t="shared" si="2"/>
        <v>196609</v>
      </c>
      <c r="C177" s="10">
        <v>5.1567398819000001</v>
      </c>
      <c r="D177" s="10">
        <v>5.4206065743999998</v>
      </c>
      <c r="E177" s="10">
        <v>5.9998742718000004</v>
      </c>
      <c r="F177" s="10">
        <v>5.3913472659000004</v>
      </c>
      <c r="G177" s="10">
        <v>5.3871520096000003</v>
      </c>
      <c r="H177" s="10">
        <v>5.3176852502000003</v>
      </c>
      <c r="I177" s="10">
        <v>5.1474197330000004</v>
      </c>
    </row>
    <row r="178" spans="1:9" x14ac:dyDescent="0.2">
      <c r="A178">
        <v>19661031</v>
      </c>
      <c r="B178">
        <f t="shared" si="2"/>
        <v>196610</v>
      </c>
      <c r="C178" s="10">
        <v>4.7746321829999996</v>
      </c>
      <c r="D178" s="10">
        <v>5.3075631108000003</v>
      </c>
      <c r="E178" s="10">
        <v>5.7003298525000003</v>
      </c>
      <c r="F178" s="10">
        <v>5.2843598784000001</v>
      </c>
      <c r="G178" s="10">
        <v>5.2339631739000003</v>
      </c>
      <c r="H178" s="10">
        <v>5.2099054342000004</v>
      </c>
      <c r="I178" s="10">
        <v>5.1162144330999997</v>
      </c>
    </row>
    <row r="179" spans="1:9" x14ac:dyDescent="0.2">
      <c r="A179">
        <v>19661130</v>
      </c>
      <c r="B179">
        <f t="shared" si="2"/>
        <v>196611</v>
      </c>
      <c r="C179" s="10">
        <v>4.2660209249000003</v>
      </c>
      <c r="D179" s="10">
        <v>5.2510464198999998</v>
      </c>
      <c r="E179" s="10">
        <v>5.4376989416999999</v>
      </c>
      <c r="F179" s="10">
        <v>5.3539346160000001</v>
      </c>
      <c r="G179" s="10">
        <v>5.3340247338999998</v>
      </c>
      <c r="H179" s="10">
        <v>5.3077919198999997</v>
      </c>
      <c r="I179" s="10">
        <v>5.1953327999000001</v>
      </c>
    </row>
    <row r="180" spans="1:9" x14ac:dyDescent="0.2">
      <c r="A180">
        <v>19661230</v>
      </c>
      <c r="B180">
        <f t="shared" si="2"/>
        <v>196612</v>
      </c>
      <c r="C180" s="10">
        <v>4.4698852308000001</v>
      </c>
      <c r="D180" s="10">
        <v>4.8964307721999996</v>
      </c>
      <c r="E180" s="10">
        <v>5.0129123664000002</v>
      </c>
      <c r="F180" s="10">
        <v>4.7897510841999997</v>
      </c>
      <c r="G180" s="10">
        <v>4.8760223359000001</v>
      </c>
      <c r="H180" s="10">
        <v>4.7325558399999998</v>
      </c>
      <c r="I180" s="10">
        <v>4.6839680697999997</v>
      </c>
    </row>
    <row r="181" spans="1:9" x14ac:dyDescent="0.2">
      <c r="A181">
        <v>19670131</v>
      </c>
      <c r="B181">
        <f t="shared" si="2"/>
        <v>196701</v>
      </c>
      <c r="C181" s="10">
        <v>4.5456378392000003</v>
      </c>
      <c r="D181" s="10">
        <v>4.5841004771999998</v>
      </c>
      <c r="E181" s="10">
        <v>4.6114482260000003</v>
      </c>
      <c r="F181" s="10">
        <v>4.4933487141999997</v>
      </c>
      <c r="G181" s="10">
        <v>4.5654396373999999</v>
      </c>
      <c r="H181" s="10">
        <v>4.6265792758000002</v>
      </c>
      <c r="I181" s="10">
        <v>4.5513195272999996</v>
      </c>
    </row>
    <row r="182" spans="1:9" x14ac:dyDescent="0.2">
      <c r="A182">
        <v>19670228</v>
      </c>
      <c r="B182">
        <f t="shared" si="2"/>
        <v>196702</v>
      </c>
      <c r="C182" s="10">
        <v>4.4846149658999996</v>
      </c>
      <c r="D182" s="10">
        <v>4.6094610600000001</v>
      </c>
      <c r="E182" s="10">
        <v>4.6595405832000001</v>
      </c>
      <c r="F182" s="10">
        <v>4.6342106922999999</v>
      </c>
      <c r="G182" s="10">
        <v>4.7289765612999997</v>
      </c>
      <c r="H182" s="10">
        <v>4.7177453370000002</v>
      </c>
      <c r="I182" s="10">
        <v>4.6849639365</v>
      </c>
    </row>
    <row r="183" spans="1:9" x14ac:dyDescent="0.2">
      <c r="A183">
        <v>19670331</v>
      </c>
      <c r="B183">
        <f t="shared" si="2"/>
        <v>196703</v>
      </c>
      <c r="C183" s="10">
        <v>4.0623135966000001</v>
      </c>
      <c r="D183" s="10">
        <v>4.0657324643999999</v>
      </c>
      <c r="E183" s="10">
        <v>4.1401998911</v>
      </c>
      <c r="F183" s="10">
        <v>4.1260950340999996</v>
      </c>
      <c r="G183" s="10">
        <v>4.2349422757999999</v>
      </c>
      <c r="H183" s="10">
        <v>4.3304567243000003</v>
      </c>
      <c r="I183" s="10">
        <v>4.3648754286999996</v>
      </c>
    </row>
    <row r="184" spans="1:9" x14ac:dyDescent="0.2">
      <c r="A184">
        <v>19670428</v>
      </c>
      <c r="B184">
        <f t="shared" si="2"/>
        <v>196704</v>
      </c>
      <c r="C184" s="10">
        <v>3.4526053317000001</v>
      </c>
      <c r="D184" s="10">
        <v>3.7842096981000002</v>
      </c>
      <c r="E184" s="10">
        <v>4.0298664644000004</v>
      </c>
      <c r="F184" s="10">
        <v>4.3366377088999997</v>
      </c>
      <c r="G184" s="10">
        <v>4.5024328479999998</v>
      </c>
      <c r="H184" s="10">
        <v>4.6118002873000004</v>
      </c>
      <c r="I184" s="10">
        <v>4.6307785365000003</v>
      </c>
    </row>
    <row r="185" spans="1:9" x14ac:dyDescent="0.2">
      <c r="A185">
        <v>19670531</v>
      </c>
      <c r="B185">
        <f t="shared" si="2"/>
        <v>196705</v>
      </c>
      <c r="C185" s="10">
        <v>3.2487760430999999</v>
      </c>
      <c r="D185" s="10">
        <v>3.5083178307999998</v>
      </c>
      <c r="E185" s="10">
        <v>3.9608177797000002</v>
      </c>
      <c r="F185" s="10">
        <v>4.3212228894000004</v>
      </c>
      <c r="G185" s="10">
        <v>4.5161948321000001</v>
      </c>
      <c r="H185" s="10">
        <v>4.5945006495999996</v>
      </c>
      <c r="I185" s="10">
        <v>4.6793538833000001</v>
      </c>
    </row>
    <row r="186" spans="1:9" x14ac:dyDescent="0.2">
      <c r="A186">
        <v>19670630</v>
      </c>
      <c r="B186">
        <f t="shared" si="2"/>
        <v>196706</v>
      </c>
      <c r="C186" s="10">
        <v>3.7065099359999998</v>
      </c>
      <c r="D186" s="10">
        <v>3.9996065082999999</v>
      </c>
      <c r="E186" s="10">
        <v>5.0612264795000002</v>
      </c>
      <c r="F186" s="10">
        <v>4.9209553069999998</v>
      </c>
      <c r="G186" s="10">
        <v>5.0505150508999996</v>
      </c>
      <c r="H186" s="10">
        <v>5.1744968621999998</v>
      </c>
      <c r="I186" s="10">
        <v>5.2530761658999996</v>
      </c>
    </row>
    <row r="187" spans="1:9" x14ac:dyDescent="0.2">
      <c r="A187">
        <v>19670731</v>
      </c>
      <c r="B187">
        <f t="shared" si="2"/>
        <v>196707</v>
      </c>
      <c r="C187" s="10">
        <v>3.8082511110000001</v>
      </c>
      <c r="D187" s="10">
        <v>4.1993609908999998</v>
      </c>
      <c r="E187" s="10">
        <v>5.0960718595000003</v>
      </c>
      <c r="F187" s="10">
        <v>4.8698874031999999</v>
      </c>
      <c r="G187" s="10">
        <v>4.9519383256999996</v>
      </c>
      <c r="H187" s="10">
        <v>4.9759862151999998</v>
      </c>
      <c r="I187" s="10">
        <v>5.0203369951000001</v>
      </c>
    </row>
    <row r="188" spans="1:9" x14ac:dyDescent="0.2">
      <c r="A188">
        <v>19670831</v>
      </c>
      <c r="B188">
        <f t="shared" si="2"/>
        <v>196708</v>
      </c>
      <c r="C188" s="10">
        <v>3.8589254998999998</v>
      </c>
      <c r="D188" s="10">
        <v>4.4502338838000002</v>
      </c>
      <c r="E188" s="10">
        <v>5.2590456923</v>
      </c>
      <c r="F188" s="10">
        <v>5.1482472274999997</v>
      </c>
      <c r="G188" s="10">
        <v>5.2116390056000004</v>
      </c>
      <c r="H188" s="10">
        <v>5.1809904510999996</v>
      </c>
      <c r="I188" s="10">
        <v>5.1864827843999999</v>
      </c>
    </row>
    <row r="189" spans="1:9" x14ac:dyDescent="0.2">
      <c r="A189">
        <v>19670929</v>
      </c>
      <c r="B189">
        <f t="shared" si="2"/>
        <v>196709</v>
      </c>
      <c r="C189" s="10">
        <v>4.1543669342999996</v>
      </c>
      <c r="D189" s="10">
        <v>4.4550871471000004</v>
      </c>
      <c r="E189" s="10">
        <v>5.3582401354</v>
      </c>
      <c r="F189" s="10">
        <v>5.1899845505000002</v>
      </c>
      <c r="G189" s="10">
        <v>5.2796608917999999</v>
      </c>
      <c r="H189" s="10">
        <v>5.2901455179000001</v>
      </c>
      <c r="I189" s="10">
        <v>5.2145983510000002</v>
      </c>
    </row>
    <row r="190" spans="1:9" x14ac:dyDescent="0.2">
      <c r="A190">
        <v>19671031</v>
      </c>
      <c r="B190">
        <f t="shared" si="2"/>
        <v>196710</v>
      </c>
      <c r="C190" s="10">
        <v>4.1487935918999996</v>
      </c>
      <c r="D190" s="10">
        <v>4.5786847824999999</v>
      </c>
      <c r="E190" s="10">
        <v>5.5184445633000001</v>
      </c>
      <c r="F190" s="10">
        <v>5.5592301647999998</v>
      </c>
      <c r="G190" s="10">
        <v>5.5303639135999996</v>
      </c>
      <c r="H190" s="10">
        <v>5.5242918476999998</v>
      </c>
      <c r="I190" s="10">
        <v>5.5625707628000001</v>
      </c>
    </row>
    <row r="191" spans="1:9" x14ac:dyDescent="0.2">
      <c r="A191">
        <v>19671130</v>
      </c>
      <c r="B191">
        <f t="shared" si="2"/>
        <v>196711</v>
      </c>
      <c r="C191" s="10">
        <v>4.1897510132000004</v>
      </c>
      <c r="D191" s="10">
        <v>5.0350169492000001</v>
      </c>
      <c r="E191" s="10">
        <v>5.8210920653000002</v>
      </c>
      <c r="F191" s="10">
        <v>5.5671743698</v>
      </c>
      <c r="G191" s="10">
        <v>5.5929355343999996</v>
      </c>
      <c r="H191" s="10">
        <v>5.5562243236000004</v>
      </c>
      <c r="I191" s="10">
        <v>5.6037549875000003</v>
      </c>
    </row>
    <row r="192" spans="1:9" x14ac:dyDescent="0.2">
      <c r="A192">
        <v>19671229</v>
      </c>
      <c r="B192">
        <f t="shared" si="2"/>
        <v>196712</v>
      </c>
      <c r="C192" s="10">
        <v>4.3429065746999997</v>
      </c>
      <c r="D192" s="10">
        <v>5.1219340916</v>
      </c>
      <c r="E192" s="10">
        <v>5.9436070509999999</v>
      </c>
      <c r="F192" s="10">
        <v>5.7012545466000004</v>
      </c>
      <c r="G192" s="10">
        <v>5.7087099737999996</v>
      </c>
      <c r="H192" s="10">
        <v>5.6893637085000002</v>
      </c>
      <c r="I192" s="10">
        <v>5.5892170758999997</v>
      </c>
    </row>
    <row r="193" spans="1:9" x14ac:dyDescent="0.2">
      <c r="A193">
        <v>19680131</v>
      </c>
      <c r="B193">
        <f t="shared" si="2"/>
        <v>196801</v>
      </c>
      <c r="C193" s="10">
        <v>4.8070670601999996</v>
      </c>
      <c r="D193" s="10">
        <v>4.9634755889999997</v>
      </c>
      <c r="E193" s="10">
        <v>5.4702395818999996</v>
      </c>
      <c r="F193" s="10">
        <v>5.3130723620999998</v>
      </c>
      <c r="G193" s="10">
        <v>5.4032428848</v>
      </c>
      <c r="H193" s="10">
        <v>5.4357278890999998</v>
      </c>
      <c r="I193" s="10">
        <v>5.3915825158999997</v>
      </c>
    </row>
    <row r="194" spans="1:9" x14ac:dyDescent="0.2">
      <c r="A194">
        <v>19680229</v>
      </c>
      <c r="B194">
        <f t="shared" si="2"/>
        <v>196802</v>
      </c>
      <c r="C194" s="10">
        <v>4.6731432214000002</v>
      </c>
      <c r="D194" s="10">
        <v>5.1072500197000004</v>
      </c>
      <c r="E194" s="10">
        <v>5.5287375816999997</v>
      </c>
      <c r="F194" s="10">
        <v>5.3674755538000003</v>
      </c>
      <c r="G194" s="10">
        <v>5.5776803361000002</v>
      </c>
      <c r="H194" s="10">
        <v>5.5055968659000003</v>
      </c>
      <c r="I194" s="10">
        <v>5.3846302700999997</v>
      </c>
    </row>
    <row r="195" spans="1:9" x14ac:dyDescent="0.2">
      <c r="A195">
        <v>19680329</v>
      </c>
      <c r="B195">
        <f t="shared" si="2"/>
        <v>196803</v>
      </c>
      <c r="C195" s="10">
        <v>4.8516407842999998</v>
      </c>
      <c r="D195" s="10">
        <v>5.1846451023000002</v>
      </c>
      <c r="E195" s="10">
        <v>5.6855537307999997</v>
      </c>
      <c r="F195" s="10">
        <v>5.5038674292999996</v>
      </c>
      <c r="G195" s="10">
        <v>5.6847793469000001</v>
      </c>
      <c r="H195" s="10">
        <v>5.7150864475000001</v>
      </c>
      <c r="I195" s="10">
        <v>5.5397470603999999</v>
      </c>
    </row>
    <row r="196" spans="1:9" x14ac:dyDescent="0.2">
      <c r="A196">
        <v>19680430</v>
      </c>
      <c r="B196">
        <f t="shared" si="2"/>
        <v>196804</v>
      </c>
      <c r="C196" s="10">
        <v>5.4877689741999998</v>
      </c>
      <c r="D196" s="10">
        <v>5.5542489580999996</v>
      </c>
      <c r="E196" s="10">
        <v>5.9098506135999997</v>
      </c>
      <c r="F196" s="10">
        <v>5.6196973801999999</v>
      </c>
      <c r="G196" s="10">
        <v>5.8545368582000004</v>
      </c>
      <c r="H196" s="10">
        <v>5.8670236995999998</v>
      </c>
      <c r="I196" s="10">
        <v>5.6842397269999996</v>
      </c>
    </row>
    <row r="197" spans="1:9" x14ac:dyDescent="0.2">
      <c r="A197">
        <v>19680531</v>
      </c>
      <c r="B197">
        <f t="shared" si="2"/>
        <v>196805</v>
      </c>
      <c r="C197" s="10">
        <v>5.3855475179000001</v>
      </c>
      <c r="D197" s="10">
        <v>5.7342249112000001</v>
      </c>
      <c r="E197" s="10">
        <v>6.0567475747000001</v>
      </c>
      <c r="F197" s="10">
        <v>5.7847140279999998</v>
      </c>
      <c r="G197" s="10">
        <v>5.7874233637000003</v>
      </c>
      <c r="H197" s="10">
        <v>5.8096739747999999</v>
      </c>
      <c r="I197" s="10">
        <v>5.6369151230999996</v>
      </c>
    </row>
    <row r="198" spans="1:9" x14ac:dyDescent="0.2">
      <c r="A198">
        <v>19680628</v>
      </c>
      <c r="B198">
        <f t="shared" si="2"/>
        <v>196806</v>
      </c>
      <c r="C198" s="10">
        <v>5.2848592472</v>
      </c>
      <c r="D198" s="10">
        <v>5.3941043250999998</v>
      </c>
      <c r="E198" s="10">
        <v>5.9000705692000004</v>
      </c>
      <c r="F198" s="10">
        <v>5.5282485701999997</v>
      </c>
      <c r="G198" s="10">
        <v>5.5520099631999997</v>
      </c>
      <c r="H198" s="10">
        <v>5.5389263605999997</v>
      </c>
      <c r="I198" s="10">
        <v>5.3740206059000002</v>
      </c>
    </row>
    <row r="199" spans="1:9" x14ac:dyDescent="0.2">
      <c r="A199">
        <v>19680731</v>
      </c>
      <c r="B199">
        <f t="shared" ref="B199:B262" si="3">ROUND(A199/100,0)</f>
        <v>196807</v>
      </c>
      <c r="C199" s="10">
        <v>5.2586005409999999</v>
      </c>
      <c r="D199" s="10">
        <v>5.2613203038999998</v>
      </c>
      <c r="E199" s="10">
        <v>5.3948880306999998</v>
      </c>
      <c r="F199" s="10">
        <v>5.3205238247000004</v>
      </c>
      <c r="G199" s="10">
        <v>5.1017461494000003</v>
      </c>
      <c r="H199" s="10">
        <v>5.1213849293999996</v>
      </c>
      <c r="I199" s="10">
        <v>5.0889754905000002</v>
      </c>
    </row>
    <row r="200" spans="1:9" x14ac:dyDescent="0.2">
      <c r="A200">
        <v>19680830</v>
      </c>
      <c r="B200">
        <f t="shared" si="3"/>
        <v>196808</v>
      </c>
      <c r="C200" s="10">
        <v>4.9378278277999996</v>
      </c>
      <c r="D200" s="10">
        <v>5.2712149453999997</v>
      </c>
      <c r="E200" s="10">
        <v>5.3624533072</v>
      </c>
      <c r="F200" s="10">
        <v>5.1304206246000001</v>
      </c>
      <c r="G200" s="10">
        <v>5.1171967371999996</v>
      </c>
      <c r="H200" s="10">
        <v>5.1106867478</v>
      </c>
      <c r="I200" s="10">
        <v>5.1678178432999999</v>
      </c>
    </row>
    <row r="201" spans="1:9" x14ac:dyDescent="0.2">
      <c r="A201">
        <v>19680930</v>
      </c>
      <c r="B201">
        <f t="shared" si="3"/>
        <v>196809</v>
      </c>
      <c r="C201" s="10">
        <v>5.1618368446999998</v>
      </c>
      <c r="D201" s="10">
        <v>5.1585954442000004</v>
      </c>
      <c r="E201" s="10">
        <v>5.3734864813999996</v>
      </c>
      <c r="F201" s="10">
        <v>5.3338189331999999</v>
      </c>
      <c r="G201" s="10">
        <v>5.1959024774999998</v>
      </c>
      <c r="H201" s="10">
        <v>5.1337223752999996</v>
      </c>
      <c r="I201" s="10">
        <v>5.1854722172000001</v>
      </c>
    </row>
    <row r="202" spans="1:9" x14ac:dyDescent="0.2">
      <c r="A202">
        <v>19681031</v>
      </c>
      <c r="B202">
        <f t="shared" si="3"/>
        <v>196810</v>
      </c>
      <c r="C202" s="10">
        <v>5.4110033804000004</v>
      </c>
      <c r="D202" s="10">
        <v>5.5439654741000002</v>
      </c>
      <c r="E202" s="10">
        <v>5.6252194812000003</v>
      </c>
      <c r="F202" s="10">
        <v>5.4799026637999999</v>
      </c>
      <c r="G202" s="10">
        <v>5.2774935651000003</v>
      </c>
      <c r="H202" s="10">
        <v>5.2171175808000001</v>
      </c>
      <c r="I202" s="10">
        <v>5.3137985035000002</v>
      </c>
    </row>
    <row r="203" spans="1:9" x14ac:dyDescent="0.2">
      <c r="A203">
        <v>19681129</v>
      </c>
      <c r="B203">
        <f t="shared" si="3"/>
        <v>196811</v>
      </c>
      <c r="C203" s="10">
        <v>4.8363486357000003</v>
      </c>
      <c r="D203" s="10">
        <v>5.5486924098000001</v>
      </c>
      <c r="E203" s="10">
        <v>5.8154385998000002</v>
      </c>
      <c r="F203" s="10">
        <v>5.5593449187999999</v>
      </c>
      <c r="G203" s="10">
        <v>5.3746549771999996</v>
      </c>
      <c r="H203" s="10">
        <v>5.3662340135999997</v>
      </c>
      <c r="I203" s="10">
        <v>5.4877498235999997</v>
      </c>
    </row>
    <row r="204" spans="1:9" x14ac:dyDescent="0.2">
      <c r="A204">
        <v>19681231</v>
      </c>
      <c r="B204">
        <f t="shared" si="3"/>
        <v>196812</v>
      </c>
      <c r="C204" s="10">
        <v>6.0985925520000004</v>
      </c>
      <c r="D204" s="10">
        <v>6.3679107754000004</v>
      </c>
      <c r="E204" s="10">
        <v>6.4869671835</v>
      </c>
      <c r="F204" s="10">
        <v>6.2943555515999998</v>
      </c>
      <c r="G204" s="10">
        <v>6.0556188790999999</v>
      </c>
      <c r="H204" s="10">
        <v>6.2580513607999997</v>
      </c>
      <c r="I204" s="10">
        <v>6.3289893448000001</v>
      </c>
    </row>
    <row r="205" spans="1:9" x14ac:dyDescent="0.2">
      <c r="A205">
        <v>19690131</v>
      </c>
      <c r="B205">
        <f t="shared" si="3"/>
        <v>196901</v>
      </c>
      <c r="C205" s="10">
        <v>5.9986543865000002</v>
      </c>
      <c r="D205" s="10">
        <v>6.3095964572999996</v>
      </c>
      <c r="E205" s="10">
        <v>6.0961731398000003</v>
      </c>
      <c r="F205" s="10">
        <v>6.1387824592999998</v>
      </c>
      <c r="G205" s="10">
        <v>5.9889346845000002</v>
      </c>
      <c r="H205" s="10">
        <v>5.8199115286999996</v>
      </c>
      <c r="I205" s="10">
        <v>6.0580244669000001</v>
      </c>
    </row>
    <row r="206" spans="1:9" x14ac:dyDescent="0.2">
      <c r="A206">
        <v>19690228</v>
      </c>
      <c r="B206">
        <f t="shared" si="3"/>
        <v>196902</v>
      </c>
      <c r="C206" s="10">
        <v>5.6405707419000004</v>
      </c>
      <c r="D206" s="10">
        <v>6.3724989227000002</v>
      </c>
      <c r="E206" s="10">
        <v>6.6515493408999999</v>
      </c>
      <c r="F206" s="10">
        <v>6.2956922199000003</v>
      </c>
      <c r="G206" s="10">
        <v>6.3582467205000004</v>
      </c>
      <c r="H206" s="10">
        <v>6.1690449203000002</v>
      </c>
      <c r="I206" s="10">
        <v>6.2875062466999996</v>
      </c>
    </row>
    <row r="207" spans="1:9" x14ac:dyDescent="0.2">
      <c r="A207">
        <v>19690328</v>
      </c>
      <c r="B207">
        <f t="shared" si="3"/>
        <v>196903</v>
      </c>
      <c r="C207" s="10">
        <v>5.3612177419</v>
      </c>
      <c r="D207" s="10">
        <v>6.0985431480000001</v>
      </c>
      <c r="E207" s="10">
        <v>6.4887362837999998</v>
      </c>
      <c r="F207" s="10">
        <v>5.9957559048000002</v>
      </c>
      <c r="G207" s="10">
        <v>6.1487608859999998</v>
      </c>
      <c r="H207" s="10">
        <v>6.1151344466999999</v>
      </c>
      <c r="I207" s="10">
        <v>6.2725222513999999</v>
      </c>
    </row>
    <row r="208" spans="1:9" x14ac:dyDescent="0.2">
      <c r="A208">
        <v>19690430</v>
      </c>
      <c r="B208">
        <f t="shared" si="3"/>
        <v>196904</v>
      </c>
      <c r="C208" s="10">
        <v>6.1245649950000001</v>
      </c>
      <c r="D208" s="10">
        <v>5.9760430604000003</v>
      </c>
      <c r="E208" s="10">
        <v>6.1791198293000003</v>
      </c>
      <c r="F208" s="10">
        <v>6.0727577331000004</v>
      </c>
      <c r="G208" s="10">
        <v>6.1070054519000001</v>
      </c>
      <c r="H208" s="10">
        <v>5.9492691579999999</v>
      </c>
      <c r="I208" s="10">
        <v>6.2024431525999999</v>
      </c>
    </row>
    <row r="209" spans="1:9" x14ac:dyDescent="0.2">
      <c r="A209">
        <v>19690529</v>
      </c>
      <c r="B209">
        <f t="shared" si="3"/>
        <v>196905</v>
      </c>
      <c r="C209" s="10">
        <v>5.8448265291999997</v>
      </c>
      <c r="D209" s="10">
        <v>6.1917127109000001</v>
      </c>
      <c r="E209" s="10">
        <v>6.4801266996000004</v>
      </c>
      <c r="F209" s="10">
        <v>6.4649966382999997</v>
      </c>
      <c r="G209" s="10">
        <v>6.507429965</v>
      </c>
      <c r="H209" s="10">
        <v>6.3715203554000004</v>
      </c>
      <c r="I209" s="10">
        <v>6.5284880423000002</v>
      </c>
    </row>
    <row r="210" spans="1:9" x14ac:dyDescent="0.2">
      <c r="A210">
        <v>19690630</v>
      </c>
      <c r="B210">
        <f t="shared" si="3"/>
        <v>196906</v>
      </c>
      <c r="C210" s="10">
        <v>6.4813854286000003</v>
      </c>
      <c r="D210" s="10">
        <v>6.3982739757999996</v>
      </c>
      <c r="E210" s="10">
        <v>7.3547966629000001</v>
      </c>
      <c r="F210" s="10">
        <v>7.010883475</v>
      </c>
      <c r="G210" s="10">
        <v>7.0224049814000002</v>
      </c>
      <c r="H210" s="10">
        <v>6.7958999822999999</v>
      </c>
      <c r="I210" s="10">
        <v>6.8481899002000004</v>
      </c>
    </row>
    <row r="211" spans="1:9" x14ac:dyDescent="0.2">
      <c r="A211">
        <v>19690731</v>
      </c>
      <c r="B211">
        <f t="shared" si="3"/>
        <v>196907</v>
      </c>
      <c r="C211" s="10">
        <v>6.9147142549999998</v>
      </c>
      <c r="D211" s="10">
        <v>7.0582426873999999</v>
      </c>
      <c r="E211" s="10">
        <v>7.3382737195000001</v>
      </c>
      <c r="F211" s="10">
        <v>7.2569640257000003</v>
      </c>
      <c r="G211" s="10">
        <v>7.1129389860999996</v>
      </c>
      <c r="H211" s="10">
        <v>6.8427594912999998</v>
      </c>
      <c r="I211" s="10">
        <v>6.7756793669000004</v>
      </c>
    </row>
    <row r="212" spans="1:9" x14ac:dyDescent="0.2">
      <c r="A212">
        <v>19690829</v>
      </c>
      <c r="B212">
        <f t="shared" si="3"/>
        <v>196908</v>
      </c>
      <c r="C212" s="10">
        <v>6.660377649</v>
      </c>
      <c r="D212" s="10">
        <v>7.0833530661999999</v>
      </c>
      <c r="E212" s="10">
        <v>7.6365113804</v>
      </c>
      <c r="F212" s="10">
        <v>7.2849468885000004</v>
      </c>
      <c r="G212" s="10">
        <v>7.1858010508000003</v>
      </c>
      <c r="H212" s="10">
        <v>7.0151807678999996</v>
      </c>
      <c r="I212" s="10">
        <v>6.9533465008000004</v>
      </c>
    </row>
    <row r="213" spans="1:9" x14ac:dyDescent="0.2">
      <c r="A213">
        <v>19690930</v>
      </c>
      <c r="B213">
        <f t="shared" si="3"/>
        <v>196909</v>
      </c>
      <c r="C213" s="10">
        <v>6.9446656427000004</v>
      </c>
      <c r="D213" s="10">
        <v>7.0737270024000001</v>
      </c>
      <c r="E213" s="10">
        <v>7.7991557825999998</v>
      </c>
      <c r="F213" s="10">
        <v>7.8131845801999997</v>
      </c>
      <c r="G213" s="10">
        <v>7.7690425669999996</v>
      </c>
      <c r="H213" s="10">
        <v>7.8295285748000003</v>
      </c>
      <c r="I213" s="10">
        <v>7.8607884269000001</v>
      </c>
    </row>
    <row r="214" spans="1:9" x14ac:dyDescent="0.2">
      <c r="A214">
        <v>19691031</v>
      </c>
      <c r="B214">
        <f t="shared" si="3"/>
        <v>196910</v>
      </c>
      <c r="C214" s="10">
        <v>6.6846473288999997</v>
      </c>
      <c r="D214" s="10">
        <v>7.0479221658000002</v>
      </c>
      <c r="E214" s="10">
        <v>7.3689935674999996</v>
      </c>
      <c r="F214" s="10">
        <v>7.2229311716</v>
      </c>
      <c r="G214" s="10">
        <v>7.1945518543000002</v>
      </c>
      <c r="H214" s="10">
        <v>7.2272797563999998</v>
      </c>
      <c r="I214" s="10">
        <v>7.1179120796999999</v>
      </c>
    </row>
    <row r="215" spans="1:9" x14ac:dyDescent="0.2">
      <c r="A215">
        <v>19691128</v>
      </c>
      <c r="B215">
        <f t="shared" si="3"/>
        <v>196911</v>
      </c>
      <c r="C215" s="10">
        <v>6.4468330597000003</v>
      </c>
      <c r="D215" s="10">
        <v>7.4919613568000001</v>
      </c>
      <c r="E215" s="10">
        <v>7.8831523244000001</v>
      </c>
      <c r="F215" s="10">
        <v>7.4583330807000001</v>
      </c>
      <c r="G215" s="10">
        <v>7.5137464778999998</v>
      </c>
      <c r="H215" s="10">
        <v>7.4673623500000001</v>
      </c>
      <c r="I215" s="10">
        <v>7.4162631855000001</v>
      </c>
    </row>
    <row r="216" spans="1:9" x14ac:dyDescent="0.2">
      <c r="A216">
        <v>19691231</v>
      </c>
      <c r="B216">
        <f t="shared" si="3"/>
        <v>196912</v>
      </c>
      <c r="C216" s="10">
        <v>6.7872668527000002</v>
      </c>
      <c r="D216" s="10">
        <v>8.1744726058000001</v>
      </c>
      <c r="E216" s="10">
        <v>8.0241153293000007</v>
      </c>
      <c r="F216" s="10">
        <v>8.1123660655999998</v>
      </c>
      <c r="G216" s="10">
        <v>8.1566433667999991</v>
      </c>
      <c r="H216" s="10">
        <v>8.1899792360999992</v>
      </c>
      <c r="I216" s="10">
        <v>7.9677069417000004</v>
      </c>
    </row>
    <row r="217" spans="1:9" x14ac:dyDescent="0.2">
      <c r="A217">
        <v>19700130</v>
      </c>
      <c r="B217">
        <f t="shared" si="3"/>
        <v>197001</v>
      </c>
      <c r="C217" s="10">
        <v>7.7282633348000003</v>
      </c>
      <c r="D217" s="10">
        <v>8.0174651531999999</v>
      </c>
      <c r="E217" s="10">
        <v>8.0000889724000004</v>
      </c>
      <c r="F217" s="10">
        <v>7.9850183123000003</v>
      </c>
      <c r="G217" s="10">
        <v>8.0591233949000003</v>
      </c>
      <c r="H217" s="10">
        <v>8.0822645883999993</v>
      </c>
      <c r="I217" s="10">
        <v>8.0611705801000006</v>
      </c>
    </row>
    <row r="218" spans="1:9" x14ac:dyDescent="0.2">
      <c r="A218">
        <v>19700227</v>
      </c>
      <c r="B218">
        <f t="shared" si="3"/>
        <v>197002</v>
      </c>
      <c r="C218" s="10">
        <v>6.3034725316999998</v>
      </c>
      <c r="D218" s="10">
        <v>6.9299243635999996</v>
      </c>
      <c r="E218" s="10">
        <v>6.9189435745000001</v>
      </c>
      <c r="F218" s="10">
        <v>7.0187690937999996</v>
      </c>
      <c r="G218" s="10">
        <v>7.0249531554000004</v>
      </c>
      <c r="H218" s="10">
        <v>7.1575426466999996</v>
      </c>
      <c r="I218" s="10">
        <v>7.1399921120999998</v>
      </c>
    </row>
    <row r="219" spans="1:9" x14ac:dyDescent="0.2">
      <c r="A219">
        <v>19700331</v>
      </c>
      <c r="B219">
        <f t="shared" si="3"/>
        <v>197003</v>
      </c>
      <c r="C219" s="10">
        <v>6.4145144694000003</v>
      </c>
      <c r="D219" s="10">
        <v>6.4028470862000004</v>
      </c>
      <c r="E219" s="10">
        <v>6.6060434828999997</v>
      </c>
      <c r="F219" s="10">
        <v>6.9065459118000003</v>
      </c>
      <c r="G219" s="10">
        <v>6.8577535376999998</v>
      </c>
      <c r="H219" s="10">
        <v>7.1297744363</v>
      </c>
      <c r="I219" s="10">
        <v>7.0474741241999999</v>
      </c>
    </row>
    <row r="220" spans="1:9" x14ac:dyDescent="0.2">
      <c r="A220">
        <v>19700430</v>
      </c>
      <c r="B220">
        <f t="shared" si="3"/>
        <v>197004</v>
      </c>
      <c r="C220" s="10">
        <v>6.5119190854999998</v>
      </c>
      <c r="D220" s="10">
        <v>6.9808503654000003</v>
      </c>
      <c r="E220" s="10">
        <v>7.4872447306999996</v>
      </c>
      <c r="F220" s="10">
        <v>7.5754121845000002</v>
      </c>
      <c r="G220" s="10">
        <v>7.7304658857000002</v>
      </c>
      <c r="H220" s="10">
        <v>7.8098035093</v>
      </c>
      <c r="I220" s="10">
        <v>7.7364781622000001</v>
      </c>
    </row>
    <row r="221" spans="1:9" x14ac:dyDescent="0.2">
      <c r="A221">
        <v>19700529</v>
      </c>
      <c r="B221">
        <f t="shared" si="3"/>
        <v>197005</v>
      </c>
      <c r="C221" s="10">
        <v>6.3085936568000003</v>
      </c>
      <c r="D221" s="10">
        <v>7.0671965107999997</v>
      </c>
      <c r="E221" s="10">
        <v>7.4345880506000004</v>
      </c>
      <c r="F221" s="10">
        <v>7.7377687542000002</v>
      </c>
      <c r="G221" s="10">
        <v>7.6002407755999997</v>
      </c>
      <c r="H221" s="10">
        <v>7.6704476446000003</v>
      </c>
      <c r="I221" s="10">
        <v>7.6008984006000002</v>
      </c>
    </row>
    <row r="222" spans="1:9" x14ac:dyDescent="0.2">
      <c r="A222">
        <v>19700630</v>
      </c>
      <c r="B222">
        <f t="shared" si="3"/>
        <v>197006</v>
      </c>
      <c r="C222" s="10">
        <v>5.9304962919999999</v>
      </c>
      <c r="D222" s="10">
        <v>6.4137164255999997</v>
      </c>
      <c r="E222" s="10">
        <v>7.1872021687999998</v>
      </c>
      <c r="F222" s="10">
        <v>7.4489334122999997</v>
      </c>
      <c r="G222" s="10">
        <v>7.5654033401999996</v>
      </c>
      <c r="H222" s="10">
        <v>7.6232848245999998</v>
      </c>
      <c r="I222" s="10">
        <v>7.5377789241000004</v>
      </c>
    </row>
    <row r="223" spans="1:9" x14ac:dyDescent="0.2">
      <c r="A223">
        <v>19700731</v>
      </c>
      <c r="B223">
        <f t="shared" si="3"/>
        <v>197007</v>
      </c>
      <c r="C223" s="10">
        <v>5.8952725966999999</v>
      </c>
      <c r="D223" s="10">
        <v>6.3158424286999999</v>
      </c>
      <c r="E223" s="10">
        <v>6.8061890028000001</v>
      </c>
      <c r="F223" s="10">
        <v>7.1817214873999999</v>
      </c>
      <c r="G223" s="10">
        <v>7.3132451598000001</v>
      </c>
      <c r="H223" s="10">
        <v>7.4797067414000002</v>
      </c>
      <c r="I223" s="10">
        <v>7.3677152591999997</v>
      </c>
    </row>
    <row r="224" spans="1:9" x14ac:dyDescent="0.2">
      <c r="A224">
        <v>19700831</v>
      </c>
      <c r="B224">
        <f t="shared" si="3"/>
        <v>197008</v>
      </c>
      <c r="C224" s="10">
        <v>6.1088089265000001</v>
      </c>
      <c r="D224" s="10">
        <v>6.3049912539999999</v>
      </c>
      <c r="E224" s="10">
        <v>6.7957689435999997</v>
      </c>
      <c r="F224" s="10">
        <v>7.0080180179999996</v>
      </c>
      <c r="G224" s="10">
        <v>7.1870026167000001</v>
      </c>
      <c r="H224" s="10">
        <v>7.3589695628999996</v>
      </c>
      <c r="I224" s="10">
        <v>7.2498742588000002</v>
      </c>
    </row>
    <row r="225" spans="1:9" x14ac:dyDescent="0.2">
      <c r="A225">
        <v>19700930</v>
      </c>
      <c r="B225">
        <f t="shared" si="3"/>
        <v>197009</v>
      </c>
      <c r="C225" s="10">
        <v>5.8188497469999998</v>
      </c>
      <c r="D225" s="10">
        <v>5.9245776460000004</v>
      </c>
      <c r="E225" s="10">
        <v>6.5897963734999996</v>
      </c>
      <c r="F225" s="10">
        <v>6.5508834516999999</v>
      </c>
      <c r="G225" s="10">
        <v>6.8242428179000001</v>
      </c>
      <c r="H225" s="10">
        <v>6.9731701987000001</v>
      </c>
      <c r="I225" s="10">
        <v>7.0455920537000001</v>
      </c>
    </row>
    <row r="226" spans="1:9" x14ac:dyDescent="0.2">
      <c r="A226">
        <v>19701030</v>
      </c>
      <c r="B226">
        <f t="shared" si="3"/>
        <v>197010</v>
      </c>
      <c r="C226" s="10">
        <v>5.2738514236</v>
      </c>
      <c r="D226" s="10">
        <v>5.9338923855000001</v>
      </c>
      <c r="E226" s="10">
        <v>6.3199152869999997</v>
      </c>
      <c r="F226" s="10">
        <v>6.506021466</v>
      </c>
      <c r="G226" s="10">
        <v>6.6995123039999998</v>
      </c>
      <c r="H226" s="10">
        <v>6.8469071658000003</v>
      </c>
      <c r="I226" s="10">
        <v>6.8720591068000001</v>
      </c>
    </row>
    <row r="227" spans="1:9" x14ac:dyDescent="0.2">
      <c r="A227">
        <v>19701130</v>
      </c>
      <c r="B227">
        <f t="shared" si="3"/>
        <v>197011</v>
      </c>
      <c r="C227" s="10">
        <v>4.4492330618000002</v>
      </c>
      <c r="D227" s="10">
        <v>4.9679368267999999</v>
      </c>
      <c r="E227" s="10">
        <v>5.0957094977999997</v>
      </c>
      <c r="F227" s="10">
        <v>5.3102278967999998</v>
      </c>
      <c r="G227" s="10">
        <v>5.6323838599</v>
      </c>
      <c r="H227" s="10">
        <v>5.8203727073999998</v>
      </c>
      <c r="I227" s="10">
        <v>5.9007091025999996</v>
      </c>
    </row>
    <row r="228" spans="1:9" x14ac:dyDescent="0.2">
      <c r="A228">
        <v>19701231</v>
      </c>
      <c r="B228">
        <f t="shared" si="3"/>
        <v>197012</v>
      </c>
      <c r="C228" s="10">
        <v>4.4390866915</v>
      </c>
      <c r="D228" s="10">
        <v>4.9118275485999998</v>
      </c>
      <c r="E228" s="10">
        <v>4.8825578502999996</v>
      </c>
      <c r="F228" s="10">
        <v>5.3988467647</v>
      </c>
      <c r="G228" s="10">
        <v>5.7647467272000004</v>
      </c>
      <c r="H228" s="10">
        <v>5.8087490391000003</v>
      </c>
      <c r="I228" s="10">
        <v>5.9176545045999998</v>
      </c>
    </row>
    <row r="229" spans="1:9" x14ac:dyDescent="0.2">
      <c r="A229">
        <v>19710129</v>
      </c>
      <c r="B229">
        <f t="shared" si="3"/>
        <v>197101</v>
      </c>
      <c r="C229" s="10">
        <v>4.0623135966000001</v>
      </c>
      <c r="D229" s="10">
        <v>4.1937513727000004</v>
      </c>
      <c r="E229" s="10">
        <v>4.3098231731999999</v>
      </c>
      <c r="F229" s="10">
        <v>4.6430867266</v>
      </c>
      <c r="G229" s="10">
        <v>5.2343825936000004</v>
      </c>
      <c r="H229" s="10">
        <v>5.5998179366</v>
      </c>
      <c r="I229" s="10">
        <v>5.6511238049000001</v>
      </c>
    </row>
    <row r="230" spans="1:9" x14ac:dyDescent="0.2">
      <c r="A230">
        <v>19710226</v>
      </c>
      <c r="B230">
        <f t="shared" si="3"/>
        <v>197102</v>
      </c>
      <c r="C230" s="10">
        <v>3.2288805882</v>
      </c>
      <c r="D230" s="10">
        <v>3.4312740705999998</v>
      </c>
      <c r="E230" s="10">
        <v>3.7714997910000001</v>
      </c>
      <c r="F230" s="10">
        <v>4.2795811812000002</v>
      </c>
      <c r="G230" s="10">
        <v>4.8349961953999996</v>
      </c>
      <c r="H230" s="10">
        <v>5.1517029205</v>
      </c>
      <c r="I230" s="10">
        <v>5.3019498504999998</v>
      </c>
    </row>
    <row r="231" spans="1:9" x14ac:dyDescent="0.2">
      <c r="A231">
        <v>19710331</v>
      </c>
      <c r="B231">
        <f t="shared" si="3"/>
        <v>197103</v>
      </c>
      <c r="C231" s="10">
        <v>3.406361253</v>
      </c>
      <c r="D231" s="10">
        <v>3.4518857112000001</v>
      </c>
      <c r="E231" s="10">
        <v>3.7557590731000001</v>
      </c>
      <c r="F231" s="10">
        <v>4.1441432447000004</v>
      </c>
      <c r="G231" s="10">
        <v>4.5095552715</v>
      </c>
      <c r="H231" s="10">
        <v>4.8143184658999996</v>
      </c>
      <c r="I231" s="10">
        <v>4.9761450109999998</v>
      </c>
    </row>
    <row r="232" spans="1:9" x14ac:dyDescent="0.2">
      <c r="A232">
        <v>19710430</v>
      </c>
      <c r="B232">
        <f t="shared" si="3"/>
        <v>197104</v>
      </c>
      <c r="C232" s="10">
        <v>3.6760076048000001</v>
      </c>
      <c r="D232" s="10">
        <v>3.9688795045999998</v>
      </c>
      <c r="E232" s="10">
        <v>4.5491480119999999</v>
      </c>
      <c r="F232" s="10">
        <v>5.2141755660999998</v>
      </c>
      <c r="G232" s="10">
        <v>5.7043634220000001</v>
      </c>
      <c r="H232" s="10">
        <v>5.7952611354999997</v>
      </c>
      <c r="I232" s="10">
        <v>5.9709537921000004</v>
      </c>
    </row>
    <row r="233" spans="1:9" x14ac:dyDescent="0.2">
      <c r="A233">
        <v>19710528</v>
      </c>
      <c r="B233">
        <f t="shared" si="3"/>
        <v>197105</v>
      </c>
      <c r="C233" s="10">
        <v>3.8696447341</v>
      </c>
      <c r="D233" s="10">
        <v>4.3781984845000004</v>
      </c>
      <c r="E233" s="10">
        <v>4.8892123006999997</v>
      </c>
      <c r="F233" s="10">
        <v>5.4102105790000001</v>
      </c>
      <c r="G233" s="10">
        <v>5.8445322613000004</v>
      </c>
      <c r="H233" s="10">
        <v>5.8371843121999998</v>
      </c>
      <c r="I233" s="10">
        <v>6.2039592349000001</v>
      </c>
    </row>
    <row r="234" spans="1:9" x14ac:dyDescent="0.2">
      <c r="A234">
        <v>19710630</v>
      </c>
      <c r="B234">
        <f t="shared" si="3"/>
        <v>197106</v>
      </c>
      <c r="C234" s="10">
        <v>5.0192898581999996</v>
      </c>
      <c r="D234" s="10">
        <v>5.2870112035999997</v>
      </c>
      <c r="E234" s="10">
        <v>6.0556786138999996</v>
      </c>
      <c r="F234" s="10">
        <v>6.2624852446999997</v>
      </c>
      <c r="G234" s="10">
        <v>6.6716850928999998</v>
      </c>
      <c r="H234" s="10">
        <v>6.6092610273999997</v>
      </c>
      <c r="I234" s="10">
        <v>6.7796422029999999</v>
      </c>
    </row>
    <row r="235" spans="1:9" x14ac:dyDescent="0.2">
      <c r="A235">
        <v>19710730</v>
      </c>
      <c r="B235">
        <f t="shared" si="3"/>
        <v>197107</v>
      </c>
      <c r="C235" s="10">
        <v>5.0603618791000002</v>
      </c>
      <c r="D235" s="10">
        <v>5.3593463984999996</v>
      </c>
      <c r="E235" s="10">
        <v>6.1100829610999998</v>
      </c>
      <c r="F235" s="10">
        <v>6.3108115828000004</v>
      </c>
      <c r="G235" s="10">
        <v>6.72739083</v>
      </c>
      <c r="H235" s="10">
        <v>6.8232080911999997</v>
      </c>
      <c r="I235" s="10">
        <v>6.8885960805000002</v>
      </c>
    </row>
    <row r="236" spans="1:9" x14ac:dyDescent="0.2">
      <c r="A236">
        <v>19710831</v>
      </c>
      <c r="B236">
        <f t="shared" si="3"/>
        <v>197108</v>
      </c>
      <c r="C236" s="10">
        <v>4.4082643602999996</v>
      </c>
      <c r="D236" s="10">
        <v>4.4866681353000004</v>
      </c>
      <c r="E236" s="10">
        <v>5.2669456278000002</v>
      </c>
      <c r="F236" s="10">
        <v>5.4442743128000002</v>
      </c>
      <c r="G236" s="10">
        <v>5.7073114325000001</v>
      </c>
      <c r="H236" s="10">
        <v>5.7976048198000001</v>
      </c>
      <c r="I236" s="10">
        <v>6.0200434861999996</v>
      </c>
    </row>
    <row r="237" spans="1:9" x14ac:dyDescent="0.2">
      <c r="A237">
        <v>19710930</v>
      </c>
      <c r="B237">
        <f t="shared" si="3"/>
        <v>197109</v>
      </c>
      <c r="C237" s="10">
        <v>4.5306140154000003</v>
      </c>
      <c r="D237" s="10">
        <v>4.6299618419000002</v>
      </c>
      <c r="E237" s="10">
        <v>5.2675702866999998</v>
      </c>
      <c r="F237" s="10">
        <v>5.3943072399999998</v>
      </c>
      <c r="G237" s="10">
        <v>5.6470473574</v>
      </c>
      <c r="H237" s="10">
        <v>5.7664020945000001</v>
      </c>
      <c r="I237" s="10">
        <v>5.9609728777999997</v>
      </c>
    </row>
    <row r="238" spans="1:9" x14ac:dyDescent="0.2">
      <c r="A238">
        <v>19711029</v>
      </c>
      <c r="B238">
        <f t="shared" si="3"/>
        <v>197110</v>
      </c>
      <c r="C238" s="10">
        <v>3.9915726772000002</v>
      </c>
      <c r="D238" s="10">
        <v>4.3423246928000001</v>
      </c>
      <c r="E238" s="10">
        <v>4.5857849672000004</v>
      </c>
      <c r="F238" s="10">
        <v>4.9574555868000001</v>
      </c>
      <c r="G238" s="10">
        <v>5.2050701509000001</v>
      </c>
      <c r="H238" s="10">
        <v>5.4273489928999998</v>
      </c>
      <c r="I238" s="10">
        <v>5.6565353229999999</v>
      </c>
    </row>
    <row r="239" spans="1:9" x14ac:dyDescent="0.2">
      <c r="A239">
        <v>19711130</v>
      </c>
      <c r="B239">
        <f t="shared" si="3"/>
        <v>197111</v>
      </c>
      <c r="C239" s="10">
        <v>3.8283820771000001</v>
      </c>
      <c r="D239" s="10">
        <v>4.3118353867000003</v>
      </c>
      <c r="E239" s="10">
        <v>4.7392509004000001</v>
      </c>
      <c r="F239" s="10">
        <v>5.0568102469999996</v>
      </c>
      <c r="G239" s="10">
        <v>5.2810428576000001</v>
      </c>
      <c r="H239" s="10">
        <v>5.4941957733000004</v>
      </c>
      <c r="I239" s="10">
        <v>5.7200062954000002</v>
      </c>
    </row>
    <row r="240" spans="1:9" x14ac:dyDescent="0.2">
      <c r="A240">
        <v>19711231</v>
      </c>
      <c r="B240">
        <f t="shared" si="3"/>
        <v>197112</v>
      </c>
      <c r="C240" s="10">
        <v>3.3506178776</v>
      </c>
      <c r="D240" s="10">
        <v>3.7281069937</v>
      </c>
      <c r="E240" s="10">
        <v>4.1790698508000004</v>
      </c>
      <c r="F240" s="10">
        <v>4.8256404758000002</v>
      </c>
      <c r="G240" s="10">
        <v>5.0763007612999997</v>
      </c>
      <c r="H240" s="10">
        <v>5.2004138472000001</v>
      </c>
      <c r="I240" s="10">
        <v>5.4251691404000004</v>
      </c>
    </row>
    <row r="241" spans="1:9" x14ac:dyDescent="0.2">
      <c r="A241">
        <v>19720131</v>
      </c>
      <c r="B241">
        <f t="shared" si="3"/>
        <v>197201</v>
      </c>
      <c r="C241" s="10">
        <v>3.1269531551999998</v>
      </c>
      <c r="D241" s="10">
        <v>3.3392632870000001</v>
      </c>
      <c r="E241" s="10">
        <v>4.1244747867999996</v>
      </c>
      <c r="F241" s="10">
        <v>4.8015922923999996</v>
      </c>
      <c r="G241" s="10">
        <v>5.3284064254999999</v>
      </c>
      <c r="H241" s="10">
        <v>5.4760989652000003</v>
      </c>
      <c r="I241" s="10">
        <v>5.7154138707</v>
      </c>
    </row>
    <row r="242" spans="1:9" x14ac:dyDescent="0.2">
      <c r="A242">
        <v>19720229</v>
      </c>
      <c r="B242">
        <f t="shared" si="3"/>
        <v>197202</v>
      </c>
      <c r="C242" s="10">
        <v>3.1470938785999998</v>
      </c>
      <c r="D242" s="10">
        <v>3.3600240895</v>
      </c>
      <c r="E242" s="10">
        <v>4.2881379701000002</v>
      </c>
      <c r="F242" s="10">
        <v>4.7656097469000001</v>
      </c>
      <c r="G242" s="10">
        <v>5.2424399050000003</v>
      </c>
      <c r="H242" s="10">
        <v>5.4375304417999999</v>
      </c>
      <c r="I242" s="10">
        <v>5.6610948298999997</v>
      </c>
    </row>
    <row r="243" spans="1:9" x14ac:dyDescent="0.2">
      <c r="A243">
        <v>19720330</v>
      </c>
      <c r="B243">
        <f t="shared" si="3"/>
        <v>197203</v>
      </c>
      <c r="C243" s="10">
        <v>3.4827776038999998</v>
      </c>
      <c r="D243" s="10">
        <v>3.8101769074999998</v>
      </c>
      <c r="E243" s="10">
        <v>4.9344881871000004</v>
      </c>
      <c r="F243" s="10">
        <v>5.5237984618000002</v>
      </c>
      <c r="G243" s="10">
        <v>5.7756882668999996</v>
      </c>
      <c r="H243" s="10">
        <v>5.8711750236000002</v>
      </c>
      <c r="I243" s="10">
        <v>5.9954431465000004</v>
      </c>
    </row>
    <row r="244" spans="1:9" x14ac:dyDescent="0.2">
      <c r="A244">
        <v>19720428</v>
      </c>
      <c r="B244">
        <f t="shared" si="3"/>
        <v>197204</v>
      </c>
      <c r="C244" s="10">
        <v>3.2492307775999998</v>
      </c>
      <c r="D244" s="10">
        <v>3.6058660226999999</v>
      </c>
      <c r="E244" s="10">
        <v>4.5095538645</v>
      </c>
      <c r="F244" s="10">
        <v>5.1083570872999999</v>
      </c>
      <c r="G244" s="10">
        <v>5.5240359741000002</v>
      </c>
      <c r="H244" s="10">
        <v>5.6400635953</v>
      </c>
      <c r="I244" s="10">
        <v>5.7942899719999996</v>
      </c>
    </row>
    <row r="245" spans="1:9" x14ac:dyDescent="0.2">
      <c r="A245">
        <v>19720531</v>
      </c>
      <c r="B245">
        <f t="shared" si="3"/>
        <v>197205</v>
      </c>
      <c r="C245" s="10">
        <v>3.4012877738</v>
      </c>
      <c r="D245" s="10">
        <v>3.8408896187999999</v>
      </c>
      <c r="E245" s="10">
        <v>4.6273761811999998</v>
      </c>
      <c r="F245" s="10">
        <v>4.9436879567999998</v>
      </c>
      <c r="G245" s="10">
        <v>5.3774288307999996</v>
      </c>
      <c r="H245" s="10">
        <v>5.5565678301999997</v>
      </c>
      <c r="I245" s="10">
        <v>5.7111829166000003</v>
      </c>
    </row>
    <row r="246" spans="1:9" x14ac:dyDescent="0.2">
      <c r="A246">
        <v>19720630</v>
      </c>
      <c r="B246">
        <f t="shared" si="3"/>
        <v>197206</v>
      </c>
      <c r="C246" s="10">
        <v>3.6251859209999999</v>
      </c>
      <c r="D246" s="10">
        <v>4.0764193993999998</v>
      </c>
      <c r="E246" s="10">
        <v>5.2477260704999997</v>
      </c>
      <c r="F246" s="10">
        <v>5.4324533075000003</v>
      </c>
      <c r="G246" s="10">
        <v>5.6981633961</v>
      </c>
      <c r="H246" s="10">
        <v>5.8507912496000003</v>
      </c>
      <c r="I246" s="10">
        <v>5.9047398534999997</v>
      </c>
    </row>
    <row r="247" spans="1:9" x14ac:dyDescent="0.2">
      <c r="A247">
        <v>19720731</v>
      </c>
      <c r="B247">
        <f t="shared" si="3"/>
        <v>197207</v>
      </c>
      <c r="C247" s="10">
        <v>3.5132808343000002</v>
      </c>
      <c r="D247" s="10">
        <v>3.8101749046000002</v>
      </c>
      <c r="E247" s="10">
        <v>4.9464555458000001</v>
      </c>
      <c r="F247" s="10">
        <v>5.2443939102000003</v>
      </c>
      <c r="G247" s="10">
        <v>5.6630544799000004</v>
      </c>
      <c r="H247" s="10">
        <v>5.8577097760000001</v>
      </c>
      <c r="I247" s="10">
        <v>5.8867942640999997</v>
      </c>
    </row>
    <row r="248" spans="1:9" x14ac:dyDescent="0.2">
      <c r="A248">
        <v>19720831</v>
      </c>
      <c r="B248">
        <f t="shared" si="3"/>
        <v>197208</v>
      </c>
      <c r="C248" s="10">
        <v>4.3065401943000001</v>
      </c>
      <c r="D248" s="10">
        <v>4.6040346891999997</v>
      </c>
      <c r="E248" s="10">
        <v>5.4819068418999999</v>
      </c>
      <c r="F248" s="10">
        <v>5.6303993541999997</v>
      </c>
      <c r="G248" s="10">
        <v>5.8879971789000001</v>
      </c>
      <c r="H248" s="10">
        <v>6.1128786317000001</v>
      </c>
      <c r="I248" s="10">
        <v>6.0786688517999998</v>
      </c>
    </row>
    <row r="249" spans="1:9" x14ac:dyDescent="0.2">
      <c r="A249">
        <v>19720929</v>
      </c>
      <c r="B249">
        <f t="shared" si="3"/>
        <v>197209</v>
      </c>
      <c r="C249" s="10">
        <v>4.4291259944999997</v>
      </c>
      <c r="D249" s="10">
        <v>4.6191200450999998</v>
      </c>
      <c r="E249" s="10">
        <v>5.6438685977</v>
      </c>
      <c r="F249" s="10">
        <v>5.7868106242000001</v>
      </c>
      <c r="G249" s="10">
        <v>5.9284578251999998</v>
      </c>
      <c r="H249" s="10">
        <v>6.0054256055000002</v>
      </c>
      <c r="I249" s="10">
        <v>6.0514400057</v>
      </c>
    </row>
    <row r="250" spans="1:9" x14ac:dyDescent="0.2">
      <c r="A250">
        <v>19721031</v>
      </c>
      <c r="B250">
        <f t="shared" si="3"/>
        <v>197210</v>
      </c>
      <c r="C250" s="10">
        <v>4.5405636772999998</v>
      </c>
      <c r="D250" s="10">
        <v>4.7633381157999999</v>
      </c>
      <c r="E250" s="10">
        <v>5.5368289727000004</v>
      </c>
      <c r="F250" s="10">
        <v>5.7538444252999996</v>
      </c>
      <c r="G250" s="10">
        <v>5.9329508467999998</v>
      </c>
      <c r="H250" s="10">
        <v>6.0828445129000004</v>
      </c>
      <c r="I250" s="10">
        <v>6.0900998081999997</v>
      </c>
    </row>
    <row r="251" spans="1:9" x14ac:dyDescent="0.2">
      <c r="A251">
        <v>19721130</v>
      </c>
      <c r="B251">
        <f t="shared" si="3"/>
        <v>197211</v>
      </c>
      <c r="C251" s="10">
        <v>4.9174853697999996</v>
      </c>
      <c r="D251" s="10">
        <v>4.9477637804999999</v>
      </c>
      <c r="E251" s="10">
        <v>5.3924631635000004</v>
      </c>
      <c r="F251" s="10">
        <v>5.6404898958</v>
      </c>
      <c r="G251" s="10">
        <v>5.8058134684000002</v>
      </c>
      <c r="H251" s="10">
        <v>6.0101947713000001</v>
      </c>
      <c r="I251" s="10">
        <v>6.0044553959</v>
      </c>
    </row>
    <row r="252" spans="1:9" x14ac:dyDescent="0.2">
      <c r="A252">
        <v>19721229</v>
      </c>
      <c r="B252">
        <f t="shared" si="3"/>
        <v>197212</v>
      </c>
      <c r="C252" s="10">
        <v>4.8672230449000002</v>
      </c>
      <c r="D252" s="10">
        <v>5.1637321608000004</v>
      </c>
      <c r="E252" s="10">
        <v>5.5246687788999997</v>
      </c>
      <c r="F252" s="10">
        <v>5.9163958165999997</v>
      </c>
      <c r="G252" s="10">
        <v>5.9893807233</v>
      </c>
      <c r="H252" s="10">
        <v>6.0595629437999996</v>
      </c>
      <c r="I252" s="10">
        <v>6.1668970417000004</v>
      </c>
    </row>
    <row r="253" spans="1:9" x14ac:dyDescent="0.2">
      <c r="A253">
        <v>19730131</v>
      </c>
      <c r="B253">
        <f t="shared" si="3"/>
        <v>197301</v>
      </c>
      <c r="C253" s="10">
        <v>5.5713957999000003</v>
      </c>
      <c r="D253" s="10">
        <v>5.7702174221</v>
      </c>
      <c r="E253" s="10">
        <v>6.1439063582999998</v>
      </c>
      <c r="F253" s="10">
        <v>6.2085690443999999</v>
      </c>
      <c r="G253" s="10">
        <v>6.2766437798999997</v>
      </c>
      <c r="H253" s="10">
        <v>6.3710353479000004</v>
      </c>
      <c r="I253" s="10">
        <v>6.298654365</v>
      </c>
    </row>
    <row r="254" spans="1:9" x14ac:dyDescent="0.2">
      <c r="A254">
        <v>19730228</v>
      </c>
      <c r="B254">
        <f t="shared" si="3"/>
        <v>197302</v>
      </c>
      <c r="C254" s="10">
        <v>5.5794192629000001</v>
      </c>
      <c r="D254" s="10">
        <v>5.9451646216</v>
      </c>
      <c r="E254" s="10">
        <v>6.4042765643999999</v>
      </c>
      <c r="F254" s="10">
        <v>6.5172535025</v>
      </c>
      <c r="G254" s="10">
        <v>6.5804846710999998</v>
      </c>
      <c r="H254" s="10">
        <v>6.6093500696999996</v>
      </c>
      <c r="I254" s="10">
        <v>6.5891644948000003</v>
      </c>
    </row>
    <row r="255" spans="1:9" x14ac:dyDescent="0.2">
      <c r="A255">
        <v>19730330</v>
      </c>
      <c r="B255">
        <f t="shared" si="3"/>
        <v>197303</v>
      </c>
      <c r="C255" s="10">
        <v>5.8749135902000003</v>
      </c>
      <c r="D255" s="10">
        <v>6.5013062452000003</v>
      </c>
      <c r="E255" s="10">
        <v>6.9300359341000002</v>
      </c>
      <c r="F255" s="10">
        <v>6.7990471367999996</v>
      </c>
      <c r="G255" s="10">
        <v>6.6960891172999997</v>
      </c>
      <c r="H255" s="10">
        <v>6.6317749223</v>
      </c>
      <c r="I255" s="10">
        <v>6.6470100430999999</v>
      </c>
    </row>
    <row r="256" spans="1:9" x14ac:dyDescent="0.2">
      <c r="A256">
        <v>19730430</v>
      </c>
      <c r="B256">
        <f t="shared" si="3"/>
        <v>197304</v>
      </c>
      <c r="C256" s="10">
        <v>5.9870019490999997</v>
      </c>
      <c r="D256" s="10">
        <v>6.3158424286999999</v>
      </c>
      <c r="E256" s="10">
        <v>6.7008996159000001</v>
      </c>
      <c r="F256" s="10">
        <v>6.6310195212999998</v>
      </c>
      <c r="G256" s="10">
        <v>6.6307827174999998</v>
      </c>
      <c r="H256" s="10">
        <v>6.5499372283000001</v>
      </c>
      <c r="I256" s="10">
        <v>6.5681881726000002</v>
      </c>
    </row>
    <row r="257" spans="1:9" x14ac:dyDescent="0.2">
      <c r="A257">
        <v>19730531</v>
      </c>
      <c r="B257">
        <f t="shared" si="3"/>
        <v>197305</v>
      </c>
      <c r="C257" s="10">
        <v>6.5266410406000004</v>
      </c>
      <c r="D257" s="10">
        <v>7.0472413241999998</v>
      </c>
      <c r="E257" s="10">
        <v>6.9441969351999999</v>
      </c>
      <c r="F257" s="10">
        <v>6.7287478328999999</v>
      </c>
      <c r="G257" s="10">
        <v>6.6165162119999996</v>
      </c>
      <c r="H257" s="10">
        <v>6.5421834964999999</v>
      </c>
      <c r="I257" s="10">
        <v>6.5942866345000004</v>
      </c>
    </row>
    <row r="258" spans="1:9" x14ac:dyDescent="0.2">
      <c r="A258">
        <v>19730629</v>
      </c>
      <c r="B258">
        <f t="shared" si="3"/>
        <v>197306</v>
      </c>
      <c r="C258" s="10">
        <v>7.4356971566999999</v>
      </c>
      <c r="D258" s="10">
        <v>7.6246955944000003</v>
      </c>
      <c r="E258" s="10">
        <v>7.5563469852000003</v>
      </c>
      <c r="F258" s="10">
        <v>6.9640340489000003</v>
      </c>
      <c r="G258" s="10">
        <v>6.8792569986999998</v>
      </c>
      <c r="H258" s="10">
        <v>6.7102105559999998</v>
      </c>
      <c r="I258" s="10">
        <v>6.7167211826999997</v>
      </c>
    </row>
    <row r="259" spans="1:9" x14ac:dyDescent="0.2">
      <c r="A259">
        <v>19730731</v>
      </c>
      <c r="B259">
        <f t="shared" si="3"/>
        <v>197307</v>
      </c>
      <c r="C259" s="10">
        <v>8.3118257302000007</v>
      </c>
      <c r="D259" s="10">
        <v>8.4860857498000009</v>
      </c>
      <c r="E259" s="10">
        <v>8.6260667545</v>
      </c>
      <c r="F259" s="10">
        <v>7.9606899245999996</v>
      </c>
      <c r="G259" s="10">
        <v>7.7925123884999996</v>
      </c>
      <c r="H259" s="10">
        <v>7.8311376960999999</v>
      </c>
      <c r="I259" s="10">
        <v>7.6391463198</v>
      </c>
    </row>
    <row r="260" spans="1:9" x14ac:dyDescent="0.2">
      <c r="A260">
        <v>19730831</v>
      </c>
      <c r="B260">
        <f t="shared" si="3"/>
        <v>197308</v>
      </c>
      <c r="C260" s="10">
        <v>8.5812769024000008</v>
      </c>
      <c r="D260" s="10">
        <v>8.8249058340000008</v>
      </c>
      <c r="E260" s="10">
        <v>8.3665657027999991</v>
      </c>
      <c r="F260" s="10">
        <v>7.6568808223999998</v>
      </c>
      <c r="G260" s="10">
        <v>7.2449497682999997</v>
      </c>
      <c r="H260" s="10">
        <v>7.1270751458000001</v>
      </c>
      <c r="I260" s="10">
        <v>7.0491246597000004</v>
      </c>
    </row>
    <row r="261" spans="1:9" x14ac:dyDescent="0.2">
      <c r="A261">
        <v>19730928</v>
      </c>
      <c r="B261">
        <f t="shared" si="3"/>
        <v>197309</v>
      </c>
      <c r="C261" s="10">
        <v>7.3351582621000002</v>
      </c>
      <c r="D261" s="10">
        <v>7.0981469799000001</v>
      </c>
      <c r="E261" s="10">
        <v>7.6600358495999998</v>
      </c>
      <c r="F261" s="10">
        <v>6.9589753534999996</v>
      </c>
      <c r="G261" s="10">
        <v>6.6034348652999997</v>
      </c>
      <c r="H261" s="10">
        <v>6.5841695174000003</v>
      </c>
      <c r="I261" s="10">
        <v>6.5390659276000003</v>
      </c>
    </row>
    <row r="262" spans="1:9" x14ac:dyDescent="0.2">
      <c r="A262">
        <v>19731031</v>
      </c>
      <c r="B262">
        <f t="shared" si="3"/>
        <v>197310</v>
      </c>
      <c r="C262" s="10">
        <v>6.9281956194000003</v>
      </c>
      <c r="D262" s="10">
        <v>7.4919613568000001</v>
      </c>
      <c r="E262" s="10">
        <v>7.1217891239000002</v>
      </c>
      <c r="F262" s="10">
        <v>6.7213266538000003</v>
      </c>
      <c r="G262" s="10">
        <v>6.6397113578000004</v>
      </c>
      <c r="H262" s="10">
        <v>6.6715549772999996</v>
      </c>
      <c r="I262" s="10">
        <v>6.6317741976000004</v>
      </c>
    </row>
    <row r="263" spans="1:9" x14ac:dyDescent="0.2">
      <c r="A263">
        <v>19731130</v>
      </c>
      <c r="B263">
        <f t="shared" ref="B263:B326" si="4">ROUND(A263/100,0)</f>
        <v>197311</v>
      </c>
      <c r="C263" s="10">
        <v>7.4474415500999998</v>
      </c>
      <c r="D263" s="10">
        <v>7.4284461396000001</v>
      </c>
      <c r="E263" s="10">
        <v>7.4242941837999998</v>
      </c>
      <c r="F263" s="10">
        <v>6.6927917095999998</v>
      </c>
      <c r="G263" s="10">
        <v>6.6054374984999997</v>
      </c>
      <c r="H263" s="10">
        <v>6.5968040691000001</v>
      </c>
      <c r="I263" s="10">
        <v>6.6073448486000004</v>
      </c>
    </row>
    <row r="264" spans="1:9" x14ac:dyDescent="0.2">
      <c r="A264">
        <v>19731231</v>
      </c>
      <c r="B264">
        <f t="shared" si="4"/>
        <v>197312</v>
      </c>
      <c r="C264" s="10">
        <v>7.3635220605000002</v>
      </c>
      <c r="D264" s="10">
        <v>7.5968964069</v>
      </c>
      <c r="E264" s="10">
        <v>7.1243073727999997</v>
      </c>
      <c r="F264" s="10">
        <v>6.6888508813999996</v>
      </c>
      <c r="G264" s="10">
        <v>6.6306269188</v>
      </c>
      <c r="H264" s="10">
        <v>6.6570946497000003</v>
      </c>
      <c r="I264" s="10">
        <v>6.6821910118999996</v>
      </c>
    </row>
    <row r="265" spans="1:9" x14ac:dyDescent="0.2">
      <c r="A265">
        <v>19740131</v>
      </c>
      <c r="B265">
        <f t="shared" si="4"/>
        <v>197401</v>
      </c>
      <c r="C265" s="10">
        <v>7.5503336810999997</v>
      </c>
      <c r="D265" s="10">
        <v>7.6254994211999998</v>
      </c>
      <c r="E265" s="10">
        <v>6.8853407147999999</v>
      </c>
      <c r="F265" s="10">
        <v>6.6690444119999999</v>
      </c>
      <c r="G265" s="10">
        <v>6.7085191082</v>
      </c>
      <c r="H265" s="10">
        <v>6.7479346485000002</v>
      </c>
      <c r="I265" s="10">
        <v>6.7409976847999999</v>
      </c>
    </row>
    <row r="266" spans="1:9" x14ac:dyDescent="0.2">
      <c r="A266">
        <v>19740228</v>
      </c>
      <c r="B266">
        <f t="shared" si="4"/>
        <v>197402</v>
      </c>
      <c r="C266" s="10">
        <v>7.3767217526</v>
      </c>
      <c r="D266" s="10">
        <v>7.5944974284000004</v>
      </c>
      <c r="E266" s="10">
        <v>7.020538696</v>
      </c>
      <c r="F266" s="10">
        <v>6.8141467004000003</v>
      </c>
      <c r="G266" s="10">
        <v>6.6885558844000004</v>
      </c>
      <c r="H266" s="10">
        <v>6.7937237755000002</v>
      </c>
      <c r="I266" s="10">
        <v>6.8056380735999999</v>
      </c>
    </row>
    <row r="267" spans="1:9" x14ac:dyDescent="0.2">
      <c r="A267">
        <v>19740329</v>
      </c>
      <c r="B267">
        <f t="shared" si="4"/>
        <v>197403</v>
      </c>
      <c r="C267" s="10">
        <v>8.4995023135000007</v>
      </c>
      <c r="D267" s="10">
        <v>8.4468675142999992</v>
      </c>
      <c r="E267" s="10">
        <v>8.1152688604000005</v>
      </c>
      <c r="F267" s="10">
        <v>7.6832263836000001</v>
      </c>
      <c r="G267" s="10">
        <v>7.5737449784999997</v>
      </c>
      <c r="H267" s="10">
        <v>7.4977389112999999</v>
      </c>
      <c r="I267" s="10">
        <v>7.4131820449000001</v>
      </c>
    </row>
    <row r="268" spans="1:9" x14ac:dyDescent="0.2">
      <c r="A268">
        <v>19740430</v>
      </c>
      <c r="B268">
        <f t="shared" si="4"/>
        <v>197404</v>
      </c>
      <c r="C268" s="10">
        <v>8.7712716995999997</v>
      </c>
      <c r="D268" s="10">
        <v>9.0874559092999991</v>
      </c>
      <c r="E268" s="10">
        <v>8.6702805334999997</v>
      </c>
      <c r="F268" s="10">
        <v>8.1472807815999992</v>
      </c>
      <c r="G268" s="10">
        <v>8.0571257565999996</v>
      </c>
      <c r="H268" s="10">
        <v>8.0070316994000006</v>
      </c>
      <c r="I268" s="10">
        <v>7.9365774771000002</v>
      </c>
    </row>
    <row r="269" spans="1:9" x14ac:dyDescent="0.2">
      <c r="A269">
        <v>19740531</v>
      </c>
      <c r="B269">
        <f t="shared" si="4"/>
        <v>197405</v>
      </c>
      <c r="C269" s="10">
        <v>7.8337847195999997</v>
      </c>
      <c r="D269" s="10">
        <v>8.2346993133000002</v>
      </c>
      <c r="E269" s="10">
        <v>8.3149169520000008</v>
      </c>
      <c r="F269" s="10">
        <v>7.9711569677999998</v>
      </c>
      <c r="G269" s="10">
        <v>7.9368798361000001</v>
      </c>
      <c r="H269" s="10">
        <v>7.9002935496999998</v>
      </c>
      <c r="I269" s="10">
        <v>7.7287478173000004</v>
      </c>
    </row>
    <row r="270" spans="1:9" x14ac:dyDescent="0.2">
      <c r="A270">
        <v>19740628</v>
      </c>
      <c r="B270">
        <f t="shared" si="4"/>
        <v>197406</v>
      </c>
      <c r="C270" s="10">
        <v>7.6806731343000001</v>
      </c>
      <c r="D270" s="10">
        <v>7.4697617502</v>
      </c>
      <c r="E270" s="10">
        <v>8.6083785413000005</v>
      </c>
      <c r="F270" s="10">
        <v>8.2704655699000007</v>
      </c>
      <c r="G270" s="10">
        <v>8.1390835781999993</v>
      </c>
      <c r="H270" s="10">
        <v>8.2130230756000007</v>
      </c>
      <c r="I270" s="10">
        <v>8.0739768864000006</v>
      </c>
    </row>
    <row r="271" spans="1:9" x14ac:dyDescent="0.2">
      <c r="A271">
        <v>19740731</v>
      </c>
      <c r="B271">
        <f t="shared" si="4"/>
        <v>197407</v>
      </c>
      <c r="C271" s="10">
        <v>7.7145427955999999</v>
      </c>
      <c r="D271" s="10">
        <v>7.8123951606000004</v>
      </c>
      <c r="E271" s="10">
        <v>8.6574580033000004</v>
      </c>
      <c r="F271" s="10">
        <v>8.3666165828000008</v>
      </c>
      <c r="G271" s="10">
        <v>8.3206411819999992</v>
      </c>
      <c r="H271" s="10">
        <v>8.3343077838999999</v>
      </c>
      <c r="I271" s="10">
        <v>8.1864623195000004</v>
      </c>
    </row>
    <row r="272" spans="1:9" x14ac:dyDescent="0.2">
      <c r="A272">
        <v>19740830</v>
      </c>
      <c r="B272">
        <f t="shared" si="4"/>
        <v>197408</v>
      </c>
      <c r="C272" s="10">
        <v>9.2151194458999992</v>
      </c>
      <c r="D272" s="10">
        <v>9.1059201528999996</v>
      </c>
      <c r="E272" s="10">
        <v>9.6772852548999992</v>
      </c>
      <c r="F272" s="10">
        <v>8.6558348534</v>
      </c>
      <c r="G272" s="10">
        <v>8.4151270222000001</v>
      </c>
      <c r="H272" s="10">
        <v>8.3192627580000007</v>
      </c>
      <c r="I272" s="10">
        <v>8.3760531864000001</v>
      </c>
    </row>
    <row r="273" spans="1:9" x14ac:dyDescent="0.2">
      <c r="A273">
        <v>19740930</v>
      </c>
      <c r="B273">
        <f t="shared" si="4"/>
        <v>197409</v>
      </c>
      <c r="C273" s="10">
        <v>6.1704820956999997</v>
      </c>
      <c r="D273" s="10">
        <v>6.4715419050999996</v>
      </c>
      <c r="E273" s="10">
        <v>7.8919557154</v>
      </c>
      <c r="F273" s="10">
        <v>8.0346057116999994</v>
      </c>
      <c r="G273" s="10">
        <v>7.8122463691000004</v>
      </c>
      <c r="H273" s="10">
        <v>7.8696365026999997</v>
      </c>
      <c r="I273" s="10">
        <v>7.8365339777000003</v>
      </c>
    </row>
    <row r="274" spans="1:9" x14ac:dyDescent="0.2">
      <c r="A274">
        <v>19741031</v>
      </c>
      <c r="B274">
        <f t="shared" si="4"/>
        <v>197410</v>
      </c>
      <c r="C274" s="10">
        <v>6.6723874728999997</v>
      </c>
      <c r="D274" s="10">
        <v>7.9459671437999999</v>
      </c>
      <c r="E274" s="10">
        <v>7.6411276872</v>
      </c>
      <c r="F274" s="10">
        <v>7.7027701584999999</v>
      </c>
      <c r="G274" s="10">
        <v>7.7213411537000001</v>
      </c>
      <c r="H274" s="10">
        <v>7.7642434698000002</v>
      </c>
      <c r="I274" s="10">
        <v>7.7730603196999999</v>
      </c>
    </row>
    <row r="275" spans="1:9" x14ac:dyDescent="0.2">
      <c r="A275">
        <v>19741129</v>
      </c>
      <c r="B275">
        <f t="shared" si="4"/>
        <v>197411</v>
      </c>
      <c r="C275" s="10">
        <v>7.4984985239000004</v>
      </c>
      <c r="D275" s="10">
        <v>7.6040458988999999</v>
      </c>
      <c r="E275" s="10">
        <v>7.5108097674999996</v>
      </c>
      <c r="F275" s="10">
        <v>7.1926947894</v>
      </c>
      <c r="G275" s="10">
        <v>7.3104205518000001</v>
      </c>
      <c r="H275" s="10">
        <v>7.3210655709000001</v>
      </c>
      <c r="I275" s="10">
        <v>7.3887558929999999</v>
      </c>
    </row>
    <row r="276" spans="1:9" x14ac:dyDescent="0.2">
      <c r="A276">
        <v>19741231</v>
      </c>
      <c r="B276">
        <f t="shared" si="4"/>
        <v>197412</v>
      </c>
      <c r="C276" s="10">
        <v>6.5368548941000002</v>
      </c>
      <c r="D276" s="10">
        <v>7.1828269651000003</v>
      </c>
      <c r="E276" s="10">
        <v>6.8753094587000003</v>
      </c>
      <c r="F276" s="10">
        <v>7.1692541459000001</v>
      </c>
      <c r="G276" s="10">
        <v>7.1447472304000001</v>
      </c>
      <c r="H276" s="10">
        <v>7.1409833785999997</v>
      </c>
      <c r="I276" s="10">
        <v>7.0924065358000004</v>
      </c>
    </row>
    <row r="277" spans="1:9" x14ac:dyDescent="0.2">
      <c r="A277">
        <v>19750131</v>
      </c>
      <c r="B277">
        <f t="shared" si="4"/>
        <v>197501</v>
      </c>
      <c r="C277" s="10">
        <v>5.5399943958</v>
      </c>
      <c r="D277" s="10">
        <v>5.7590305905000001</v>
      </c>
      <c r="E277" s="10">
        <v>6.0832617512000002</v>
      </c>
      <c r="F277" s="10">
        <v>6.6412597484000004</v>
      </c>
      <c r="G277" s="10">
        <v>6.8409044208000003</v>
      </c>
      <c r="H277" s="10">
        <v>7.0256407653000004</v>
      </c>
      <c r="I277" s="10">
        <v>7.1548647313</v>
      </c>
    </row>
    <row r="278" spans="1:9" x14ac:dyDescent="0.2">
      <c r="A278">
        <v>19750228</v>
      </c>
      <c r="B278">
        <f t="shared" si="4"/>
        <v>197502</v>
      </c>
      <c r="C278" s="10">
        <v>4.7555282357999999</v>
      </c>
      <c r="D278" s="10">
        <v>5.4711837962000001</v>
      </c>
      <c r="E278" s="10">
        <v>5.8621682773000003</v>
      </c>
      <c r="F278" s="10">
        <v>6.2026722022999996</v>
      </c>
      <c r="G278" s="10">
        <v>6.4988135540999998</v>
      </c>
      <c r="H278" s="10">
        <v>6.6081593670999998</v>
      </c>
      <c r="I278" s="10">
        <v>6.9365237326999996</v>
      </c>
    </row>
    <row r="279" spans="1:9" x14ac:dyDescent="0.2">
      <c r="A279">
        <v>19750331</v>
      </c>
      <c r="B279">
        <f t="shared" si="4"/>
        <v>197503</v>
      </c>
      <c r="C279" s="10">
        <v>5.2738987318000001</v>
      </c>
      <c r="D279" s="10">
        <v>5.6365042935999998</v>
      </c>
      <c r="E279" s="10">
        <v>6.1899232094999999</v>
      </c>
      <c r="F279" s="10">
        <v>6.6843190317000003</v>
      </c>
      <c r="G279" s="10">
        <v>6.9719206972999999</v>
      </c>
      <c r="H279" s="10">
        <v>7.2039472791000003</v>
      </c>
      <c r="I279" s="10">
        <v>7.2931864769999999</v>
      </c>
    </row>
    <row r="280" spans="1:9" x14ac:dyDescent="0.2">
      <c r="A280">
        <v>19750430</v>
      </c>
      <c r="B280">
        <f t="shared" si="4"/>
        <v>197504</v>
      </c>
      <c r="C280" s="10">
        <v>5.2139016621999996</v>
      </c>
      <c r="D280" s="10">
        <v>5.5748147138000004</v>
      </c>
      <c r="E280" s="10">
        <v>6.6640721706999999</v>
      </c>
      <c r="F280" s="10">
        <v>7.3812292623999998</v>
      </c>
      <c r="G280" s="10">
        <v>7.7089677147</v>
      </c>
      <c r="H280" s="10">
        <v>7.8508564421000004</v>
      </c>
      <c r="I280" s="10">
        <v>7.8498234362000003</v>
      </c>
    </row>
    <row r="281" spans="1:9" x14ac:dyDescent="0.2">
      <c r="A281">
        <v>19750530</v>
      </c>
      <c r="B281">
        <f t="shared" si="4"/>
        <v>197505</v>
      </c>
      <c r="C281" s="10">
        <v>4.8563773445000002</v>
      </c>
      <c r="D281" s="10">
        <v>5.2657080627999999</v>
      </c>
      <c r="E281" s="10">
        <v>5.9997492461000004</v>
      </c>
      <c r="F281" s="10">
        <v>6.7743337975999998</v>
      </c>
      <c r="G281" s="10">
        <v>7.0926251597999999</v>
      </c>
      <c r="H281" s="10">
        <v>7.2820742109000003</v>
      </c>
      <c r="I281" s="10">
        <v>7.4124258313000002</v>
      </c>
    </row>
    <row r="282" spans="1:9" x14ac:dyDescent="0.2">
      <c r="A282">
        <v>19750630</v>
      </c>
      <c r="B282">
        <f t="shared" si="4"/>
        <v>197506</v>
      </c>
      <c r="C282" s="10">
        <v>5.6507603351000002</v>
      </c>
      <c r="D282" s="10">
        <v>6.0799933911000004</v>
      </c>
      <c r="E282" s="10">
        <v>6.7009300428999996</v>
      </c>
      <c r="F282" s="10">
        <v>7.0607186161</v>
      </c>
      <c r="G282" s="10">
        <v>7.3374188269999996</v>
      </c>
      <c r="H282" s="10">
        <v>7.2911259940999997</v>
      </c>
      <c r="I282" s="10">
        <v>7.5967038979000003</v>
      </c>
    </row>
    <row r="283" spans="1:9" x14ac:dyDescent="0.2">
      <c r="A283">
        <v>19750731</v>
      </c>
      <c r="B283">
        <f t="shared" si="4"/>
        <v>197507</v>
      </c>
      <c r="C283" s="10">
        <v>6.0297513221000001</v>
      </c>
      <c r="D283" s="10">
        <v>6.3461991642999998</v>
      </c>
      <c r="E283" s="10">
        <v>7.1684709597999996</v>
      </c>
      <c r="F283" s="10">
        <v>7.5372987535</v>
      </c>
      <c r="G283" s="10">
        <v>7.7665739464000003</v>
      </c>
      <c r="H283" s="10">
        <v>7.7298897696999997</v>
      </c>
      <c r="I283" s="10">
        <v>7.8333752631999998</v>
      </c>
    </row>
    <row r="284" spans="1:9" x14ac:dyDescent="0.2">
      <c r="A284">
        <v>19750829</v>
      </c>
      <c r="B284">
        <f t="shared" si="4"/>
        <v>197508</v>
      </c>
      <c r="C284" s="10">
        <v>5.9680983041999998</v>
      </c>
      <c r="D284" s="10">
        <v>6.4698136548000003</v>
      </c>
      <c r="E284" s="10">
        <v>7.2989023125000001</v>
      </c>
      <c r="F284" s="10">
        <v>7.6464195499000001</v>
      </c>
      <c r="G284" s="10">
        <v>7.7791158171000001</v>
      </c>
      <c r="H284" s="10">
        <v>7.8644597091000001</v>
      </c>
      <c r="I284" s="10">
        <v>7.9747286939000004</v>
      </c>
    </row>
    <row r="285" spans="1:9" x14ac:dyDescent="0.2">
      <c r="A285">
        <v>19750930</v>
      </c>
      <c r="B285">
        <f t="shared" si="4"/>
        <v>197509</v>
      </c>
      <c r="C285" s="10">
        <v>6.2922352643000004</v>
      </c>
      <c r="D285" s="10">
        <v>6.6984165876999997</v>
      </c>
      <c r="E285" s="10">
        <v>7.5307574560999999</v>
      </c>
      <c r="F285" s="10">
        <v>8.0042557630999998</v>
      </c>
      <c r="G285" s="10">
        <v>8.0157454865000002</v>
      </c>
      <c r="H285" s="10">
        <v>8.2514442000999999</v>
      </c>
      <c r="I285" s="10">
        <v>8.1099072059000008</v>
      </c>
    </row>
    <row r="286" spans="1:9" x14ac:dyDescent="0.2">
      <c r="A286">
        <v>19751031</v>
      </c>
      <c r="B286">
        <f t="shared" si="4"/>
        <v>197510</v>
      </c>
      <c r="C286" s="10">
        <v>5.3157950013999997</v>
      </c>
      <c r="D286" s="10">
        <v>5.7187927863999999</v>
      </c>
      <c r="E286" s="10">
        <v>6.1493722403</v>
      </c>
      <c r="F286" s="10">
        <v>6.9078649268000003</v>
      </c>
      <c r="G286" s="10">
        <v>7.1085218813999997</v>
      </c>
      <c r="H286" s="10">
        <v>7.2868511194999996</v>
      </c>
      <c r="I286" s="10">
        <v>7.5392745724000001</v>
      </c>
    </row>
    <row r="287" spans="1:9" x14ac:dyDescent="0.2">
      <c r="A287">
        <v>19751128</v>
      </c>
      <c r="B287">
        <f t="shared" si="4"/>
        <v>197511</v>
      </c>
      <c r="C287" s="10">
        <v>5.1837074516000001</v>
      </c>
      <c r="D287" s="10">
        <v>5.6253723086000003</v>
      </c>
      <c r="E287" s="10">
        <v>6.4200497569000001</v>
      </c>
      <c r="F287" s="10">
        <v>7.1325769237000003</v>
      </c>
      <c r="G287" s="10">
        <v>7.3185914281000004</v>
      </c>
      <c r="H287" s="10">
        <v>7.3504925525000004</v>
      </c>
      <c r="I287" s="10">
        <v>7.7048188005</v>
      </c>
    </row>
    <row r="288" spans="1:9" x14ac:dyDescent="0.2">
      <c r="A288">
        <v>19751231</v>
      </c>
      <c r="B288">
        <f t="shared" si="4"/>
        <v>197512</v>
      </c>
      <c r="C288" s="10">
        <v>5.1720308363000003</v>
      </c>
      <c r="D288" s="10">
        <v>5.2870112035999997</v>
      </c>
      <c r="E288" s="10">
        <v>5.9739618543999997</v>
      </c>
      <c r="F288" s="10">
        <v>6.6143824766000003</v>
      </c>
      <c r="G288" s="10">
        <v>6.9477627471999996</v>
      </c>
      <c r="H288" s="10">
        <v>7.1186660455000004</v>
      </c>
      <c r="I288" s="10">
        <v>7.3544209448000002</v>
      </c>
    </row>
    <row r="289" spans="1:9" x14ac:dyDescent="0.2">
      <c r="A289">
        <v>19760130</v>
      </c>
      <c r="B289">
        <f t="shared" si="4"/>
        <v>197601</v>
      </c>
      <c r="C289" s="10">
        <v>4.5212994869000003</v>
      </c>
      <c r="D289" s="10">
        <v>4.7935073490000004</v>
      </c>
      <c r="E289" s="10">
        <v>5.5149904136999996</v>
      </c>
      <c r="F289" s="10">
        <v>6.3161002933999999</v>
      </c>
      <c r="G289" s="10">
        <v>6.8715411822999997</v>
      </c>
      <c r="H289" s="10">
        <v>7.1626980000999998</v>
      </c>
      <c r="I289" s="10">
        <v>7.3790262748000002</v>
      </c>
    </row>
    <row r="290" spans="1:9" x14ac:dyDescent="0.2">
      <c r="A290">
        <v>19760227</v>
      </c>
      <c r="B290">
        <f t="shared" si="4"/>
        <v>197602</v>
      </c>
      <c r="C290" s="10">
        <v>4.6536503207999997</v>
      </c>
      <c r="D290" s="10">
        <v>5.0808569608000003</v>
      </c>
      <c r="E290" s="10">
        <v>6.0111483443999996</v>
      </c>
      <c r="F290" s="10">
        <v>6.6648541445999996</v>
      </c>
      <c r="G290" s="10">
        <v>7.0415291279999996</v>
      </c>
      <c r="H290" s="10">
        <v>7.1896940186</v>
      </c>
      <c r="I290" s="10">
        <v>7.3319941734</v>
      </c>
    </row>
    <row r="291" spans="1:9" x14ac:dyDescent="0.2">
      <c r="A291">
        <v>19760331</v>
      </c>
      <c r="B291">
        <f t="shared" si="4"/>
        <v>197603</v>
      </c>
      <c r="C291" s="10">
        <v>4.7555336273000002</v>
      </c>
      <c r="D291" s="10">
        <v>5.0507618548000002</v>
      </c>
      <c r="E291" s="10">
        <v>5.9929318211</v>
      </c>
      <c r="F291" s="10">
        <v>6.6155521386</v>
      </c>
      <c r="G291" s="10">
        <v>6.9315734287000002</v>
      </c>
      <c r="H291" s="10">
        <v>7.1599948649999998</v>
      </c>
      <c r="I291" s="10">
        <v>7.2893621256000003</v>
      </c>
    </row>
    <row r="292" spans="1:9" x14ac:dyDescent="0.2">
      <c r="A292">
        <v>19760430</v>
      </c>
      <c r="B292">
        <f t="shared" si="4"/>
        <v>197604</v>
      </c>
      <c r="C292" s="10">
        <v>4.6937806939</v>
      </c>
      <c r="D292" s="10">
        <v>4.9884712071999999</v>
      </c>
      <c r="E292" s="10">
        <v>5.9816728462000004</v>
      </c>
      <c r="F292" s="10">
        <v>6.5611539529999998</v>
      </c>
      <c r="G292" s="10">
        <v>6.8727394285000001</v>
      </c>
      <c r="H292" s="10">
        <v>7.0094630344000004</v>
      </c>
      <c r="I292" s="10">
        <v>7.2644170297999997</v>
      </c>
    </row>
    <row r="293" spans="1:9" x14ac:dyDescent="0.2">
      <c r="A293">
        <v>19760528</v>
      </c>
      <c r="B293">
        <f t="shared" si="4"/>
        <v>197605</v>
      </c>
      <c r="C293" s="10">
        <v>5.0604019784999998</v>
      </c>
      <c r="D293" s="10">
        <v>5.5842441573999997</v>
      </c>
      <c r="E293" s="10">
        <v>6.6473600779000002</v>
      </c>
      <c r="F293" s="10">
        <v>7.2156402808999998</v>
      </c>
      <c r="G293" s="10">
        <v>7.3944539536000002</v>
      </c>
      <c r="H293" s="10">
        <v>7.5280878401000004</v>
      </c>
      <c r="I293" s="10">
        <v>7.6168612245</v>
      </c>
    </row>
    <row r="294" spans="1:9" x14ac:dyDescent="0.2">
      <c r="A294">
        <v>19760630</v>
      </c>
      <c r="B294">
        <f t="shared" si="4"/>
        <v>197606</v>
      </c>
      <c r="C294" s="10">
        <v>5.2961696442999999</v>
      </c>
      <c r="D294" s="10">
        <v>5.4617273091999996</v>
      </c>
      <c r="E294" s="10">
        <v>6.3419474148999999</v>
      </c>
      <c r="F294" s="10">
        <v>6.9159961188999999</v>
      </c>
      <c r="G294" s="10">
        <v>7.1040890634</v>
      </c>
      <c r="H294" s="10">
        <v>7.3547742023999998</v>
      </c>
      <c r="I294" s="10">
        <v>7.4617449965000002</v>
      </c>
    </row>
    <row r="295" spans="1:9" x14ac:dyDescent="0.2">
      <c r="A295">
        <v>19760730</v>
      </c>
      <c r="B295">
        <f t="shared" si="4"/>
        <v>197607</v>
      </c>
      <c r="C295" s="10">
        <v>5.0814385987000001</v>
      </c>
      <c r="D295" s="10">
        <v>5.2657060084999996</v>
      </c>
      <c r="E295" s="10">
        <v>6.0179371263999997</v>
      </c>
      <c r="F295" s="10">
        <v>6.6531882442999999</v>
      </c>
      <c r="G295" s="10">
        <v>6.9034934996999997</v>
      </c>
      <c r="H295" s="10">
        <v>7.1580384660999998</v>
      </c>
      <c r="I295" s="10">
        <v>7.2656359637000003</v>
      </c>
    </row>
    <row r="296" spans="1:9" x14ac:dyDescent="0.2">
      <c r="A296">
        <v>19760831</v>
      </c>
      <c r="B296">
        <f t="shared" si="4"/>
        <v>197608</v>
      </c>
      <c r="C296" s="10">
        <v>4.7644758630000004</v>
      </c>
      <c r="D296" s="10">
        <v>5.1949176252000004</v>
      </c>
      <c r="E296" s="10">
        <v>5.8222530919000004</v>
      </c>
      <c r="F296" s="10">
        <v>6.4771609292000001</v>
      </c>
      <c r="G296" s="10">
        <v>6.6627647468999998</v>
      </c>
      <c r="H296" s="10">
        <v>6.9827672757999997</v>
      </c>
      <c r="I296" s="10">
        <v>7.1621576631000003</v>
      </c>
    </row>
    <row r="297" spans="1:9" x14ac:dyDescent="0.2">
      <c r="A297">
        <v>19760930</v>
      </c>
      <c r="B297">
        <f t="shared" si="4"/>
        <v>197609</v>
      </c>
      <c r="C297" s="10">
        <v>5.0817996837999999</v>
      </c>
      <c r="D297" s="10">
        <v>5.1530985609000002</v>
      </c>
      <c r="E297" s="10">
        <v>5.7220057204000003</v>
      </c>
      <c r="F297" s="10">
        <v>6.2218472555000002</v>
      </c>
      <c r="G297" s="10">
        <v>6.5667445417000003</v>
      </c>
      <c r="H297" s="10">
        <v>6.7271467180000002</v>
      </c>
      <c r="I297" s="10">
        <v>7.0058708193000001</v>
      </c>
    </row>
    <row r="298" spans="1:9" x14ac:dyDescent="0.2">
      <c r="A298">
        <v>19761029</v>
      </c>
      <c r="B298">
        <f t="shared" si="4"/>
        <v>197610</v>
      </c>
      <c r="C298" s="10">
        <v>4.7555174529000004</v>
      </c>
      <c r="D298" s="10">
        <v>4.9782131246999999</v>
      </c>
      <c r="E298" s="10">
        <v>5.4232461897000004</v>
      </c>
      <c r="F298" s="10">
        <v>5.9542725177999998</v>
      </c>
      <c r="G298" s="10">
        <v>6.2304101735000001</v>
      </c>
      <c r="H298" s="10">
        <v>6.4719871531999997</v>
      </c>
      <c r="I298" s="10">
        <v>6.7266258475000003</v>
      </c>
    </row>
    <row r="299" spans="1:9" x14ac:dyDescent="0.2">
      <c r="A299">
        <v>19761130</v>
      </c>
      <c r="B299">
        <f t="shared" si="4"/>
        <v>197611</v>
      </c>
      <c r="C299" s="10">
        <v>4.3471995354999997</v>
      </c>
      <c r="D299" s="10">
        <v>4.4969045407000001</v>
      </c>
      <c r="E299" s="10">
        <v>4.9148885336000001</v>
      </c>
      <c r="F299" s="10">
        <v>5.3256672777</v>
      </c>
      <c r="G299" s="10">
        <v>5.6039655424000001</v>
      </c>
      <c r="H299" s="10">
        <v>5.8572265461999997</v>
      </c>
      <c r="I299" s="10">
        <v>6.0522388941000003</v>
      </c>
    </row>
    <row r="300" spans="1:9" x14ac:dyDescent="0.2">
      <c r="A300">
        <v>19761231</v>
      </c>
      <c r="B300">
        <f t="shared" si="4"/>
        <v>197612</v>
      </c>
      <c r="C300" s="10">
        <v>4.2566144260999996</v>
      </c>
      <c r="D300" s="10">
        <v>4.4038154861000001</v>
      </c>
      <c r="E300" s="10">
        <v>4.7676659363000002</v>
      </c>
      <c r="F300" s="10">
        <v>5.2992948856000002</v>
      </c>
      <c r="G300" s="10">
        <v>5.6821085365000004</v>
      </c>
      <c r="H300" s="10">
        <v>5.7711509097000002</v>
      </c>
      <c r="I300" s="10">
        <v>6.0894670928999997</v>
      </c>
    </row>
    <row r="301" spans="1:9" x14ac:dyDescent="0.2">
      <c r="A301">
        <v>19770131</v>
      </c>
      <c r="B301">
        <f t="shared" si="4"/>
        <v>197701</v>
      </c>
      <c r="C301" s="10">
        <v>4.5510384388</v>
      </c>
      <c r="D301" s="10">
        <v>4.8557110777999997</v>
      </c>
      <c r="E301" s="10">
        <v>5.5872096541999996</v>
      </c>
      <c r="F301" s="10">
        <v>6.0765138382000004</v>
      </c>
      <c r="G301" s="10">
        <v>6.4807477652000003</v>
      </c>
      <c r="H301" s="10">
        <v>6.7124962718000001</v>
      </c>
      <c r="I301" s="10">
        <v>6.7538466699999997</v>
      </c>
    </row>
    <row r="302" spans="1:9" x14ac:dyDescent="0.2">
      <c r="A302">
        <v>19770228</v>
      </c>
      <c r="B302">
        <f t="shared" si="4"/>
        <v>197702</v>
      </c>
      <c r="C302" s="10">
        <v>4.4288747499000003</v>
      </c>
      <c r="D302" s="10">
        <v>4.7941247056999998</v>
      </c>
      <c r="E302" s="10">
        <v>5.4577977197000003</v>
      </c>
      <c r="F302" s="10">
        <v>5.9882030726000002</v>
      </c>
      <c r="G302" s="10">
        <v>6.4128279090999998</v>
      </c>
      <c r="H302" s="10">
        <v>6.7586522522000001</v>
      </c>
      <c r="I302" s="10">
        <v>6.8763996368999996</v>
      </c>
    </row>
    <row r="303" spans="1:9" x14ac:dyDescent="0.2">
      <c r="A303">
        <v>19770331</v>
      </c>
      <c r="B303">
        <f t="shared" si="4"/>
        <v>197703</v>
      </c>
      <c r="C303" s="10">
        <v>4.5414160932999996</v>
      </c>
      <c r="D303" s="10">
        <v>4.6091590849999999</v>
      </c>
      <c r="E303" s="10">
        <v>5.3518494397999996</v>
      </c>
      <c r="F303" s="10">
        <v>5.9150281282000003</v>
      </c>
      <c r="G303" s="10">
        <v>6.3508519938000001</v>
      </c>
      <c r="H303" s="10">
        <v>6.6715293306000003</v>
      </c>
      <c r="I303" s="10">
        <v>6.8565772387999999</v>
      </c>
    </row>
    <row r="304" spans="1:9" x14ac:dyDescent="0.2">
      <c r="A304">
        <v>19770429</v>
      </c>
      <c r="B304">
        <f t="shared" si="4"/>
        <v>197704</v>
      </c>
      <c r="C304" s="10">
        <v>4.3884197405999998</v>
      </c>
      <c r="D304" s="10">
        <v>4.7627158420000004</v>
      </c>
      <c r="E304" s="10">
        <v>5.4259854170999997</v>
      </c>
      <c r="F304" s="10">
        <v>6.0010391079999996</v>
      </c>
      <c r="G304" s="10">
        <v>6.3084995355000002</v>
      </c>
      <c r="H304" s="10">
        <v>6.7093401693999999</v>
      </c>
      <c r="I304" s="10">
        <v>6.8304153558999996</v>
      </c>
    </row>
    <row r="305" spans="1:9" x14ac:dyDescent="0.2">
      <c r="A305">
        <v>19770531</v>
      </c>
      <c r="B305">
        <f t="shared" si="4"/>
        <v>197705</v>
      </c>
      <c r="C305" s="10">
        <v>4.8350901508000002</v>
      </c>
      <c r="D305" s="10">
        <v>5.1127429811000003</v>
      </c>
      <c r="E305" s="10">
        <v>5.6453807313000004</v>
      </c>
      <c r="F305" s="10">
        <v>6.0811424116000001</v>
      </c>
      <c r="G305" s="10">
        <v>6.3322612248999999</v>
      </c>
      <c r="H305" s="10">
        <v>6.6529869103000001</v>
      </c>
      <c r="I305" s="10">
        <v>6.7982117269</v>
      </c>
    </row>
    <row r="306" spans="1:9" x14ac:dyDescent="0.2">
      <c r="A306">
        <v>19770630</v>
      </c>
      <c r="B306">
        <f t="shared" si="4"/>
        <v>197706</v>
      </c>
      <c r="C306" s="10">
        <v>4.9493680019999999</v>
      </c>
      <c r="D306" s="10">
        <v>5.0709500032000001</v>
      </c>
      <c r="E306" s="10">
        <v>5.6094171759</v>
      </c>
      <c r="F306" s="10">
        <v>5.9715127542999999</v>
      </c>
      <c r="G306" s="10">
        <v>6.1720114522999996</v>
      </c>
      <c r="H306" s="10">
        <v>6.4632708081999999</v>
      </c>
      <c r="I306" s="10">
        <v>6.6153507754999996</v>
      </c>
    </row>
    <row r="307" spans="1:9" x14ac:dyDescent="0.2">
      <c r="A307">
        <v>19770729</v>
      </c>
      <c r="B307">
        <f t="shared" si="4"/>
        <v>197707</v>
      </c>
      <c r="C307" s="10">
        <v>5.3463325225</v>
      </c>
      <c r="D307" s="10">
        <v>5.4917251751</v>
      </c>
      <c r="E307" s="10">
        <v>6.1189634621</v>
      </c>
      <c r="F307" s="10">
        <v>6.3716480592</v>
      </c>
      <c r="G307" s="10">
        <v>6.5120988579999999</v>
      </c>
      <c r="H307" s="10">
        <v>6.7817326422999997</v>
      </c>
      <c r="I307" s="10">
        <v>6.9069512663000001</v>
      </c>
    </row>
    <row r="308" spans="1:9" x14ac:dyDescent="0.2">
      <c r="A308">
        <v>19770831</v>
      </c>
      <c r="B308">
        <f t="shared" si="4"/>
        <v>197708</v>
      </c>
      <c r="C308" s="10">
        <v>5.3776986433999996</v>
      </c>
      <c r="D308" s="10">
        <v>5.6673768277000001</v>
      </c>
      <c r="E308" s="10">
        <v>6.2364841763000003</v>
      </c>
      <c r="F308" s="10">
        <v>6.4807177294000002</v>
      </c>
      <c r="G308" s="10">
        <v>6.6170069503000004</v>
      </c>
      <c r="H308" s="10">
        <v>6.7623764691000003</v>
      </c>
      <c r="I308" s="10">
        <v>6.8406078982</v>
      </c>
    </row>
    <row r="309" spans="1:9" x14ac:dyDescent="0.2">
      <c r="A309">
        <v>19770930</v>
      </c>
      <c r="B309">
        <f t="shared" si="4"/>
        <v>197709</v>
      </c>
      <c r="C309" s="10">
        <v>5.8151636363000003</v>
      </c>
      <c r="D309" s="10">
        <v>6.0059253003000004</v>
      </c>
      <c r="E309" s="10">
        <v>6.4789511520999996</v>
      </c>
      <c r="F309" s="10">
        <v>6.6951338971999999</v>
      </c>
      <c r="G309" s="10">
        <v>6.7893146182999997</v>
      </c>
      <c r="H309" s="10">
        <v>6.8862921972000004</v>
      </c>
      <c r="I309" s="10">
        <v>6.9929334195999999</v>
      </c>
    </row>
    <row r="310" spans="1:9" x14ac:dyDescent="0.2">
      <c r="A310">
        <v>19771031</v>
      </c>
      <c r="B310">
        <f t="shared" si="4"/>
        <v>197710</v>
      </c>
      <c r="C310" s="10">
        <v>5.8240028232999999</v>
      </c>
      <c r="D310" s="10">
        <v>6.2551105595000003</v>
      </c>
      <c r="E310" s="10">
        <v>6.7823799308000003</v>
      </c>
      <c r="F310" s="10">
        <v>7.0194063645</v>
      </c>
      <c r="G310" s="10">
        <v>7.1224274673999997</v>
      </c>
      <c r="H310" s="10">
        <v>7.2141113931999996</v>
      </c>
      <c r="I310" s="10">
        <v>7.2736797342999999</v>
      </c>
    </row>
    <row r="311" spans="1:9" x14ac:dyDescent="0.2">
      <c r="A311">
        <v>19771130</v>
      </c>
      <c r="B311">
        <f t="shared" si="4"/>
        <v>197711</v>
      </c>
      <c r="C311" s="10">
        <v>5.6937504515999997</v>
      </c>
      <c r="D311" s="10">
        <v>6.1922433315000003</v>
      </c>
      <c r="E311" s="10">
        <v>6.6253951549999996</v>
      </c>
      <c r="F311" s="10">
        <v>6.9831797712999997</v>
      </c>
      <c r="G311" s="10">
        <v>7.0491270035999998</v>
      </c>
      <c r="H311" s="10">
        <v>7.1226113113</v>
      </c>
      <c r="I311" s="10">
        <v>7.1987088619000001</v>
      </c>
    </row>
    <row r="312" spans="1:9" x14ac:dyDescent="0.2">
      <c r="A312">
        <v>19771230</v>
      </c>
      <c r="B312">
        <f t="shared" si="4"/>
        <v>197712</v>
      </c>
      <c r="C312" s="10">
        <v>5.7540250100000003</v>
      </c>
      <c r="D312" s="10">
        <v>6.2426617574999996</v>
      </c>
      <c r="E312" s="10">
        <v>6.8348153730999996</v>
      </c>
      <c r="F312" s="10">
        <v>7.0810151521</v>
      </c>
      <c r="G312" s="10">
        <v>7.1644625939999997</v>
      </c>
      <c r="H312" s="10">
        <v>7.3226064659999999</v>
      </c>
      <c r="I312" s="10">
        <v>7.4481111404</v>
      </c>
    </row>
    <row r="313" spans="1:9" x14ac:dyDescent="0.2">
      <c r="A313">
        <v>19780131</v>
      </c>
      <c r="B313">
        <f t="shared" si="4"/>
        <v>197801</v>
      </c>
      <c r="C313" s="10">
        <v>5.9967208538000003</v>
      </c>
      <c r="D313" s="10">
        <v>6.5625602326000001</v>
      </c>
      <c r="E313" s="10">
        <v>7.0700645193999998</v>
      </c>
      <c r="F313" s="10">
        <v>7.3261765957999998</v>
      </c>
      <c r="G313" s="10">
        <v>7.4048315075</v>
      </c>
      <c r="H313" s="10">
        <v>7.5366137703999998</v>
      </c>
      <c r="I313" s="10">
        <v>7.5889747422999996</v>
      </c>
    </row>
    <row r="314" spans="1:9" x14ac:dyDescent="0.2">
      <c r="A314">
        <v>19780228</v>
      </c>
      <c r="B314">
        <f t="shared" si="4"/>
        <v>197802</v>
      </c>
      <c r="C314" s="10">
        <v>6.0884251740000002</v>
      </c>
      <c r="D314" s="10">
        <v>6.5431376950000004</v>
      </c>
      <c r="E314" s="10">
        <v>7.1333645355000002</v>
      </c>
      <c r="F314" s="10">
        <v>7.4213317897</v>
      </c>
      <c r="G314" s="10">
        <v>7.5583751754000001</v>
      </c>
      <c r="H314" s="10">
        <v>7.6605055111000002</v>
      </c>
      <c r="I314" s="10">
        <v>7.7244933191999996</v>
      </c>
    </row>
    <row r="315" spans="1:9" x14ac:dyDescent="0.2">
      <c r="A315">
        <v>19780331</v>
      </c>
      <c r="B315">
        <f t="shared" si="4"/>
        <v>197803</v>
      </c>
      <c r="C315" s="10">
        <v>6.4972253571999996</v>
      </c>
      <c r="D315" s="10">
        <v>6.6031938383000002</v>
      </c>
      <c r="E315" s="10">
        <v>7.1635161970999999</v>
      </c>
      <c r="F315" s="10">
        <v>7.5513763308000001</v>
      </c>
      <c r="G315" s="10">
        <v>7.641495237</v>
      </c>
      <c r="H315" s="10">
        <v>7.7521303041999996</v>
      </c>
      <c r="I315" s="10">
        <v>7.7725478633999998</v>
      </c>
    </row>
    <row r="316" spans="1:9" x14ac:dyDescent="0.2">
      <c r="A316">
        <v>19780428</v>
      </c>
      <c r="B316">
        <f t="shared" si="4"/>
        <v>197804</v>
      </c>
      <c r="C316" s="10">
        <v>6.0486483398999997</v>
      </c>
      <c r="D316" s="10">
        <v>6.3662304154999996</v>
      </c>
      <c r="E316" s="10">
        <v>7.3517586739</v>
      </c>
      <c r="F316" s="10">
        <v>7.6075321882000004</v>
      </c>
      <c r="G316" s="10">
        <v>7.7620872383000004</v>
      </c>
      <c r="H316" s="10">
        <v>7.8264039378000003</v>
      </c>
      <c r="I316" s="10">
        <v>7.9052740110000004</v>
      </c>
    </row>
    <row r="317" spans="1:9" x14ac:dyDescent="0.2">
      <c r="A317">
        <v>19780531</v>
      </c>
      <c r="B317">
        <f t="shared" si="4"/>
        <v>197805</v>
      </c>
      <c r="C317" s="10">
        <v>6.5097372536</v>
      </c>
      <c r="D317" s="10">
        <v>6.779692882</v>
      </c>
      <c r="E317" s="10">
        <v>7.7630791188000003</v>
      </c>
      <c r="F317" s="10">
        <v>7.9366601924999998</v>
      </c>
      <c r="G317" s="10">
        <v>7.9751263195000002</v>
      </c>
      <c r="H317" s="10">
        <v>8.0179172043999998</v>
      </c>
      <c r="I317" s="10">
        <v>8.1211576803999996</v>
      </c>
    </row>
    <row r="318" spans="1:9" x14ac:dyDescent="0.2">
      <c r="A318">
        <v>19780630</v>
      </c>
      <c r="B318">
        <f t="shared" si="4"/>
        <v>197806</v>
      </c>
      <c r="C318" s="10">
        <v>6.5595704755000002</v>
      </c>
      <c r="D318" s="10">
        <v>7.1600570689999996</v>
      </c>
      <c r="E318" s="10">
        <v>8.1936102267000006</v>
      </c>
      <c r="F318" s="10">
        <v>8.2894500373</v>
      </c>
      <c r="G318" s="10">
        <v>8.3047806597000005</v>
      </c>
      <c r="H318" s="10">
        <v>8.3049900066000006</v>
      </c>
      <c r="I318" s="10">
        <v>8.3111641181000007</v>
      </c>
    </row>
    <row r="319" spans="1:9" x14ac:dyDescent="0.2">
      <c r="A319">
        <v>19780731</v>
      </c>
      <c r="B319">
        <f t="shared" si="4"/>
        <v>197807</v>
      </c>
      <c r="C319" s="10">
        <v>6.5170219182000002</v>
      </c>
      <c r="D319" s="10">
        <v>7.0183211630000004</v>
      </c>
      <c r="E319" s="10">
        <v>8.0502908939999998</v>
      </c>
      <c r="F319" s="10">
        <v>8.2770527057999992</v>
      </c>
      <c r="G319" s="10">
        <v>8.2503250351999995</v>
      </c>
      <c r="H319" s="10">
        <v>8.2101774808000005</v>
      </c>
      <c r="I319" s="10">
        <v>8.2463931063999993</v>
      </c>
    </row>
    <row r="320" spans="1:9" x14ac:dyDescent="0.2">
      <c r="A320">
        <v>19780831</v>
      </c>
      <c r="B320">
        <f t="shared" si="4"/>
        <v>197808</v>
      </c>
      <c r="C320" s="10">
        <v>7.6013808131999996</v>
      </c>
      <c r="D320" s="10">
        <v>7.6978487686000001</v>
      </c>
      <c r="E320" s="10">
        <v>8.2537990911999994</v>
      </c>
      <c r="F320" s="10">
        <v>8.2593046444000002</v>
      </c>
      <c r="G320" s="10">
        <v>8.1601900511000007</v>
      </c>
      <c r="H320" s="10">
        <v>8.1730780052000007</v>
      </c>
      <c r="I320" s="10">
        <v>8.1875874880000001</v>
      </c>
    </row>
    <row r="321" spans="1:9" x14ac:dyDescent="0.2">
      <c r="A321">
        <v>19780929</v>
      </c>
      <c r="B321">
        <f t="shared" si="4"/>
        <v>197809</v>
      </c>
      <c r="C321" s="10">
        <v>8.0193091667999994</v>
      </c>
      <c r="D321" s="10">
        <v>8.1519473569999992</v>
      </c>
      <c r="E321" s="10">
        <v>8.5530021783999999</v>
      </c>
      <c r="F321" s="10">
        <v>8.4260999912999992</v>
      </c>
      <c r="G321" s="10">
        <v>8.2451732245000002</v>
      </c>
      <c r="H321" s="10">
        <v>8.2692499950999991</v>
      </c>
      <c r="I321" s="10">
        <v>8.2761356209999999</v>
      </c>
    </row>
    <row r="322" spans="1:9" x14ac:dyDescent="0.2">
      <c r="A322">
        <v>19781031</v>
      </c>
      <c r="B322">
        <f t="shared" si="4"/>
        <v>197810</v>
      </c>
      <c r="C322" s="10">
        <v>8.5363841007999994</v>
      </c>
      <c r="D322" s="10">
        <v>8.9422120295000003</v>
      </c>
      <c r="E322" s="10">
        <v>9.5060118170999992</v>
      </c>
      <c r="F322" s="10">
        <v>9.2347566023999992</v>
      </c>
      <c r="G322" s="10">
        <v>9.0619974717999998</v>
      </c>
      <c r="H322" s="10">
        <v>8.998485896</v>
      </c>
      <c r="I322" s="10">
        <v>8.7192013185999997</v>
      </c>
    </row>
    <row r="323" spans="1:9" x14ac:dyDescent="0.2">
      <c r="A323">
        <v>19781130</v>
      </c>
      <c r="B323">
        <f t="shared" si="4"/>
        <v>197811</v>
      </c>
      <c r="C323" s="10">
        <v>9.0628587331000006</v>
      </c>
      <c r="D323" s="10">
        <v>9.2200248426000009</v>
      </c>
      <c r="E323" s="10">
        <v>9.7437405928</v>
      </c>
      <c r="F323" s="10">
        <v>9.2865751211000003</v>
      </c>
      <c r="G323" s="10">
        <v>8.8789850302000008</v>
      </c>
      <c r="H323" s="10">
        <v>8.6898609314000002</v>
      </c>
      <c r="I323" s="10">
        <v>8.5327879471999992</v>
      </c>
    </row>
    <row r="324" spans="1:9" x14ac:dyDescent="0.2">
      <c r="A324">
        <v>19781229</v>
      </c>
      <c r="B324">
        <f t="shared" si="4"/>
        <v>197812</v>
      </c>
      <c r="C324" s="10">
        <v>8.4280128146000006</v>
      </c>
      <c r="D324" s="10">
        <v>9.4782374937</v>
      </c>
      <c r="E324" s="10">
        <v>10.142213346</v>
      </c>
      <c r="F324" s="10">
        <v>9.6294210558</v>
      </c>
      <c r="G324" s="10">
        <v>9.3625888828000008</v>
      </c>
      <c r="H324" s="10">
        <v>9.0923254339999993</v>
      </c>
      <c r="I324" s="10">
        <v>9.0143866068000005</v>
      </c>
    </row>
    <row r="325" spans="1:9" x14ac:dyDescent="0.2">
      <c r="A325">
        <v>19790131</v>
      </c>
      <c r="B325">
        <f t="shared" si="4"/>
        <v>197901</v>
      </c>
      <c r="C325" s="10">
        <v>9.5219756131000004</v>
      </c>
      <c r="D325" s="10">
        <v>9.5118662488000005</v>
      </c>
      <c r="E325" s="10">
        <v>9.7808701391999993</v>
      </c>
      <c r="F325" s="10">
        <v>9.3687426708999997</v>
      </c>
      <c r="G325" s="10">
        <v>8.9234272025999992</v>
      </c>
      <c r="H325" s="10">
        <v>8.7071212339000006</v>
      </c>
      <c r="I325" s="10">
        <v>8.6994980167999998</v>
      </c>
    </row>
    <row r="326" spans="1:9" x14ac:dyDescent="0.2">
      <c r="A326">
        <v>19790228</v>
      </c>
      <c r="B326">
        <f t="shared" si="4"/>
        <v>197902</v>
      </c>
      <c r="C326" s="10">
        <v>9.5424300333000005</v>
      </c>
      <c r="D326" s="10">
        <v>9.6780640866999992</v>
      </c>
      <c r="E326" s="10">
        <v>9.9046080875999998</v>
      </c>
      <c r="F326" s="10">
        <v>9.6058954206999996</v>
      </c>
      <c r="G326" s="10">
        <v>9.0321327358999994</v>
      </c>
      <c r="H326" s="10">
        <v>9.0265691516000004</v>
      </c>
      <c r="I326" s="10">
        <v>9.0345689063000005</v>
      </c>
    </row>
    <row r="327" spans="1:9" x14ac:dyDescent="0.2">
      <c r="A327">
        <v>19790330</v>
      </c>
      <c r="B327">
        <f t="shared" ref="B327:B390" si="5">ROUND(A327/100,0)</f>
        <v>197903</v>
      </c>
      <c r="C327" s="10">
        <v>9.6421703239000003</v>
      </c>
      <c r="D327" s="10">
        <v>9.6650897426999993</v>
      </c>
      <c r="E327" s="10">
        <v>9.5783614288999992</v>
      </c>
      <c r="F327" s="10">
        <v>9.4323440923999993</v>
      </c>
      <c r="G327" s="10">
        <v>9.0402567072999993</v>
      </c>
      <c r="H327" s="10">
        <v>8.9444564219</v>
      </c>
      <c r="I327" s="10">
        <v>8.914972594</v>
      </c>
    </row>
    <row r="328" spans="1:9" x14ac:dyDescent="0.2">
      <c r="A328">
        <v>19790430</v>
      </c>
      <c r="B328">
        <f t="shared" si="5"/>
        <v>197904</v>
      </c>
      <c r="C328" s="10">
        <v>9.5693372512000003</v>
      </c>
      <c r="D328" s="10">
        <v>9.7326300083999993</v>
      </c>
      <c r="E328" s="10">
        <v>9.7617201276000003</v>
      </c>
      <c r="F328" s="10">
        <v>9.6316479019999992</v>
      </c>
      <c r="G328" s="10">
        <v>9.1743342582</v>
      </c>
      <c r="H328" s="10">
        <v>9.0927994919999993</v>
      </c>
      <c r="I328" s="10">
        <v>9.0550724361999997</v>
      </c>
    </row>
    <row r="329" spans="1:9" x14ac:dyDescent="0.2">
      <c r="A329">
        <v>19790531</v>
      </c>
      <c r="B329">
        <f t="shared" si="5"/>
        <v>197905</v>
      </c>
      <c r="C329" s="10">
        <v>9.6869363073999999</v>
      </c>
      <c r="D329" s="10">
        <v>9.8118066567</v>
      </c>
      <c r="E329" s="10">
        <v>9.6208115795999998</v>
      </c>
      <c r="F329" s="10">
        <v>9.2757438402000005</v>
      </c>
      <c r="G329" s="10">
        <v>8.8102343407999992</v>
      </c>
      <c r="H329" s="10">
        <v>8.8076399988999992</v>
      </c>
      <c r="I329" s="10">
        <v>8.6781287172999999</v>
      </c>
    </row>
    <row r="330" spans="1:9" x14ac:dyDescent="0.2">
      <c r="A330">
        <v>19790629</v>
      </c>
      <c r="B330">
        <f t="shared" si="5"/>
        <v>197906</v>
      </c>
      <c r="C330" s="10">
        <v>8.9901567044000004</v>
      </c>
      <c r="D330" s="10">
        <v>9.1566314960999993</v>
      </c>
      <c r="E330" s="10">
        <v>9.1072430882000006</v>
      </c>
      <c r="F330" s="10">
        <v>8.6327544618999994</v>
      </c>
      <c r="G330" s="10">
        <v>8.5261549089000006</v>
      </c>
      <c r="H330" s="10">
        <v>8.4918904801000004</v>
      </c>
      <c r="I330" s="10">
        <v>8.3416310555000006</v>
      </c>
    </row>
    <row r="331" spans="1:9" x14ac:dyDescent="0.2">
      <c r="A331">
        <v>19790731</v>
      </c>
      <c r="B331">
        <f t="shared" si="5"/>
        <v>197907</v>
      </c>
      <c r="C331" s="10">
        <v>9.0981299697000004</v>
      </c>
      <c r="D331" s="10">
        <v>9.3988690291000001</v>
      </c>
      <c r="E331" s="10">
        <v>9.4156865803999992</v>
      </c>
      <c r="F331" s="10">
        <v>9.0472254291999992</v>
      </c>
      <c r="G331" s="10">
        <v>8.7924040569000006</v>
      </c>
      <c r="H331" s="10">
        <v>8.7102298225000006</v>
      </c>
      <c r="I331" s="10">
        <v>8.5840358086999995</v>
      </c>
    </row>
    <row r="332" spans="1:9" x14ac:dyDescent="0.2">
      <c r="A332">
        <v>19790831</v>
      </c>
      <c r="B332">
        <f t="shared" si="5"/>
        <v>197908</v>
      </c>
      <c r="C332" s="10">
        <v>10.054020185000001</v>
      </c>
      <c r="D332" s="10">
        <v>10.049452071999999</v>
      </c>
      <c r="E332" s="10">
        <v>10.053546029</v>
      </c>
      <c r="F332" s="10">
        <v>9.5475436104</v>
      </c>
      <c r="G332" s="10">
        <v>9.2193225587000001</v>
      </c>
      <c r="H332" s="10">
        <v>9.0431381414000001</v>
      </c>
      <c r="I332" s="10">
        <v>8.8509670906999993</v>
      </c>
    </row>
    <row r="333" spans="1:9" x14ac:dyDescent="0.2">
      <c r="A333">
        <v>19790928</v>
      </c>
      <c r="B333">
        <f t="shared" si="5"/>
        <v>197909</v>
      </c>
      <c r="C333" s="10">
        <v>10.279168062</v>
      </c>
      <c r="D333" s="10">
        <v>10.382183361999999</v>
      </c>
      <c r="E333" s="10">
        <v>10.580923161999999</v>
      </c>
      <c r="F333" s="10">
        <v>9.7695139827999995</v>
      </c>
      <c r="G333" s="10">
        <v>9.4961871298999991</v>
      </c>
      <c r="H333" s="10">
        <v>9.2140188984000009</v>
      </c>
      <c r="I333" s="10">
        <v>9.0904161963999996</v>
      </c>
    </row>
    <row r="334" spans="1:9" x14ac:dyDescent="0.2">
      <c r="A334">
        <v>19791031</v>
      </c>
      <c r="B334">
        <f t="shared" si="5"/>
        <v>197910</v>
      </c>
      <c r="C334" s="10">
        <v>11.717011922999999</v>
      </c>
      <c r="D334" s="10">
        <v>12.451281717000001</v>
      </c>
      <c r="E334" s="10">
        <v>12.419624567</v>
      </c>
      <c r="F334" s="10">
        <v>11.638402880999999</v>
      </c>
      <c r="G334" s="10">
        <v>11.220627133000001</v>
      </c>
      <c r="H334" s="10">
        <v>10.816694155</v>
      </c>
      <c r="I334" s="10">
        <v>10.614371052999999</v>
      </c>
    </row>
    <row r="335" spans="1:9" x14ac:dyDescent="0.2">
      <c r="A335">
        <v>19791130</v>
      </c>
      <c r="B335">
        <f t="shared" si="5"/>
        <v>197911</v>
      </c>
      <c r="C335" s="10">
        <v>10.903798848999999</v>
      </c>
      <c r="D335" s="10">
        <v>11.757541374000001</v>
      </c>
      <c r="E335" s="10">
        <v>11.182770186999999</v>
      </c>
      <c r="F335" s="10">
        <v>10.966124827</v>
      </c>
      <c r="G335" s="10">
        <v>10.151289478000001</v>
      </c>
      <c r="H335" s="10">
        <v>9.9585075312000004</v>
      </c>
      <c r="I335" s="10">
        <v>9.9661698932</v>
      </c>
    </row>
    <row r="336" spans="1:9" x14ac:dyDescent="0.2">
      <c r="A336">
        <v>19791231</v>
      </c>
      <c r="B336">
        <f t="shared" si="5"/>
        <v>197912</v>
      </c>
      <c r="C336" s="10">
        <v>9.3444829226999992</v>
      </c>
      <c r="D336" s="10">
        <v>12.252542994000001</v>
      </c>
      <c r="E336" s="10">
        <v>11.156473689</v>
      </c>
      <c r="F336" s="10">
        <v>10.836421413</v>
      </c>
      <c r="G336" s="10">
        <v>10.373996437000001</v>
      </c>
      <c r="H336" s="10">
        <v>10.114692156</v>
      </c>
      <c r="I336" s="10">
        <v>9.9572315548999999</v>
      </c>
    </row>
    <row r="337" spans="1:9" x14ac:dyDescent="0.2">
      <c r="A337">
        <v>19800131</v>
      </c>
      <c r="B337">
        <f t="shared" si="5"/>
        <v>198001</v>
      </c>
      <c r="C337" s="10">
        <v>11.721614021000001</v>
      </c>
      <c r="D337" s="10">
        <v>12.334104433</v>
      </c>
      <c r="E337" s="10">
        <v>11.614955395999999</v>
      </c>
      <c r="F337" s="10">
        <v>11.367369111</v>
      </c>
      <c r="G337" s="10">
        <v>10.778345032000001</v>
      </c>
      <c r="H337" s="10">
        <v>10.69160112</v>
      </c>
      <c r="I337" s="10">
        <v>10.590300824</v>
      </c>
    </row>
    <row r="338" spans="1:9" x14ac:dyDescent="0.2">
      <c r="A338">
        <v>19800229</v>
      </c>
      <c r="B338">
        <f t="shared" si="5"/>
        <v>198002</v>
      </c>
      <c r="C338" s="10">
        <v>13.616367857</v>
      </c>
      <c r="D338" s="10">
        <v>14.406781820000001</v>
      </c>
      <c r="E338" s="10">
        <v>14.386860789</v>
      </c>
      <c r="F338" s="10">
        <v>13.678717403</v>
      </c>
      <c r="G338" s="10">
        <v>13.248403356000001</v>
      </c>
      <c r="H338" s="10">
        <v>12.672703412000001</v>
      </c>
      <c r="I338" s="10">
        <v>12.198075802</v>
      </c>
    </row>
    <row r="339" spans="1:9" x14ac:dyDescent="0.2">
      <c r="A339">
        <v>19800331</v>
      </c>
      <c r="B339">
        <f t="shared" si="5"/>
        <v>198003</v>
      </c>
      <c r="C339" s="10">
        <v>15.050646802999999</v>
      </c>
      <c r="D339" s="10">
        <v>15.398115221999999</v>
      </c>
      <c r="E339" s="10">
        <v>14.879870597</v>
      </c>
      <c r="F339" s="10">
        <v>13.982430418</v>
      </c>
      <c r="G339" s="10">
        <v>13.016066997999999</v>
      </c>
      <c r="H339" s="10">
        <v>12.279614514</v>
      </c>
      <c r="I339" s="10">
        <v>12.235968412</v>
      </c>
    </row>
    <row r="340" spans="1:9" x14ac:dyDescent="0.2">
      <c r="A340">
        <v>19800430</v>
      </c>
      <c r="B340">
        <f t="shared" si="5"/>
        <v>198004</v>
      </c>
      <c r="C340" s="10">
        <v>9.2379298527000007</v>
      </c>
      <c r="D340" s="10">
        <v>10.635028628000001</v>
      </c>
      <c r="E340" s="10">
        <v>10.374664958</v>
      </c>
      <c r="F340" s="10">
        <v>10.513088762000001</v>
      </c>
      <c r="G340" s="10">
        <v>10.181193908999999</v>
      </c>
      <c r="H340" s="10">
        <v>10.015635421000001</v>
      </c>
      <c r="I340" s="10">
        <v>10.172355951</v>
      </c>
    </row>
    <row r="341" spans="1:9" x14ac:dyDescent="0.2">
      <c r="A341">
        <v>19800530</v>
      </c>
      <c r="B341">
        <f t="shared" si="5"/>
        <v>198005</v>
      </c>
      <c r="C341" s="10">
        <v>7.1820263316000004</v>
      </c>
      <c r="D341" s="10">
        <v>7.9037431267000002</v>
      </c>
      <c r="E341" s="10">
        <v>8.5249336289999995</v>
      </c>
      <c r="F341" s="10">
        <v>8.7597725592</v>
      </c>
      <c r="G341" s="10">
        <v>9.0708345979999994</v>
      </c>
      <c r="H341" s="10">
        <v>9.2738507857000005</v>
      </c>
      <c r="I341" s="10">
        <v>9.5819675365000005</v>
      </c>
    </row>
    <row r="342" spans="1:9" x14ac:dyDescent="0.2">
      <c r="A342">
        <v>19800630</v>
      </c>
      <c r="B342">
        <f t="shared" si="5"/>
        <v>198006</v>
      </c>
      <c r="C342" s="10">
        <v>6.2010228155</v>
      </c>
      <c r="D342" s="10">
        <v>8.0934904011000004</v>
      </c>
      <c r="E342" s="10">
        <v>8.2144023864999998</v>
      </c>
      <c r="F342" s="10">
        <v>8.7422934271999999</v>
      </c>
      <c r="G342" s="10">
        <v>9.0359923948999992</v>
      </c>
      <c r="H342" s="10">
        <v>9.1596910957999995</v>
      </c>
      <c r="I342" s="10">
        <v>9.3989402644000002</v>
      </c>
    </row>
    <row r="343" spans="1:9" x14ac:dyDescent="0.2">
      <c r="A343">
        <v>19800731</v>
      </c>
      <c r="B343">
        <f t="shared" si="5"/>
        <v>198007</v>
      </c>
      <c r="C343" s="10">
        <v>7.4992604534999998</v>
      </c>
      <c r="D343" s="10">
        <v>8.8052620288999996</v>
      </c>
      <c r="E343" s="10">
        <v>8.9034317506999994</v>
      </c>
      <c r="F343" s="10">
        <v>9.4710212308999999</v>
      </c>
      <c r="G343" s="10">
        <v>9.7340249536000005</v>
      </c>
      <c r="H343" s="10">
        <v>9.7308305865999998</v>
      </c>
      <c r="I343" s="10">
        <v>10.075969183</v>
      </c>
    </row>
    <row r="344" spans="1:9" x14ac:dyDescent="0.2">
      <c r="A344">
        <v>19800829</v>
      </c>
      <c r="B344">
        <f t="shared" si="5"/>
        <v>198008</v>
      </c>
      <c r="C344" s="10">
        <v>9.2969461594999991</v>
      </c>
      <c r="D344" s="10">
        <v>10.186034416</v>
      </c>
      <c r="E344" s="10">
        <v>11.014039239000001</v>
      </c>
      <c r="F344" s="10">
        <v>11.131283697000001</v>
      </c>
      <c r="G344" s="10">
        <v>11.231054088</v>
      </c>
      <c r="H344" s="10">
        <v>11.166499098999999</v>
      </c>
      <c r="I344" s="10">
        <v>11.277681567</v>
      </c>
    </row>
    <row r="345" spans="1:9" x14ac:dyDescent="0.2">
      <c r="A345">
        <v>19800930</v>
      </c>
      <c r="B345">
        <f t="shared" si="5"/>
        <v>198009</v>
      </c>
      <c r="C345" s="10">
        <v>10.794970513000001</v>
      </c>
      <c r="D345" s="10">
        <v>11.744304686</v>
      </c>
      <c r="E345" s="10">
        <v>11.751495953999999</v>
      </c>
      <c r="F345" s="10">
        <v>11.704571755</v>
      </c>
      <c r="G345" s="10">
        <v>11.57553304</v>
      </c>
      <c r="H345" s="10">
        <v>11.600991458999999</v>
      </c>
      <c r="I345" s="10">
        <v>11.502048519000001</v>
      </c>
    </row>
    <row r="346" spans="1:9" x14ac:dyDescent="0.2">
      <c r="A346">
        <v>19801031</v>
      </c>
      <c r="B346">
        <f t="shared" si="5"/>
        <v>198010</v>
      </c>
      <c r="C346" s="10">
        <v>11.682503146</v>
      </c>
      <c r="D346" s="10">
        <v>13.064291848</v>
      </c>
      <c r="E346" s="10">
        <v>12.955730363000001</v>
      </c>
      <c r="F346" s="10">
        <v>12.620227771</v>
      </c>
      <c r="G346" s="10">
        <v>12.331699974999999</v>
      </c>
      <c r="H346" s="10">
        <v>12.093672151</v>
      </c>
      <c r="I346" s="10">
        <v>12.250774941</v>
      </c>
    </row>
    <row r="347" spans="1:9" x14ac:dyDescent="0.2">
      <c r="A347">
        <v>19801128</v>
      </c>
      <c r="B347">
        <f t="shared" si="5"/>
        <v>198011</v>
      </c>
      <c r="C347" s="10">
        <v>14.651751019000001</v>
      </c>
      <c r="D347" s="10">
        <v>14.911354811000001</v>
      </c>
      <c r="E347" s="10">
        <v>14.148417717999999</v>
      </c>
      <c r="F347" s="10">
        <v>13.123996115000001</v>
      </c>
      <c r="G347" s="10">
        <v>12.824062849000001</v>
      </c>
      <c r="H347" s="10">
        <v>12.517542296</v>
      </c>
      <c r="I347" s="10">
        <v>12.569315252000001</v>
      </c>
    </row>
    <row r="348" spans="1:9" x14ac:dyDescent="0.2">
      <c r="A348">
        <v>19801231</v>
      </c>
      <c r="B348">
        <f t="shared" si="5"/>
        <v>198012</v>
      </c>
      <c r="C348" s="10">
        <v>12.527633629</v>
      </c>
      <c r="D348" s="10">
        <v>14.728077853</v>
      </c>
      <c r="E348" s="10">
        <v>12.811326205</v>
      </c>
      <c r="F348" s="10">
        <v>12.391842197000001</v>
      </c>
      <c r="G348" s="10">
        <v>11.974686910999999</v>
      </c>
      <c r="H348" s="10">
        <v>11.976597507999999</v>
      </c>
      <c r="I348" s="10">
        <v>11.878833388</v>
      </c>
    </row>
    <row r="349" spans="1:9" x14ac:dyDescent="0.2">
      <c r="A349">
        <v>19810130</v>
      </c>
      <c r="B349">
        <f t="shared" si="5"/>
        <v>198101</v>
      </c>
      <c r="C349" s="10">
        <v>13.919302366</v>
      </c>
      <c r="D349" s="10">
        <v>15.027078142000001</v>
      </c>
      <c r="E349" s="10">
        <v>13.490539135000001</v>
      </c>
      <c r="F349" s="10">
        <v>12.537197173999999</v>
      </c>
      <c r="G349" s="10">
        <v>12.249256233000001</v>
      </c>
      <c r="H349" s="10">
        <v>12.187332192</v>
      </c>
      <c r="I349" s="10">
        <v>12.259708188999999</v>
      </c>
    </row>
    <row r="350" spans="1:9" x14ac:dyDescent="0.2">
      <c r="A350">
        <v>19810227</v>
      </c>
      <c r="B350">
        <f t="shared" si="5"/>
        <v>198102</v>
      </c>
      <c r="C350" s="10">
        <v>14.032281898000001</v>
      </c>
      <c r="D350" s="10">
        <v>14.648476863000001</v>
      </c>
      <c r="E350" s="10">
        <v>14.041468541</v>
      </c>
      <c r="F350" s="10">
        <v>13.169898555</v>
      </c>
      <c r="G350" s="10">
        <v>13.208678948999999</v>
      </c>
      <c r="H350" s="10">
        <v>13.053638335</v>
      </c>
      <c r="I350" s="10">
        <v>13.012575168</v>
      </c>
    </row>
    <row r="351" spans="1:9" x14ac:dyDescent="0.2">
      <c r="A351">
        <v>19810331</v>
      </c>
      <c r="B351">
        <f t="shared" si="5"/>
        <v>198103</v>
      </c>
      <c r="C351" s="10">
        <v>13.016699447000001</v>
      </c>
      <c r="D351" s="10">
        <v>12.79894301</v>
      </c>
      <c r="E351" s="10">
        <v>12.603179753999999</v>
      </c>
      <c r="F351" s="10">
        <v>12.620892347</v>
      </c>
      <c r="G351" s="10">
        <v>12.634050586000001</v>
      </c>
      <c r="H351" s="10">
        <v>12.731541797</v>
      </c>
      <c r="I351" s="10">
        <v>12.854390799999999</v>
      </c>
    </row>
    <row r="352" spans="1:9" x14ac:dyDescent="0.2">
      <c r="A352">
        <v>19810430</v>
      </c>
      <c r="B352">
        <f t="shared" si="5"/>
        <v>198104</v>
      </c>
      <c r="C352" s="10">
        <v>13.819236045</v>
      </c>
      <c r="D352" s="10">
        <v>15.314509499</v>
      </c>
      <c r="E352" s="10">
        <v>14.510944452</v>
      </c>
      <c r="F352" s="10">
        <v>14.280051562000001</v>
      </c>
      <c r="G352" s="10">
        <v>13.768067157000001</v>
      </c>
      <c r="H352" s="10">
        <v>13.887204646000001</v>
      </c>
      <c r="I352" s="10">
        <v>13.737097709</v>
      </c>
    </row>
    <row r="353" spans="1:9" x14ac:dyDescent="0.2">
      <c r="A353">
        <v>19810529</v>
      </c>
      <c r="B353">
        <f t="shared" si="5"/>
        <v>198105</v>
      </c>
      <c r="C353" s="10">
        <v>16.150476854000001</v>
      </c>
      <c r="D353" s="10">
        <v>15.564031481000001</v>
      </c>
      <c r="E353" s="10">
        <v>14.395372831</v>
      </c>
      <c r="F353" s="10">
        <v>13.792497796999999</v>
      </c>
      <c r="G353" s="10">
        <v>13.491601937</v>
      </c>
      <c r="H353" s="10">
        <v>13.365577537</v>
      </c>
      <c r="I353" s="10">
        <v>13.107343531</v>
      </c>
    </row>
    <row r="354" spans="1:9" x14ac:dyDescent="0.2">
      <c r="A354">
        <v>19810630</v>
      </c>
      <c r="B354">
        <f t="shared" si="5"/>
        <v>198106</v>
      </c>
      <c r="C354" s="10">
        <v>14.411282282</v>
      </c>
      <c r="D354" s="10">
        <v>14.710043968000001</v>
      </c>
      <c r="E354" s="10">
        <v>13.905506054</v>
      </c>
      <c r="F354" s="10">
        <v>13.987683034</v>
      </c>
      <c r="G354" s="10">
        <v>13.554229306</v>
      </c>
      <c r="H354" s="10">
        <v>13.808265293</v>
      </c>
      <c r="I354" s="10">
        <v>13.227970938</v>
      </c>
    </row>
    <row r="355" spans="1:9" x14ac:dyDescent="0.2">
      <c r="A355">
        <v>19810731</v>
      </c>
      <c r="B355">
        <f t="shared" si="5"/>
        <v>198107</v>
      </c>
      <c r="C355" s="10">
        <v>14.957169615</v>
      </c>
      <c r="D355" s="10">
        <v>15.332313430999999</v>
      </c>
      <c r="E355" s="10">
        <v>15.349215668999999</v>
      </c>
      <c r="F355" s="10">
        <v>15.136113475</v>
      </c>
      <c r="G355" s="10">
        <v>14.399791109000001</v>
      </c>
      <c r="H355" s="10">
        <v>14.316416805999999</v>
      </c>
      <c r="I355" s="10">
        <v>14.011902134</v>
      </c>
    </row>
    <row r="356" spans="1:9" x14ac:dyDescent="0.2">
      <c r="A356">
        <v>19810831</v>
      </c>
      <c r="B356">
        <f t="shared" si="5"/>
        <v>198108</v>
      </c>
      <c r="C356" s="10">
        <v>14.968477193</v>
      </c>
      <c r="D356" s="10">
        <v>16.042144738000001</v>
      </c>
      <c r="E356" s="10">
        <v>15.811565660999999</v>
      </c>
      <c r="F356" s="10">
        <v>15.639311396</v>
      </c>
      <c r="G356" s="10">
        <v>15.557441634</v>
      </c>
      <c r="H356" s="10">
        <v>14.901872022999999</v>
      </c>
      <c r="I356" s="10">
        <v>14.759202524999999</v>
      </c>
    </row>
    <row r="357" spans="1:9" x14ac:dyDescent="0.2">
      <c r="A357">
        <v>19810930</v>
      </c>
      <c r="B357">
        <f t="shared" si="5"/>
        <v>198109</v>
      </c>
      <c r="C357" s="10">
        <v>13.996604564</v>
      </c>
      <c r="D357" s="10">
        <v>14.906987098</v>
      </c>
      <c r="E357" s="10">
        <v>15.433053025</v>
      </c>
      <c r="F357" s="10">
        <v>15.592224118000001</v>
      </c>
      <c r="G357" s="10">
        <v>15.529138724999999</v>
      </c>
      <c r="H357" s="10">
        <v>15.823724721</v>
      </c>
      <c r="I357" s="10">
        <v>15.001366732999999</v>
      </c>
    </row>
    <row r="358" spans="1:9" x14ac:dyDescent="0.2">
      <c r="A358">
        <v>19811030</v>
      </c>
      <c r="B358">
        <f t="shared" si="5"/>
        <v>198110</v>
      </c>
      <c r="C358" s="10">
        <v>12.718200058000001</v>
      </c>
      <c r="D358" s="10">
        <v>13.106179360000001</v>
      </c>
      <c r="E358" s="10">
        <v>13.799493267000001</v>
      </c>
      <c r="F358" s="10">
        <v>13.96112078</v>
      </c>
      <c r="G358" s="10">
        <v>14.042896126</v>
      </c>
      <c r="H358" s="10">
        <v>14.290652213</v>
      </c>
      <c r="I358" s="10">
        <v>14.268702591</v>
      </c>
    </row>
    <row r="359" spans="1:9" x14ac:dyDescent="0.2">
      <c r="A359">
        <v>19811130</v>
      </c>
      <c r="B359">
        <f t="shared" si="5"/>
        <v>198111</v>
      </c>
      <c r="C359" s="10">
        <v>10.244136881999999</v>
      </c>
      <c r="D359" s="10">
        <v>10.586059621</v>
      </c>
      <c r="E359" s="10">
        <v>11.052231495999999</v>
      </c>
      <c r="F359" s="10">
        <v>11.576316157000001</v>
      </c>
      <c r="G359" s="10">
        <v>12.525088915</v>
      </c>
      <c r="H359" s="10">
        <v>12.255956506</v>
      </c>
      <c r="I359" s="10">
        <v>12.19110592</v>
      </c>
    </row>
    <row r="360" spans="1:9" x14ac:dyDescent="0.2">
      <c r="A360">
        <v>19811231</v>
      </c>
      <c r="B360">
        <f t="shared" si="5"/>
        <v>198112</v>
      </c>
      <c r="C360" s="10">
        <v>9.6357817264999994</v>
      </c>
      <c r="D360" s="10">
        <v>11.352493138</v>
      </c>
      <c r="E360" s="10">
        <v>12.899610738</v>
      </c>
      <c r="F360" s="10">
        <v>13.207524777</v>
      </c>
      <c r="G360" s="10">
        <v>13.475199659999999</v>
      </c>
      <c r="H360" s="10">
        <v>13.556127604</v>
      </c>
      <c r="I360" s="10">
        <v>13.437665726000001</v>
      </c>
    </row>
    <row r="361" spans="1:9" x14ac:dyDescent="0.2">
      <c r="A361">
        <v>19820129</v>
      </c>
      <c r="B361">
        <f t="shared" si="5"/>
        <v>198201</v>
      </c>
      <c r="C361" s="10">
        <v>11.928527163</v>
      </c>
      <c r="D361" s="10">
        <v>12.823534609999999</v>
      </c>
      <c r="E361" s="10">
        <v>13.560135107000001</v>
      </c>
      <c r="F361" s="10">
        <v>13.437911816</v>
      </c>
      <c r="G361" s="10">
        <v>13.71169924</v>
      </c>
      <c r="H361" s="10">
        <v>13.779728852</v>
      </c>
      <c r="I361" s="10">
        <v>13.615481513000001</v>
      </c>
    </row>
    <row r="362" spans="1:9" x14ac:dyDescent="0.2">
      <c r="A362">
        <v>19820226</v>
      </c>
      <c r="B362">
        <f t="shared" si="5"/>
        <v>198202</v>
      </c>
      <c r="C362" s="10">
        <v>11.826010304</v>
      </c>
      <c r="D362" s="10">
        <v>12.718902113</v>
      </c>
      <c r="E362" s="10">
        <v>13.733397724</v>
      </c>
      <c r="F362" s="10">
        <v>13.702444674000001</v>
      </c>
      <c r="G362" s="10">
        <v>13.566809624999999</v>
      </c>
      <c r="H362" s="10">
        <v>13.574662277</v>
      </c>
      <c r="I362" s="10">
        <v>13.425763051000001</v>
      </c>
    </row>
    <row r="363" spans="1:9" x14ac:dyDescent="0.2">
      <c r="A363">
        <v>19820331</v>
      </c>
      <c r="B363">
        <f t="shared" si="5"/>
        <v>198203</v>
      </c>
      <c r="C363" s="10">
        <v>13.421077154000001</v>
      </c>
      <c r="D363" s="10">
        <v>13.561813254</v>
      </c>
      <c r="E363" s="10">
        <v>13.656610326999999</v>
      </c>
      <c r="F363" s="10">
        <v>13.822430451000001</v>
      </c>
      <c r="G363" s="10">
        <v>13.876056068</v>
      </c>
      <c r="H363" s="10">
        <v>13.911152329</v>
      </c>
      <c r="I363" s="10">
        <v>13.544015865</v>
      </c>
    </row>
    <row r="364" spans="1:9" x14ac:dyDescent="0.2">
      <c r="A364">
        <v>19820430</v>
      </c>
      <c r="B364">
        <f t="shared" si="5"/>
        <v>198204</v>
      </c>
      <c r="C364" s="10">
        <v>12.236136493</v>
      </c>
      <c r="D364" s="10">
        <v>12.614296604</v>
      </c>
      <c r="E364" s="10">
        <v>13.341378097</v>
      </c>
      <c r="F364" s="10">
        <v>13.476719489000001</v>
      </c>
      <c r="G364" s="10">
        <v>13.400696977000001</v>
      </c>
      <c r="H364" s="10">
        <v>13.282922544</v>
      </c>
      <c r="I364" s="10">
        <v>13.128740407</v>
      </c>
    </row>
    <row r="365" spans="1:9" x14ac:dyDescent="0.2">
      <c r="A365">
        <v>19820528</v>
      </c>
      <c r="B365">
        <f t="shared" si="5"/>
        <v>198205</v>
      </c>
      <c r="C365" s="10">
        <v>11.43652284</v>
      </c>
      <c r="D365" s="10">
        <v>11.788866498000001</v>
      </c>
      <c r="E365" s="10">
        <v>12.707680849999999</v>
      </c>
      <c r="F365" s="10">
        <v>12.977405423</v>
      </c>
      <c r="G365" s="10">
        <v>13.170023329999999</v>
      </c>
      <c r="H365" s="10">
        <v>13.095580782000001</v>
      </c>
      <c r="I365" s="10">
        <v>13.127995883000001</v>
      </c>
    </row>
    <row r="366" spans="1:9" x14ac:dyDescent="0.2">
      <c r="A366">
        <v>19820630</v>
      </c>
      <c r="B366">
        <f t="shared" si="5"/>
        <v>198206</v>
      </c>
      <c r="C366" s="10">
        <v>11.778569609</v>
      </c>
      <c r="D366" s="10">
        <v>13.121416443999999</v>
      </c>
      <c r="E366" s="10">
        <v>13.962879075</v>
      </c>
      <c r="F366" s="10">
        <v>14.063977830000001</v>
      </c>
      <c r="G366" s="10">
        <v>14.205262766000001</v>
      </c>
      <c r="H366" s="10">
        <v>13.827750855</v>
      </c>
      <c r="I366" s="10">
        <v>14.022093706</v>
      </c>
    </row>
    <row r="367" spans="1:9" x14ac:dyDescent="0.2">
      <c r="A367">
        <v>19820730</v>
      </c>
      <c r="B367">
        <f t="shared" si="5"/>
        <v>198207</v>
      </c>
      <c r="C367" s="10">
        <v>8.9186291125999997</v>
      </c>
      <c r="D367" s="10">
        <v>10.423798915000001</v>
      </c>
      <c r="E367" s="10">
        <v>12.272544347</v>
      </c>
      <c r="F367" s="10">
        <v>12.793523351999999</v>
      </c>
      <c r="G367" s="10">
        <v>12.998882003</v>
      </c>
      <c r="H367" s="10">
        <v>12.783853622000001</v>
      </c>
      <c r="I367" s="10">
        <v>13.190315164999999</v>
      </c>
    </row>
    <row r="368" spans="1:9" x14ac:dyDescent="0.2">
      <c r="A368">
        <v>19820831</v>
      </c>
      <c r="B368">
        <f t="shared" si="5"/>
        <v>198208</v>
      </c>
      <c r="C368" s="10">
        <v>6.2106838961999999</v>
      </c>
      <c r="D368" s="10">
        <v>8.5897030897000004</v>
      </c>
      <c r="E368" s="10">
        <v>11.234516755</v>
      </c>
      <c r="F368" s="10">
        <v>11.619840664</v>
      </c>
      <c r="G368" s="10">
        <v>12.149241629</v>
      </c>
      <c r="H368" s="10">
        <v>12.447327601</v>
      </c>
      <c r="I368" s="10">
        <v>12.387180735999999</v>
      </c>
    </row>
    <row r="369" spans="1:9" x14ac:dyDescent="0.2">
      <c r="A369">
        <v>19820930</v>
      </c>
      <c r="B369">
        <f t="shared" si="5"/>
        <v>198209</v>
      </c>
      <c r="C369" s="10">
        <v>7.0194057465000004</v>
      </c>
      <c r="D369" s="10">
        <v>7.7805371593999997</v>
      </c>
      <c r="E369" s="10">
        <v>10.202543385</v>
      </c>
      <c r="F369" s="10">
        <v>10.957468628999999</v>
      </c>
      <c r="G369" s="10">
        <v>11.164951812</v>
      </c>
      <c r="H369" s="10">
        <v>11.133385970000001</v>
      </c>
      <c r="I369" s="10">
        <v>11.410716566</v>
      </c>
    </row>
    <row r="370" spans="1:9" x14ac:dyDescent="0.2">
      <c r="A370">
        <v>19821029</v>
      </c>
      <c r="B370">
        <f t="shared" si="5"/>
        <v>198210</v>
      </c>
      <c r="C370" s="10">
        <v>7.7026858296</v>
      </c>
      <c r="D370" s="10">
        <v>8.0588408162</v>
      </c>
      <c r="E370" s="10">
        <v>9.3712554829000005</v>
      </c>
      <c r="F370" s="10">
        <v>9.9210460969999996</v>
      </c>
      <c r="G370" s="10">
        <v>10.533699893</v>
      </c>
      <c r="H370" s="10">
        <v>10.270785127</v>
      </c>
      <c r="I370" s="10">
        <v>10.348915134</v>
      </c>
    </row>
    <row r="371" spans="1:9" x14ac:dyDescent="0.2">
      <c r="A371">
        <v>19821130</v>
      </c>
      <c r="B371">
        <f t="shared" si="5"/>
        <v>198211</v>
      </c>
      <c r="C371" s="10">
        <v>7.6280291665000002</v>
      </c>
      <c r="D371" s="10">
        <v>8.4549994653000002</v>
      </c>
      <c r="E371" s="10">
        <v>9.2109320457999999</v>
      </c>
      <c r="F371" s="10">
        <v>9.7001683460999999</v>
      </c>
      <c r="G371" s="10">
        <v>10.172767728</v>
      </c>
      <c r="H371" s="10">
        <v>10.605770127</v>
      </c>
      <c r="I371" s="10">
        <v>10.456102062999999</v>
      </c>
    </row>
    <row r="372" spans="1:9" x14ac:dyDescent="0.2">
      <c r="A372">
        <v>19821231</v>
      </c>
      <c r="B372">
        <f t="shared" si="5"/>
        <v>198212</v>
      </c>
      <c r="C372" s="10">
        <v>8.0601503571999995</v>
      </c>
      <c r="D372" s="10">
        <v>8.0795302307999997</v>
      </c>
      <c r="E372" s="10">
        <v>8.4907964356000001</v>
      </c>
      <c r="F372" s="10">
        <v>9.2695630193999996</v>
      </c>
      <c r="G372" s="10">
        <v>9.8343613775000005</v>
      </c>
      <c r="H372" s="10">
        <v>10.152504507</v>
      </c>
      <c r="I372" s="10">
        <v>10.267158027000001</v>
      </c>
    </row>
    <row r="373" spans="1:9" x14ac:dyDescent="0.2">
      <c r="A373">
        <v>19830131</v>
      </c>
      <c r="B373">
        <f t="shared" si="5"/>
        <v>198301</v>
      </c>
      <c r="C373" s="10">
        <v>8.0371050829000001</v>
      </c>
      <c r="D373" s="10">
        <v>8.2591675924000008</v>
      </c>
      <c r="E373" s="10">
        <v>8.7118613875000008</v>
      </c>
      <c r="F373" s="10">
        <v>9.3576799663999992</v>
      </c>
      <c r="G373" s="10">
        <v>10.020079088999999</v>
      </c>
      <c r="H373" s="10">
        <v>10.000308917</v>
      </c>
      <c r="I373" s="10">
        <v>10.464257843</v>
      </c>
    </row>
    <row r="374" spans="1:9" x14ac:dyDescent="0.2">
      <c r="A374">
        <v>19830228</v>
      </c>
      <c r="B374">
        <f t="shared" si="5"/>
        <v>198302</v>
      </c>
      <c r="C374" s="10">
        <v>7.4247662729000004</v>
      </c>
      <c r="D374" s="10">
        <v>8.1038504651000007</v>
      </c>
      <c r="E374" s="10">
        <v>8.4535640018000002</v>
      </c>
      <c r="F374" s="10">
        <v>9.1345324400999992</v>
      </c>
      <c r="G374" s="10">
        <v>9.5261157195999999</v>
      </c>
      <c r="H374" s="10">
        <v>9.9237743707000003</v>
      </c>
      <c r="I374" s="10">
        <v>10.04289183</v>
      </c>
    </row>
    <row r="375" spans="1:9" x14ac:dyDescent="0.2">
      <c r="A375">
        <v>19830331</v>
      </c>
      <c r="B375">
        <f t="shared" si="5"/>
        <v>198303</v>
      </c>
      <c r="C375" s="10">
        <v>8.5720773362999996</v>
      </c>
      <c r="D375" s="10">
        <v>8.8363413484999995</v>
      </c>
      <c r="E375" s="10">
        <v>9.1194336826000004</v>
      </c>
      <c r="F375" s="10">
        <v>9.6688823727000006</v>
      </c>
      <c r="G375" s="10">
        <v>10.006968085</v>
      </c>
      <c r="H375" s="10">
        <v>9.9564824102999996</v>
      </c>
      <c r="I375" s="10">
        <v>10.391100766999999</v>
      </c>
    </row>
    <row r="376" spans="1:9" x14ac:dyDescent="0.2">
      <c r="A376">
        <v>19830429</v>
      </c>
      <c r="B376">
        <f t="shared" si="5"/>
        <v>198304</v>
      </c>
      <c r="C376" s="10">
        <v>8.1112743388999995</v>
      </c>
      <c r="D376" s="10">
        <v>8.2553977013999997</v>
      </c>
      <c r="E376" s="10">
        <v>8.6153936085999998</v>
      </c>
      <c r="F376" s="10">
        <v>9.2051942524000001</v>
      </c>
      <c r="G376" s="10">
        <v>9.5571553332000008</v>
      </c>
      <c r="H376" s="10">
        <v>9.7216699558999995</v>
      </c>
      <c r="I376" s="10">
        <v>10.022297378999999</v>
      </c>
    </row>
    <row r="377" spans="1:9" x14ac:dyDescent="0.2">
      <c r="A377">
        <v>19830531</v>
      </c>
      <c r="B377">
        <f t="shared" si="5"/>
        <v>198305</v>
      </c>
      <c r="C377" s="10">
        <v>8.0770329298999997</v>
      </c>
      <c r="D377" s="10">
        <v>8.8592511231</v>
      </c>
      <c r="E377" s="10">
        <v>9.2283627111000008</v>
      </c>
      <c r="F377" s="10">
        <v>9.7909046360000005</v>
      </c>
      <c r="G377" s="10">
        <v>10.039633133000001</v>
      </c>
      <c r="H377" s="10">
        <v>10.335582241999999</v>
      </c>
      <c r="I377" s="10">
        <v>10.556200936</v>
      </c>
    </row>
    <row r="378" spans="1:9" x14ac:dyDescent="0.2">
      <c r="A378">
        <v>19830630</v>
      </c>
      <c r="B378">
        <f t="shared" si="5"/>
        <v>198306</v>
      </c>
      <c r="C378" s="10">
        <v>8.6947431470000005</v>
      </c>
      <c r="D378" s="10">
        <v>8.9814742853999991</v>
      </c>
      <c r="E378" s="10">
        <v>9.3988790998000002</v>
      </c>
      <c r="F378" s="10">
        <v>10.036083444999999</v>
      </c>
      <c r="G378" s="10">
        <v>10.168502404</v>
      </c>
      <c r="H378" s="10">
        <v>10.413565986</v>
      </c>
      <c r="I378" s="10">
        <v>10.749045009</v>
      </c>
    </row>
    <row r="379" spans="1:9" x14ac:dyDescent="0.2">
      <c r="A379">
        <v>19830729</v>
      </c>
      <c r="B379">
        <f t="shared" si="5"/>
        <v>198307</v>
      </c>
      <c r="C379" s="10">
        <v>8.9186345249999999</v>
      </c>
      <c r="D379" s="10">
        <v>9.4471048579999994</v>
      </c>
      <c r="E379" s="10">
        <v>10.191458171000001</v>
      </c>
      <c r="F379" s="10">
        <v>10.689291904999999</v>
      </c>
      <c r="G379" s="10">
        <v>10.949027369</v>
      </c>
      <c r="H379" s="10">
        <v>11.388992574</v>
      </c>
      <c r="I379" s="10">
        <v>11.522356048000001</v>
      </c>
    </row>
    <row r="380" spans="1:9" x14ac:dyDescent="0.2">
      <c r="A380">
        <v>19830831</v>
      </c>
      <c r="B380">
        <f t="shared" si="5"/>
        <v>198308</v>
      </c>
      <c r="C380" s="10">
        <v>9.1458334751999999</v>
      </c>
      <c r="D380" s="10">
        <v>9.4807235855999998</v>
      </c>
      <c r="E380" s="10">
        <v>10.293347224</v>
      </c>
      <c r="F380" s="10">
        <v>10.843834856000001</v>
      </c>
      <c r="G380" s="10">
        <v>11.132750749</v>
      </c>
      <c r="H380" s="10">
        <v>11.502333343</v>
      </c>
      <c r="I380" s="10">
        <v>11.741256403</v>
      </c>
    </row>
    <row r="381" spans="1:9" x14ac:dyDescent="0.2">
      <c r="A381">
        <v>19830930</v>
      </c>
      <c r="B381">
        <f t="shared" si="5"/>
        <v>198309</v>
      </c>
      <c r="C381" s="10">
        <v>8.7550479951</v>
      </c>
      <c r="D381" s="10">
        <v>8.9078097424999996</v>
      </c>
      <c r="E381" s="10">
        <v>9.6490013428000001</v>
      </c>
      <c r="F381" s="10">
        <v>10.272562911</v>
      </c>
      <c r="G381" s="10">
        <v>10.657054008999999</v>
      </c>
      <c r="H381" s="10">
        <v>10.770356614000001</v>
      </c>
      <c r="I381" s="10">
        <v>11.277166617000001</v>
      </c>
    </row>
    <row r="382" spans="1:9" x14ac:dyDescent="0.2">
      <c r="A382">
        <v>19831031</v>
      </c>
      <c r="B382">
        <f t="shared" si="5"/>
        <v>198310</v>
      </c>
      <c r="C382" s="10">
        <v>8.4455336433999992</v>
      </c>
      <c r="D382" s="10">
        <v>8.6840307699999997</v>
      </c>
      <c r="E382" s="10">
        <v>9.5056446236000003</v>
      </c>
      <c r="F382" s="10">
        <v>10.323609054</v>
      </c>
      <c r="G382" s="10">
        <v>10.763286235000001</v>
      </c>
      <c r="H382" s="10">
        <v>11.057427686</v>
      </c>
      <c r="I382" s="10">
        <v>11.224593077</v>
      </c>
    </row>
    <row r="383" spans="1:9" x14ac:dyDescent="0.2">
      <c r="A383">
        <v>19831130</v>
      </c>
      <c r="B383">
        <f t="shared" si="5"/>
        <v>198311</v>
      </c>
      <c r="C383" s="10">
        <v>8.5015156530000002</v>
      </c>
      <c r="D383" s="10">
        <v>9.0966893004999996</v>
      </c>
      <c r="E383" s="10">
        <v>9.6516248986999997</v>
      </c>
      <c r="F383" s="10">
        <v>10.394540356</v>
      </c>
      <c r="G383" s="10">
        <v>10.668287199</v>
      </c>
      <c r="H383" s="10">
        <v>11.083902073000001</v>
      </c>
      <c r="I383" s="10">
        <v>11.114442573</v>
      </c>
    </row>
    <row r="384" spans="1:9" x14ac:dyDescent="0.2">
      <c r="A384">
        <v>19831230</v>
      </c>
      <c r="B384">
        <f t="shared" si="5"/>
        <v>198312</v>
      </c>
      <c r="C384" s="10">
        <v>8.6426254596999996</v>
      </c>
      <c r="D384" s="10">
        <v>9.1773603982999994</v>
      </c>
      <c r="E384" s="10">
        <v>9.8028848982000003</v>
      </c>
      <c r="F384" s="10">
        <v>10.528549563</v>
      </c>
      <c r="G384" s="10">
        <v>10.743907284000001</v>
      </c>
      <c r="H384" s="10">
        <v>11.166764929999999</v>
      </c>
      <c r="I384" s="10">
        <v>11.360482778</v>
      </c>
    </row>
    <row r="385" spans="1:9" x14ac:dyDescent="0.2">
      <c r="A385">
        <v>19840131</v>
      </c>
      <c r="B385">
        <f t="shared" si="5"/>
        <v>198401</v>
      </c>
      <c r="C385" s="10">
        <v>8.8836034314999992</v>
      </c>
      <c r="D385" s="10">
        <v>9.1082186048999993</v>
      </c>
      <c r="E385" s="10">
        <v>9.5356139965000004</v>
      </c>
      <c r="F385" s="10">
        <v>10.337268945</v>
      </c>
      <c r="G385" s="10">
        <v>10.594668399</v>
      </c>
      <c r="H385" s="10">
        <v>10.936649210000001</v>
      </c>
      <c r="I385" s="10">
        <v>11.157161474</v>
      </c>
    </row>
    <row r="386" spans="1:9" x14ac:dyDescent="0.2">
      <c r="A386">
        <v>19840229</v>
      </c>
      <c r="B386">
        <f t="shared" si="5"/>
        <v>198402</v>
      </c>
      <c r="C386" s="10">
        <v>8.8901222768999997</v>
      </c>
      <c r="D386" s="10">
        <v>9.3665032769999996</v>
      </c>
      <c r="E386" s="10">
        <v>9.9177517213000002</v>
      </c>
      <c r="F386" s="10">
        <v>10.737657925000001</v>
      </c>
      <c r="G386" s="10">
        <v>10.998706573</v>
      </c>
      <c r="H386" s="10">
        <v>11.324069341</v>
      </c>
      <c r="I386" s="10">
        <v>11.49482725</v>
      </c>
    </row>
    <row r="387" spans="1:9" x14ac:dyDescent="0.2">
      <c r="A387">
        <v>19840330</v>
      </c>
      <c r="B387">
        <f t="shared" si="5"/>
        <v>198403</v>
      </c>
      <c r="C387" s="10">
        <v>9.5526534782999999</v>
      </c>
      <c r="D387" s="10">
        <v>9.9663227964000001</v>
      </c>
      <c r="E387" s="10">
        <v>10.637605218999999</v>
      </c>
      <c r="F387" s="10">
        <v>11.272819596</v>
      </c>
      <c r="G387" s="10">
        <v>11.553000979</v>
      </c>
      <c r="H387" s="10">
        <v>11.873290633</v>
      </c>
      <c r="I387" s="10">
        <v>12.022610694999999</v>
      </c>
    </row>
    <row r="388" spans="1:9" x14ac:dyDescent="0.2">
      <c r="A388">
        <v>19840430</v>
      </c>
      <c r="B388">
        <f t="shared" si="5"/>
        <v>198404</v>
      </c>
      <c r="C388" s="10">
        <v>9.2627329727000003</v>
      </c>
      <c r="D388" s="10">
        <v>9.9614186670000002</v>
      </c>
      <c r="E388" s="10">
        <v>10.706019338999999</v>
      </c>
      <c r="F388" s="10">
        <v>11.583079907</v>
      </c>
      <c r="G388" s="10">
        <v>11.771384851000001</v>
      </c>
      <c r="H388" s="10">
        <v>12.046415206000001</v>
      </c>
      <c r="I388" s="10">
        <v>12.292743720000001</v>
      </c>
    </row>
    <row r="389" spans="1:9" x14ac:dyDescent="0.2">
      <c r="A389">
        <v>19840531</v>
      </c>
      <c r="B389">
        <f t="shared" si="5"/>
        <v>198405</v>
      </c>
      <c r="C389" s="10">
        <v>9.3594956378000003</v>
      </c>
      <c r="D389" s="10">
        <v>9.9988758636000004</v>
      </c>
      <c r="E389" s="10">
        <v>11.892530279000001</v>
      </c>
      <c r="F389" s="10">
        <v>12.627704207000001</v>
      </c>
      <c r="G389" s="10">
        <v>12.945792816000001</v>
      </c>
      <c r="H389" s="10">
        <v>13.117545426</v>
      </c>
      <c r="I389" s="10">
        <v>13.400340163999999</v>
      </c>
    </row>
    <row r="390" spans="1:9" x14ac:dyDescent="0.2">
      <c r="A390">
        <v>19840629</v>
      </c>
      <c r="B390">
        <f t="shared" si="5"/>
        <v>198406</v>
      </c>
      <c r="C390" s="10">
        <v>9.3583326218000007</v>
      </c>
      <c r="D390" s="10">
        <v>10.174200815000001</v>
      </c>
      <c r="E390" s="10">
        <v>11.919360318000001</v>
      </c>
      <c r="F390" s="10">
        <v>12.770389913000001</v>
      </c>
      <c r="G390" s="10">
        <v>13.108308957</v>
      </c>
      <c r="H390" s="10">
        <v>13.210778349</v>
      </c>
      <c r="I390" s="10">
        <v>13.350189322</v>
      </c>
    </row>
    <row r="391" spans="1:9" x14ac:dyDescent="0.2">
      <c r="A391">
        <v>19840731</v>
      </c>
      <c r="B391">
        <f t="shared" ref="B391:B454" si="6">ROUND(A391/100,0)</f>
        <v>198407</v>
      </c>
      <c r="C391" s="10">
        <v>9.6497971062999994</v>
      </c>
      <c r="D391" s="10">
        <v>10.678270852000001</v>
      </c>
      <c r="E391" s="10">
        <v>11.556071075</v>
      </c>
      <c r="F391" s="10">
        <v>12.228208683</v>
      </c>
      <c r="G391" s="10">
        <v>12.313320377</v>
      </c>
      <c r="H391" s="10">
        <v>12.401738567000001</v>
      </c>
      <c r="I391" s="10">
        <v>12.529123315</v>
      </c>
    </row>
    <row r="392" spans="1:9" x14ac:dyDescent="0.2">
      <c r="A392">
        <v>19840831</v>
      </c>
      <c r="B392">
        <f t="shared" si="6"/>
        <v>198408</v>
      </c>
      <c r="C392" s="10">
        <v>10.719467248999999</v>
      </c>
      <c r="D392" s="10">
        <v>10.902604763999999</v>
      </c>
      <c r="E392" s="10">
        <v>11.74876736</v>
      </c>
      <c r="F392" s="10">
        <v>12.167937735000001</v>
      </c>
      <c r="G392" s="10">
        <v>12.249382459</v>
      </c>
      <c r="H392" s="10">
        <v>12.391897783999999</v>
      </c>
      <c r="I392" s="10">
        <v>12.462883380999999</v>
      </c>
    </row>
    <row r="393" spans="1:9" x14ac:dyDescent="0.2">
      <c r="A393">
        <v>19840928</v>
      </c>
      <c r="B393">
        <f t="shared" si="6"/>
        <v>198409</v>
      </c>
      <c r="C393" s="10">
        <v>10.432752085000001</v>
      </c>
      <c r="D393" s="10">
        <v>10.423790593</v>
      </c>
      <c r="E393" s="10">
        <v>11.047422414</v>
      </c>
      <c r="F393" s="10">
        <v>11.730108539</v>
      </c>
      <c r="G393" s="10">
        <v>11.910565981</v>
      </c>
      <c r="H393" s="10">
        <v>12.101215957000001</v>
      </c>
      <c r="I393" s="10">
        <v>12.161673607000001</v>
      </c>
    </row>
    <row r="394" spans="1:9" x14ac:dyDescent="0.2">
      <c r="A394">
        <v>19841031</v>
      </c>
      <c r="B394">
        <f t="shared" si="6"/>
        <v>198410</v>
      </c>
      <c r="C394" s="10">
        <v>8.6037736485000007</v>
      </c>
      <c r="D394" s="10">
        <v>9.2212097885999995</v>
      </c>
      <c r="E394" s="10">
        <v>10.120172834</v>
      </c>
      <c r="F394" s="10">
        <v>10.821782064000001</v>
      </c>
      <c r="G394" s="10">
        <v>11.093106798999999</v>
      </c>
      <c r="H394" s="10">
        <v>11.215628880000001</v>
      </c>
      <c r="I394" s="10">
        <v>11.270830303</v>
      </c>
    </row>
    <row r="395" spans="1:9" x14ac:dyDescent="0.2">
      <c r="A395">
        <v>19841130</v>
      </c>
      <c r="B395">
        <f t="shared" si="6"/>
        <v>198411</v>
      </c>
      <c r="C395" s="10">
        <v>7.4066182575999999</v>
      </c>
      <c r="D395" s="10">
        <v>8.6384422661000002</v>
      </c>
      <c r="E395" s="10">
        <v>9.4780396225000008</v>
      </c>
      <c r="F395" s="10">
        <v>10.230491170000001</v>
      </c>
      <c r="G395" s="10">
        <v>10.597929012</v>
      </c>
      <c r="H395" s="10">
        <v>10.982971693</v>
      </c>
      <c r="I395" s="10">
        <v>11.038977501</v>
      </c>
    </row>
    <row r="396" spans="1:9" x14ac:dyDescent="0.2">
      <c r="A396">
        <v>19841231</v>
      </c>
      <c r="B396">
        <f t="shared" si="6"/>
        <v>198412</v>
      </c>
      <c r="C396" s="10">
        <v>7.5982081146000002</v>
      </c>
      <c r="D396" s="10">
        <v>8.0313794269999992</v>
      </c>
      <c r="E396" s="10">
        <v>9.0179215820999996</v>
      </c>
      <c r="F396" s="10">
        <v>9.7863286487999996</v>
      </c>
      <c r="G396" s="10">
        <v>10.386175452</v>
      </c>
      <c r="H396" s="10">
        <v>10.651080205</v>
      </c>
      <c r="I396" s="10">
        <v>10.972935208999999</v>
      </c>
    </row>
    <row r="397" spans="1:9" x14ac:dyDescent="0.2">
      <c r="A397">
        <v>19850131</v>
      </c>
      <c r="B397">
        <f t="shared" si="6"/>
        <v>198501</v>
      </c>
      <c r="C397" s="10">
        <v>7.6524777183000001</v>
      </c>
      <c r="D397" s="10">
        <v>8.2356415740000006</v>
      </c>
      <c r="E397" s="10">
        <v>8.8375254602000002</v>
      </c>
      <c r="F397" s="10">
        <v>9.6800918748000004</v>
      </c>
      <c r="G397" s="10">
        <v>10.111504268999999</v>
      </c>
      <c r="H397" s="10">
        <v>10.547910705</v>
      </c>
      <c r="I397" s="10">
        <v>10.582665198999999</v>
      </c>
    </row>
    <row r="398" spans="1:9" x14ac:dyDescent="0.2">
      <c r="A398">
        <v>19850228</v>
      </c>
      <c r="B398">
        <f t="shared" si="6"/>
        <v>198502</v>
      </c>
      <c r="C398" s="10">
        <v>7.7137101096</v>
      </c>
      <c r="D398" s="10">
        <v>8.7016290826000002</v>
      </c>
      <c r="E398" s="10">
        <v>9.6762950980000006</v>
      </c>
      <c r="F398" s="10">
        <v>10.402565576000001</v>
      </c>
      <c r="G398" s="10">
        <v>10.783053967000001</v>
      </c>
      <c r="H398" s="10">
        <v>11.261565939</v>
      </c>
      <c r="I398" s="10">
        <v>11.304764827</v>
      </c>
    </row>
    <row r="399" spans="1:9" x14ac:dyDescent="0.2">
      <c r="A399">
        <v>19850329</v>
      </c>
      <c r="B399">
        <f t="shared" si="6"/>
        <v>198503</v>
      </c>
      <c r="C399" s="10">
        <v>8.0908525769999997</v>
      </c>
      <c r="D399" s="10">
        <v>8.3588910010999999</v>
      </c>
      <c r="E399" s="10">
        <v>9.5345856723000004</v>
      </c>
      <c r="F399" s="10">
        <v>10.187871049</v>
      </c>
      <c r="G399" s="10">
        <v>10.631933568999999</v>
      </c>
      <c r="H399" s="10">
        <v>11.116922805</v>
      </c>
      <c r="I399" s="10">
        <v>11.110845644999999</v>
      </c>
    </row>
    <row r="400" spans="1:9" x14ac:dyDescent="0.2">
      <c r="A400">
        <v>19850430</v>
      </c>
      <c r="B400">
        <f t="shared" si="6"/>
        <v>198504</v>
      </c>
      <c r="C400" s="10">
        <v>7.3525886492000003</v>
      </c>
      <c r="D400" s="10">
        <v>8.0201399465000005</v>
      </c>
      <c r="E400" s="10">
        <v>8.9224053497</v>
      </c>
      <c r="F400" s="10">
        <v>9.7653133419000007</v>
      </c>
      <c r="G400" s="10">
        <v>10.208652085000001</v>
      </c>
      <c r="H400" s="10">
        <v>10.719740066</v>
      </c>
      <c r="I400" s="10">
        <v>10.770309257999999</v>
      </c>
    </row>
    <row r="401" spans="1:9" x14ac:dyDescent="0.2">
      <c r="A401">
        <v>19850531</v>
      </c>
      <c r="B401">
        <f t="shared" si="6"/>
        <v>198505</v>
      </c>
      <c r="C401" s="10">
        <v>7.0296213258</v>
      </c>
      <c r="D401" s="10">
        <v>7.2839221234</v>
      </c>
      <c r="E401" s="10">
        <v>8.0489396846000005</v>
      </c>
      <c r="F401" s="10">
        <v>8.7442799093999994</v>
      </c>
      <c r="G401" s="10">
        <v>9.2137956184000007</v>
      </c>
      <c r="H401" s="10">
        <v>9.7138044184000005</v>
      </c>
      <c r="I401" s="10">
        <v>9.7258783902000001</v>
      </c>
    </row>
    <row r="402" spans="1:9" x14ac:dyDescent="0.2">
      <c r="A402">
        <v>19850628</v>
      </c>
      <c r="B402">
        <f t="shared" si="6"/>
        <v>198506</v>
      </c>
      <c r="C402" s="10">
        <v>6.6310166668999999</v>
      </c>
      <c r="D402" s="10">
        <v>6.9743407063999996</v>
      </c>
      <c r="E402" s="10">
        <v>7.6792820109999997</v>
      </c>
      <c r="F402" s="10">
        <v>8.5832075528999994</v>
      </c>
      <c r="G402" s="10">
        <v>9.2425519569999999</v>
      </c>
      <c r="H402" s="10">
        <v>9.6402970102999994</v>
      </c>
      <c r="I402" s="10">
        <v>9.7099930370000003</v>
      </c>
    </row>
    <row r="403" spans="1:9" x14ac:dyDescent="0.2">
      <c r="A403">
        <v>19850731</v>
      </c>
      <c r="B403">
        <f t="shared" si="6"/>
        <v>198507</v>
      </c>
      <c r="C403" s="10">
        <v>7.0609187154999997</v>
      </c>
      <c r="D403" s="10">
        <v>7.4299738573000003</v>
      </c>
      <c r="E403" s="10">
        <v>8.1520060879000003</v>
      </c>
      <c r="F403" s="10">
        <v>8.8353129663000001</v>
      </c>
      <c r="G403" s="10">
        <v>9.4731017534999999</v>
      </c>
      <c r="H403" s="10">
        <v>10.005895292</v>
      </c>
      <c r="I403" s="10">
        <v>9.9191301286000009</v>
      </c>
    </row>
    <row r="404" spans="1:9" x14ac:dyDescent="0.2">
      <c r="A404">
        <v>19850830</v>
      </c>
      <c r="B404">
        <f t="shared" si="6"/>
        <v>198508</v>
      </c>
      <c r="C404" s="10">
        <v>7.0697557904000004</v>
      </c>
      <c r="D404" s="10">
        <v>7.2949658340000001</v>
      </c>
      <c r="E404" s="10">
        <v>8.0331600940999994</v>
      </c>
      <c r="F404" s="10">
        <v>8.8416132821000009</v>
      </c>
      <c r="G404" s="10">
        <v>9.2066582405999995</v>
      </c>
      <c r="H404" s="10">
        <v>9.7289780192999995</v>
      </c>
      <c r="I404" s="10">
        <v>9.7101858320000005</v>
      </c>
    </row>
    <row r="405" spans="1:9" x14ac:dyDescent="0.2">
      <c r="A405">
        <v>19850930</v>
      </c>
      <c r="B405">
        <f t="shared" si="6"/>
        <v>198509</v>
      </c>
      <c r="C405" s="10">
        <v>7.0676980408999999</v>
      </c>
      <c r="D405" s="10">
        <v>7.2351784478000001</v>
      </c>
      <c r="E405" s="10">
        <v>8.0225939182000001</v>
      </c>
      <c r="F405" s="10">
        <v>8.7058694125000002</v>
      </c>
      <c r="G405" s="10">
        <v>9.1682107377000008</v>
      </c>
      <c r="H405" s="10">
        <v>9.6553936518000008</v>
      </c>
      <c r="I405" s="10">
        <v>9.7870114720999997</v>
      </c>
    </row>
    <row r="406" spans="1:9" x14ac:dyDescent="0.2">
      <c r="A406">
        <v>19851031</v>
      </c>
      <c r="B406">
        <f t="shared" si="6"/>
        <v>198510</v>
      </c>
      <c r="C406" s="10">
        <v>7.1725344372000004</v>
      </c>
      <c r="D406" s="10">
        <v>7.3465963086999997</v>
      </c>
      <c r="E406" s="10">
        <v>7.7704331845999999</v>
      </c>
      <c r="F406" s="10">
        <v>8.5364285464999998</v>
      </c>
      <c r="G406" s="10">
        <v>8.8906338203999997</v>
      </c>
      <c r="H406" s="10">
        <v>9.3025532009000003</v>
      </c>
      <c r="I406" s="10">
        <v>9.5008729882999994</v>
      </c>
    </row>
    <row r="407" spans="1:9" x14ac:dyDescent="0.2">
      <c r="A407">
        <v>19851129</v>
      </c>
      <c r="B407">
        <f t="shared" si="6"/>
        <v>198511</v>
      </c>
      <c r="C407" s="10">
        <v>6.5697883559000001</v>
      </c>
      <c r="D407" s="10">
        <v>7.3148891371999998</v>
      </c>
      <c r="E407" s="10">
        <v>7.6887736847000001</v>
      </c>
      <c r="F407" s="10">
        <v>8.2952669375999992</v>
      </c>
      <c r="G407" s="10">
        <v>8.5783552628000006</v>
      </c>
      <c r="H407" s="10">
        <v>8.9867574166999997</v>
      </c>
      <c r="I407" s="10">
        <v>9.1816169036000002</v>
      </c>
    </row>
    <row r="408" spans="1:9" x14ac:dyDescent="0.2">
      <c r="A408">
        <v>19851231</v>
      </c>
      <c r="B408">
        <f t="shared" si="6"/>
        <v>198512</v>
      </c>
      <c r="C408" s="10">
        <v>5.9050295580999999</v>
      </c>
      <c r="D408" s="10">
        <v>7.2034891430999997</v>
      </c>
      <c r="E408" s="10">
        <v>7.4787168703000004</v>
      </c>
      <c r="F408" s="10">
        <v>7.8518472299999997</v>
      </c>
      <c r="G408" s="10">
        <v>8.1594707444000001</v>
      </c>
      <c r="H408" s="10">
        <v>8.4353390390000005</v>
      </c>
      <c r="I408" s="10">
        <v>8.6234159972000004</v>
      </c>
    </row>
    <row r="409" spans="1:9" x14ac:dyDescent="0.2">
      <c r="A409">
        <v>19860131</v>
      </c>
      <c r="B409">
        <f t="shared" si="6"/>
        <v>198601</v>
      </c>
      <c r="C409" s="10">
        <v>6.7840189983999997</v>
      </c>
      <c r="D409" s="10">
        <v>7.1187874415000003</v>
      </c>
      <c r="E409" s="10">
        <v>7.5768364694999999</v>
      </c>
      <c r="F409" s="10">
        <v>7.8279843275000003</v>
      </c>
      <c r="G409" s="10">
        <v>8.2154985005000007</v>
      </c>
      <c r="H409" s="10">
        <v>8.4625003889000006</v>
      </c>
      <c r="I409" s="10">
        <v>8.6435893962999994</v>
      </c>
    </row>
    <row r="410" spans="1:9" x14ac:dyDescent="0.2">
      <c r="A410">
        <v>19860228</v>
      </c>
      <c r="B410">
        <f t="shared" si="6"/>
        <v>198602</v>
      </c>
      <c r="C410" s="10">
        <v>6.9473186380999996</v>
      </c>
      <c r="D410" s="10">
        <v>7.1703704882999997</v>
      </c>
      <c r="E410" s="10">
        <v>7.3773293103000004</v>
      </c>
      <c r="F410" s="10">
        <v>7.5448977684000003</v>
      </c>
      <c r="G410" s="10">
        <v>7.7233323810999996</v>
      </c>
      <c r="H410" s="10">
        <v>7.8833625401000003</v>
      </c>
      <c r="I410" s="10">
        <v>8.0299855781999998</v>
      </c>
    </row>
    <row r="411" spans="1:9" x14ac:dyDescent="0.2">
      <c r="A411">
        <v>19860331</v>
      </c>
      <c r="B411">
        <f t="shared" si="6"/>
        <v>198603</v>
      </c>
      <c r="C411" s="10">
        <v>6.2723949857000001</v>
      </c>
      <c r="D411" s="10">
        <v>6.4715576979999998</v>
      </c>
      <c r="E411" s="10">
        <v>6.7910511558</v>
      </c>
      <c r="F411" s="10">
        <v>6.8271827171000004</v>
      </c>
      <c r="G411" s="10">
        <v>7.0842515009999998</v>
      </c>
      <c r="H411" s="10">
        <v>7.2848347263999997</v>
      </c>
      <c r="I411" s="10">
        <v>7.3760828765999999</v>
      </c>
    </row>
    <row r="412" spans="1:9" x14ac:dyDescent="0.2">
      <c r="A412">
        <v>19860430</v>
      </c>
      <c r="B412">
        <f t="shared" si="6"/>
        <v>198604</v>
      </c>
      <c r="C412" s="10">
        <v>5.8976753955000003</v>
      </c>
      <c r="D412" s="10">
        <v>6.2231363055999998</v>
      </c>
      <c r="E412" s="10">
        <v>6.4968967621999996</v>
      </c>
      <c r="F412" s="10">
        <v>6.7017592335999998</v>
      </c>
      <c r="G412" s="10">
        <v>7.1362913752999999</v>
      </c>
      <c r="H412" s="10">
        <v>7.2679221675000001</v>
      </c>
      <c r="I412" s="10">
        <v>7.3987108595000004</v>
      </c>
    </row>
    <row r="413" spans="1:9" x14ac:dyDescent="0.2">
      <c r="A413">
        <v>19860530</v>
      </c>
      <c r="B413">
        <f t="shared" si="6"/>
        <v>198605</v>
      </c>
      <c r="C413" s="10">
        <v>6.1516193975000002</v>
      </c>
      <c r="D413" s="10">
        <v>6.4280350465999998</v>
      </c>
      <c r="E413" s="10">
        <v>6.8349378836000003</v>
      </c>
      <c r="F413" s="10">
        <v>7.3069665388000002</v>
      </c>
      <c r="G413" s="10">
        <v>7.6372756114999998</v>
      </c>
      <c r="H413" s="10">
        <v>8.0383782895000007</v>
      </c>
      <c r="I413" s="10">
        <v>8.0988111834000005</v>
      </c>
    </row>
    <row r="414" spans="1:9" x14ac:dyDescent="0.2">
      <c r="A414">
        <v>19860630</v>
      </c>
      <c r="B414">
        <f t="shared" si="6"/>
        <v>198606</v>
      </c>
      <c r="C414" s="10">
        <v>5.8851137575000001</v>
      </c>
      <c r="D414" s="10">
        <v>6.1005928205000002</v>
      </c>
      <c r="E414" s="10">
        <v>6.4184939936000003</v>
      </c>
      <c r="F414" s="10">
        <v>6.7734018033999996</v>
      </c>
      <c r="G414" s="10">
        <v>7.1183431728000004</v>
      </c>
      <c r="H414" s="10">
        <v>7.4474844192000003</v>
      </c>
      <c r="I414" s="10">
        <v>7.5063895081999998</v>
      </c>
    </row>
    <row r="415" spans="1:9" x14ac:dyDescent="0.2">
      <c r="A415">
        <v>19860731</v>
      </c>
      <c r="B415">
        <f t="shared" si="6"/>
        <v>198607</v>
      </c>
      <c r="C415" s="10">
        <v>5.6321402870000004</v>
      </c>
      <c r="D415" s="10">
        <v>5.9035121619000002</v>
      </c>
      <c r="E415" s="10">
        <v>6.1966106344999998</v>
      </c>
      <c r="F415" s="10">
        <v>6.4670054789</v>
      </c>
      <c r="G415" s="10">
        <v>7.0451125279999998</v>
      </c>
      <c r="H415" s="10">
        <v>7.1703644438999996</v>
      </c>
      <c r="I415" s="10">
        <v>7.3893380186000002</v>
      </c>
    </row>
    <row r="416" spans="1:9" x14ac:dyDescent="0.2">
      <c r="A416">
        <v>19860829</v>
      </c>
      <c r="B416">
        <f t="shared" si="6"/>
        <v>198608</v>
      </c>
      <c r="C416" s="10">
        <v>5.1222167117000001</v>
      </c>
      <c r="D416" s="10">
        <v>5.2558206231</v>
      </c>
      <c r="E416" s="10">
        <v>5.4680366089000003</v>
      </c>
      <c r="F416" s="10">
        <v>5.9330775990999998</v>
      </c>
      <c r="G416" s="10">
        <v>6.3254594830000004</v>
      </c>
      <c r="H416" s="10">
        <v>6.5444637776999999</v>
      </c>
      <c r="I416" s="10">
        <v>6.6399052363999997</v>
      </c>
    </row>
    <row r="417" spans="1:9" x14ac:dyDescent="0.2">
      <c r="A417">
        <v>19860930</v>
      </c>
      <c r="B417">
        <f t="shared" si="6"/>
        <v>198609</v>
      </c>
      <c r="C417" s="10">
        <v>5.1105774962000003</v>
      </c>
      <c r="D417" s="10">
        <v>5.2980650780999996</v>
      </c>
      <c r="E417" s="10">
        <v>5.8232413337000004</v>
      </c>
      <c r="F417" s="10">
        <v>6.3233000550999998</v>
      </c>
      <c r="G417" s="10">
        <v>6.7220576604</v>
      </c>
      <c r="H417" s="10">
        <v>7.1251392204000004</v>
      </c>
      <c r="I417" s="10">
        <v>7.2793937813999996</v>
      </c>
    </row>
    <row r="418" spans="1:9" x14ac:dyDescent="0.2">
      <c r="A418">
        <v>19861031</v>
      </c>
      <c r="B418">
        <f t="shared" si="6"/>
        <v>198610</v>
      </c>
      <c r="C418" s="10">
        <v>5.1222167117000001</v>
      </c>
      <c r="D418" s="10">
        <v>5.2965213487999998</v>
      </c>
      <c r="E418" s="10">
        <v>5.6505784130999999</v>
      </c>
      <c r="F418" s="10">
        <v>6.1533445258999997</v>
      </c>
      <c r="G418" s="10">
        <v>6.5206652388000004</v>
      </c>
      <c r="H418" s="10">
        <v>6.7824260221000001</v>
      </c>
      <c r="I418" s="10">
        <v>7.0527750673999998</v>
      </c>
    </row>
    <row r="419" spans="1:9" x14ac:dyDescent="0.2">
      <c r="A419">
        <v>19861128</v>
      </c>
      <c r="B419">
        <f t="shared" si="6"/>
        <v>198611</v>
      </c>
      <c r="C419" s="10">
        <v>4.9595522633</v>
      </c>
      <c r="D419" s="10">
        <v>5.4917375075999999</v>
      </c>
      <c r="E419" s="10">
        <v>5.7317363439999998</v>
      </c>
      <c r="F419" s="10">
        <v>6.1128591282000002</v>
      </c>
      <c r="G419" s="10">
        <v>6.3535691379000001</v>
      </c>
      <c r="H419" s="10">
        <v>6.6248691178000003</v>
      </c>
      <c r="I419" s="10">
        <v>6.7450986070000001</v>
      </c>
    </row>
    <row r="420" spans="1:9" x14ac:dyDescent="0.2">
      <c r="A420">
        <v>19861231</v>
      </c>
      <c r="B420">
        <f t="shared" si="6"/>
        <v>198612</v>
      </c>
      <c r="C420" s="10">
        <v>5.1127508154000001</v>
      </c>
      <c r="D420" s="10">
        <v>5.7805067721999999</v>
      </c>
      <c r="E420" s="10">
        <v>6.0604718210000001</v>
      </c>
      <c r="F420" s="10">
        <v>6.2961464300000003</v>
      </c>
      <c r="G420" s="10">
        <v>6.5048013871999997</v>
      </c>
      <c r="H420" s="10">
        <v>6.6376792066999997</v>
      </c>
      <c r="I420" s="10">
        <v>6.9131177642999999</v>
      </c>
    </row>
    <row r="421" spans="1:9" x14ac:dyDescent="0.2">
      <c r="A421">
        <v>19870130</v>
      </c>
      <c r="B421">
        <f t="shared" si="6"/>
        <v>198701</v>
      </c>
      <c r="C421" s="10">
        <v>5.5807467661999999</v>
      </c>
      <c r="D421" s="10">
        <v>5.7076123345000003</v>
      </c>
      <c r="E421" s="10">
        <v>5.9048730558999996</v>
      </c>
      <c r="F421" s="10">
        <v>6.1976592760000004</v>
      </c>
      <c r="G421" s="10">
        <v>6.4480271116000001</v>
      </c>
      <c r="H421" s="10">
        <v>6.6589498833</v>
      </c>
      <c r="I421" s="10">
        <v>6.7409671162000002</v>
      </c>
    </row>
    <row r="422" spans="1:9" x14ac:dyDescent="0.2">
      <c r="A422">
        <v>19870227</v>
      </c>
      <c r="B422">
        <f t="shared" si="6"/>
        <v>198702</v>
      </c>
      <c r="C422" s="10">
        <v>5.3667452978999997</v>
      </c>
      <c r="D422" s="10">
        <v>5.5534069482000001</v>
      </c>
      <c r="E422" s="10">
        <v>5.9762812313999998</v>
      </c>
      <c r="F422" s="10">
        <v>6.2769944727000002</v>
      </c>
      <c r="G422" s="10">
        <v>6.4507891534999997</v>
      </c>
      <c r="H422" s="10">
        <v>6.6457636266</v>
      </c>
      <c r="I422" s="10">
        <v>6.7414011379999996</v>
      </c>
    </row>
    <row r="423" spans="1:9" x14ac:dyDescent="0.2">
      <c r="A423">
        <v>19870331</v>
      </c>
      <c r="B423">
        <f t="shared" si="6"/>
        <v>198703</v>
      </c>
      <c r="C423" s="10">
        <v>5.2022089372</v>
      </c>
      <c r="D423" s="10">
        <v>5.7192468113999997</v>
      </c>
      <c r="E423" s="10">
        <v>6.1822512641999996</v>
      </c>
      <c r="F423" s="10">
        <v>6.4512564494999998</v>
      </c>
      <c r="G423" s="10">
        <v>6.6992252969999999</v>
      </c>
      <c r="H423" s="10">
        <v>6.8535792228999997</v>
      </c>
      <c r="I423" s="10">
        <v>7.0573809030000003</v>
      </c>
    </row>
    <row r="424" spans="1:9" x14ac:dyDescent="0.2">
      <c r="A424">
        <v>19870430</v>
      </c>
      <c r="B424">
        <f t="shared" si="6"/>
        <v>198704</v>
      </c>
      <c r="C424" s="10">
        <v>4.8576826944000002</v>
      </c>
      <c r="D424" s="10">
        <v>5.6257892120999999</v>
      </c>
      <c r="E424" s="10">
        <v>6.8364308475</v>
      </c>
      <c r="F424" s="10">
        <v>7.2383847708999998</v>
      </c>
      <c r="G424" s="10">
        <v>7.5722819367999996</v>
      </c>
      <c r="H424" s="10">
        <v>7.7581149000999998</v>
      </c>
      <c r="I424" s="10">
        <v>7.8347808540999999</v>
      </c>
    </row>
    <row r="425" spans="1:9" x14ac:dyDescent="0.2">
      <c r="A425">
        <v>19870529</v>
      </c>
      <c r="B425">
        <f t="shared" si="6"/>
        <v>198705</v>
      </c>
      <c r="C425" s="10">
        <v>5.3870775418000001</v>
      </c>
      <c r="D425" s="10">
        <v>5.7898813823999999</v>
      </c>
      <c r="E425" s="10">
        <v>7.0896397595999998</v>
      </c>
      <c r="F425" s="10">
        <v>7.6051254853000003</v>
      </c>
      <c r="G425" s="10">
        <v>7.8496878647999999</v>
      </c>
      <c r="H425" s="10">
        <v>8.0109258931999996</v>
      </c>
      <c r="I425" s="10">
        <v>8.1140301299999997</v>
      </c>
    </row>
    <row r="426" spans="1:9" x14ac:dyDescent="0.2">
      <c r="A426">
        <v>19870630</v>
      </c>
      <c r="B426">
        <f t="shared" si="6"/>
        <v>198706</v>
      </c>
      <c r="C426" s="10">
        <v>4.9273292068999996</v>
      </c>
      <c r="D426" s="10">
        <v>5.8427108786000002</v>
      </c>
      <c r="E426" s="10">
        <v>6.8229829801999999</v>
      </c>
      <c r="F426" s="10">
        <v>7.347878788</v>
      </c>
      <c r="G426" s="10">
        <v>7.6332629928999998</v>
      </c>
      <c r="H426" s="10">
        <v>7.8255168456000002</v>
      </c>
      <c r="I426" s="10">
        <v>8.0068074636999995</v>
      </c>
    </row>
    <row r="427" spans="1:9" x14ac:dyDescent="0.2">
      <c r="A427">
        <v>19870731</v>
      </c>
      <c r="B427">
        <f t="shared" si="6"/>
        <v>198707</v>
      </c>
      <c r="C427" s="10">
        <v>5.6011208336999996</v>
      </c>
      <c r="D427" s="10">
        <v>6.1911821517999996</v>
      </c>
      <c r="E427" s="10">
        <v>6.9345349714999998</v>
      </c>
      <c r="F427" s="10">
        <v>7.4847249447999999</v>
      </c>
      <c r="G427" s="10">
        <v>7.8355315614999999</v>
      </c>
      <c r="H427" s="10">
        <v>7.9842223213999999</v>
      </c>
      <c r="I427" s="10">
        <v>8.1301826544000004</v>
      </c>
    </row>
    <row r="428" spans="1:9" x14ac:dyDescent="0.2">
      <c r="A428">
        <v>19870831</v>
      </c>
      <c r="B428">
        <f t="shared" si="6"/>
        <v>198708</v>
      </c>
      <c r="C428" s="10">
        <v>5.6609730205000002</v>
      </c>
      <c r="D428" s="10">
        <v>6.2963429095999999</v>
      </c>
      <c r="E428" s="10">
        <v>7.2051274850000002</v>
      </c>
      <c r="F428" s="10">
        <v>7.8241494295000003</v>
      </c>
      <c r="G428" s="10">
        <v>8.1442214989000004</v>
      </c>
      <c r="H428" s="10">
        <v>8.2860672804999993</v>
      </c>
      <c r="I428" s="10">
        <v>8.4203012320999999</v>
      </c>
    </row>
    <row r="429" spans="1:9" x14ac:dyDescent="0.2">
      <c r="A429">
        <v>19870930</v>
      </c>
      <c r="B429">
        <f t="shared" si="6"/>
        <v>198709</v>
      </c>
      <c r="C429" s="10">
        <v>6.4995382113</v>
      </c>
      <c r="D429" s="10">
        <v>6.7487498159000001</v>
      </c>
      <c r="E429" s="10">
        <v>7.8818383118000002</v>
      </c>
      <c r="F429" s="10">
        <v>8.4403532864000006</v>
      </c>
      <c r="G429" s="10">
        <v>8.7672330465999995</v>
      </c>
      <c r="H429" s="10">
        <v>9.0123730593999998</v>
      </c>
      <c r="I429" s="10">
        <v>9.0954591796000006</v>
      </c>
    </row>
    <row r="430" spans="1:9" x14ac:dyDescent="0.2">
      <c r="A430">
        <v>19871030</v>
      </c>
      <c r="B430">
        <f t="shared" si="6"/>
        <v>198710</v>
      </c>
      <c r="C430" s="10">
        <v>4.0225322104999996</v>
      </c>
      <c r="D430" s="10">
        <v>5.3684246972</v>
      </c>
      <c r="E430" s="10">
        <v>6.7135650361000003</v>
      </c>
      <c r="F430" s="10">
        <v>7.6306360229000001</v>
      </c>
      <c r="G430" s="10">
        <v>8.0234617171</v>
      </c>
      <c r="H430" s="10">
        <v>8.3211241603000001</v>
      </c>
      <c r="I430" s="10">
        <v>8.3678561137000003</v>
      </c>
    </row>
    <row r="431" spans="1:9" x14ac:dyDescent="0.2">
      <c r="A431">
        <v>19871130</v>
      </c>
      <c r="B431">
        <f t="shared" si="6"/>
        <v>198711</v>
      </c>
      <c r="C431" s="10">
        <v>3.5133221671000001</v>
      </c>
      <c r="D431" s="10">
        <v>5.5448268940999998</v>
      </c>
      <c r="E431" s="10">
        <v>6.8826005253</v>
      </c>
      <c r="F431" s="10">
        <v>7.5546004501999997</v>
      </c>
      <c r="G431" s="10">
        <v>7.9651498044000002</v>
      </c>
      <c r="H431" s="10">
        <v>8.2694318754000005</v>
      </c>
      <c r="I431" s="10">
        <v>8.4574504626000007</v>
      </c>
    </row>
    <row r="432" spans="1:9" x14ac:dyDescent="0.2">
      <c r="A432">
        <v>19871231</v>
      </c>
      <c r="B432">
        <f t="shared" si="6"/>
        <v>198712</v>
      </c>
      <c r="C432" s="10">
        <v>3.6869246447999999</v>
      </c>
      <c r="D432" s="10">
        <v>5.7903469319000003</v>
      </c>
      <c r="E432" s="10">
        <v>7.2423681789999996</v>
      </c>
      <c r="F432" s="10">
        <v>7.6386483278000004</v>
      </c>
      <c r="G432" s="10">
        <v>7.8873794202000003</v>
      </c>
      <c r="H432" s="10">
        <v>8.1160625589999995</v>
      </c>
      <c r="I432" s="10">
        <v>8.3035700054999992</v>
      </c>
    </row>
    <row r="433" spans="1:9" x14ac:dyDescent="0.2">
      <c r="A433">
        <v>19880129</v>
      </c>
      <c r="B433">
        <f t="shared" si="6"/>
        <v>198801</v>
      </c>
      <c r="C433" s="10">
        <v>5.2852151959000002</v>
      </c>
      <c r="D433" s="10">
        <v>5.7487529992999997</v>
      </c>
      <c r="E433" s="10">
        <v>6.7189360047999998</v>
      </c>
      <c r="F433" s="10">
        <v>7.1378759963</v>
      </c>
      <c r="G433" s="10">
        <v>7.3718350337</v>
      </c>
      <c r="H433" s="10">
        <v>7.5784924489999996</v>
      </c>
      <c r="I433" s="10">
        <v>7.6776778677999999</v>
      </c>
    </row>
    <row r="434" spans="1:9" x14ac:dyDescent="0.2">
      <c r="A434">
        <v>19880229</v>
      </c>
      <c r="B434">
        <f t="shared" si="6"/>
        <v>198802</v>
      </c>
      <c r="C434" s="10">
        <v>5.1720374063000003</v>
      </c>
      <c r="D434" s="10">
        <v>5.7268257048000004</v>
      </c>
      <c r="E434" s="10">
        <v>6.6077265482999996</v>
      </c>
      <c r="F434" s="10">
        <v>7.0039466700000004</v>
      </c>
      <c r="G434" s="10">
        <v>7.2380814790999999</v>
      </c>
      <c r="H434" s="10">
        <v>7.4136291198000004</v>
      </c>
      <c r="I434" s="10">
        <v>7.5471507996999998</v>
      </c>
    </row>
    <row r="435" spans="1:9" x14ac:dyDescent="0.2">
      <c r="A435">
        <v>19880331</v>
      </c>
      <c r="B435">
        <f t="shared" si="6"/>
        <v>198803</v>
      </c>
      <c r="C435" s="10">
        <v>5.7340599064999997</v>
      </c>
      <c r="D435" s="10">
        <v>5.8212077501000001</v>
      </c>
      <c r="E435" s="10">
        <v>6.8490952768</v>
      </c>
      <c r="F435" s="10">
        <v>7.2779613224000004</v>
      </c>
      <c r="G435" s="10">
        <v>7.5517255910000003</v>
      </c>
      <c r="H435" s="10">
        <v>7.7834370570999996</v>
      </c>
      <c r="I435" s="10">
        <v>7.9721636891000003</v>
      </c>
    </row>
    <row r="436" spans="1:9" x14ac:dyDescent="0.2">
      <c r="A436">
        <v>19880429</v>
      </c>
      <c r="B436">
        <f t="shared" si="6"/>
        <v>198804</v>
      </c>
      <c r="C436" s="10">
        <v>5.7540250100000003</v>
      </c>
      <c r="D436" s="10">
        <v>6.0985431480000001</v>
      </c>
      <c r="E436" s="10">
        <v>7.0907243019999999</v>
      </c>
      <c r="F436" s="10">
        <v>7.6214941381000001</v>
      </c>
      <c r="G436" s="10">
        <v>7.8828359739999998</v>
      </c>
      <c r="H436" s="10">
        <v>8.1230371623999993</v>
      </c>
      <c r="I436" s="10">
        <v>8.2457263798000007</v>
      </c>
    </row>
    <row r="437" spans="1:9" x14ac:dyDescent="0.2">
      <c r="A437">
        <v>19880531</v>
      </c>
      <c r="B437">
        <f t="shared" si="6"/>
        <v>198805</v>
      </c>
      <c r="C437" s="10">
        <v>5.8642692219999999</v>
      </c>
      <c r="D437" s="10">
        <v>6.6668612546999997</v>
      </c>
      <c r="E437" s="10">
        <v>7.6645991278999999</v>
      </c>
      <c r="F437" s="10">
        <v>8.0527906136999992</v>
      </c>
      <c r="G437" s="10">
        <v>8.2721278116000008</v>
      </c>
      <c r="H437" s="10">
        <v>8.5198296715000001</v>
      </c>
      <c r="I437" s="10">
        <v>8.6500179032000002</v>
      </c>
    </row>
    <row r="438" spans="1:9" x14ac:dyDescent="0.2">
      <c r="A438">
        <v>19880630</v>
      </c>
      <c r="B438">
        <f t="shared" si="6"/>
        <v>198806</v>
      </c>
      <c r="C438" s="10">
        <v>6.5397903918000004</v>
      </c>
      <c r="D438" s="10">
        <v>6.6965579070999999</v>
      </c>
      <c r="E438" s="10">
        <v>7.5091343522000003</v>
      </c>
      <c r="F438" s="10">
        <v>7.8652395475999999</v>
      </c>
      <c r="G438" s="10">
        <v>8.0357746743000007</v>
      </c>
      <c r="H438" s="10">
        <v>8.1820123868000003</v>
      </c>
      <c r="I438" s="10">
        <v>8.3095474573000008</v>
      </c>
    </row>
    <row r="439" spans="1:9" x14ac:dyDescent="0.2">
      <c r="A439">
        <v>19880729</v>
      </c>
      <c r="B439">
        <f t="shared" si="6"/>
        <v>198807</v>
      </c>
      <c r="C439" s="10">
        <v>6.3759838350000004</v>
      </c>
      <c r="D439" s="10">
        <v>7.0981469799000001</v>
      </c>
      <c r="E439" s="10">
        <v>7.9041067582000002</v>
      </c>
      <c r="F439" s="10">
        <v>8.2616853235000001</v>
      </c>
      <c r="G439" s="10">
        <v>8.3813608409999993</v>
      </c>
      <c r="H439" s="10">
        <v>8.5077556339000004</v>
      </c>
      <c r="I439" s="10">
        <v>8.5901564100000005</v>
      </c>
    </row>
    <row r="440" spans="1:9" x14ac:dyDescent="0.2">
      <c r="A440">
        <v>19880831</v>
      </c>
      <c r="B440">
        <f t="shared" si="6"/>
        <v>198808</v>
      </c>
      <c r="C440" s="10">
        <v>7.2038652151999996</v>
      </c>
      <c r="D440" s="10">
        <v>7.4609667334000003</v>
      </c>
      <c r="E440" s="10">
        <v>8.2530318406000003</v>
      </c>
      <c r="F440" s="10">
        <v>8.5294266494999995</v>
      </c>
      <c r="G440" s="10">
        <v>8.6154552467999999</v>
      </c>
      <c r="H440" s="10">
        <v>8.7458129032999992</v>
      </c>
      <c r="I440" s="10">
        <v>8.7889190690000003</v>
      </c>
    </row>
    <row r="441" spans="1:9" x14ac:dyDescent="0.2">
      <c r="A441">
        <v>19880930</v>
      </c>
      <c r="B441">
        <f t="shared" si="6"/>
        <v>198809</v>
      </c>
      <c r="C441" s="10">
        <v>7.0901677424000003</v>
      </c>
      <c r="D441" s="10">
        <v>7.4078002384000001</v>
      </c>
      <c r="E441" s="10">
        <v>7.9744380137000004</v>
      </c>
      <c r="F441" s="10">
        <v>8.2700779339999997</v>
      </c>
      <c r="G441" s="10">
        <v>8.3679779490000001</v>
      </c>
      <c r="H441" s="10">
        <v>8.4088660034</v>
      </c>
      <c r="I441" s="10">
        <v>8.4928473816000007</v>
      </c>
    </row>
    <row r="442" spans="1:9" x14ac:dyDescent="0.2">
      <c r="A442">
        <v>19881031</v>
      </c>
      <c r="B442">
        <f t="shared" si="6"/>
        <v>198810</v>
      </c>
      <c r="C442" s="10">
        <v>6.7413256927000003</v>
      </c>
      <c r="D442" s="10">
        <v>7.5190571951000003</v>
      </c>
      <c r="E442" s="10">
        <v>7.9018718032999997</v>
      </c>
      <c r="F442" s="10">
        <v>8.0761552515999995</v>
      </c>
      <c r="G442" s="10">
        <v>8.1003685658000002</v>
      </c>
      <c r="H442" s="10">
        <v>8.1800093738000008</v>
      </c>
      <c r="I442" s="10">
        <v>8.2165918201999997</v>
      </c>
    </row>
    <row r="443" spans="1:9" x14ac:dyDescent="0.2">
      <c r="A443">
        <v>19881130</v>
      </c>
      <c r="B443">
        <f t="shared" si="6"/>
        <v>198811</v>
      </c>
      <c r="C443" s="10">
        <v>6.8261217810000003</v>
      </c>
      <c r="D443" s="10">
        <v>8.0037343503000002</v>
      </c>
      <c r="E443" s="10">
        <v>8.4629005230000001</v>
      </c>
      <c r="F443" s="10">
        <v>8.6413799336999997</v>
      </c>
      <c r="G443" s="10">
        <v>8.6439032550999997</v>
      </c>
      <c r="H443" s="10">
        <v>8.7300511141000001</v>
      </c>
      <c r="I443" s="10">
        <v>8.7285444098999996</v>
      </c>
    </row>
    <row r="444" spans="1:9" x14ac:dyDescent="0.2">
      <c r="A444">
        <v>19881230</v>
      </c>
      <c r="B444">
        <f t="shared" si="6"/>
        <v>198812</v>
      </c>
      <c r="C444" s="10">
        <v>6.6105798378999996</v>
      </c>
      <c r="D444" s="10">
        <v>8.2864410556999992</v>
      </c>
      <c r="E444" s="10">
        <v>8.8960106855000003</v>
      </c>
      <c r="F444" s="10">
        <v>8.9354297943999992</v>
      </c>
      <c r="G444" s="10">
        <v>8.9861978105000002</v>
      </c>
      <c r="H444" s="10">
        <v>8.9910376988999996</v>
      </c>
      <c r="I444" s="10">
        <v>9.0011164113</v>
      </c>
    </row>
    <row r="445" spans="1:9" x14ac:dyDescent="0.2">
      <c r="A445">
        <v>19890131</v>
      </c>
      <c r="B445">
        <f t="shared" si="6"/>
        <v>198901</v>
      </c>
      <c r="C445" s="10">
        <v>7.8831222934999996</v>
      </c>
      <c r="D445" s="10">
        <v>8.5897044269999991</v>
      </c>
      <c r="E445" s="10">
        <v>8.8828058651999999</v>
      </c>
      <c r="F445" s="10">
        <v>8.9057860199000007</v>
      </c>
      <c r="G445" s="10">
        <v>8.8641443193999994</v>
      </c>
      <c r="H445" s="10">
        <v>8.8821062573000003</v>
      </c>
      <c r="I445" s="10">
        <v>8.8284732364000007</v>
      </c>
    </row>
    <row r="446" spans="1:9" x14ac:dyDescent="0.2">
      <c r="A446">
        <v>19890228</v>
      </c>
      <c r="B446">
        <f t="shared" si="6"/>
        <v>198902</v>
      </c>
      <c r="C446" s="10">
        <v>7.5362087320000004</v>
      </c>
      <c r="D446" s="10">
        <v>8.9214681513999992</v>
      </c>
      <c r="E446" s="10">
        <v>9.3538632675999995</v>
      </c>
      <c r="F446" s="10">
        <v>9.3107921908000009</v>
      </c>
      <c r="G446" s="10">
        <v>9.2505708994999996</v>
      </c>
      <c r="H446" s="10">
        <v>9.2663593290000001</v>
      </c>
      <c r="I446" s="10">
        <v>9.1553151466999996</v>
      </c>
    </row>
    <row r="447" spans="1:9" x14ac:dyDescent="0.2">
      <c r="A447">
        <v>19890331</v>
      </c>
      <c r="B447">
        <f t="shared" si="6"/>
        <v>198903</v>
      </c>
      <c r="C447" s="10">
        <v>8.7754920164999994</v>
      </c>
      <c r="D447" s="10">
        <v>9.1151436880999999</v>
      </c>
      <c r="E447" s="10">
        <v>9.6211760066000007</v>
      </c>
      <c r="F447" s="10">
        <v>9.5183570460000002</v>
      </c>
      <c r="G447" s="10">
        <v>9.4564130810999991</v>
      </c>
      <c r="H447" s="10">
        <v>9.3411468461999991</v>
      </c>
      <c r="I447" s="10">
        <v>9.2867050885999998</v>
      </c>
    </row>
    <row r="448" spans="1:9" x14ac:dyDescent="0.2">
      <c r="A448">
        <v>19890428</v>
      </c>
      <c r="B448">
        <f t="shared" si="6"/>
        <v>198904</v>
      </c>
      <c r="C448" s="10">
        <v>8.5608492039000001</v>
      </c>
      <c r="D448" s="10">
        <v>8.607363672</v>
      </c>
      <c r="E448" s="10">
        <v>9.0499015352000001</v>
      </c>
      <c r="F448" s="10">
        <v>9.0770348070000004</v>
      </c>
      <c r="G448" s="10">
        <v>9.0159492995000008</v>
      </c>
      <c r="H448" s="10">
        <v>8.9621820022000005</v>
      </c>
      <c r="I448" s="10">
        <v>8.8911538548000006</v>
      </c>
    </row>
    <row r="449" spans="1:9" x14ac:dyDescent="0.2">
      <c r="A449">
        <v>19890531</v>
      </c>
      <c r="B449">
        <f t="shared" si="6"/>
        <v>198905</v>
      </c>
      <c r="C449" s="10">
        <v>8.5935381821999997</v>
      </c>
      <c r="D449" s="10">
        <v>8.8166889023999993</v>
      </c>
      <c r="E449" s="10">
        <v>8.7650437551000007</v>
      </c>
      <c r="F449" s="10">
        <v>8.6047450089000002</v>
      </c>
      <c r="G449" s="10">
        <v>8.6104933510000006</v>
      </c>
      <c r="H449" s="10">
        <v>8.5920125509999998</v>
      </c>
      <c r="I449" s="10">
        <v>8.5413091880999996</v>
      </c>
    </row>
    <row r="450" spans="1:9" x14ac:dyDescent="0.2">
      <c r="A450">
        <v>19890630</v>
      </c>
      <c r="B450">
        <f t="shared" si="6"/>
        <v>198906</v>
      </c>
      <c r="C450" s="10">
        <v>8.2542910407000001</v>
      </c>
      <c r="D450" s="10">
        <v>8.1726291077000006</v>
      </c>
      <c r="E450" s="10">
        <v>8.1182700036999993</v>
      </c>
      <c r="F450" s="10">
        <v>7.9054274899000001</v>
      </c>
      <c r="G450" s="10">
        <v>7.9107931816999999</v>
      </c>
      <c r="H450" s="10">
        <v>7.8567118231000004</v>
      </c>
      <c r="I450" s="10">
        <v>7.9387474291000002</v>
      </c>
    </row>
    <row r="451" spans="1:9" x14ac:dyDescent="0.2">
      <c r="A451">
        <v>19890731</v>
      </c>
      <c r="B451">
        <f t="shared" si="6"/>
        <v>198907</v>
      </c>
      <c r="C451" s="10">
        <v>7.8431482234000001</v>
      </c>
      <c r="D451" s="10">
        <v>7.9734859381999996</v>
      </c>
      <c r="E451" s="10">
        <v>7.5978233999000002</v>
      </c>
      <c r="F451" s="10">
        <v>7.3601838407000004</v>
      </c>
      <c r="G451" s="10">
        <v>7.4519952046000002</v>
      </c>
      <c r="H451" s="10">
        <v>7.4370344380000004</v>
      </c>
      <c r="I451" s="10">
        <v>7.4377545567999999</v>
      </c>
    </row>
    <row r="452" spans="1:9" x14ac:dyDescent="0.2">
      <c r="A452">
        <v>19890831</v>
      </c>
      <c r="B452">
        <f t="shared" si="6"/>
        <v>198908</v>
      </c>
      <c r="C452" s="10">
        <v>7.7852373732000002</v>
      </c>
      <c r="D452" s="10">
        <v>8.0700875500000002</v>
      </c>
      <c r="E452" s="10">
        <v>8.1126389863000004</v>
      </c>
      <c r="F452" s="10">
        <v>8.2369646727999992</v>
      </c>
      <c r="G452" s="10">
        <v>8.1803669640999992</v>
      </c>
      <c r="H452" s="10">
        <v>8.1663510477999992</v>
      </c>
      <c r="I452" s="10">
        <v>8.1288540391000002</v>
      </c>
    </row>
    <row r="453" spans="1:9" x14ac:dyDescent="0.2">
      <c r="A453">
        <v>19890929</v>
      </c>
      <c r="B453">
        <f t="shared" si="6"/>
        <v>198909</v>
      </c>
      <c r="C453" s="10">
        <v>7.7537675602</v>
      </c>
      <c r="D453" s="10">
        <v>8.0898753339000002</v>
      </c>
      <c r="E453" s="10">
        <v>8.3089799884000008</v>
      </c>
      <c r="F453" s="10">
        <v>8.2925186377000006</v>
      </c>
      <c r="G453" s="10">
        <v>8.2922426858999998</v>
      </c>
      <c r="H453" s="10">
        <v>8.2574161273000009</v>
      </c>
      <c r="I453" s="10">
        <v>8.2234311644999991</v>
      </c>
    </row>
    <row r="454" spans="1:9" x14ac:dyDescent="0.2">
      <c r="A454">
        <v>19891031</v>
      </c>
      <c r="B454">
        <f t="shared" si="6"/>
        <v>198910</v>
      </c>
      <c r="C454" s="10">
        <v>7.6892466395000003</v>
      </c>
      <c r="D454" s="10">
        <v>7.9477091796000003</v>
      </c>
      <c r="E454" s="10">
        <v>7.7460106736999998</v>
      </c>
      <c r="F454" s="10">
        <v>7.6754875238000002</v>
      </c>
      <c r="G454" s="10">
        <v>7.7725386181999996</v>
      </c>
      <c r="H454" s="10">
        <v>7.7744443383000004</v>
      </c>
      <c r="I454" s="10">
        <v>7.7565291329999999</v>
      </c>
    </row>
    <row r="455" spans="1:9" x14ac:dyDescent="0.2">
      <c r="A455">
        <v>19891130</v>
      </c>
      <c r="B455">
        <f t="shared" ref="B455:B518" si="7">ROUND(A455/100,0)</f>
        <v>198911</v>
      </c>
      <c r="C455" s="10">
        <v>7.0704420620999997</v>
      </c>
      <c r="D455" s="10">
        <v>7.7598590901</v>
      </c>
      <c r="E455" s="10">
        <v>7.6685237721000004</v>
      </c>
      <c r="F455" s="10">
        <v>7.5855903620999996</v>
      </c>
      <c r="G455" s="10">
        <v>7.6323314413999999</v>
      </c>
      <c r="H455" s="10">
        <v>7.6823926550000001</v>
      </c>
      <c r="I455" s="10">
        <v>7.6804796155000004</v>
      </c>
    </row>
    <row r="456" spans="1:9" x14ac:dyDescent="0.2">
      <c r="A456">
        <v>19891229</v>
      </c>
      <c r="B456">
        <f t="shared" si="7"/>
        <v>198912</v>
      </c>
      <c r="C456" s="10">
        <v>6.2637939552999997</v>
      </c>
      <c r="D456" s="10">
        <v>7.7228590455999999</v>
      </c>
      <c r="E456" s="10">
        <v>7.7566398109000003</v>
      </c>
      <c r="F456" s="10">
        <v>7.7349847863000001</v>
      </c>
      <c r="G456" s="10">
        <v>7.7894563161999999</v>
      </c>
      <c r="H456" s="10">
        <v>7.7897422672000003</v>
      </c>
      <c r="I456" s="10">
        <v>7.7600520677000002</v>
      </c>
    </row>
    <row r="457" spans="1:9" x14ac:dyDescent="0.2">
      <c r="A457">
        <v>19900131</v>
      </c>
      <c r="B457">
        <f t="shared" si="7"/>
        <v>199001</v>
      </c>
      <c r="C457" s="10">
        <v>7.6430412333</v>
      </c>
      <c r="D457" s="10">
        <v>7.9158072945000004</v>
      </c>
      <c r="E457" s="10">
        <v>8.0755815794999997</v>
      </c>
      <c r="F457" s="10">
        <v>8.0974306634000008</v>
      </c>
      <c r="G457" s="10">
        <v>8.1679362768000008</v>
      </c>
      <c r="H457" s="10">
        <v>8.2146351821000003</v>
      </c>
      <c r="I457" s="10">
        <v>8.2441270577000001</v>
      </c>
    </row>
    <row r="458" spans="1:9" x14ac:dyDescent="0.2">
      <c r="A458">
        <v>19900228</v>
      </c>
      <c r="B458">
        <f t="shared" si="7"/>
        <v>199002</v>
      </c>
      <c r="C458" s="10">
        <v>7.7043367347</v>
      </c>
      <c r="D458" s="10">
        <v>7.9468381481000003</v>
      </c>
      <c r="E458" s="10">
        <v>8.0495259687999994</v>
      </c>
      <c r="F458" s="10">
        <v>8.2403869812000003</v>
      </c>
      <c r="G458" s="10">
        <v>8.2748686545000005</v>
      </c>
      <c r="H458" s="10">
        <v>8.3556879247999998</v>
      </c>
      <c r="I458" s="10">
        <v>8.3723170062999994</v>
      </c>
    </row>
    <row r="459" spans="1:9" x14ac:dyDescent="0.2">
      <c r="A459">
        <v>19900330</v>
      </c>
      <c r="B459">
        <f t="shared" si="7"/>
        <v>199003</v>
      </c>
      <c r="C459" s="10">
        <v>7.9988927591000003</v>
      </c>
      <c r="D459" s="10">
        <v>7.9761164595</v>
      </c>
      <c r="E459" s="10">
        <v>8.2869903903999997</v>
      </c>
      <c r="F459" s="10">
        <v>8.4693519374000008</v>
      </c>
      <c r="G459" s="10">
        <v>8.5420953796999992</v>
      </c>
      <c r="H459" s="10">
        <v>8.5371789805000002</v>
      </c>
      <c r="I459" s="10">
        <v>8.5288279119000006</v>
      </c>
    </row>
    <row r="460" spans="1:9" x14ac:dyDescent="0.2">
      <c r="A460">
        <v>19900430</v>
      </c>
      <c r="B460">
        <f t="shared" si="7"/>
        <v>199004</v>
      </c>
      <c r="C460" s="10">
        <v>7.5165806335000003</v>
      </c>
      <c r="D460" s="10">
        <v>7.9631526410999998</v>
      </c>
      <c r="E460" s="10">
        <v>8.5370909251999993</v>
      </c>
      <c r="F460" s="10">
        <v>8.7488891834999993</v>
      </c>
      <c r="G460" s="10">
        <v>8.8351751121</v>
      </c>
      <c r="H460" s="10">
        <v>8.9001186012000009</v>
      </c>
      <c r="I460" s="10">
        <v>8.8790313305000002</v>
      </c>
    </row>
    <row r="461" spans="1:9" x14ac:dyDescent="0.2">
      <c r="A461">
        <v>19900531</v>
      </c>
      <c r="B461">
        <f t="shared" si="7"/>
        <v>199005</v>
      </c>
      <c r="C461" s="10">
        <v>7.3358802745</v>
      </c>
      <c r="D461" s="10">
        <v>7.9252844083999996</v>
      </c>
      <c r="E461" s="10">
        <v>8.1209032928999996</v>
      </c>
      <c r="F461" s="10">
        <v>8.3068118111999993</v>
      </c>
      <c r="G461" s="10">
        <v>8.3622083831000005</v>
      </c>
      <c r="H461" s="10">
        <v>8.4557829053999995</v>
      </c>
      <c r="I461" s="10">
        <v>8.4814764444000001</v>
      </c>
    </row>
    <row r="462" spans="1:9" x14ac:dyDescent="0.2">
      <c r="A462">
        <v>19900629</v>
      </c>
      <c r="B462">
        <f t="shared" si="7"/>
        <v>199006</v>
      </c>
      <c r="C462" s="10">
        <v>7.6414372124999996</v>
      </c>
      <c r="D462" s="10">
        <v>7.9140796112</v>
      </c>
      <c r="E462" s="10">
        <v>7.9469299313999997</v>
      </c>
      <c r="F462" s="10">
        <v>8.0437407490999995</v>
      </c>
      <c r="G462" s="10">
        <v>8.1385550404</v>
      </c>
      <c r="H462" s="10">
        <v>8.2199776435</v>
      </c>
      <c r="I462" s="10">
        <v>8.2681536335000008</v>
      </c>
    </row>
    <row r="463" spans="1:9" x14ac:dyDescent="0.2">
      <c r="A463">
        <v>19900731</v>
      </c>
      <c r="B463">
        <f t="shared" si="7"/>
        <v>199007</v>
      </c>
      <c r="C463" s="10">
        <v>7.4647976289000004</v>
      </c>
      <c r="D463" s="10">
        <v>7.6581197093000002</v>
      </c>
      <c r="E463" s="10">
        <v>7.6679038575999998</v>
      </c>
      <c r="F463" s="10">
        <v>7.7368650014</v>
      </c>
      <c r="G463" s="10">
        <v>7.8618361644999997</v>
      </c>
      <c r="H463" s="10">
        <v>7.9511749364000002</v>
      </c>
      <c r="I463" s="10">
        <v>8.0335849458999995</v>
      </c>
    </row>
    <row r="464" spans="1:9" x14ac:dyDescent="0.2">
      <c r="A464">
        <v>19900831</v>
      </c>
      <c r="B464">
        <f t="shared" si="7"/>
        <v>199008</v>
      </c>
      <c r="C464" s="10">
        <v>7.4882784070000001</v>
      </c>
      <c r="D464" s="10">
        <v>7.5523870075000001</v>
      </c>
      <c r="E464" s="10">
        <v>7.6200230895000001</v>
      </c>
      <c r="F464" s="10">
        <v>7.8947359810000002</v>
      </c>
      <c r="G464" s="10">
        <v>8.1132767747999992</v>
      </c>
      <c r="H464" s="10">
        <v>8.3239415137999995</v>
      </c>
      <c r="I464" s="10">
        <v>8.4526731965999993</v>
      </c>
    </row>
    <row r="465" spans="1:9" x14ac:dyDescent="0.2">
      <c r="A465">
        <v>19900928</v>
      </c>
      <c r="B465">
        <f t="shared" si="7"/>
        <v>199009</v>
      </c>
      <c r="C465" s="10">
        <v>7.0187276076999998</v>
      </c>
      <c r="D465" s="10">
        <v>7.2942324992999996</v>
      </c>
      <c r="E465" s="10">
        <v>7.5836557088000003</v>
      </c>
      <c r="F465" s="10">
        <v>7.8566112752999997</v>
      </c>
      <c r="G465" s="10">
        <v>8.0426159468999998</v>
      </c>
      <c r="H465" s="10">
        <v>8.2553452472999993</v>
      </c>
      <c r="I465" s="10">
        <v>8.3870315563000002</v>
      </c>
    </row>
    <row r="466" spans="1:9" x14ac:dyDescent="0.2">
      <c r="A466">
        <v>19901031</v>
      </c>
      <c r="B466">
        <f t="shared" si="7"/>
        <v>199010</v>
      </c>
      <c r="C466" s="10">
        <v>6.7444660259000004</v>
      </c>
      <c r="D466" s="10">
        <v>7.2647193972000004</v>
      </c>
      <c r="E466" s="10">
        <v>7.4552644507999997</v>
      </c>
      <c r="F466" s="10">
        <v>7.6019975323000004</v>
      </c>
      <c r="G466" s="10">
        <v>7.8062557579999998</v>
      </c>
      <c r="H466" s="10">
        <v>8.0230309130999995</v>
      </c>
      <c r="I466" s="10">
        <v>8.1598152866000007</v>
      </c>
    </row>
    <row r="467" spans="1:9" x14ac:dyDescent="0.2">
      <c r="A467">
        <v>19901130</v>
      </c>
      <c r="B467">
        <f t="shared" si="7"/>
        <v>199011</v>
      </c>
      <c r="C467" s="10">
        <v>6.6513962740999997</v>
      </c>
      <c r="D467" s="10">
        <v>7.1703766801000004</v>
      </c>
      <c r="E467" s="10">
        <v>7.3323201766999997</v>
      </c>
      <c r="F467" s="10">
        <v>7.3644277903999997</v>
      </c>
      <c r="G467" s="10">
        <v>7.5499167344</v>
      </c>
      <c r="H467" s="10">
        <v>7.7561086332000002</v>
      </c>
      <c r="I467" s="10">
        <v>7.8632016861</v>
      </c>
    </row>
    <row r="468" spans="1:9" x14ac:dyDescent="0.2">
      <c r="A468">
        <v>19901231</v>
      </c>
      <c r="B468">
        <f t="shared" si="7"/>
        <v>199012</v>
      </c>
      <c r="C468" s="10">
        <v>5.4470246592000002</v>
      </c>
      <c r="D468" s="10">
        <v>6.5704887653000004</v>
      </c>
      <c r="E468" s="10">
        <v>6.9183138741999999</v>
      </c>
      <c r="F468" s="10">
        <v>7.0543498828000004</v>
      </c>
      <c r="G468" s="10">
        <v>7.3069606009000001</v>
      </c>
      <c r="H468" s="10">
        <v>7.4695882792999999</v>
      </c>
      <c r="I468" s="10">
        <v>7.6557413245000001</v>
      </c>
    </row>
    <row r="469" spans="1:9" x14ac:dyDescent="0.2">
      <c r="A469">
        <v>19910131</v>
      </c>
      <c r="B469">
        <f t="shared" si="7"/>
        <v>199101</v>
      </c>
      <c r="C469" s="10">
        <v>5.8768054772999996</v>
      </c>
      <c r="D469" s="10">
        <v>6.3152904577999998</v>
      </c>
      <c r="E469" s="10">
        <v>6.6086880349000001</v>
      </c>
      <c r="F469" s="10">
        <v>6.9199640558000004</v>
      </c>
      <c r="G469" s="10">
        <v>7.1621202634000003</v>
      </c>
      <c r="H469" s="10">
        <v>7.4351748501000001</v>
      </c>
      <c r="I469" s="10">
        <v>7.5225940971999998</v>
      </c>
    </row>
    <row r="470" spans="1:9" x14ac:dyDescent="0.2">
      <c r="A470">
        <v>19910228</v>
      </c>
      <c r="B470">
        <f t="shared" si="7"/>
        <v>199102</v>
      </c>
      <c r="C470" s="10">
        <v>5.7136792636999996</v>
      </c>
      <c r="D470" s="10">
        <v>6.1608233737000004</v>
      </c>
      <c r="E470" s="10">
        <v>6.4967506017999996</v>
      </c>
      <c r="F470" s="10">
        <v>6.9035941208000002</v>
      </c>
      <c r="G470" s="10">
        <v>7.1583339783</v>
      </c>
      <c r="H470" s="10">
        <v>7.4476763841000002</v>
      </c>
      <c r="I470" s="10">
        <v>7.5616841304999998</v>
      </c>
    </row>
    <row r="471" spans="1:9" x14ac:dyDescent="0.2">
      <c r="A471">
        <v>19910328</v>
      </c>
      <c r="B471">
        <f t="shared" si="7"/>
        <v>199103</v>
      </c>
      <c r="C471" s="10">
        <v>5.8870017127000001</v>
      </c>
      <c r="D471" s="10">
        <v>5.8520675512000002</v>
      </c>
      <c r="E471" s="10">
        <v>6.3522055425000001</v>
      </c>
      <c r="F471" s="10">
        <v>6.9639544399000002</v>
      </c>
      <c r="G471" s="10">
        <v>7.2279489413000002</v>
      </c>
      <c r="H471" s="10">
        <v>7.5350001735000003</v>
      </c>
      <c r="I471" s="10">
        <v>7.7263140117000004</v>
      </c>
    </row>
    <row r="472" spans="1:9" x14ac:dyDescent="0.2">
      <c r="A472">
        <v>19910430</v>
      </c>
      <c r="B472">
        <f t="shared" si="7"/>
        <v>199104</v>
      </c>
      <c r="C472" s="10">
        <v>5.4160648790000003</v>
      </c>
      <c r="D472" s="10">
        <v>5.6163837775000003</v>
      </c>
      <c r="E472" s="10">
        <v>6.1841539486999997</v>
      </c>
      <c r="F472" s="10">
        <v>6.6758438684000003</v>
      </c>
      <c r="G472" s="10">
        <v>7.0622079757999998</v>
      </c>
      <c r="H472" s="10">
        <v>7.4165232131999996</v>
      </c>
      <c r="I472" s="10">
        <v>7.5426004285000001</v>
      </c>
    </row>
    <row r="473" spans="1:9" x14ac:dyDescent="0.2">
      <c r="A473">
        <v>19910531</v>
      </c>
      <c r="B473">
        <f t="shared" si="7"/>
        <v>199105</v>
      </c>
      <c r="C473" s="10">
        <v>5.3875033662999998</v>
      </c>
      <c r="D473" s="10">
        <v>5.6356426612000003</v>
      </c>
      <c r="E473" s="10">
        <v>6.2566382237999996</v>
      </c>
      <c r="F473" s="10">
        <v>6.7634697644999999</v>
      </c>
      <c r="G473" s="10">
        <v>7.0445856344999997</v>
      </c>
      <c r="H473" s="10">
        <v>7.4487281814999999</v>
      </c>
      <c r="I473" s="10">
        <v>7.6124001833000001</v>
      </c>
    </row>
    <row r="474" spans="1:9" x14ac:dyDescent="0.2">
      <c r="A474">
        <v>19910628</v>
      </c>
      <c r="B474">
        <f t="shared" si="7"/>
        <v>199106</v>
      </c>
      <c r="C474" s="10">
        <v>5.1833265567</v>
      </c>
      <c r="D474" s="10">
        <v>5.6459235550000004</v>
      </c>
      <c r="E474" s="10">
        <v>6.3128300191999998</v>
      </c>
      <c r="F474" s="10">
        <v>6.8527902879999996</v>
      </c>
      <c r="G474" s="10">
        <v>7.2950870530999996</v>
      </c>
      <c r="H474" s="10">
        <v>7.6769690801000001</v>
      </c>
      <c r="I474" s="10">
        <v>7.8623743234000001</v>
      </c>
    </row>
    <row r="475" spans="1:9" x14ac:dyDescent="0.2">
      <c r="A475">
        <v>19910731</v>
      </c>
      <c r="B475">
        <f t="shared" si="7"/>
        <v>199107</v>
      </c>
      <c r="C475" s="10">
        <v>5.5408068954000003</v>
      </c>
      <c r="D475" s="10">
        <v>5.6365170366999999</v>
      </c>
      <c r="E475" s="10">
        <v>6.1584621701</v>
      </c>
      <c r="F475" s="10">
        <v>6.6894975291999996</v>
      </c>
      <c r="G475" s="10">
        <v>7.1091471485</v>
      </c>
      <c r="H475" s="10">
        <v>7.5137254875000004</v>
      </c>
      <c r="I475" s="10">
        <v>7.7045266194000002</v>
      </c>
    </row>
    <row r="476" spans="1:9" x14ac:dyDescent="0.2">
      <c r="A476">
        <v>19910830</v>
      </c>
      <c r="B476">
        <f t="shared" si="7"/>
        <v>199108</v>
      </c>
      <c r="C476" s="10">
        <v>5.3055890496</v>
      </c>
      <c r="D476" s="10">
        <v>5.4304852621000004</v>
      </c>
      <c r="E476" s="10">
        <v>5.6441372512000001</v>
      </c>
      <c r="F476" s="10">
        <v>6.3012612998000002</v>
      </c>
      <c r="G476" s="10">
        <v>6.6515460932000003</v>
      </c>
      <c r="H476" s="10">
        <v>7.0922657363999999</v>
      </c>
      <c r="I476" s="10">
        <v>7.2971563251999996</v>
      </c>
    </row>
    <row r="477" spans="1:9" x14ac:dyDescent="0.2">
      <c r="A477">
        <v>19910930</v>
      </c>
      <c r="B477">
        <f t="shared" si="7"/>
        <v>199109</v>
      </c>
      <c r="C477" s="10">
        <v>4.9887482443</v>
      </c>
      <c r="D477" s="10">
        <v>5.2029628642999999</v>
      </c>
      <c r="E477" s="10">
        <v>5.3706024214000001</v>
      </c>
      <c r="F477" s="10">
        <v>5.9249133288999998</v>
      </c>
      <c r="G477" s="10">
        <v>6.3168770155000002</v>
      </c>
      <c r="H477" s="10">
        <v>6.724580134</v>
      </c>
      <c r="I477" s="10">
        <v>6.8626136775999997</v>
      </c>
    </row>
    <row r="478" spans="1:9" x14ac:dyDescent="0.2">
      <c r="A478">
        <v>19911031</v>
      </c>
      <c r="B478">
        <f t="shared" si="7"/>
        <v>199110</v>
      </c>
      <c r="C478" s="10">
        <v>4.7863838742000002</v>
      </c>
      <c r="D478" s="10">
        <v>4.9066956752999999</v>
      </c>
      <c r="E478" s="10">
        <v>5.1536828117000004</v>
      </c>
      <c r="F478" s="10">
        <v>5.6118922724999996</v>
      </c>
      <c r="G478" s="10">
        <v>6.0718361216999996</v>
      </c>
      <c r="H478" s="10">
        <v>6.5185562874</v>
      </c>
      <c r="I478" s="10">
        <v>6.7035401700000001</v>
      </c>
    </row>
    <row r="479" spans="1:9" x14ac:dyDescent="0.2">
      <c r="A479">
        <v>19911129</v>
      </c>
      <c r="B479">
        <f t="shared" si="7"/>
        <v>199111</v>
      </c>
      <c r="C479" s="10">
        <v>4.0632353974999997</v>
      </c>
      <c r="D479" s="10">
        <v>4.4243233727</v>
      </c>
      <c r="E479" s="10">
        <v>4.7892390003000003</v>
      </c>
      <c r="F479" s="10">
        <v>5.3549965595</v>
      </c>
      <c r="G479" s="10">
        <v>5.7918571138999999</v>
      </c>
      <c r="H479" s="10">
        <v>6.3545901967000002</v>
      </c>
      <c r="I479" s="10">
        <v>6.5865582530999998</v>
      </c>
    </row>
    <row r="480" spans="1:9" x14ac:dyDescent="0.2">
      <c r="A480">
        <v>19911231</v>
      </c>
      <c r="B480">
        <f t="shared" si="7"/>
        <v>199112</v>
      </c>
      <c r="C480" s="10">
        <v>3.7165038872</v>
      </c>
      <c r="D480" s="10">
        <v>3.9230135421000001</v>
      </c>
      <c r="E480" s="10">
        <v>4.1713708370999996</v>
      </c>
      <c r="F480" s="10">
        <v>4.7299874315999997</v>
      </c>
      <c r="G480" s="10">
        <v>5.1765744738999997</v>
      </c>
      <c r="H480" s="10">
        <v>5.7887439014000002</v>
      </c>
      <c r="I480" s="10">
        <v>5.9170644834999999</v>
      </c>
    </row>
    <row r="481" spans="1:9" x14ac:dyDescent="0.2">
      <c r="A481">
        <v>19920131</v>
      </c>
      <c r="B481">
        <f t="shared" si="7"/>
        <v>199201</v>
      </c>
      <c r="C481" s="10">
        <v>3.7274358137000001</v>
      </c>
      <c r="D481" s="10">
        <v>3.9019047679000001</v>
      </c>
      <c r="E481" s="10">
        <v>4.3389242513999999</v>
      </c>
      <c r="F481" s="10">
        <v>5.0395273980999997</v>
      </c>
      <c r="G481" s="10">
        <v>5.7480782308</v>
      </c>
      <c r="H481" s="10">
        <v>6.2464176106</v>
      </c>
      <c r="I481" s="10">
        <v>6.4212593099999999</v>
      </c>
    </row>
    <row r="482" spans="1:9" x14ac:dyDescent="0.2">
      <c r="A482">
        <v>19920228</v>
      </c>
      <c r="B482">
        <f t="shared" si="7"/>
        <v>199202</v>
      </c>
      <c r="C482" s="10">
        <v>3.8495326004999999</v>
      </c>
      <c r="D482" s="10">
        <v>3.9940473999999999</v>
      </c>
      <c r="E482" s="10">
        <v>4.4011942886000002</v>
      </c>
      <c r="F482" s="10">
        <v>5.2366389888000002</v>
      </c>
      <c r="G482" s="10">
        <v>5.8189771634999996</v>
      </c>
      <c r="H482" s="10">
        <v>6.3670120237000001</v>
      </c>
      <c r="I482" s="10">
        <v>6.6494859179999999</v>
      </c>
    </row>
    <row r="483" spans="1:9" x14ac:dyDescent="0.2">
      <c r="A483">
        <v>19920331</v>
      </c>
      <c r="B483">
        <f t="shared" si="7"/>
        <v>199203</v>
      </c>
      <c r="C483" s="10">
        <v>4.0114669449000004</v>
      </c>
      <c r="D483" s="10">
        <v>4.1176358796999999</v>
      </c>
      <c r="E483" s="10">
        <v>4.6093077105000004</v>
      </c>
      <c r="F483" s="10">
        <v>5.5632064659999996</v>
      </c>
      <c r="G483" s="10">
        <v>6.2444089221999999</v>
      </c>
      <c r="H483" s="10">
        <v>6.7451804783</v>
      </c>
      <c r="I483" s="10">
        <v>6.9148832141999996</v>
      </c>
    </row>
    <row r="484" spans="1:9" x14ac:dyDescent="0.2">
      <c r="A484">
        <v>19920430</v>
      </c>
      <c r="B484">
        <f t="shared" si="7"/>
        <v>199204</v>
      </c>
      <c r="C484" s="10">
        <v>3.5037961150000001</v>
      </c>
      <c r="D484" s="10">
        <v>3.7588075184999998</v>
      </c>
      <c r="E484" s="10">
        <v>4.3759358941000004</v>
      </c>
      <c r="F484" s="10">
        <v>5.3978292808999999</v>
      </c>
      <c r="G484" s="10">
        <v>6.0713335599000002</v>
      </c>
      <c r="H484" s="10">
        <v>6.6071010535000001</v>
      </c>
      <c r="I484" s="10">
        <v>6.9171981089000001</v>
      </c>
    </row>
    <row r="485" spans="1:9" x14ac:dyDescent="0.2">
      <c r="A485">
        <v>19920529</v>
      </c>
      <c r="B485">
        <f t="shared" si="7"/>
        <v>199205</v>
      </c>
      <c r="C485" s="10">
        <v>3.6358723358999998</v>
      </c>
      <c r="D485" s="10">
        <v>3.7586133829000001</v>
      </c>
      <c r="E485" s="10">
        <v>4.2689061252</v>
      </c>
      <c r="F485" s="10">
        <v>5.1726060415999999</v>
      </c>
      <c r="G485" s="10">
        <v>5.8008999336000002</v>
      </c>
      <c r="H485" s="10">
        <v>6.3043048389000003</v>
      </c>
      <c r="I485" s="10">
        <v>6.6846398678999996</v>
      </c>
    </row>
    <row r="486" spans="1:9" x14ac:dyDescent="0.2">
      <c r="A486">
        <v>19920630</v>
      </c>
      <c r="B486">
        <f t="shared" si="7"/>
        <v>199206</v>
      </c>
      <c r="C486" s="10">
        <v>3.5131227451</v>
      </c>
      <c r="D486" s="10">
        <v>3.6261443408999998</v>
      </c>
      <c r="E486" s="10">
        <v>4.0634661196000001</v>
      </c>
      <c r="F486" s="10">
        <v>4.7989376862000004</v>
      </c>
      <c r="G486" s="10">
        <v>5.4531144539999996</v>
      </c>
      <c r="H486" s="10">
        <v>5.9951010946999999</v>
      </c>
      <c r="I486" s="10">
        <v>6.3080136272000003</v>
      </c>
    </row>
    <row r="487" spans="1:9" x14ac:dyDescent="0.2">
      <c r="A487">
        <v>19920731</v>
      </c>
      <c r="B487">
        <f t="shared" si="7"/>
        <v>199207</v>
      </c>
      <c r="C487" s="10">
        <v>3.0764873768999998</v>
      </c>
      <c r="D487" s="10">
        <v>3.2268310517000001</v>
      </c>
      <c r="E487" s="10">
        <v>3.5797261432999998</v>
      </c>
      <c r="F487" s="10">
        <v>4.3670790594</v>
      </c>
      <c r="G487" s="10">
        <v>5.0015909338000002</v>
      </c>
      <c r="H487" s="10">
        <v>5.5607987367999998</v>
      </c>
      <c r="I487" s="10">
        <v>5.8434479416</v>
      </c>
    </row>
    <row r="488" spans="1:9" x14ac:dyDescent="0.2">
      <c r="A488">
        <v>19920831</v>
      </c>
      <c r="B488">
        <f t="shared" si="7"/>
        <v>199208</v>
      </c>
      <c r="C488" s="10">
        <v>3.0252721432</v>
      </c>
      <c r="D488" s="10">
        <v>3.2061094234</v>
      </c>
      <c r="E488" s="10">
        <v>3.4358017793000002</v>
      </c>
      <c r="F488" s="10">
        <v>4.1088866536999999</v>
      </c>
      <c r="G488" s="10">
        <v>4.7419288693999997</v>
      </c>
      <c r="H488" s="10">
        <v>5.3400913659000002</v>
      </c>
      <c r="I488" s="10">
        <v>5.6260441098999996</v>
      </c>
    </row>
    <row r="489" spans="1:9" x14ac:dyDescent="0.2">
      <c r="A489">
        <v>19920930</v>
      </c>
      <c r="B489">
        <f t="shared" si="7"/>
        <v>199209</v>
      </c>
      <c r="C489" s="10">
        <v>2.6903718747999998</v>
      </c>
      <c r="D489" s="10">
        <v>2.7265699039000002</v>
      </c>
      <c r="E489" s="10">
        <v>3.1051522548000001</v>
      </c>
      <c r="F489" s="10">
        <v>3.7741799068000002</v>
      </c>
      <c r="G489" s="10">
        <v>4.4036849266999996</v>
      </c>
      <c r="H489" s="10">
        <v>4.9763963067999999</v>
      </c>
      <c r="I489" s="10">
        <v>5.3553893358</v>
      </c>
    </row>
    <row r="490" spans="1:9" x14ac:dyDescent="0.2">
      <c r="A490">
        <v>19921030</v>
      </c>
      <c r="B490">
        <f t="shared" si="7"/>
        <v>199210</v>
      </c>
      <c r="C490" s="10">
        <v>2.7714911176000001</v>
      </c>
      <c r="D490" s="10">
        <v>3.0020559609999999</v>
      </c>
      <c r="E490" s="10">
        <v>3.6056756230000002</v>
      </c>
      <c r="F490" s="10">
        <v>4.4576351823999998</v>
      </c>
      <c r="G490" s="10">
        <v>5.0689250491999998</v>
      </c>
      <c r="H490" s="10">
        <v>5.6565078354000002</v>
      </c>
      <c r="I490" s="10">
        <v>6.0171921835999997</v>
      </c>
    </row>
    <row r="491" spans="1:9" x14ac:dyDescent="0.2">
      <c r="A491">
        <v>19921130</v>
      </c>
      <c r="B491">
        <f t="shared" si="7"/>
        <v>199211</v>
      </c>
      <c r="C491" s="10">
        <v>2.6695518170999999</v>
      </c>
      <c r="D491" s="10">
        <v>3.3183666086999999</v>
      </c>
      <c r="E491" s="10">
        <v>3.9221489327999999</v>
      </c>
      <c r="F491" s="10">
        <v>4.7392493218</v>
      </c>
      <c r="G491" s="10">
        <v>5.4286401130000002</v>
      </c>
      <c r="H491" s="10">
        <v>5.9667257472999999</v>
      </c>
      <c r="I491" s="10">
        <v>6.2439623368000001</v>
      </c>
    </row>
    <row r="492" spans="1:9" x14ac:dyDescent="0.2">
      <c r="A492">
        <v>19921231</v>
      </c>
      <c r="B492">
        <f t="shared" si="7"/>
        <v>199212</v>
      </c>
      <c r="C492" s="10">
        <v>2.9240956470000001</v>
      </c>
      <c r="D492" s="10">
        <v>3.1247792091000002</v>
      </c>
      <c r="E492" s="10">
        <v>3.6506420836000002</v>
      </c>
      <c r="F492" s="10">
        <v>4.4998640528999996</v>
      </c>
      <c r="G492" s="10">
        <v>5.2106748138999999</v>
      </c>
      <c r="H492" s="10">
        <v>5.6808813772000004</v>
      </c>
      <c r="I492" s="10">
        <v>6.0510641685</v>
      </c>
    </row>
    <row r="493" spans="1:9" x14ac:dyDescent="0.2">
      <c r="A493">
        <v>19930129</v>
      </c>
      <c r="B493">
        <f t="shared" si="7"/>
        <v>199301</v>
      </c>
      <c r="C493" s="10">
        <v>2.8629808970999999</v>
      </c>
      <c r="D493" s="10">
        <v>2.9407752784999999</v>
      </c>
      <c r="E493" s="10">
        <v>3.4456307553999999</v>
      </c>
      <c r="F493" s="10">
        <v>4.2104822773999997</v>
      </c>
      <c r="G493" s="10">
        <v>4.7790177344</v>
      </c>
      <c r="H493" s="10">
        <v>5.2310579810000002</v>
      </c>
      <c r="I493" s="10">
        <v>5.6668540485000003</v>
      </c>
    </row>
    <row r="494" spans="1:9" x14ac:dyDescent="0.2">
      <c r="A494">
        <v>19930226</v>
      </c>
      <c r="B494">
        <f t="shared" si="7"/>
        <v>199302</v>
      </c>
      <c r="C494" s="10">
        <v>2.7206668315</v>
      </c>
      <c r="D494" s="10">
        <v>2.9918418708000001</v>
      </c>
      <c r="E494" s="10">
        <v>3.3107644184999998</v>
      </c>
      <c r="F494" s="10">
        <v>3.9148570510999998</v>
      </c>
      <c r="G494" s="10">
        <v>4.4177303664999998</v>
      </c>
      <c r="H494" s="10">
        <v>4.9420470096000004</v>
      </c>
      <c r="I494" s="10">
        <v>5.3093444326999997</v>
      </c>
    </row>
    <row r="495" spans="1:9" x14ac:dyDescent="0.2">
      <c r="A495">
        <v>19930331</v>
      </c>
      <c r="B495">
        <f t="shared" si="7"/>
        <v>199303</v>
      </c>
      <c r="C495" s="10">
        <v>2.8632056868000002</v>
      </c>
      <c r="D495" s="10">
        <v>2.9307986177999998</v>
      </c>
      <c r="E495" s="10">
        <v>3.3524016004999999</v>
      </c>
      <c r="F495" s="10">
        <v>3.9152906839999999</v>
      </c>
      <c r="G495" s="10">
        <v>4.4909227694</v>
      </c>
      <c r="H495" s="10">
        <v>4.9588334506000002</v>
      </c>
      <c r="I495" s="10">
        <v>5.2473229962000003</v>
      </c>
    </row>
    <row r="496" spans="1:9" x14ac:dyDescent="0.2">
      <c r="A496">
        <v>19930430</v>
      </c>
      <c r="B496">
        <f t="shared" si="7"/>
        <v>199304</v>
      </c>
      <c r="C496" s="10">
        <v>2.8528149814999999</v>
      </c>
      <c r="D496" s="10">
        <v>2.9509880825999999</v>
      </c>
      <c r="E496" s="10">
        <v>3.2968132433999999</v>
      </c>
      <c r="F496" s="10">
        <v>3.7857730722</v>
      </c>
      <c r="G496" s="10">
        <v>4.3444582888000003</v>
      </c>
      <c r="H496" s="10">
        <v>4.8372809340999998</v>
      </c>
      <c r="I496" s="10">
        <v>5.1522374344999999</v>
      </c>
    </row>
    <row r="497" spans="1:9" x14ac:dyDescent="0.2">
      <c r="A497">
        <v>19930528</v>
      </c>
      <c r="B497">
        <f t="shared" si="7"/>
        <v>199305</v>
      </c>
      <c r="C497" s="10">
        <v>2.9544784744000001</v>
      </c>
      <c r="D497" s="10">
        <v>3.1042110133</v>
      </c>
      <c r="E497" s="10">
        <v>3.6308509610000002</v>
      </c>
      <c r="F497" s="10">
        <v>4.1803948588999997</v>
      </c>
      <c r="G497" s="10">
        <v>4.6611022691999997</v>
      </c>
      <c r="H497" s="10">
        <v>5.0700067450999997</v>
      </c>
      <c r="I497" s="10">
        <v>5.3966100787000002</v>
      </c>
    </row>
    <row r="498" spans="1:9" x14ac:dyDescent="0.2">
      <c r="A498">
        <v>19930630</v>
      </c>
      <c r="B498">
        <f t="shared" si="7"/>
        <v>199306</v>
      </c>
      <c r="C498" s="10">
        <v>2.8632056868000002</v>
      </c>
      <c r="D498" s="10">
        <v>3.0738212958000002</v>
      </c>
      <c r="E498" s="10">
        <v>3.4996761163999999</v>
      </c>
      <c r="F498" s="10">
        <v>3.982526977</v>
      </c>
      <c r="G498" s="10">
        <v>4.3967182741000004</v>
      </c>
      <c r="H498" s="10">
        <v>4.7466357687</v>
      </c>
      <c r="I498" s="10">
        <v>5.0519641658000003</v>
      </c>
    </row>
    <row r="499" spans="1:9" x14ac:dyDescent="0.2">
      <c r="A499">
        <v>19930730</v>
      </c>
      <c r="B499">
        <f t="shared" si="7"/>
        <v>199307</v>
      </c>
      <c r="C499" s="10">
        <v>2.8841112117000001</v>
      </c>
      <c r="D499" s="10">
        <v>3.0735617956999999</v>
      </c>
      <c r="E499" s="10">
        <v>3.4946420144000001</v>
      </c>
      <c r="F499" s="10">
        <v>4.1004860923999997</v>
      </c>
      <c r="G499" s="10">
        <v>4.5288354223000002</v>
      </c>
      <c r="H499" s="10">
        <v>4.8308228969</v>
      </c>
      <c r="I499" s="10">
        <v>5.1999316970000002</v>
      </c>
    </row>
    <row r="500" spans="1:9" x14ac:dyDescent="0.2">
      <c r="A500">
        <v>19930831</v>
      </c>
      <c r="B500">
        <f t="shared" si="7"/>
        <v>199308</v>
      </c>
      <c r="C500" s="10">
        <v>2.86253146</v>
      </c>
      <c r="D500" s="10">
        <v>3.0527462923000002</v>
      </c>
      <c r="E500" s="10">
        <v>3.3533376121999998</v>
      </c>
      <c r="F500" s="10">
        <v>3.8326325373999999</v>
      </c>
      <c r="G500" s="10">
        <v>4.2245166231000004</v>
      </c>
      <c r="H500" s="10">
        <v>4.4925245998000003</v>
      </c>
      <c r="I500" s="10">
        <v>4.7949884452999996</v>
      </c>
    </row>
    <row r="501" spans="1:9" x14ac:dyDescent="0.2">
      <c r="A501">
        <v>19930930</v>
      </c>
      <c r="B501">
        <f t="shared" si="7"/>
        <v>199309</v>
      </c>
      <c r="C501" s="10">
        <v>2.7817623553000002</v>
      </c>
      <c r="D501" s="10">
        <v>2.9613215626999998</v>
      </c>
      <c r="E501" s="10">
        <v>3.3733980081000001</v>
      </c>
      <c r="F501" s="10">
        <v>3.8478142124999999</v>
      </c>
      <c r="G501" s="10">
        <v>4.1997691124000003</v>
      </c>
      <c r="H501" s="10">
        <v>4.5454705808</v>
      </c>
      <c r="I501" s="10">
        <v>4.7768913420999999</v>
      </c>
    </row>
    <row r="502" spans="1:9" x14ac:dyDescent="0.2">
      <c r="A502">
        <v>19931029</v>
      </c>
      <c r="B502">
        <f t="shared" si="7"/>
        <v>199310</v>
      </c>
      <c r="C502" s="10">
        <v>2.8324834380000001</v>
      </c>
      <c r="D502" s="10">
        <v>3.0735617956999999</v>
      </c>
      <c r="E502" s="10">
        <v>3.4566423937000001</v>
      </c>
      <c r="F502" s="10">
        <v>3.9367241031</v>
      </c>
      <c r="G502" s="10">
        <v>4.2967499921999996</v>
      </c>
      <c r="H502" s="10">
        <v>4.5947335235000004</v>
      </c>
      <c r="I502" s="10">
        <v>4.8116439916999996</v>
      </c>
    </row>
    <row r="503" spans="1:9" x14ac:dyDescent="0.2">
      <c r="A503">
        <v>19931130</v>
      </c>
      <c r="B503">
        <f t="shared" si="7"/>
        <v>199311</v>
      </c>
      <c r="C503" s="10">
        <v>2.7507461103000002</v>
      </c>
      <c r="D503" s="10">
        <v>3.1863718895000002</v>
      </c>
      <c r="E503" s="10">
        <v>3.6317487760999998</v>
      </c>
      <c r="F503" s="10">
        <v>4.1707394332999996</v>
      </c>
      <c r="G503" s="10">
        <v>4.5324534965999996</v>
      </c>
      <c r="H503" s="10">
        <v>4.9057031079</v>
      </c>
      <c r="I503" s="10">
        <v>5.1442443519000003</v>
      </c>
    </row>
    <row r="504" spans="1:9" x14ac:dyDescent="0.2">
      <c r="A504">
        <v>19931231</v>
      </c>
      <c r="B504">
        <f t="shared" si="7"/>
        <v>199312</v>
      </c>
      <c r="C504" s="10">
        <v>2.9443116922999999</v>
      </c>
      <c r="D504" s="10">
        <v>3.0531302707000001</v>
      </c>
      <c r="E504" s="10">
        <v>3.6361872032</v>
      </c>
      <c r="F504" s="10">
        <v>4.2022812181999996</v>
      </c>
      <c r="G504" s="10">
        <v>4.4643502765000003</v>
      </c>
      <c r="H504" s="10">
        <v>4.9421827690000004</v>
      </c>
      <c r="I504" s="10">
        <v>5.2094498038000001</v>
      </c>
    </row>
    <row r="505" spans="1:9" x14ac:dyDescent="0.2">
      <c r="A505">
        <v>19940131</v>
      </c>
      <c r="B505">
        <f t="shared" si="7"/>
        <v>199401</v>
      </c>
      <c r="C505" s="10">
        <v>2.7915009651</v>
      </c>
      <c r="D505" s="10">
        <v>3.0016847364000001</v>
      </c>
      <c r="E505" s="10">
        <v>3.5166786665999998</v>
      </c>
      <c r="F505" s="10">
        <v>4.0766424955999998</v>
      </c>
      <c r="G505" s="10">
        <v>4.4345951144000004</v>
      </c>
      <c r="H505" s="10">
        <v>4.7429068534000001</v>
      </c>
      <c r="I505" s="10">
        <v>5.0149416636000002</v>
      </c>
    </row>
    <row r="506" spans="1:9" x14ac:dyDescent="0.2">
      <c r="A506">
        <v>19940228</v>
      </c>
      <c r="B506">
        <f t="shared" si="7"/>
        <v>199402</v>
      </c>
      <c r="C506" s="10">
        <v>2.9032987816000002</v>
      </c>
      <c r="D506" s="10">
        <v>3.4103512984000002</v>
      </c>
      <c r="E506" s="10">
        <v>4.0625816062000002</v>
      </c>
      <c r="F506" s="10">
        <v>4.6340503746000001</v>
      </c>
      <c r="G506" s="10">
        <v>5.0209000131000003</v>
      </c>
      <c r="H506" s="10">
        <v>5.3469662026</v>
      </c>
      <c r="I506" s="10">
        <v>5.5898557268999998</v>
      </c>
    </row>
    <row r="507" spans="1:9" x14ac:dyDescent="0.2">
      <c r="A507">
        <v>19940331</v>
      </c>
      <c r="B507">
        <f t="shared" si="7"/>
        <v>199403</v>
      </c>
      <c r="C507" s="10">
        <v>3.3918989993999999</v>
      </c>
      <c r="D507" s="10">
        <v>3.5337149948</v>
      </c>
      <c r="E507" s="10">
        <v>4.4766079249999997</v>
      </c>
      <c r="F507" s="10">
        <v>5.1650745115000003</v>
      </c>
      <c r="G507" s="10">
        <v>5.6615832465000002</v>
      </c>
      <c r="H507" s="10">
        <v>5.9799448958000001</v>
      </c>
      <c r="I507" s="10">
        <v>6.2021120062000001</v>
      </c>
    </row>
    <row r="508" spans="1:9" x14ac:dyDescent="0.2">
      <c r="A508">
        <v>19940429</v>
      </c>
      <c r="B508">
        <f t="shared" si="7"/>
        <v>199404</v>
      </c>
      <c r="C508" s="10">
        <v>3.6155259568</v>
      </c>
      <c r="D508" s="10">
        <v>3.9326166525000001</v>
      </c>
      <c r="E508" s="10">
        <v>4.9973444445000004</v>
      </c>
      <c r="F508" s="10">
        <v>5.6714422113999996</v>
      </c>
      <c r="G508" s="10">
        <v>6.1101062663999999</v>
      </c>
      <c r="H508" s="10">
        <v>6.4203085485000004</v>
      </c>
      <c r="I508" s="10">
        <v>6.5865306839000004</v>
      </c>
    </row>
    <row r="509" spans="1:9" x14ac:dyDescent="0.2">
      <c r="A509">
        <v>19940531</v>
      </c>
      <c r="B509">
        <f t="shared" si="7"/>
        <v>199405</v>
      </c>
      <c r="C509" s="10">
        <v>3.7876953200000001</v>
      </c>
      <c r="D509" s="10">
        <v>4.2816032639000001</v>
      </c>
      <c r="E509" s="10">
        <v>5.2972460191000001</v>
      </c>
      <c r="F509" s="10">
        <v>5.9247122676000004</v>
      </c>
      <c r="G509" s="10">
        <v>6.3170579108</v>
      </c>
      <c r="H509" s="10">
        <v>6.5547403538999998</v>
      </c>
      <c r="I509" s="10">
        <v>6.7216382924999998</v>
      </c>
    </row>
    <row r="510" spans="1:9" x14ac:dyDescent="0.2">
      <c r="A510">
        <v>19940630</v>
      </c>
      <c r="B510">
        <f t="shared" si="7"/>
        <v>199406</v>
      </c>
      <c r="C510" s="10">
        <v>3.5241423358000001</v>
      </c>
      <c r="D510" s="10">
        <v>4.2196178629999999</v>
      </c>
      <c r="E510" s="10">
        <v>5.4271171280999999</v>
      </c>
      <c r="F510" s="10">
        <v>6.0816603144999997</v>
      </c>
      <c r="G510" s="10">
        <v>6.3877102725999997</v>
      </c>
      <c r="H510" s="10">
        <v>6.7340179156</v>
      </c>
      <c r="I510" s="10">
        <v>6.9164880768000003</v>
      </c>
    </row>
    <row r="511" spans="1:9" x14ac:dyDescent="0.2">
      <c r="A511">
        <v>19940729</v>
      </c>
      <c r="B511">
        <f t="shared" si="7"/>
        <v>199407</v>
      </c>
      <c r="C511" s="10">
        <v>3.9512905316000002</v>
      </c>
      <c r="D511" s="10">
        <v>4.3423308415999999</v>
      </c>
      <c r="E511" s="10">
        <v>5.3043118529999997</v>
      </c>
      <c r="F511" s="10">
        <v>5.9025403393999998</v>
      </c>
      <c r="G511" s="10">
        <v>6.2158690830000003</v>
      </c>
      <c r="H511" s="10">
        <v>6.4898461522000002</v>
      </c>
      <c r="I511" s="10">
        <v>6.6687886290999998</v>
      </c>
    </row>
    <row r="512" spans="1:9" x14ac:dyDescent="0.2">
      <c r="A512">
        <v>19940831</v>
      </c>
      <c r="B512">
        <f t="shared" si="7"/>
        <v>199408</v>
      </c>
      <c r="C512" s="10">
        <v>4.3894881356999997</v>
      </c>
      <c r="D512" s="10">
        <v>4.6402247836999999</v>
      </c>
      <c r="E512" s="10">
        <v>5.4653818867000004</v>
      </c>
      <c r="F512" s="10">
        <v>6.0817751397000004</v>
      </c>
      <c r="G512" s="10">
        <v>6.3621847592999998</v>
      </c>
      <c r="H512" s="10">
        <v>6.5788407292000004</v>
      </c>
      <c r="I512" s="10">
        <v>6.7495842554000003</v>
      </c>
    </row>
    <row r="513" spans="1:9" x14ac:dyDescent="0.2">
      <c r="A513">
        <v>19940930</v>
      </c>
      <c r="B513">
        <f t="shared" si="7"/>
        <v>199409</v>
      </c>
      <c r="C513" s="10">
        <v>4.4907686561000002</v>
      </c>
      <c r="D513" s="10">
        <v>4.7524593648</v>
      </c>
      <c r="E513" s="10">
        <v>5.879505108</v>
      </c>
      <c r="F513" s="10">
        <v>6.4927512394000004</v>
      </c>
      <c r="G513" s="10">
        <v>6.7912585564999999</v>
      </c>
      <c r="H513" s="10">
        <v>7.0395902501999998</v>
      </c>
      <c r="I513" s="10">
        <v>7.2129489827000004</v>
      </c>
    </row>
    <row r="514" spans="1:9" x14ac:dyDescent="0.2">
      <c r="A514">
        <v>19941031</v>
      </c>
      <c r="B514">
        <f t="shared" si="7"/>
        <v>199410</v>
      </c>
      <c r="C514" s="10">
        <v>4.3372844282000003</v>
      </c>
      <c r="D514" s="10">
        <v>5.1208476203000002</v>
      </c>
      <c r="E514" s="10">
        <v>6.0434551878000002</v>
      </c>
      <c r="F514" s="10">
        <v>6.7297840161</v>
      </c>
      <c r="G514" s="10">
        <v>7.0169588656000004</v>
      </c>
      <c r="H514" s="10">
        <v>7.2421729544</v>
      </c>
      <c r="I514" s="10">
        <v>7.4042152960000003</v>
      </c>
    </row>
    <row r="515" spans="1:9" x14ac:dyDescent="0.2">
      <c r="A515">
        <v>19941130</v>
      </c>
      <c r="B515">
        <f t="shared" si="7"/>
        <v>199411</v>
      </c>
      <c r="C515" s="10">
        <v>4.9497012179000004</v>
      </c>
      <c r="D515" s="10">
        <v>5.6673701203000002</v>
      </c>
      <c r="E515" s="10">
        <v>6.8366160692999998</v>
      </c>
      <c r="F515" s="10">
        <v>7.2581081360999997</v>
      </c>
      <c r="G515" s="10">
        <v>7.5129348889000003</v>
      </c>
      <c r="H515" s="10">
        <v>7.6132346562000004</v>
      </c>
      <c r="I515" s="10">
        <v>7.6676197797999999</v>
      </c>
    </row>
    <row r="516" spans="1:9" x14ac:dyDescent="0.2">
      <c r="A516">
        <v>19941230</v>
      </c>
      <c r="B516">
        <f t="shared" si="7"/>
        <v>199412</v>
      </c>
      <c r="C516" s="10">
        <v>4.7351498425000003</v>
      </c>
      <c r="D516" s="10">
        <v>5.6356426612000003</v>
      </c>
      <c r="E516" s="10">
        <v>7.1418003242000001</v>
      </c>
      <c r="F516" s="10">
        <v>7.4959326321999997</v>
      </c>
      <c r="G516" s="10">
        <v>7.6708811489000004</v>
      </c>
      <c r="H516" s="10">
        <v>7.6953334029000002</v>
      </c>
      <c r="I516" s="10">
        <v>7.6679048139999999</v>
      </c>
    </row>
    <row r="517" spans="1:9" x14ac:dyDescent="0.2">
      <c r="A517">
        <v>19950131</v>
      </c>
      <c r="B517">
        <f t="shared" si="7"/>
        <v>199501</v>
      </c>
      <c r="C517" s="10">
        <v>5.1818525864999998</v>
      </c>
      <c r="D517" s="10">
        <v>5.9456425529999999</v>
      </c>
      <c r="E517" s="10">
        <v>6.7433813656000003</v>
      </c>
      <c r="F517" s="10">
        <v>7.1216199002999998</v>
      </c>
      <c r="G517" s="10">
        <v>7.3100669244000001</v>
      </c>
      <c r="H517" s="10">
        <v>7.3865064883000002</v>
      </c>
      <c r="I517" s="10">
        <v>7.4142691835000001</v>
      </c>
    </row>
    <row r="518" spans="1:9" x14ac:dyDescent="0.2">
      <c r="A518">
        <v>19950228</v>
      </c>
      <c r="B518">
        <f t="shared" si="7"/>
        <v>199502</v>
      </c>
      <c r="C518" s="10">
        <v>5.0189488833000002</v>
      </c>
      <c r="D518" s="10">
        <v>5.8735935887000004</v>
      </c>
      <c r="E518" s="10">
        <v>6.3398976734000003</v>
      </c>
      <c r="F518" s="10">
        <v>6.6615138169000003</v>
      </c>
      <c r="G518" s="10">
        <v>6.8067570597999998</v>
      </c>
      <c r="H518" s="10">
        <v>6.9007447186000004</v>
      </c>
      <c r="I518" s="10">
        <v>6.9538424374999996</v>
      </c>
    </row>
    <row r="519" spans="1:9" x14ac:dyDescent="0.2">
      <c r="A519">
        <v>19950331</v>
      </c>
      <c r="B519">
        <f t="shared" ref="B519:B582" si="8">ROUND(A519/100,0)</f>
        <v>199503</v>
      </c>
      <c r="C519" s="10">
        <v>5.7743909736000001</v>
      </c>
      <c r="D519" s="10">
        <v>5.8104533091999997</v>
      </c>
      <c r="E519" s="10">
        <v>6.3492875145000003</v>
      </c>
      <c r="F519" s="10">
        <v>6.6673852784000003</v>
      </c>
      <c r="G519" s="10">
        <v>6.8208539741000003</v>
      </c>
      <c r="H519" s="10">
        <v>6.9175855219000004</v>
      </c>
      <c r="I519" s="10">
        <v>6.9678580962999996</v>
      </c>
    </row>
    <row r="520" spans="1:9" x14ac:dyDescent="0.2">
      <c r="A520">
        <v>19950428</v>
      </c>
      <c r="B520">
        <f t="shared" si="8"/>
        <v>199504</v>
      </c>
      <c r="C520" s="10">
        <v>5.7336174612999997</v>
      </c>
      <c r="D520" s="10">
        <v>5.8001682438</v>
      </c>
      <c r="E520" s="10">
        <v>6.2002443604000002</v>
      </c>
      <c r="F520" s="10">
        <v>6.4588000260999996</v>
      </c>
      <c r="G520" s="10">
        <v>6.6182673499</v>
      </c>
      <c r="H520" s="10">
        <v>6.7298205543999998</v>
      </c>
      <c r="I520" s="10">
        <v>6.7633581069000002</v>
      </c>
    </row>
    <row r="521" spans="1:9" x14ac:dyDescent="0.2">
      <c r="A521">
        <v>19950531</v>
      </c>
      <c r="B521">
        <f t="shared" si="8"/>
        <v>199505</v>
      </c>
      <c r="C521" s="10">
        <v>5.6427565071999997</v>
      </c>
      <c r="D521" s="10">
        <v>5.7393699808000003</v>
      </c>
      <c r="E521" s="10">
        <v>5.6968874313000004</v>
      </c>
      <c r="F521" s="10">
        <v>5.7759131090000002</v>
      </c>
      <c r="G521" s="10">
        <v>5.8745754956000003</v>
      </c>
      <c r="H521" s="10">
        <v>5.9548524137000003</v>
      </c>
      <c r="I521" s="10">
        <v>5.9915436781000002</v>
      </c>
    </row>
    <row r="522" spans="1:9" x14ac:dyDescent="0.2">
      <c r="A522">
        <v>19950630</v>
      </c>
      <c r="B522">
        <f t="shared" si="8"/>
        <v>199506</v>
      </c>
      <c r="C522" s="10">
        <v>5.3259674855999997</v>
      </c>
      <c r="D522" s="10">
        <v>5.5431263438</v>
      </c>
      <c r="E522" s="10">
        <v>5.5517830054999999</v>
      </c>
      <c r="F522" s="10">
        <v>5.7037081276999997</v>
      </c>
      <c r="G522" s="10">
        <v>5.8015918465</v>
      </c>
      <c r="H522" s="10">
        <v>5.9003846233999999</v>
      </c>
      <c r="I522" s="10">
        <v>5.8900844254000004</v>
      </c>
    </row>
    <row r="523" spans="1:9" x14ac:dyDescent="0.2">
      <c r="A523">
        <v>19950731</v>
      </c>
      <c r="B523">
        <f t="shared" si="8"/>
        <v>199507</v>
      </c>
      <c r="C523" s="10">
        <v>5.4470246592000002</v>
      </c>
      <c r="D523" s="10">
        <v>5.5213113277000003</v>
      </c>
      <c r="E523" s="10">
        <v>5.5738844676000001</v>
      </c>
      <c r="F523" s="10">
        <v>5.7861157725999997</v>
      </c>
      <c r="G523" s="10">
        <v>5.9648326103000002</v>
      </c>
      <c r="H523" s="10">
        <v>6.0781545892000004</v>
      </c>
      <c r="I523" s="10">
        <v>6.0714065373999997</v>
      </c>
    </row>
    <row r="524" spans="1:9" x14ac:dyDescent="0.2">
      <c r="A524">
        <v>19950831</v>
      </c>
      <c r="B524">
        <f t="shared" si="8"/>
        <v>199508</v>
      </c>
      <c r="C524" s="10">
        <v>5.3671207595999997</v>
      </c>
      <c r="D524" s="10">
        <v>5.3893789965999996</v>
      </c>
      <c r="E524" s="10">
        <v>5.6215199041000004</v>
      </c>
      <c r="F524" s="10">
        <v>5.7511947210000001</v>
      </c>
      <c r="G524" s="10">
        <v>5.8655867858999997</v>
      </c>
      <c r="H524" s="10">
        <v>5.9737510393999997</v>
      </c>
      <c r="I524" s="10">
        <v>5.9789505027000001</v>
      </c>
    </row>
    <row r="525" spans="1:9" x14ac:dyDescent="0.2">
      <c r="A525">
        <v>19950929</v>
      </c>
      <c r="B525">
        <f t="shared" si="8"/>
        <v>199509</v>
      </c>
      <c r="C525" s="10">
        <v>5.3565358644999996</v>
      </c>
      <c r="D525" s="10">
        <v>5.3376100571</v>
      </c>
      <c r="E525" s="10">
        <v>5.6480519414000003</v>
      </c>
      <c r="F525" s="10">
        <v>5.7172236639999996</v>
      </c>
      <c r="G525" s="10">
        <v>5.8280048132999998</v>
      </c>
      <c r="H525" s="10">
        <v>5.9192852779000003</v>
      </c>
      <c r="I525" s="10">
        <v>5.9062387392</v>
      </c>
    </row>
    <row r="526" spans="1:9" x14ac:dyDescent="0.2">
      <c r="A526">
        <v>19951031</v>
      </c>
      <c r="B526">
        <f t="shared" si="8"/>
        <v>199510</v>
      </c>
      <c r="C526" s="10">
        <v>4.9884068671000001</v>
      </c>
      <c r="D526" s="10">
        <v>5.4210169944000004</v>
      </c>
      <c r="E526" s="10">
        <v>5.5142621280000004</v>
      </c>
      <c r="F526" s="10">
        <v>5.5279974477999998</v>
      </c>
      <c r="G526" s="10">
        <v>5.6451828444999999</v>
      </c>
      <c r="H526" s="10">
        <v>5.7316722930999999</v>
      </c>
      <c r="I526" s="10">
        <v>5.7208156371000003</v>
      </c>
    </row>
    <row r="527" spans="1:9" x14ac:dyDescent="0.2">
      <c r="A527">
        <v>19951130</v>
      </c>
      <c r="B527">
        <f t="shared" si="8"/>
        <v>199511</v>
      </c>
      <c r="C527" s="10">
        <v>5.4180780230999996</v>
      </c>
      <c r="D527" s="10">
        <v>5.4202083007999997</v>
      </c>
      <c r="E527" s="10">
        <v>5.3210931160000001</v>
      </c>
      <c r="F527" s="10">
        <v>5.2734771668000002</v>
      </c>
      <c r="G527" s="10">
        <v>5.3586169065</v>
      </c>
      <c r="H527" s="10">
        <v>5.4543018916000001</v>
      </c>
      <c r="I527" s="10">
        <v>5.4503936513999998</v>
      </c>
    </row>
    <row r="528" spans="1:9" x14ac:dyDescent="0.2">
      <c r="A528">
        <v>19951229</v>
      </c>
      <c r="B528">
        <f t="shared" si="8"/>
        <v>199512</v>
      </c>
      <c r="C528" s="10">
        <v>4.5824050818000002</v>
      </c>
      <c r="D528" s="10">
        <v>5.0500621086999997</v>
      </c>
      <c r="E528" s="10">
        <v>5.085822716</v>
      </c>
      <c r="F528" s="10">
        <v>5.0806759980000002</v>
      </c>
      <c r="G528" s="10">
        <v>5.1821013087000001</v>
      </c>
      <c r="H528" s="10">
        <v>5.289669161</v>
      </c>
      <c r="I528" s="10">
        <v>5.3019551955999997</v>
      </c>
    </row>
    <row r="529" spans="1:9" x14ac:dyDescent="0.2">
      <c r="A529">
        <v>19960131</v>
      </c>
      <c r="B529">
        <f t="shared" si="8"/>
        <v>199601</v>
      </c>
      <c r="C529" s="10">
        <v>4.9293244088000003</v>
      </c>
      <c r="D529" s="10">
        <v>4.9994232406999997</v>
      </c>
      <c r="E529" s="10">
        <v>4.8888055912999997</v>
      </c>
      <c r="F529" s="10">
        <v>4.8665401910000003</v>
      </c>
      <c r="G529" s="10">
        <v>5.0149856524</v>
      </c>
      <c r="H529" s="10">
        <v>5.1374709483999998</v>
      </c>
      <c r="I529" s="10">
        <v>5.1860443290999996</v>
      </c>
    </row>
    <row r="530" spans="1:9" x14ac:dyDescent="0.2">
      <c r="A530">
        <v>19960229</v>
      </c>
      <c r="B530">
        <f t="shared" si="8"/>
        <v>199602</v>
      </c>
      <c r="C530" s="10">
        <v>4.9799269050000001</v>
      </c>
      <c r="D530" s="10">
        <v>4.9785478775999996</v>
      </c>
      <c r="E530" s="10">
        <v>5.1403400194</v>
      </c>
      <c r="F530" s="10">
        <v>5.3590419068999999</v>
      </c>
      <c r="G530" s="10">
        <v>5.4921926544000002</v>
      </c>
      <c r="H530" s="10">
        <v>5.6254806708</v>
      </c>
      <c r="I530" s="10">
        <v>5.6632050353999999</v>
      </c>
    </row>
    <row r="531" spans="1:9" x14ac:dyDescent="0.2">
      <c r="A531">
        <v>19960329</v>
      </c>
      <c r="B531">
        <f t="shared" si="8"/>
        <v>199603</v>
      </c>
      <c r="C531" s="10">
        <v>5.1935145660000002</v>
      </c>
      <c r="D531" s="10">
        <v>5.0911279067999997</v>
      </c>
      <c r="E531" s="10">
        <v>5.4175198300999998</v>
      </c>
      <c r="F531" s="10">
        <v>5.6877360660000003</v>
      </c>
      <c r="G531" s="10">
        <v>5.8514536568000004</v>
      </c>
      <c r="H531" s="10">
        <v>6.0098330318000004</v>
      </c>
      <c r="I531" s="10">
        <v>6.0395379386999997</v>
      </c>
    </row>
    <row r="532" spans="1:9" x14ac:dyDescent="0.2">
      <c r="A532">
        <v>19960430</v>
      </c>
      <c r="B532">
        <f t="shared" si="8"/>
        <v>199604</v>
      </c>
      <c r="C532" s="10">
        <v>4.8357082855</v>
      </c>
      <c r="D532" s="10">
        <v>5.1024692952999997</v>
      </c>
      <c r="E532" s="10">
        <v>5.5327162326000003</v>
      </c>
      <c r="F532" s="10">
        <v>5.9363742171</v>
      </c>
      <c r="G532" s="10">
        <v>6.1265526118000002</v>
      </c>
      <c r="H532" s="10">
        <v>6.279239306</v>
      </c>
      <c r="I532" s="10">
        <v>6.3154583725000002</v>
      </c>
    </row>
    <row r="533" spans="1:9" x14ac:dyDescent="0.2">
      <c r="A533">
        <v>19960531</v>
      </c>
      <c r="B533">
        <f t="shared" si="8"/>
        <v>199605</v>
      </c>
      <c r="C533" s="10">
        <v>5.0308652525999999</v>
      </c>
      <c r="D533" s="10">
        <v>5.1321978636000001</v>
      </c>
      <c r="E533" s="10">
        <v>5.6748293481000003</v>
      </c>
      <c r="F533" s="10">
        <v>6.1528135507000004</v>
      </c>
      <c r="G533" s="10">
        <v>6.3635620784000002</v>
      </c>
      <c r="H533" s="10">
        <v>6.5058642612000002</v>
      </c>
      <c r="I533" s="10">
        <v>6.5570591381999996</v>
      </c>
    </row>
    <row r="534" spans="1:9" x14ac:dyDescent="0.2">
      <c r="A534">
        <v>19960628</v>
      </c>
      <c r="B534">
        <f t="shared" si="8"/>
        <v>199606</v>
      </c>
      <c r="C534" s="10">
        <v>4.8166226026999999</v>
      </c>
      <c r="D534" s="10">
        <v>5.1321978636000001</v>
      </c>
      <c r="E534" s="10">
        <v>5.6435069685999997</v>
      </c>
      <c r="F534" s="10">
        <v>6.0066997817000001</v>
      </c>
      <c r="G534" s="10">
        <v>6.237602195</v>
      </c>
      <c r="H534" s="10">
        <v>6.3334137127999997</v>
      </c>
      <c r="I534" s="10">
        <v>6.3734097798000002</v>
      </c>
    </row>
    <row r="535" spans="1:9" x14ac:dyDescent="0.2">
      <c r="A535">
        <v>19960731</v>
      </c>
      <c r="B535">
        <f t="shared" si="8"/>
        <v>199607</v>
      </c>
      <c r="C535" s="10">
        <v>5.0312125497000002</v>
      </c>
      <c r="D535" s="10">
        <v>5.2767415684000003</v>
      </c>
      <c r="E535" s="10">
        <v>5.8679728925000001</v>
      </c>
      <c r="F535" s="10">
        <v>6.1130364361999998</v>
      </c>
      <c r="G535" s="10">
        <v>6.3187774980000002</v>
      </c>
      <c r="H535" s="10">
        <v>6.4295195810000001</v>
      </c>
      <c r="I535" s="10">
        <v>6.4885713187</v>
      </c>
    </row>
    <row r="536" spans="1:9" x14ac:dyDescent="0.2">
      <c r="A536">
        <v>19960830</v>
      </c>
      <c r="B536">
        <f t="shared" si="8"/>
        <v>199608</v>
      </c>
      <c r="C536" s="10">
        <v>5.1120131991999997</v>
      </c>
      <c r="D536" s="10">
        <v>5.2455402342999999</v>
      </c>
      <c r="E536" s="10">
        <v>5.8244937117999998</v>
      </c>
      <c r="F536" s="10">
        <v>6.2250989762</v>
      </c>
      <c r="G536" s="10">
        <v>6.4610259909999996</v>
      </c>
      <c r="H536" s="10">
        <v>6.5834344553999999</v>
      </c>
      <c r="I536" s="10">
        <v>6.6297168452999999</v>
      </c>
    </row>
    <row r="537" spans="1:9" x14ac:dyDescent="0.2">
      <c r="A537">
        <v>19960930</v>
      </c>
      <c r="B537">
        <f t="shared" si="8"/>
        <v>199609</v>
      </c>
      <c r="C537" s="10">
        <v>4.9887482443</v>
      </c>
      <c r="D537" s="10">
        <v>4.9977048817999998</v>
      </c>
      <c r="E537" s="10">
        <v>5.6643531545999997</v>
      </c>
      <c r="F537" s="10">
        <v>6.0037464357000001</v>
      </c>
      <c r="G537" s="10">
        <v>6.2082477670999996</v>
      </c>
      <c r="H537" s="10">
        <v>6.3363216769999999</v>
      </c>
      <c r="I537" s="10">
        <v>6.3815822436999996</v>
      </c>
    </row>
    <row r="538" spans="1:9" x14ac:dyDescent="0.2">
      <c r="A538">
        <v>19961031</v>
      </c>
      <c r="B538">
        <f t="shared" si="8"/>
        <v>199610</v>
      </c>
      <c r="C538" s="10">
        <v>4.9620990717</v>
      </c>
      <c r="D538" s="10">
        <v>5.1120218403999997</v>
      </c>
      <c r="E538" s="10">
        <v>5.4378408954999999</v>
      </c>
      <c r="F538" s="10">
        <v>5.6622842846000001</v>
      </c>
      <c r="G538" s="10">
        <v>5.8293908544999997</v>
      </c>
      <c r="H538" s="10">
        <v>5.9638512108999997</v>
      </c>
      <c r="I538" s="10">
        <v>6.0028191446000001</v>
      </c>
    </row>
    <row r="539" spans="1:9" x14ac:dyDescent="0.2">
      <c r="A539">
        <v>19961129</v>
      </c>
      <c r="B539">
        <f t="shared" si="8"/>
        <v>199611</v>
      </c>
      <c r="C539" s="10">
        <v>4.9490290256999998</v>
      </c>
      <c r="D539" s="10">
        <v>5.0911279067999997</v>
      </c>
      <c r="E539" s="10">
        <v>5.3679629120000003</v>
      </c>
      <c r="F539" s="10">
        <v>5.5026653134999997</v>
      </c>
      <c r="G539" s="10">
        <v>5.6404954579000002</v>
      </c>
      <c r="H539" s="10">
        <v>5.7057284169000004</v>
      </c>
      <c r="I539" s="10">
        <v>5.7514684289</v>
      </c>
    </row>
    <row r="540" spans="1:9" x14ac:dyDescent="0.2">
      <c r="A540">
        <v>19961231</v>
      </c>
      <c r="B540">
        <f t="shared" si="8"/>
        <v>199612</v>
      </c>
      <c r="C540" s="10">
        <v>4.8738811345000004</v>
      </c>
      <c r="D540" s="10">
        <v>5.1409895478000003</v>
      </c>
      <c r="E540" s="10">
        <v>5.4563191847999999</v>
      </c>
      <c r="F540" s="10">
        <v>5.7858548961</v>
      </c>
      <c r="G540" s="10">
        <v>5.9733329289999997</v>
      </c>
      <c r="H540" s="10">
        <v>6.0766027434999996</v>
      </c>
      <c r="I540" s="10">
        <v>6.1388617026999999</v>
      </c>
    </row>
    <row r="541" spans="1:9" x14ac:dyDescent="0.2">
      <c r="A541">
        <v>19970131</v>
      </c>
      <c r="B541">
        <f t="shared" si="8"/>
        <v>199701</v>
      </c>
      <c r="C541" s="10">
        <v>4.9694006943</v>
      </c>
      <c r="D541" s="10">
        <v>5.1219299845000004</v>
      </c>
      <c r="E541" s="10">
        <v>5.4871949108000004</v>
      </c>
      <c r="F541" s="10">
        <v>5.8313137673000002</v>
      </c>
      <c r="G541" s="10">
        <v>5.9996881511</v>
      </c>
      <c r="H541" s="10">
        <v>6.0809973895000002</v>
      </c>
      <c r="I541" s="10">
        <v>6.1781773434999998</v>
      </c>
    </row>
    <row r="542" spans="1:9" x14ac:dyDescent="0.2">
      <c r="A542">
        <v>19970228</v>
      </c>
      <c r="B542">
        <f t="shared" si="8"/>
        <v>199702</v>
      </c>
      <c r="C542" s="10">
        <v>5.0559845986000003</v>
      </c>
      <c r="D542" s="10">
        <v>5.1938105981999998</v>
      </c>
      <c r="E542" s="10">
        <v>5.5852572118000001</v>
      </c>
      <c r="F542" s="10">
        <v>6.0044475923</v>
      </c>
      <c r="G542" s="10">
        <v>6.1563710417999999</v>
      </c>
      <c r="H542" s="10">
        <v>6.2485132430999997</v>
      </c>
      <c r="I542" s="10">
        <v>6.3139708338</v>
      </c>
    </row>
    <row r="543" spans="1:9" x14ac:dyDescent="0.2">
      <c r="A543">
        <v>19970331</v>
      </c>
      <c r="B543">
        <f t="shared" si="8"/>
        <v>199703</v>
      </c>
      <c r="C543" s="10">
        <v>5.2229561265999997</v>
      </c>
      <c r="D543" s="10">
        <v>5.2850941836000001</v>
      </c>
      <c r="E543" s="10">
        <v>5.9112189926000003</v>
      </c>
      <c r="F543" s="10">
        <v>6.3307772821999997</v>
      </c>
      <c r="G543" s="10">
        <v>6.5231595425000002</v>
      </c>
      <c r="H543" s="10">
        <v>6.6344700097000002</v>
      </c>
      <c r="I543" s="10">
        <v>6.6709182984000002</v>
      </c>
    </row>
    <row r="544" spans="1:9" x14ac:dyDescent="0.2">
      <c r="A544">
        <v>19970430</v>
      </c>
      <c r="B544">
        <f t="shared" si="8"/>
        <v>199704</v>
      </c>
      <c r="C544" s="10">
        <v>4.9904560646</v>
      </c>
      <c r="D544" s="10">
        <v>5.2664670616000002</v>
      </c>
      <c r="E544" s="10">
        <v>5.8050357952000002</v>
      </c>
      <c r="F544" s="10">
        <v>6.1887434744999998</v>
      </c>
      <c r="G544" s="10">
        <v>6.3468466038000004</v>
      </c>
      <c r="H544" s="10">
        <v>6.4427268774000002</v>
      </c>
      <c r="I544" s="10">
        <v>6.4872748152000002</v>
      </c>
    </row>
    <row r="545" spans="1:9" x14ac:dyDescent="0.2">
      <c r="A545">
        <v>19970530</v>
      </c>
      <c r="B545">
        <f t="shared" si="8"/>
        <v>199705</v>
      </c>
      <c r="C545" s="10">
        <v>4.4144109426</v>
      </c>
      <c r="D545" s="10">
        <v>5.1501672775999996</v>
      </c>
      <c r="E545" s="10">
        <v>5.7858506951999997</v>
      </c>
      <c r="F545" s="10">
        <v>6.1153351303000001</v>
      </c>
      <c r="G545" s="10">
        <v>6.2552903152999999</v>
      </c>
      <c r="H545" s="10">
        <v>6.3808249277</v>
      </c>
      <c r="I545" s="10">
        <v>6.4079481001999996</v>
      </c>
    </row>
    <row r="546" spans="1:9" x14ac:dyDescent="0.2">
      <c r="A546">
        <v>19970630</v>
      </c>
      <c r="B546">
        <f t="shared" si="8"/>
        <v>199706</v>
      </c>
      <c r="C546" s="10">
        <v>5.0447502388999999</v>
      </c>
      <c r="D546" s="10">
        <v>5.1439409083000003</v>
      </c>
      <c r="E546" s="10">
        <v>5.6078603091000003</v>
      </c>
      <c r="F546" s="10">
        <v>5.9867494117</v>
      </c>
      <c r="G546" s="10">
        <v>6.1216507339000001</v>
      </c>
      <c r="H546" s="10">
        <v>6.2737261256999997</v>
      </c>
      <c r="I546" s="10">
        <v>6.3051350413999998</v>
      </c>
    </row>
    <row r="547" spans="1:9" x14ac:dyDescent="0.2">
      <c r="A547">
        <v>19970731</v>
      </c>
      <c r="B547">
        <f t="shared" si="8"/>
        <v>199707</v>
      </c>
      <c r="C547" s="10">
        <v>5.1174661532999997</v>
      </c>
      <c r="D547" s="10">
        <v>5.1993172986999996</v>
      </c>
      <c r="E547" s="10">
        <v>5.5016662686000002</v>
      </c>
      <c r="F547" s="10">
        <v>5.6534051187000003</v>
      </c>
      <c r="G547" s="10">
        <v>5.7222235632</v>
      </c>
      <c r="H547" s="10">
        <v>5.7874767049000004</v>
      </c>
      <c r="I547" s="10">
        <v>5.8277656043999997</v>
      </c>
    </row>
    <row r="548" spans="1:9" x14ac:dyDescent="0.2">
      <c r="A548">
        <v>19970829</v>
      </c>
      <c r="B548">
        <f t="shared" si="8"/>
        <v>199708</v>
      </c>
      <c r="C548" s="10">
        <v>5.0177849563999999</v>
      </c>
      <c r="D548" s="10">
        <v>5.1813431512000001</v>
      </c>
      <c r="E548" s="10">
        <v>5.6874557638000001</v>
      </c>
      <c r="F548" s="10">
        <v>5.8653911235000002</v>
      </c>
      <c r="G548" s="10">
        <v>6.0168667281000001</v>
      </c>
      <c r="H548" s="10">
        <v>6.1130648397999998</v>
      </c>
      <c r="I548" s="10">
        <v>6.1250852372000004</v>
      </c>
    </row>
    <row r="549" spans="1:9" x14ac:dyDescent="0.2">
      <c r="A549">
        <v>19970930</v>
      </c>
      <c r="B549">
        <f t="shared" si="8"/>
        <v>199709</v>
      </c>
      <c r="C549" s="10">
        <v>4.7491875956999996</v>
      </c>
      <c r="D549" s="10">
        <v>5.0079653964000004</v>
      </c>
      <c r="E549" s="10">
        <v>5.5631628996</v>
      </c>
      <c r="F549" s="10">
        <v>5.7082671271000001</v>
      </c>
      <c r="G549" s="10">
        <v>5.8055136284</v>
      </c>
      <c r="H549" s="10">
        <v>5.91396385</v>
      </c>
      <c r="I549" s="10">
        <v>5.9067246136999998</v>
      </c>
    </row>
    <row r="550" spans="1:9" x14ac:dyDescent="0.2">
      <c r="A550">
        <v>19971031</v>
      </c>
      <c r="B550">
        <f t="shared" si="8"/>
        <v>199710</v>
      </c>
      <c r="C550" s="10">
        <v>4.8930089304999997</v>
      </c>
      <c r="D550" s="10">
        <v>5.1630030609000004</v>
      </c>
      <c r="E550" s="10">
        <v>5.2990475853000003</v>
      </c>
      <c r="F550" s="10">
        <v>5.5563938769999996</v>
      </c>
      <c r="G550" s="10">
        <v>5.6257094850999998</v>
      </c>
      <c r="H550" s="10">
        <v>5.663912582</v>
      </c>
      <c r="I550" s="10">
        <v>5.6293804068000002</v>
      </c>
    </row>
    <row r="551" spans="1:9" x14ac:dyDescent="0.2">
      <c r="A551">
        <v>19971128</v>
      </c>
      <c r="B551">
        <f t="shared" si="8"/>
        <v>199711</v>
      </c>
      <c r="C551" s="10">
        <v>4.9901143758000002</v>
      </c>
      <c r="D551" s="10">
        <v>5.2605682918000003</v>
      </c>
      <c r="E551" s="10">
        <v>5.4494869416</v>
      </c>
      <c r="F551" s="10">
        <v>5.7042184642000002</v>
      </c>
      <c r="G551" s="10">
        <v>5.7601249018000003</v>
      </c>
      <c r="H551" s="10">
        <v>5.8080012583</v>
      </c>
      <c r="I551" s="10">
        <v>5.7491567213000003</v>
      </c>
    </row>
    <row r="552" spans="1:9" x14ac:dyDescent="0.2">
      <c r="A552">
        <v>19971231</v>
      </c>
      <c r="B552">
        <f t="shared" si="8"/>
        <v>199712</v>
      </c>
      <c r="C552" s="10">
        <v>5.1076353752000001</v>
      </c>
      <c r="D552" s="10">
        <v>5.3101355527000003</v>
      </c>
      <c r="E552" s="10">
        <v>5.4109476974000001</v>
      </c>
      <c r="F552" s="10">
        <v>5.5741520104999998</v>
      </c>
      <c r="G552" s="10">
        <v>5.6249646783999996</v>
      </c>
      <c r="H552" s="10">
        <v>5.6476914331000003</v>
      </c>
      <c r="I552" s="10">
        <v>5.6286353081999998</v>
      </c>
    </row>
    <row r="553" spans="1:9" x14ac:dyDescent="0.2">
      <c r="A553">
        <v>19980130</v>
      </c>
      <c r="B553">
        <f t="shared" si="8"/>
        <v>199801</v>
      </c>
      <c r="C553" s="10">
        <v>5.0254247761000004</v>
      </c>
      <c r="D553" s="10">
        <v>5.1501672775999996</v>
      </c>
      <c r="E553" s="10">
        <v>5.1632615416999998</v>
      </c>
      <c r="F553" s="10">
        <v>5.2576485495999998</v>
      </c>
      <c r="G553" s="10">
        <v>5.2824905095999997</v>
      </c>
      <c r="H553" s="10">
        <v>5.3588446226000004</v>
      </c>
      <c r="I553" s="10">
        <v>5.3057410347999996</v>
      </c>
    </row>
    <row r="554" spans="1:9" x14ac:dyDescent="0.2">
      <c r="A554">
        <v>19980227</v>
      </c>
      <c r="B554">
        <f t="shared" si="8"/>
        <v>199802</v>
      </c>
      <c r="C554" s="10">
        <v>5.1222005317999999</v>
      </c>
      <c r="D554" s="10">
        <v>5.2785433946999998</v>
      </c>
      <c r="E554" s="10">
        <v>5.3304820026000002</v>
      </c>
      <c r="F554" s="10">
        <v>5.4608004336000002</v>
      </c>
      <c r="G554" s="10">
        <v>5.4841488279000004</v>
      </c>
      <c r="H554" s="10">
        <v>5.5497129646000003</v>
      </c>
      <c r="I554" s="10">
        <v>5.5039508086</v>
      </c>
    </row>
    <row r="555" spans="1:9" x14ac:dyDescent="0.2">
      <c r="A555">
        <v>19980331</v>
      </c>
      <c r="B555">
        <f t="shared" si="8"/>
        <v>199803</v>
      </c>
      <c r="C555" s="10">
        <v>5.2302188224000004</v>
      </c>
      <c r="D555" s="10">
        <v>5.1307171108</v>
      </c>
      <c r="E555" s="10">
        <v>5.3147802753000004</v>
      </c>
      <c r="F555" s="10">
        <v>5.4991173187999998</v>
      </c>
      <c r="G555" s="10">
        <v>5.5693371184</v>
      </c>
      <c r="H555" s="10">
        <v>5.5958445347000003</v>
      </c>
      <c r="I555" s="10">
        <v>5.5405226526</v>
      </c>
    </row>
    <row r="556" spans="1:9" x14ac:dyDescent="0.2">
      <c r="A556">
        <v>19980430</v>
      </c>
      <c r="B556">
        <f t="shared" si="8"/>
        <v>199804</v>
      </c>
      <c r="C556" s="10">
        <v>4.7278187206000002</v>
      </c>
      <c r="D556" s="10">
        <v>4.9426201675000003</v>
      </c>
      <c r="E556" s="10">
        <v>5.3296709985000001</v>
      </c>
      <c r="F556" s="10">
        <v>5.5047617093000003</v>
      </c>
      <c r="G556" s="10">
        <v>5.5527596377000004</v>
      </c>
      <c r="H556" s="10">
        <v>5.5943828363000003</v>
      </c>
      <c r="I556" s="10">
        <v>5.5585283288999996</v>
      </c>
    </row>
    <row r="557" spans="1:9" x14ac:dyDescent="0.2">
      <c r="A557">
        <v>19980529</v>
      </c>
      <c r="B557">
        <f t="shared" si="8"/>
        <v>199805</v>
      </c>
      <c r="C557" s="10">
        <v>4.5671318009000004</v>
      </c>
      <c r="D557" s="10">
        <v>4.9807730021000003</v>
      </c>
      <c r="E557" s="10">
        <v>5.3497700406000002</v>
      </c>
      <c r="F557" s="10">
        <v>5.4562344127999998</v>
      </c>
      <c r="G557" s="10">
        <v>5.5128744698999999</v>
      </c>
      <c r="H557" s="10">
        <v>5.5596151117000003</v>
      </c>
      <c r="I557" s="10">
        <v>5.4740163148000001</v>
      </c>
    </row>
    <row r="558" spans="1:9" x14ac:dyDescent="0.2">
      <c r="A558">
        <v>19980630</v>
      </c>
      <c r="B558">
        <f t="shared" si="8"/>
        <v>199806</v>
      </c>
      <c r="C558" s="10">
        <v>4.7033850153000003</v>
      </c>
      <c r="D558" s="10">
        <v>5.0434122502000003</v>
      </c>
      <c r="E558" s="10">
        <v>5.3370772857000004</v>
      </c>
      <c r="F558" s="10">
        <v>5.3992511910000003</v>
      </c>
      <c r="G558" s="10">
        <v>5.4777512059999998</v>
      </c>
      <c r="H558" s="10">
        <v>5.4799307763999998</v>
      </c>
      <c r="I558" s="10">
        <v>5.3813945112999999</v>
      </c>
    </row>
    <row r="559" spans="1:9" x14ac:dyDescent="0.2">
      <c r="A559">
        <v>19980731</v>
      </c>
      <c r="B559">
        <f t="shared" si="8"/>
        <v>199807</v>
      </c>
      <c r="C559" s="10">
        <v>4.7453335994000003</v>
      </c>
      <c r="D559" s="10">
        <v>5.0397963088999997</v>
      </c>
      <c r="E559" s="10">
        <v>5.4203392193999997</v>
      </c>
      <c r="F559" s="10">
        <v>5.4147370225999998</v>
      </c>
      <c r="G559" s="10">
        <v>5.4568903556999997</v>
      </c>
      <c r="H559" s="10">
        <v>5.4897550228999998</v>
      </c>
      <c r="I559" s="10">
        <v>5.4636960724000003</v>
      </c>
    </row>
    <row r="560" spans="1:9" x14ac:dyDescent="0.2">
      <c r="A560">
        <v>19980831</v>
      </c>
      <c r="B560">
        <f t="shared" si="8"/>
        <v>199808</v>
      </c>
      <c r="C560" s="10">
        <v>4.6909641973999996</v>
      </c>
      <c r="D560" s="10">
        <v>4.8210700972999998</v>
      </c>
      <c r="E560" s="10">
        <v>5.0248431341000002</v>
      </c>
      <c r="F560" s="10">
        <v>4.8120345370999997</v>
      </c>
      <c r="G560" s="10">
        <v>4.8985422515000003</v>
      </c>
      <c r="H560" s="10">
        <v>4.9006793891999996</v>
      </c>
      <c r="I560" s="10">
        <v>4.8586562017999997</v>
      </c>
    </row>
    <row r="561" spans="1:9" x14ac:dyDescent="0.2">
      <c r="A561">
        <v>19980930</v>
      </c>
      <c r="B561">
        <f t="shared" si="8"/>
        <v>199809</v>
      </c>
      <c r="C561" s="10">
        <v>4.0280603617999997</v>
      </c>
      <c r="D561" s="10">
        <v>4.3095367017999999</v>
      </c>
      <c r="E561" s="10">
        <v>4.5686559705000001</v>
      </c>
      <c r="F561" s="10">
        <v>4.2741650734999999</v>
      </c>
      <c r="G561" s="10">
        <v>4.3474703693999999</v>
      </c>
      <c r="H561" s="10">
        <v>4.3054276813000003</v>
      </c>
      <c r="I561" s="10">
        <v>4.343564626</v>
      </c>
    </row>
    <row r="562" spans="1:9" x14ac:dyDescent="0.2">
      <c r="A562">
        <v>19981030</v>
      </c>
      <c r="B562">
        <f t="shared" si="8"/>
        <v>199810</v>
      </c>
      <c r="C562" s="10">
        <v>3.5519460079999998</v>
      </c>
      <c r="D562" s="10">
        <v>4.3064643212</v>
      </c>
      <c r="E562" s="10">
        <v>4.3815431730999999</v>
      </c>
      <c r="F562" s="10">
        <v>4.1607394787</v>
      </c>
      <c r="G562" s="10">
        <v>4.3080020224000002</v>
      </c>
      <c r="H562" s="10">
        <v>4.3550568057000003</v>
      </c>
      <c r="I562" s="10">
        <v>4.4789580663999997</v>
      </c>
    </row>
    <row r="563" spans="1:9" x14ac:dyDescent="0.2">
      <c r="A563">
        <v>19981130</v>
      </c>
      <c r="B563">
        <f t="shared" si="8"/>
        <v>199811</v>
      </c>
      <c r="C563" s="10">
        <v>4.4415961914000004</v>
      </c>
      <c r="D563" s="10">
        <v>4.4619417938000003</v>
      </c>
      <c r="E563" s="10">
        <v>4.6316424759999997</v>
      </c>
      <c r="F563" s="10">
        <v>4.4720167740000001</v>
      </c>
      <c r="G563" s="10">
        <v>4.5252844783999997</v>
      </c>
      <c r="H563" s="10">
        <v>4.6385829801999998</v>
      </c>
      <c r="I563" s="10">
        <v>4.5596758151000003</v>
      </c>
    </row>
    <row r="564" spans="1:9" x14ac:dyDescent="0.2">
      <c r="A564">
        <v>19981231</v>
      </c>
      <c r="B564">
        <f t="shared" si="8"/>
        <v>199812</v>
      </c>
      <c r="C564" s="10">
        <v>4.3943146741000003</v>
      </c>
      <c r="D564" s="10">
        <v>4.4322811056999996</v>
      </c>
      <c r="E564" s="10">
        <v>4.4376259772999997</v>
      </c>
      <c r="F564" s="10">
        <v>4.5179275801000003</v>
      </c>
      <c r="G564" s="10">
        <v>4.5982595541000002</v>
      </c>
      <c r="H564" s="10">
        <v>4.6552631681000003</v>
      </c>
      <c r="I564" s="10">
        <v>4.5880394888999998</v>
      </c>
    </row>
    <row r="565" spans="1:9" x14ac:dyDescent="0.2">
      <c r="A565">
        <v>19990129</v>
      </c>
      <c r="B565">
        <f t="shared" si="8"/>
        <v>199901</v>
      </c>
      <c r="C565" s="10">
        <v>4.4093206215</v>
      </c>
      <c r="D565" s="10">
        <v>4.4345736046999997</v>
      </c>
      <c r="E565" s="10">
        <v>4.4558379629999996</v>
      </c>
      <c r="F565" s="10">
        <v>4.5255645325999998</v>
      </c>
      <c r="G565" s="10">
        <v>4.5745383902999999</v>
      </c>
      <c r="H565" s="10">
        <v>4.5956317275999998</v>
      </c>
      <c r="I565" s="10">
        <v>4.5232493649999999</v>
      </c>
    </row>
    <row r="566" spans="1:9" x14ac:dyDescent="0.2">
      <c r="A566">
        <v>19990226</v>
      </c>
      <c r="B566">
        <f t="shared" si="8"/>
        <v>199902</v>
      </c>
      <c r="C566" s="10">
        <v>4.5060408503999998</v>
      </c>
      <c r="D566" s="10">
        <v>4.6396326689</v>
      </c>
      <c r="E566" s="10">
        <v>4.8511487853000004</v>
      </c>
      <c r="F566" s="10">
        <v>5.0810032744000004</v>
      </c>
      <c r="G566" s="10">
        <v>5.2163010384000001</v>
      </c>
      <c r="H566" s="10">
        <v>5.2816464088000004</v>
      </c>
      <c r="I566" s="10">
        <v>5.2041578235000001</v>
      </c>
    </row>
    <row r="567" spans="1:9" x14ac:dyDescent="0.2">
      <c r="A567">
        <v>19990331</v>
      </c>
      <c r="B567">
        <f t="shared" si="8"/>
        <v>199903</v>
      </c>
      <c r="C567" s="10">
        <v>4.5575195611000003</v>
      </c>
      <c r="D567" s="10">
        <v>4.4504940390999996</v>
      </c>
      <c r="E567" s="10">
        <v>4.6654640734999999</v>
      </c>
      <c r="F567" s="10">
        <v>4.9348404456999999</v>
      </c>
      <c r="G567" s="10">
        <v>5.0689855891000004</v>
      </c>
      <c r="H567" s="10">
        <v>5.1484088261999998</v>
      </c>
      <c r="I567" s="10">
        <v>5.1672519574000004</v>
      </c>
    </row>
    <row r="568" spans="1:9" x14ac:dyDescent="0.2">
      <c r="A568">
        <v>19990430</v>
      </c>
      <c r="B568">
        <f t="shared" si="8"/>
        <v>199904</v>
      </c>
      <c r="C568" s="10">
        <v>4.4524873101000004</v>
      </c>
      <c r="D568" s="10">
        <v>4.5140216882999997</v>
      </c>
      <c r="E568" s="10">
        <v>4.7121145611999999</v>
      </c>
      <c r="F568" s="10">
        <v>5.0072506533999999</v>
      </c>
      <c r="G568" s="10">
        <v>5.1351575174999997</v>
      </c>
      <c r="H568" s="10">
        <v>5.2080193468999996</v>
      </c>
      <c r="I568" s="10">
        <v>5.2641554360000002</v>
      </c>
    </row>
    <row r="569" spans="1:9" x14ac:dyDescent="0.2">
      <c r="A569">
        <v>19990528</v>
      </c>
      <c r="B569">
        <f t="shared" si="8"/>
        <v>199905</v>
      </c>
      <c r="C569" s="10">
        <v>4.4195012879000002</v>
      </c>
      <c r="D569" s="10">
        <v>4.6088671986999996</v>
      </c>
      <c r="E569" s="10">
        <v>4.9404251027999999</v>
      </c>
      <c r="F569" s="10">
        <v>5.3394834228999999</v>
      </c>
      <c r="G569" s="10">
        <v>5.5138610845000002</v>
      </c>
      <c r="H569" s="10">
        <v>5.6057349806000003</v>
      </c>
      <c r="I569" s="10">
        <v>5.6371846428000003</v>
      </c>
    </row>
    <row r="570" spans="1:9" x14ac:dyDescent="0.2">
      <c r="A570">
        <v>19990630</v>
      </c>
      <c r="B570">
        <f t="shared" si="8"/>
        <v>199906</v>
      </c>
      <c r="C570" s="10">
        <v>4.4378579644</v>
      </c>
      <c r="D570" s="10">
        <v>4.7402545368000002</v>
      </c>
      <c r="E570" s="10">
        <v>5.1783345062999997</v>
      </c>
      <c r="F570" s="10">
        <v>5.4527222474999997</v>
      </c>
      <c r="G570" s="10">
        <v>5.5646829350999996</v>
      </c>
      <c r="H570" s="10">
        <v>5.6338810426999997</v>
      </c>
      <c r="I570" s="10">
        <v>5.7564537879</v>
      </c>
    </row>
    <row r="571" spans="1:9" x14ac:dyDescent="0.2">
      <c r="A571">
        <v>19990730</v>
      </c>
      <c r="B571">
        <f t="shared" si="8"/>
        <v>199907</v>
      </c>
      <c r="C571" s="10">
        <v>4.4500438662999997</v>
      </c>
      <c r="D571" s="10">
        <v>4.7062991951999997</v>
      </c>
      <c r="E571" s="10">
        <v>5.2843485129000003</v>
      </c>
      <c r="F571" s="10">
        <v>5.5525802445999997</v>
      </c>
      <c r="G571" s="10">
        <v>5.6716010947999997</v>
      </c>
      <c r="H571" s="10">
        <v>5.8197211676</v>
      </c>
      <c r="I571" s="10">
        <v>5.9185639898</v>
      </c>
    </row>
    <row r="572" spans="1:9" x14ac:dyDescent="0.2">
      <c r="A572">
        <v>19990831</v>
      </c>
      <c r="B572">
        <f t="shared" si="8"/>
        <v>199908</v>
      </c>
      <c r="C572" s="10">
        <v>4.4998388501999997</v>
      </c>
      <c r="D572" s="10">
        <v>4.8925490741999997</v>
      </c>
      <c r="E572" s="10">
        <v>5.4519235103000003</v>
      </c>
      <c r="F572" s="10">
        <v>5.6435850774</v>
      </c>
      <c r="G572" s="10">
        <v>5.7826495846999997</v>
      </c>
      <c r="H572" s="10">
        <v>5.9239071234000003</v>
      </c>
      <c r="I572" s="10">
        <v>5.9648615756999996</v>
      </c>
    </row>
    <row r="573" spans="1:9" x14ac:dyDescent="0.2">
      <c r="A573">
        <v>19990930</v>
      </c>
      <c r="B573">
        <f t="shared" si="8"/>
        <v>199909</v>
      </c>
      <c r="C573" s="10">
        <v>4.5012280204000001</v>
      </c>
      <c r="D573" s="10">
        <v>4.8040719949000001</v>
      </c>
      <c r="E573" s="10">
        <v>5.3723808201000001</v>
      </c>
      <c r="F573" s="10">
        <v>5.5459057491000001</v>
      </c>
      <c r="G573" s="10">
        <v>5.6492932634999997</v>
      </c>
      <c r="H573" s="10">
        <v>5.8033893109000001</v>
      </c>
      <c r="I573" s="10">
        <v>5.8756398254000004</v>
      </c>
    </row>
    <row r="574" spans="1:9" x14ac:dyDescent="0.2">
      <c r="A574">
        <v>19991029</v>
      </c>
      <c r="B574">
        <f t="shared" si="8"/>
        <v>199910</v>
      </c>
      <c r="C574" s="10">
        <v>4.3660538663999997</v>
      </c>
      <c r="D574" s="10">
        <v>5.0474956343999997</v>
      </c>
      <c r="E574" s="10">
        <v>5.5196193868999996</v>
      </c>
      <c r="F574" s="10">
        <v>5.7166979908000002</v>
      </c>
      <c r="G574" s="10">
        <v>5.8132668748</v>
      </c>
      <c r="H574" s="10">
        <v>5.9903403185000004</v>
      </c>
      <c r="I574" s="10">
        <v>6.0408278724000004</v>
      </c>
    </row>
    <row r="575" spans="1:9" x14ac:dyDescent="0.2">
      <c r="A575">
        <v>19991130</v>
      </c>
      <c r="B575">
        <f t="shared" si="8"/>
        <v>199911</v>
      </c>
      <c r="C575" s="10">
        <v>4.5710761346000002</v>
      </c>
      <c r="D575" s="10">
        <v>5.2514352294000002</v>
      </c>
      <c r="E575" s="10">
        <v>5.7630054918000004</v>
      </c>
      <c r="F575" s="10">
        <v>5.9236914142000003</v>
      </c>
      <c r="G575" s="10">
        <v>5.9847493749999998</v>
      </c>
      <c r="H575" s="10">
        <v>6.0868916786999998</v>
      </c>
      <c r="I575" s="10">
        <v>6.1387345386999996</v>
      </c>
    </row>
    <row r="576" spans="1:9" x14ac:dyDescent="0.2">
      <c r="A576">
        <v>19991231</v>
      </c>
      <c r="B576">
        <f t="shared" si="8"/>
        <v>199912</v>
      </c>
      <c r="C576" s="10">
        <v>5.1018259634999996</v>
      </c>
      <c r="D576" s="10">
        <v>5.3273369760999998</v>
      </c>
      <c r="E576" s="10">
        <v>5.8928630992000004</v>
      </c>
      <c r="F576" s="10">
        <v>6.1435417060999997</v>
      </c>
      <c r="G576" s="10">
        <v>6.2172874257000004</v>
      </c>
      <c r="H576" s="10">
        <v>6.2962692282999999</v>
      </c>
      <c r="I576" s="10">
        <v>6.3860339831999999</v>
      </c>
    </row>
    <row r="577" spans="1:9" x14ac:dyDescent="0.2">
      <c r="A577">
        <v>20000131</v>
      </c>
      <c r="B577">
        <f t="shared" si="8"/>
        <v>200001</v>
      </c>
      <c r="C577" s="10">
        <v>5.3859108304000003</v>
      </c>
      <c r="D577" s="10">
        <v>5.6343317767999999</v>
      </c>
      <c r="E577" s="10">
        <v>6.1658561689000004</v>
      </c>
      <c r="F577" s="10">
        <v>6.5008164519999996</v>
      </c>
      <c r="G577" s="10">
        <v>6.5562977647</v>
      </c>
      <c r="H577" s="10">
        <v>6.5464955830999996</v>
      </c>
      <c r="I577" s="10">
        <v>6.6558601652</v>
      </c>
    </row>
    <row r="578" spans="1:9" x14ac:dyDescent="0.2">
      <c r="A578">
        <v>20000229</v>
      </c>
      <c r="B578">
        <f t="shared" si="8"/>
        <v>200002</v>
      </c>
      <c r="C578" s="10">
        <v>5.3142279076000003</v>
      </c>
      <c r="D578" s="10">
        <v>5.7295353278999999</v>
      </c>
      <c r="E578" s="10">
        <v>6.0972943103999997</v>
      </c>
      <c r="F578" s="10">
        <v>6.4361366464999996</v>
      </c>
      <c r="G578" s="10">
        <v>6.5010653053</v>
      </c>
      <c r="H578" s="10">
        <v>6.4839727362000001</v>
      </c>
      <c r="I578" s="10">
        <v>6.5640423182000003</v>
      </c>
    </row>
    <row r="579" spans="1:9" x14ac:dyDescent="0.2">
      <c r="A579">
        <v>20000331</v>
      </c>
      <c r="B579">
        <f t="shared" si="8"/>
        <v>200003</v>
      </c>
      <c r="C579" s="10">
        <v>5.8559426448999998</v>
      </c>
      <c r="D579" s="10">
        <v>5.8181672793999999</v>
      </c>
      <c r="E579" s="10">
        <v>6.2990817986999996</v>
      </c>
      <c r="F579" s="10">
        <v>6.3867398421999999</v>
      </c>
      <c r="G579" s="10">
        <v>6.3349695468</v>
      </c>
      <c r="H579" s="10">
        <v>6.2587720582999999</v>
      </c>
      <c r="I579" s="10">
        <v>6.2484974946999996</v>
      </c>
    </row>
    <row r="580" spans="1:9" x14ac:dyDescent="0.2">
      <c r="A580">
        <v>20000428</v>
      </c>
      <c r="B580">
        <f t="shared" si="8"/>
        <v>200004</v>
      </c>
      <c r="C580" s="10">
        <v>5.2699277174999999</v>
      </c>
      <c r="D580" s="10">
        <v>5.7770278004</v>
      </c>
      <c r="E580" s="10">
        <v>6.4479572767000004</v>
      </c>
      <c r="F580" s="10">
        <v>6.5600224772000004</v>
      </c>
      <c r="G580" s="10">
        <v>6.4854807423</v>
      </c>
      <c r="H580" s="10">
        <v>6.4800740540000001</v>
      </c>
      <c r="I580" s="10">
        <v>6.4519374289</v>
      </c>
    </row>
    <row r="581" spans="1:9" x14ac:dyDescent="0.2">
      <c r="A581">
        <v>20000531</v>
      </c>
      <c r="B581">
        <f t="shared" si="8"/>
        <v>200005</v>
      </c>
      <c r="C581" s="10">
        <v>4.6746488432</v>
      </c>
      <c r="D581" s="10">
        <v>5.5799592810999998</v>
      </c>
      <c r="E581" s="10">
        <v>6.2654360045999997</v>
      </c>
      <c r="F581" s="10">
        <v>6.5929565367</v>
      </c>
      <c r="G581" s="10">
        <v>6.5319230617999997</v>
      </c>
      <c r="H581" s="10">
        <v>6.5191171069999996</v>
      </c>
      <c r="I581" s="10">
        <v>6.448419962</v>
      </c>
    </row>
    <row r="582" spans="1:9" x14ac:dyDescent="0.2">
      <c r="A582">
        <v>20000630</v>
      </c>
      <c r="B582">
        <f t="shared" si="8"/>
        <v>200006</v>
      </c>
      <c r="C582" s="10">
        <v>5.6291424028000003</v>
      </c>
      <c r="D582" s="10">
        <v>5.8258813963999998</v>
      </c>
      <c r="E582" s="10">
        <v>6.3938258107000001</v>
      </c>
      <c r="F582" s="10">
        <v>6.2781885617000004</v>
      </c>
      <c r="G582" s="10">
        <v>6.1984923968999999</v>
      </c>
      <c r="H582" s="10">
        <v>6.2054769168000004</v>
      </c>
      <c r="I582" s="10">
        <v>6.1535398678000002</v>
      </c>
    </row>
    <row r="583" spans="1:9" x14ac:dyDescent="0.2">
      <c r="A583">
        <v>20000731</v>
      </c>
      <c r="B583">
        <f t="shared" ref="B583:B646" si="9">ROUND(A583/100,0)</f>
        <v>200007</v>
      </c>
      <c r="C583" s="10">
        <v>5.8749103032000001</v>
      </c>
      <c r="D583" s="10">
        <v>6.1690228129999998</v>
      </c>
      <c r="E583" s="10">
        <v>6.3622290369999996</v>
      </c>
      <c r="F583" s="10">
        <v>6.2001523981000002</v>
      </c>
      <c r="G583" s="10">
        <v>6.2236524719000004</v>
      </c>
      <c r="H583" s="10">
        <v>6.1727050019999998</v>
      </c>
      <c r="I583" s="10">
        <v>6.1291739740000004</v>
      </c>
    </row>
    <row r="584" spans="1:9" x14ac:dyDescent="0.2">
      <c r="A584">
        <v>20000831</v>
      </c>
      <c r="B584">
        <f t="shared" si="9"/>
        <v>200008</v>
      </c>
      <c r="C584" s="10">
        <v>6.2337330537</v>
      </c>
      <c r="D584" s="10">
        <v>6.2560710443999996</v>
      </c>
      <c r="E584" s="10">
        <v>6.1269235348000004</v>
      </c>
      <c r="F584" s="10">
        <v>6.0841787537999998</v>
      </c>
      <c r="G584" s="10">
        <v>6.0193161893999996</v>
      </c>
      <c r="H584" s="10">
        <v>5.9550941196</v>
      </c>
      <c r="I584" s="10">
        <v>5.9275446232000002</v>
      </c>
    </row>
    <row r="585" spans="1:9" x14ac:dyDescent="0.2">
      <c r="A585">
        <v>20000929</v>
      </c>
      <c r="B585">
        <f t="shared" si="9"/>
        <v>200009</v>
      </c>
      <c r="C585" s="10">
        <v>5.9196591990999998</v>
      </c>
      <c r="D585" s="10">
        <v>6.1577273090000002</v>
      </c>
      <c r="E585" s="10">
        <v>6.1912954250999999</v>
      </c>
      <c r="F585" s="10">
        <v>5.8786285559999998</v>
      </c>
      <c r="G585" s="10">
        <v>5.8667037029999998</v>
      </c>
      <c r="H585" s="10">
        <v>5.8160371265000004</v>
      </c>
      <c r="I585" s="10">
        <v>5.7927057981000001</v>
      </c>
    </row>
    <row r="586" spans="1:9" x14ac:dyDescent="0.2">
      <c r="A586">
        <v>20001031</v>
      </c>
      <c r="B586">
        <f t="shared" si="9"/>
        <v>200010</v>
      </c>
      <c r="C586" s="10">
        <v>6.0272657762000001</v>
      </c>
      <c r="D586" s="10">
        <v>6.2893922488999996</v>
      </c>
      <c r="E586" s="10">
        <v>6.2045881333999997</v>
      </c>
      <c r="F586" s="10">
        <v>5.8197991636999999</v>
      </c>
      <c r="G586" s="10">
        <v>5.8210365510999997</v>
      </c>
      <c r="H586" s="10">
        <v>5.7668163542000004</v>
      </c>
      <c r="I586" s="10">
        <v>5.7016284302000004</v>
      </c>
    </row>
    <row r="587" spans="1:9" x14ac:dyDescent="0.2">
      <c r="A587">
        <v>20001130</v>
      </c>
      <c r="B587">
        <f t="shared" si="9"/>
        <v>200011</v>
      </c>
      <c r="C587" s="10">
        <v>6.1189930096999996</v>
      </c>
      <c r="D587" s="10">
        <v>6.1582494262000003</v>
      </c>
      <c r="E587" s="10">
        <v>5.8309800743000002</v>
      </c>
      <c r="F587" s="10">
        <v>5.5509320139999998</v>
      </c>
      <c r="G587" s="10">
        <v>5.5343682984999996</v>
      </c>
      <c r="H587" s="10">
        <v>5.4804262599999998</v>
      </c>
      <c r="I587" s="10">
        <v>5.3857362815999998</v>
      </c>
    </row>
    <row r="588" spans="1:9" x14ac:dyDescent="0.2">
      <c r="A588">
        <v>20001229</v>
      </c>
      <c r="B588">
        <f t="shared" si="9"/>
        <v>200012</v>
      </c>
      <c r="C588" s="10">
        <v>5.7692941998</v>
      </c>
      <c r="D588" s="10">
        <v>5.8438815732</v>
      </c>
      <c r="E588" s="10">
        <v>5.4283776591999997</v>
      </c>
      <c r="F588" s="10">
        <v>5.0433099952999996</v>
      </c>
      <c r="G588" s="10">
        <v>5.0856009570999996</v>
      </c>
      <c r="H588" s="10">
        <v>5.0449199814999997</v>
      </c>
      <c r="I588" s="10">
        <v>4.9865842996999996</v>
      </c>
    </row>
    <row r="589" spans="1:9" x14ac:dyDescent="0.2">
      <c r="A589">
        <v>20010131</v>
      </c>
      <c r="B589">
        <f t="shared" si="9"/>
        <v>200101</v>
      </c>
      <c r="C589" s="10">
        <v>4.8274465059000002</v>
      </c>
      <c r="D589" s="10">
        <v>4.9583555249</v>
      </c>
      <c r="E589" s="10">
        <v>4.6512959271999996</v>
      </c>
      <c r="F589" s="10">
        <v>4.5638493146999997</v>
      </c>
      <c r="G589" s="10">
        <v>4.7070435636000001</v>
      </c>
      <c r="H589" s="10">
        <v>4.8100183824</v>
      </c>
      <c r="I589" s="10">
        <v>4.8432237058999998</v>
      </c>
    </row>
    <row r="590" spans="1:9" x14ac:dyDescent="0.2">
      <c r="A590">
        <v>20010228</v>
      </c>
      <c r="B590">
        <f t="shared" si="9"/>
        <v>200102</v>
      </c>
      <c r="C590" s="10">
        <v>5.0133813858999998</v>
      </c>
      <c r="D590" s="10">
        <v>4.8300463060999999</v>
      </c>
      <c r="E590" s="10">
        <v>4.4152189416000001</v>
      </c>
      <c r="F590" s="10">
        <v>4.3833212526000001</v>
      </c>
      <c r="G590" s="10">
        <v>4.5619170897999997</v>
      </c>
      <c r="H590" s="10">
        <v>4.6495581055999997</v>
      </c>
      <c r="I590" s="10">
        <v>4.6958966573999996</v>
      </c>
    </row>
    <row r="591" spans="1:9" x14ac:dyDescent="0.2">
      <c r="A591">
        <v>20010330</v>
      </c>
      <c r="B591">
        <f t="shared" si="9"/>
        <v>200103</v>
      </c>
      <c r="C591" s="10">
        <v>4.4322272566000001</v>
      </c>
      <c r="D591" s="10">
        <v>4.2704985103000004</v>
      </c>
      <c r="E591" s="10">
        <v>4.1539169375</v>
      </c>
      <c r="F591" s="10">
        <v>4.1819303005000004</v>
      </c>
      <c r="G591" s="10">
        <v>4.4013680894</v>
      </c>
      <c r="H591" s="10">
        <v>4.5372369308999998</v>
      </c>
      <c r="I591" s="10">
        <v>4.6175031411000003</v>
      </c>
    </row>
    <row r="592" spans="1:9" x14ac:dyDescent="0.2">
      <c r="A592">
        <v>20010430</v>
      </c>
      <c r="B592">
        <f t="shared" si="9"/>
        <v>200104</v>
      </c>
      <c r="C592" s="10">
        <v>3.7421209391999999</v>
      </c>
      <c r="D592" s="10">
        <v>3.8629029314999999</v>
      </c>
      <c r="E592" s="10">
        <v>4.0328627887000001</v>
      </c>
      <c r="F592" s="10">
        <v>4.2753932296999997</v>
      </c>
      <c r="G592" s="10">
        <v>4.6380972372000002</v>
      </c>
      <c r="H592" s="10">
        <v>4.8253087420999998</v>
      </c>
      <c r="I592" s="10">
        <v>4.9336548761000003</v>
      </c>
    </row>
    <row r="593" spans="1:9" x14ac:dyDescent="0.2">
      <c r="A593">
        <v>20010531</v>
      </c>
      <c r="B593">
        <f t="shared" si="9"/>
        <v>200105</v>
      </c>
      <c r="C593" s="10">
        <v>3.4453029432000002</v>
      </c>
      <c r="D593" s="10">
        <v>3.6027640417</v>
      </c>
      <c r="E593" s="10">
        <v>3.7895212608</v>
      </c>
      <c r="F593" s="10">
        <v>4.2160543073000003</v>
      </c>
      <c r="G593" s="10">
        <v>4.6192021198999997</v>
      </c>
      <c r="H593" s="10">
        <v>4.8625170926000001</v>
      </c>
      <c r="I593" s="10">
        <v>4.9732333627000003</v>
      </c>
    </row>
    <row r="594" spans="1:9" x14ac:dyDescent="0.2">
      <c r="A594">
        <v>20010629</v>
      </c>
      <c r="B594">
        <f t="shared" si="9"/>
        <v>200106</v>
      </c>
      <c r="C594" s="10">
        <v>3.4146261677999998</v>
      </c>
      <c r="D594" s="10">
        <v>3.6281599062000001</v>
      </c>
      <c r="E594" s="10">
        <v>3.8775664052000001</v>
      </c>
      <c r="F594" s="10">
        <v>4.2299706339999998</v>
      </c>
      <c r="G594" s="10">
        <v>4.6609620811000001</v>
      </c>
      <c r="H594" s="10">
        <v>4.9173750415999997</v>
      </c>
      <c r="I594" s="10">
        <v>5.0651246280000004</v>
      </c>
    </row>
    <row r="595" spans="1:9" x14ac:dyDescent="0.2">
      <c r="A595">
        <v>20010731</v>
      </c>
      <c r="B595">
        <f t="shared" si="9"/>
        <v>200107</v>
      </c>
      <c r="C595" s="10">
        <v>3.6402319746999998</v>
      </c>
      <c r="D595" s="10">
        <v>3.5187125630999998</v>
      </c>
      <c r="E595" s="10">
        <v>3.4553767941000002</v>
      </c>
      <c r="F595" s="10">
        <v>3.7718024032000002</v>
      </c>
      <c r="G595" s="10">
        <v>4.2200691435</v>
      </c>
      <c r="H595" s="10">
        <v>4.4944565746</v>
      </c>
      <c r="I595" s="10">
        <v>4.6678810934000001</v>
      </c>
    </row>
    <row r="596" spans="1:9" x14ac:dyDescent="0.2">
      <c r="A596">
        <v>20010831</v>
      </c>
      <c r="B596">
        <f t="shared" si="9"/>
        <v>200108</v>
      </c>
      <c r="C596" s="10">
        <v>3.3739421808999999</v>
      </c>
      <c r="D596" s="10">
        <v>3.3418210184000001</v>
      </c>
      <c r="E596" s="10">
        <v>3.3288116909999999</v>
      </c>
      <c r="F596" s="10">
        <v>3.6117948371000002</v>
      </c>
      <c r="G596" s="10">
        <v>4.0545414499000003</v>
      </c>
      <c r="H596" s="10">
        <v>4.3207764095999996</v>
      </c>
      <c r="I596" s="10">
        <v>4.4940747487000001</v>
      </c>
    </row>
    <row r="597" spans="1:9" x14ac:dyDescent="0.2">
      <c r="A597">
        <v>20010928</v>
      </c>
      <c r="B597">
        <f t="shared" si="9"/>
        <v>200109</v>
      </c>
      <c r="C597" s="10">
        <v>2.3776658207999999</v>
      </c>
      <c r="D597" s="10">
        <v>2.3412239852000001</v>
      </c>
      <c r="E597" s="10">
        <v>2.5151469537</v>
      </c>
      <c r="F597" s="10">
        <v>2.8205687676000002</v>
      </c>
      <c r="G597" s="10">
        <v>3.4217025940000001</v>
      </c>
      <c r="H597" s="10">
        <v>3.7620131325999999</v>
      </c>
      <c r="I597" s="10">
        <v>4.0529383974000002</v>
      </c>
    </row>
    <row r="598" spans="1:9" x14ac:dyDescent="0.2">
      <c r="A598">
        <v>20011031</v>
      </c>
      <c r="B598">
        <f t="shared" si="9"/>
        <v>200110</v>
      </c>
      <c r="C598" s="10">
        <v>2.0933052972000001</v>
      </c>
      <c r="D598" s="10">
        <v>2.0253344435999998</v>
      </c>
      <c r="E598" s="10">
        <v>1.9555172623999999</v>
      </c>
      <c r="F598" s="10">
        <v>2.3682670598</v>
      </c>
      <c r="G598" s="10">
        <v>2.9598976442999998</v>
      </c>
      <c r="H598" s="10">
        <v>3.3598578312999998</v>
      </c>
      <c r="I598" s="10">
        <v>3.6724474231999999</v>
      </c>
    </row>
    <row r="599" spans="1:9" x14ac:dyDescent="0.2">
      <c r="A599">
        <v>20011130</v>
      </c>
      <c r="B599">
        <f t="shared" si="9"/>
        <v>200111</v>
      </c>
      <c r="C599" s="10">
        <v>1.727535072</v>
      </c>
      <c r="D599" s="10">
        <v>1.7832899594</v>
      </c>
      <c r="E599" s="10">
        <v>2.0507984014999998</v>
      </c>
      <c r="F599" s="10">
        <v>2.8422979452999999</v>
      </c>
      <c r="G599" s="10">
        <v>3.5124586738999999</v>
      </c>
      <c r="H599" s="10">
        <v>3.9105404571000002</v>
      </c>
      <c r="I599" s="10">
        <v>4.0999741993000001</v>
      </c>
    </row>
    <row r="600" spans="1:9" x14ac:dyDescent="0.2">
      <c r="A600">
        <v>20011231</v>
      </c>
      <c r="B600">
        <f t="shared" si="9"/>
        <v>200112</v>
      </c>
      <c r="C600" s="10">
        <v>1.6360319456000001</v>
      </c>
      <c r="D600" s="10">
        <v>1.7118906288</v>
      </c>
      <c r="E600" s="10">
        <v>2.0519018871000001</v>
      </c>
      <c r="F600" s="10">
        <v>3.0636628947000002</v>
      </c>
      <c r="G600" s="10">
        <v>3.8105303014</v>
      </c>
      <c r="H600" s="10">
        <v>4.2273891187999997</v>
      </c>
      <c r="I600" s="10">
        <v>4.4389459128000004</v>
      </c>
    </row>
    <row r="601" spans="1:9" x14ac:dyDescent="0.2">
      <c r="A601">
        <v>20020131</v>
      </c>
      <c r="B601">
        <f t="shared" si="9"/>
        <v>200201</v>
      </c>
      <c r="C601" s="10">
        <v>1.6894928025</v>
      </c>
      <c r="D601" s="10">
        <v>1.7578742262</v>
      </c>
      <c r="E601" s="10">
        <v>2.2762123604000002</v>
      </c>
      <c r="F601" s="10">
        <v>3.1482047589</v>
      </c>
      <c r="G601" s="10">
        <v>3.8075962923</v>
      </c>
      <c r="H601" s="10">
        <v>4.2417590978000002</v>
      </c>
      <c r="I601" s="10">
        <v>4.5158884205999996</v>
      </c>
    </row>
    <row r="602" spans="1:9" x14ac:dyDescent="0.2">
      <c r="A602">
        <v>20020228</v>
      </c>
      <c r="B602">
        <f t="shared" si="9"/>
        <v>200202</v>
      </c>
      <c r="C602" s="10">
        <v>1.7326538388999999</v>
      </c>
      <c r="D602" s="10">
        <v>1.7553283788</v>
      </c>
      <c r="E602" s="10">
        <v>2.1954038242</v>
      </c>
      <c r="F602" s="10">
        <v>3.0380917546999999</v>
      </c>
      <c r="G602" s="10">
        <v>3.6208518843999999</v>
      </c>
      <c r="H602" s="10">
        <v>4.0757877994999996</v>
      </c>
      <c r="I602" s="10">
        <v>4.3550674264999998</v>
      </c>
    </row>
    <row r="603" spans="1:9" x14ac:dyDescent="0.2">
      <c r="A603">
        <v>20020328</v>
      </c>
      <c r="B603">
        <f t="shared" si="9"/>
        <v>200203</v>
      </c>
      <c r="C603" s="10">
        <v>1.7098036559000001</v>
      </c>
      <c r="D603" s="10">
        <v>1.7833335880000001</v>
      </c>
      <c r="E603" s="10">
        <v>2.6893287947000002</v>
      </c>
      <c r="F603" s="10">
        <v>3.6776253449</v>
      </c>
      <c r="G603" s="10">
        <v>4.3242397553999998</v>
      </c>
      <c r="H603" s="10">
        <v>4.7245658635999996</v>
      </c>
      <c r="I603" s="10">
        <v>5.0013045155000002</v>
      </c>
    </row>
    <row r="604" spans="1:9" x14ac:dyDescent="0.2">
      <c r="A604">
        <v>20020430</v>
      </c>
      <c r="B604">
        <f t="shared" si="9"/>
        <v>200204</v>
      </c>
      <c r="C604" s="10">
        <v>1.7527549768999999</v>
      </c>
      <c r="D604" s="10">
        <v>1.7503207870999999</v>
      </c>
      <c r="E604" s="10">
        <v>2.2486367495000001</v>
      </c>
      <c r="F604" s="10">
        <v>3.2159314767999998</v>
      </c>
      <c r="G604" s="10">
        <v>3.8571505216999999</v>
      </c>
      <c r="H604" s="10">
        <v>4.2941117449000004</v>
      </c>
      <c r="I604" s="10">
        <v>4.5805825783999996</v>
      </c>
    </row>
    <row r="605" spans="1:9" x14ac:dyDescent="0.2">
      <c r="A605">
        <v>20020531</v>
      </c>
      <c r="B605">
        <f t="shared" si="9"/>
        <v>200205</v>
      </c>
      <c r="C605" s="10">
        <v>1.6894928025</v>
      </c>
      <c r="D605" s="10">
        <v>1.7221931458999999</v>
      </c>
      <c r="E605" s="10">
        <v>2.2687610462999999</v>
      </c>
      <c r="F605" s="10">
        <v>3.1838376104999999</v>
      </c>
      <c r="G605" s="10">
        <v>3.7320281678999998</v>
      </c>
      <c r="H605" s="10">
        <v>4.1191469161000001</v>
      </c>
      <c r="I605" s="10">
        <v>4.4111168759000003</v>
      </c>
    </row>
    <row r="606" spans="1:9" x14ac:dyDescent="0.2">
      <c r="A606">
        <v>20020628</v>
      </c>
      <c r="B606">
        <f t="shared" si="9"/>
        <v>200206</v>
      </c>
      <c r="C606" s="10">
        <v>1.6666054954</v>
      </c>
      <c r="D606" s="10">
        <v>1.6865575880999999</v>
      </c>
      <c r="E606" s="10">
        <v>1.9411165248</v>
      </c>
      <c r="F606" s="10">
        <v>2.8796835102</v>
      </c>
      <c r="G606" s="10">
        <v>3.4588667960000001</v>
      </c>
      <c r="H606" s="10">
        <v>3.8610320304000001</v>
      </c>
      <c r="I606" s="10">
        <v>4.1473745747999997</v>
      </c>
    </row>
    <row r="607" spans="1:9" x14ac:dyDescent="0.2">
      <c r="A607">
        <v>20020731</v>
      </c>
      <c r="B607">
        <f t="shared" si="9"/>
        <v>200207</v>
      </c>
      <c r="C607" s="10">
        <v>1.6996877750999999</v>
      </c>
      <c r="D607" s="10">
        <v>1.6917267063999999</v>
      </c>
      <c r="E607" s="10">
        <v>1.7231602338000001</v>
      </c>
      <c r="F607" s="10">
        <v>2.2216406417000001</v>
      </c>
      <c r="G607" s="10">
        <v>2.8519046571</v>
      </c>
      <c r="H607" s="10">
        <v>3.2902769129</v>
      </c>
      <c r="I607" s="10">
        <v>3.6331325152999998</v>
      </c>
    </row>
    <row r="608" spans="1:9" x14ac:dyDescent="0.2">
      <c r="A608">
        <v>20020830</v>
      </c>
      <c r="B608">
        <f t="shared" si="9"/>
        <v>200208</v>
      </c>
      <c r="C608" s="10">
        <v>1.6564509021</v>
      </c>
      <c r="D608" s="10">
        <v>1.6662339016000001</v>
      </c>
      <c r="E608" s="10">
        <v>1.7472025926000001</v>
      </c>
      <c r="F608" s="10">
        <v>2.1080081079999999</v>
      </c>
      <c r="G608" s="10">
        <v>2.5469943911000001</v>
      </c>
      <c r="H608" s="10">
        <v>2.9872121615</v>
      </c>
      <c r="I608" s="10">
        <v>3.2827744185999999</v>
      </c>
    </row>
    <row r="609" spans="1:9" x14ac:dyDescent="0.2">
      <c r="A609">
        <v>20020930</v>
      </c>
      <c r="B609">
        <f t="shared" si="9"/>
        <v>200209</v>
      </c>
      <c r="C609" s="10">
        <v>1.5700393813</v>
      </c>
      <c r="D609" s="10">
        <v>1.5414045096</v>
      </c>
      <c r="E609" s="10">
        <v>1.4297057761</v>
      </c>
      <c r="F609" s="10">
        <v>1.6805588176999999</v>
      </c>
      <c r="G609" s="10">
        <v>2.0337143949000001</v>
      </c>
      <c r="H609" s="10">
        <v>2.3941530428000002</v>
      </c>
      <c r="I609" s="10">
        <v>2.6689899435000002</v>
      </c>
    </row>
    <row r="610" spans="1:9" x14ac:dyDescent="0.2">
      <c r="A610">
        <v>20021031</v>
      </c>
      <c r="B610">
        <f t="shared" si="9"/>
        <v>200210</v>
      </c>
      <c r="C610" s="10">
        <v>1.4204113327000001</v>
      </c>
      <c r="D610" s="10">
        <v>1.4346808364000001</v>
      </c>
      <c r="E610" s="10">
        <v>1.3365172320000001</v>
      </c>
      <c r="F610" s="10">
        <v>1.663054689</v>
      </c>
      <c r="G610" s="10">
        <v>2.1257195335999999</v>
      </c>
      <c r="H610" s="10">
        <v>2.5297726276999999</v>
      </c>
      <c r="I610" s="10">
        <v>2.8741267198</v>
      </c>
    </row>
    <row r="611" spans="1:9" x14ac:dyDescent="0.2">
      <c r="A611">
        <v>20021129</v>
      </c>
      <c r="B611">
        <f t="shared" si="9"/>
        <v>200211</v>
      </c>
      <c r="C611" s="10">
        <v>1.2173566325</v>
      </c>
      <c r="D611" s="10">
        <v>1.2184953248999999</v>
      </c>
      <c r="E611" s="10">
        <v>1.5063519376000001</v>
      </c>
      <c r="F611" s="10">
        <v>2.0328523023999998</v>
      </c>
      <c r="G611" s="10">
        <v>2.6076708900000001</v>
      </c>
      <c r="H611" s="10">
        <v>3.0291264636999999</v>
      </c>
      <c r="I611" s="10">
        <v>3.3183478471000001</v>
      </c>
    </row>
    <row r="612" spans="1:9" x14ac:dyDescent="0.2">
      <c r="A612">
        <v>20021231</v>
      </c>
      <c r="B612">
        <f t="shared" si="9"/>
        <v>200212</v>
      </c>
      <c r="C612" s="10">
        <v>1.1360858114000001</v>
      </c>
      <c r="D612" s="10">
        <v>1.1931311871000001</v>
      </c>
      <c r="E612" s="10">
        <v>1.2085946668000001</v>
      </c>
      <c r="F612" s="10">
        <v>1.582117735</v>
      </c>
      <c r="G612" s="10">
        <v>2.0326402431999999</v>
      </c>
      <c r="H612" s="10">
        <v>2.4618364225999998</v>
      </c>
      <c r="I612" s="10">
        <v>2.8068850642999998</v>
      </c>
    </row>
    <row r="613" spans="1:9" x14ac:dyDescent="0.2">
      <c r="A613">
        <v>20030131</v>
      </c>
      <c r="B613">
        <f t="shared" si="9"/>
        <v>200301</v>
      </c>
      <c r="C613" s="10">
        <v>1.146306235</v>
      </c>
      <c r="D613" s="10">
        <v>1.1676515267000001</v>
      </c>
      <c r="E613" s="10">
        <v>1.2837069962000001</v>
      </c>
      <c r="F613" s="10">
        <v>1.6913971503</v>
      </c>
      <c r="G613" s="10">
        <v>2.2003003252000002</v>
      </c>
      <c r="H613" s="10">
        <v>2.6762416162</v>
      </c>
      <c r="I613" s="10">
        <v>3.0416785297</v>
      </c>
    </row>
    <row r="614" spans="1:9" x14ac:dyDescent="0.2">
      <c r="A614">
        <v>20030228</v>
      </c>
      <c r="B614">
        <f t="shared" si="9"/>
        <v>200302</v>
      </c>
      <c r="C614" s="10">
        <v>1.1945184919</v>
      </c>
      <c r="D614" s="10">
        <v>1.2057837778</v>
      </c>
      <c r="E614" s="10">
        <v>1.2326347642</v>
      </c>
      <c r="F614" s="10">
        <v>1.5108030077000001</v>
      </c>
      <c r="G614" s="10">
        <v>1.9310674873</v>
      </c>
      <c r="H614" s="10">
        <v>2.3704319423000002</v>
      </c>
      <c r="I614" s="10">
        <v>2.7254421262999999</v>
      </c>
    </row>
    <row r="615" spans="1:9" x14ac:dyDescent="0.2">
      <c r="A615">
        <v>20030331</v>
      </c>
      <c r="B615">
        <f t="shared" si="9"/>
        <v>200303</v>
      </c>
      <c r="C615" s="10">
        <v>1.1411778473</v>
      </c>
      <c r="D615" s="10">
        <v>1.1015142073999999</v>
      </c>
      <c r="E615" s="10">
        <v>1.1445747092</v>
      </c>
      <c r="F615" s="10">
        <v>1.4855018363000001</v>
      </c>
      <c r="G615" s="10">
        <v>1.9721531886999999</v>
      </c>
      <c r="H615" s="10">
        <v>2.4451279678</v>
      </c>
      <c r="I615" s="10">
        <v>2.8250528646999999</v>
      </c>
    </row>
    <row r="616" spans="1:9" x14ac:dyDescent="0.2">
      <c r="A616">
        <v>20030430</v>
      </c>
      <c r="B616">
        <f t="shared" si="9"/>
        <v>200304</v>
      </c>
      <c r="C616" s="10">
        <v>1.0930542666</v>
      </c>
      <c r="D616" s="10">
        <v>1.1117646038</v>
      </c>
      <c r="E616" s="10">
        <v>1.1503004554</v>
      </c>
      <c r="F616" s="10">
        <v>1.4763286105</v>
      </c>
      <c r="G616" s="10">
        <v>1.9833548462999999</v>
      </c>
      <c r="H616" s="10">
        <v>2.4725578454999999</v>
      </c>
      <c r="I616" s="10">
        <v>2.8861098718</v>
      </c>
    </row>
    <row r="617" spans="1:9" x14ac:dyDescent="0.2">
      <c r="A617">
        <v>20030530</v>
      </c>
      <c r="B617">
        <f t="shared" si="9"/>
        <v>200305</v>
      </c>
      <c r="C617" s="10">
        <v>1.1209322327</v>
      </c>
      <c r="D617" s="10">
        <v>1.11173071</v>
      </c>
      <c r="E617" s="10">
        <v>1.1642542943</v>
      </c>
      <c r="F617" s="10">
        <v>1.3193000408</v>
      </c>
      <c r="G617" s="10">
        <v>1.6207515317000001</v>
      </c>
      <c r="H617" s="10">
        <v>1.9982596947</v>
      </c>
      <c r="I617" s="10">
        <v>2.3505662303000001</v>
      </c>
    </row>
    <row r="618" spans="1:9" x14ac:dyDescent="0.2">
      <c r="A618">
        <v>20030630</v>
      </c>
      <c r="B618">
        <f t="shared" si="9"/>
        <v>200306</v>
      </c>
      <c r="C618" s="10">
        <v>0.79363546910000005</v>
      </c>
      <c r="D618" s="10">
        <v>0.89833001239999999</v>
      </c>
      <c r="E618" s="10">
        <v>1.0393215968</v>
      </c>
      <c r="F618" s="10">
        <v>1.2994811606000001</v>
      </c>
      <c r="G618" s="10">
        <v>1.6997417320999999</v>
      </c>
      <c r="H618" s="10">
        <v>2.1143618292999999</v>
      </c>
      <c r="I618" s="10">
        <v>2.5001047975000001</v>
      </c>
    </row>
    <row r="619" spans="1:9" x14ac:dyDescent="0.2">
      <c r="A619">
        <v>20030731</v>
      </c>
      <c r="B619">
        <f t="shared" si="9"/>
        <v>200307</v>
      </c>
      <c r="C619" s="10">
        <v>0.87991972669999996</v>
      </c>
      <c r="D619" s="10">
        <v>0.93894536890000002</v>
      </c>
      <c r="E619" s="10">
        <v>1.2254261304</v>
      </c>
      <c r="F619" s="10">
        <v>1.7353552473</v>
      </c>
      <c r="G619" s="10">
        <v>2.3363258618999998</v>
      </c>
      <c r="H619" s="10">
        <v>2.887984527</v>
      </c>
      <c r="I619" s="10">
        <v>3.3604168087000001</v>
      </c>
    </row>
    <row r="620" spans="1:9" x14ac:dyDescent="0.2">
      <c r="A620">
        <v>20030829</v>
      </c>
      <c r="B620">
        <f t="shared" si="9"/>
        <v>200308</v>
      </c>
      <c r="C620" s="10">
        <v>0.97123782520000002</v>
      </c>
      <c r="D620" s="10">
        <v>0.98722086689999999</v>
      </c>
      <c r="E620" s="10">
        <v>1.2829199759000001</v>
      </c>
      <c r="F620" s="10">
        <v>1.9589855616</v>
      </c>
      <c r="G620" s="10">
        <v>2.5459956868</v>
      </c>
      <c r="H620" s="10">
        <v>3.0898778688999999</v>
      </c>
      <c r="I620" s="10">
        <v>3.5114653681000001</v>
      </c>
    </row>
    <row r="621" spans="1:9" x14ac:dyDescent="0.2">
      <c r="A621">
        <v>20030930</v>
      </c>
      <c r="B621">
        <f t="shared" si="9"/>
        <v>200309</v>
      </c>
      <c r="C621" s="10">
        <v>0.85196488920000002</v>
      </c>
      <c r="D621" s="10">
        <v>0.93644077920000002</v>
      </c>
      <c r="E621" s="10">
        <v>1.0545632238</v>
      </c>
      <c r="F621" s="10">
        <v>1.4627327855000001</v>
      </c>
      <c r="G621" s="10">
        <v>1.9806529485</v>
      </c>
      <c r="H621" s="10">
        <v>2.4466523326999998</v>
      </c>
      <c r="I621" s="10">
        <v>2.8796209270999999</v>
      </c>
    </row>
    <row r="622" spans="1:9" x14ac:dyDescent="0.2">
      <c r="A622">
        <v>20031031</v>
      </c>
      <c r="B622">
        <f t="shared" si="9"/>
        <v>200310</v>
      </c>
      <c r="C622" s="10">
        <v>0.91542491400000003</v>
      </c>
      <c r="D622" s="10">
        <v>0.93385211990000005</v>
      </c>
      <c r="E622" s="10">
        <v>1.2368484503999999</v>
      </c>
      <c r="F622" s="10">
        <v>1.8218252485999999</v>
      </c>
      <c r="G622" s="10">
        <v>2.4048459875999999</v>
      </c>
      <c r="H622" s="10">
        <v>2.8651796775</v>
      </c>
      <c r="I622" s="10">
        <v>3.2947633453999998</v>
      </c>
    </row>
    <row r="623" spans="1:9" x14ac:dyDescent="0.2">
      <c r="A623">
        <v>20031128</v>
      </c>
      <c r="B623">
        <f t="shared" si="9"/>
        <v>200311</v>
      </c>
      <c r="C623" s="10">
        <v>0.90021481869999997</v>
      </c>
      <c r="D623" s="10">
        <v>0.9236899851</v>
      </c>
      <c r="E623" s="10">
        <v>1.4351642936</v>
      </c>
      <c r="F623" s="10">
        <v>2.0372274337</v>
      </c>
      <c r="G623" s="10">
        <v>2.5763035785000001</v>
      </c>
      <c r="H623" s="10">
        <v>3.0027333204</v>
      </c>
      <c r="I623" s="10">
        <v>3.3845807532999999</v>
      </c>
    </row>
    <row r="624" spans="1:9" x14ac:dyDescent="0.2">
      <c r="A624">
        <v>20031231</v>
      </c>
      <c r="B624">
        <f t="shared" si="9"/>
        <v>200312</v>
      </c>
      <c r="C624" s="10">
        <v>0.82665635270000004</v>
      </c>
      <c r="D624" s="10">
        <v>0.93387603159999999</v>
      </c>
      <c r="E624" s="10">
        <v>1.2273720043</v>
      </c>
      <c r="F624" s="10">
        <v>1.8373602135</v>
      </c>
      <c r="G624" s="10">
        <v>2.3735049028000001</v>
      </c>
      <c r="H624" s="10">
        <v>2.8416086922999999</v>
      </c>
      <c r="I624" s="10">
        <v>3.2613238749</v>
      </c>
    </row>
    <row r="625" spans="1:9" x14ac:dyDescent="0.2">
      <c r="A625">
        <v>20040130</v>
      </c>
      <c r="B625">
        <f t="shared" si="9"/>
        <v>200401</v>
      </c>
      <c r="C625" s="10">
        <v>0.82663762590000001</v>
      </c>
      <c r="D625" s="10">
        <v>0.90844726040000001</v>
      </c>
      <c r="E625" s="10">
        <v>1.2256181670999999</v>
      </c>
      <c r="F625" s="10">
        <v>1.8114634762999999</v>
      </c>
      <c r="G625" s="10">
        <v>2.3544473676000002</v>
      </c>
      <c r="H625" s="10">
        <v>2.7898201327000001</v>
      </c>
      <c r="I625" s="10">
        <v>3.1808682376999999</v>
      </c>
    </row>
    <row r="626" spans="1:9" x14ac:dyDescent="0.2">
      <c r="A626">
        <v>20040227</v>
      </c>
      <c r="B626">
        <f t="shared" si="9"/>
        <v>200402</v>
      </c>
      <c r="C626" s="10">
        <v>0.93318325280000003</v>
      </c>
      <c r="D626" s="10">
        <v>0.94401450929999997</v>
      </c>
      <c r="E626" s="10">
        <v>1.1445493354</v>
      </c>
      <c r="F626" s="10">
        <v>1.6385413664999999</v>
      </c>
      <c r="G626" s="10">
        <v>2.1429945981</v>
      </c>
      <c r="H626" s="10">
        <v>2.5860934902000001</v>
      </c>
      <c r="I626" s="10">
        <v>2.9718890979000001</v>
      </c>
    </row>
    <row r="627" spans="1:9" x14ac:dyDescent="0.2">
      <c r="A627">
        <v>20040331</v>
      </c>
      <c r="B627">
        <f t="shared" si="9"/>
        <v>200403</v>
      </c>
      <c r="C627" s="10">
        <v>0.92305894440000003</v>
      </c>
      <c r="D627" s="10">
        <v>0.93387603159999999</v>
      </c>
      <c r="E627" s="10">
        <v>1.1455983545999999</v>
      </c>
      <c r="F627" s="10">
        <v>1.5736292460000001</v>
      </c>
      <c r="G627" s="10">
        <v>2.0038561498999998</v>
      </c>
      <c r="H627" s="10">
        <v>2.4397102622000002</v>
      </c>
      <c r="I627" s="10">
        <v>2.8065921098</v>
      </c>
    </row>
    <row r="628" spans="1:9" x14ac:dyDescent="0.2">
      <c r="A628">
        <v>20040430</v>
      </c>
      <c r="B628">
        <f t="shared" si="9"/>
        <v>200404</v>
      </c>
      <c r="C628" s="10">
        <v>0.80888104949999995</v>
      </c>
      <c r="D628" s="10">
        <v>0.96434005209999996</v>
      </c>
      <c r="E628" s="10">
        <v>1.6059870677000001</v>
      </c>
      <c r="F628" s="10">
        <v>2.3080500201</v>
      </c>
      <c r="G628" s="10">
        <v>2.8939090814999999</v>
      </c>
      <c r="H628" s="10">
        <v>3.320524217</v>
      </c>
      <c r="I628" s="10">
        <v>3.6503416898999999</v>
      </c>
    </row>
    <row r="629" spans="1:9" x14ac:dyDescent="0.2">
      <c r="A629">
        <v>20040528</v>
      </c>
      <c r="B629">
        <f t="shared" si="9"/>
        <v>200405</v>
      </c>
      <c r="C629" s="10">
        <v>0.90781428730000002</v>
      </c>
      <c r="D629" s="10">
        <v>1.0710658676</v>
      </c>
      <c r="E629" s="10">
        <v>1.8047083752999999</v>
      </c>
      <c r="F629" s="10">
        <v>2.5255303356000001</v>
      </c>
      <c r="G629" s="10">
        <v>3.1189421959999999</v>
      </c>
      <c r="H629" s="10">
        <v>3.5329704739999999</v>
      </c>
      <c r="I629" s="10">
        <v>3.855088844</v>
      </c>
    </row>
    <row r="630" spans="1:9" x14ac:dyDescent="0.2">
      <c r="A630">
        <v>20040630</v>
      </c>
      <c r="B630">
        <f t="shared" si="9"/>
        <v>200406</v>
      </c>
      <c r="C630" s="10">
        <v>1.1285792776000001</v>
      </c>
      <c r="D630" s="10">
        <v>1.2617612275000001</v>
      </c>
      <c r="E630" s="10">
        <v>2.0120815507000001</v>
      </c>
      <c r="F630" s="10">
        <v>2.6724470049</v>
      </c>
      <c r="G630" s="10">
        <v>3.1600009697</v>
      </c>
      <c r="H630" s="10">
        <v>3.5037160346</v>
      </c>
      <c r="I630" s="10">
        <v>3.8109805841000002</v>
      </c>
    </row>
    <row r="631" spans="1:9" x14ac:dyDescent="0.2">
      <c r="A631">
        <v>20040730</v>
      </c>
      <c r="B631">
        <f t="shared" si="9"/>
        <v>200407</v>
      </c>
      <c r="C631" s="10">
        <v>1.2782607160999999</v>
      </c>
      <c r="D631" s="10">
        <v>1.4321089108</v>
      </c>
      <c r="E631" s="10">
        <v>2.0559198162999999</v>
      </c>
      <c r="F631" s="10">
        <v>2.6582883532000001</v>
      </c>
      <c r="G631" s="10">
        <v>3.1128188075000001</v>
      </c>
      <c r="H631" s="10">
        <v>3.4340083551</v>
      </c>
      <c r="I631" s="10">
        <v>3.7350178765000002</v>
      </c>
    </row>
    <row r="632" spans="1:9" x14ac:dyDescent="0.2">
      <c r="A632">
        <v>20040831</v>
      </c>
      <c r="B632">
        <f t="shared" si="9"/>
        <v>200408</v>
      </c>
      <c r="C632" s="10">
        <v>1.4405747305000001</v>
      </c>
      <c r="D632" s="10">
        <v>1.5950423595000001</v>
      </c>
      <c r="E632" s="10">
        <v>1.9438622124</v>
      </c>
      <c r="F632" s="10">
        <v>2.3876253422999998</v>
      </c>
      <c r="G632" s="10">
        <v>2.7314104403999999</v>
      </c>
      <c r="H632" s="10">
        <v>3.0572235156000001</v>
      </c>
      <c r="I632" s="10">
        <v>3.3544298830999999</v>
      </c>
    </row>
    <row r="633" spans="1:9" x14ac:dyDescent="0.2">
      <c r="A633">
        <v>20040930</v>
      </c>
      <c r="B633">
        <f t="shared" si="9"/>
        <v>200409</v>
      </c>
      <c r="C633" s="10">
        <v>1.4584846821999999</v>
      </c>
      <c r="D633" s="10">
        <v>1.6993238259000001</v>
      </c>
      <c r="E633" s="10">
        <v>2.1579599571000001</v>
      </c>
      <c r="F633" s="10">
        <v>2.5975085258999999</v>
      </c>
      <c r="G633" s="10">
        <v>2.8706926257999998</v>
      </c>
      <c r="H633" s="10">
        <v>3.1556722643000001</v>
      </c>
      <c r="I633" s="10">
        <v>3.3888330132000002</v>
      </c>
    </row>
    <row r="634" spans="1:9" x14ac:dyDescent="0.2">
      <c r="A634">
        <v>20041029</v>
      </c>
      <c r="B634">
        <f t="shared" si="9"/>
        <v>200410</v>
      </c>
      <c r="C634" s="10">
        <v>1.7478456994</v>
      </c>
      <c r="D634" s="10">
        <v>1.8978712986999999</v>
      </c>
      <c r="E634" s="10">
        <v>2.2055926686</v>
      </c>
      <c r="F634" s="10">
        <v>2.5306739603000001</v>
      </c>
      <c r="G634" s="10">
        <v>2.7918274369999998</v>
      </c>
      <c r="H634" s="10">
        <v>3.0684467120000001</v>
      </c>
      <c r="I634" s="10">
        <v>3.3032981164000002</v>
      </c>
    </row>
    <row r="635" spans="1:9" x14ac:dyDescent="0.2">
      <c r="A635">
        <v>20041130</v>
      </c>
      <c r="B635">
        <f t="shared" si="9"/>
        <v>200411</v>
      </c>
      <c r="C635" s="10">
        <v>2.0320084289999998</v>
      </c>
      <c r="D635" s="10">
        <v>2.2216232061999999</v>
      </c>
      <c r="E635" s="10">
        <v>2.6237022581999998</v>
      </c>
      <c r="F635" s="10">
        <v>2.9845947597000002</v>
      </c>
      <c r="G635" s="10">
        <v>3.2475315599000001</v>
      </c>
      <c r="H635" s="10">
        <v>3.4909001161000002</v>
      </c>
      <c r="I635" s="10">
        <v>3.7028493447000002</v>
      </c>
    </row>
    <row r="636" spans="1:9" x14ac:dyDescent="0.2">
      <c r="A636">
        <v>20041231</v>
      </c>
      <c r="B636">
        <f t="shared" si="9"/>
        <v>200412</v>
      </c>
      <c r="C636" s="10">
        <v>1.9078053199</v>
      </c>
      <c r="D636" s="10">
        <v>2.2214200145</v>
      </c>
      <c r="E636" s="10">
        <v>2.7489506339999998</v>
      </c>
      <c r="F636" s="10">
        <v>3.0495441721000001</v>
      </c>
      <c r="G636" s="10">
        <v>3.2332836650000001</v>
      </c>
      <c r="H636" s="10">
        <v>3.4526171749999999</v>
      </c>
      <c r="I636" s="10">
        <v>3.6208619424999999</v>
      </c>
    </row>
    <row r="637" spans="1:9" x14ac:dyDescent="0.2">
      <c r="A637">
        <v>20050131</v>
      </c>
      <c r="B637">
        <f t="shared" si="9"/>
        <v>200501</v>
      </c>
      <c r="C637" s="10">
        <v>2.1615662762999999</v>
      </c>
      <c r="D637" s="10">
        <v>2.4608139757999998</v>
      </c>
      <c r="E637" s="10">
        <v>2.9365442792000001</v>
      </c>
      <c r="F637" s="10">
        <v>3.2552542714000001</v>
      </c>
      <c r="G637" s="10">
        <v>3.4085875602</v>
      </c>
      <c r="H637" s="10">
        <v>3.5501171275000001</v>
      </c>
      <c r="I637" s="10">
        <v>3.6950276663000001</v>
      </c>
    </row>
    <row r="638" spans="1:9" x14ac:dyDescent="0.2">
      <c r="A638">
        <v>20050228</v>
      </c>
      <c r="B638">
        <f t="shared" si="9"/>
        <v>200502</v>
      </c>
      <c r="C638" s="10">
        <v>2.4968121415</v>
      </c>
      <c r="D638" s="10">
        <v>2.7388160951999998</v>
      </c>
      <c r="E638" s="10">
        <v>3.2484608180999999</v>
      </c>
      <c r="F638" s="10">
        <v>3.5742915611999999</v>
      </c>
      <c r="G638" s="10">
        <v>3.7445226827</v>
      </c>
      <c r="H638" s="10">
        <v>3.881325822</v>
      </c>
      <c r="I638" s="10">
        <v>4.0121862896999998</v>
      </c>
    </row>
    <row r="639" spans="1:9" x14ac:dyDescent="0.2">
      <c r="A639">
        <v>20050331</v>
      </c>
      <c r="B639">
        <f t="shared" si="9"/>
        <v>200503</v>
      </c>
      <c r="C639" s="10">
        <v>2.5987909497000001</v>
      </c>
      <c r="D639" s="10">
        <v>2.7673020867</v>
      </c>
      <c r="E639" s="10">
        <v>3.4114305665</v>
      </c>
      <c r="F639" s="10">
        <v>3.7546067969000001</v>
      </c>
      <c r="G639" s="10">
        <v>3.9162117918999999</v>
      </c>
      <c r="H639" s="10">
        <v>4.0420464592999998</v>
      </c>
      <c r="I639" s="10">
        <v>4.1491284546999996</v>
      </c>
    </row>
    <row r="640" spans="1:9" x14ac:dyDescent="0.2">
      <c r="A640">
        <v>20050429</v>
      </c>
      <c r="B640">
        <f t="shared" si="9"/>
        <v>200504</v>
      </c>
      <c r="C640" s="10">
        <v>2.710502263</v>
      </c>
      <c r="D640" s="10">
        <v>2.8897151156000001</v>
      </c>
      <c r="E640" s="10">
        <v>3.3700451387000001</v>
      </c>
      <c r="F640" s="10">
        <v>3.6067836303999998</v>
      </c>
      <c r="G640" s="10">
        <v>3.7105063071000002</v>
      </c>
      <c r="H640" s="10">
        <v>3.7891896324999998</v>
      </c>
      <c r="I640" s="10">
        <v>3.8779541194</v>
      </c>
    </row>
    <row r="641" spans="1:9" x14ac:dyDescent="0.2">
      <c r="A641">
        <v>20050531</v>
      </c>
      <c r="B641">
        <f t="shared" si="9"/>
        <v>200505</v>
      </c>
      <c r="C641" s="10">
        <v>2.7507461101000001</v>
      </c>
      <c r="D641" s="10">
        <v>2.9641163690000001</v>
      </c>
      <c r="E641" s="10">
        <v>3.3704444133</v>
      </c>
      <c r="F641" s="10">
        <v>3.5460398039999999</v>
      </c>
      <c r="G641" s="10">
        <v>3.5947291966999999</v>
      </c>
      <c r="H641" s="10">
        <v>3.6511170284999999</v>
      </c>
      <c r="I641" s="10">
        <v>3.7132339547000002</v>
      </c>
    </row>
    <row r="642" spans="1:9" x14ac:dyDescent="0.2">
      <c r="A642">
        <v>20050630</v>
      </c>
      <c r="B642">
        <f t="shared" si="9"/>
        <v>200506</v>
      </c>
      <c r="C642" s="10">
        <v>2.9851015762999999</v>
      </c>
      <c r="D642" s="10">
        <v>3.0915714830000001</v>
      </c>
      <c r="E642" s="10">
        <v>3.4902132023000001</v>
      </c>
      <c r="F642" s="10">
        <v>3.6032096802</v>
      </c>
      <c r="G642" s="10">
        <v>3.6160055043999999</v>
      </c>
      <c r="H642" s="10">
        <v>3.6562254568000001</v>
      </c>
      <c r="I642" s="10">
        <v>3.6725983520000001</v>
      </c>
    </row>
    <row r="643" spans="1:9" x14ac:dyDescent="0.2">
      <c r="A643">
        <v>20050729</v>
      </c>
      <c r="B643">
        <f t="shared" si="9"/>
        <v>200507</v>
      </c>
      <c r="C643" s="10">
        <v>3.2290180062</v>
      </c>
      <c r="D643" s="10">
        <v>3.3852701590000001</v>
      </c>
      <c r="E643" s="10">
        <v>3.8495420895999999</v>
      </c>
      <c r="F643" s="10">
        <v>3.9569377365</v>
      </c>
      <c r="G643" s="10">
        <v>4.0204186732</v>
      </c>
      <c r="H643" s="10">
        <v>4.0902054852000003</v>
      </c>
      <c r="I643" s="10">
        <v>4.0935958010000002</v>
      </c>
    </row>
    <row r="644" spans="1:9" x14ac:dyDescent="0.2">
      <c r="A644">
        <v>20050831</v>
      </c>
      <c r="B644">
        <f t="shared" si="9"/>
        <v>200508</v>
      </c>
      <c r="C644" s="10">
        <v>3.3411937268999998</v>
      </c>
      <c r="D644" s="10">
        <v>3.4929702650999999</v>
      </c>
      <c r="E644" s="10">
        <v>3.7222985861</v>
      </c>
      <c r="F644" s="10">
        <v>3.785292181</v>
      </c>
      <c r="G644" s="10">
        <v>3.7904891115999999</v>
      </c>
      <c r="H644" s="10">
        <v>3.8028796405</v>
      </c>
      <c r="I644" s="10">
        <v>3.8207646487</v>
      </c>
    </row>
    <row r="645" spans="1:9" x14ac:dyDescent="0.2">
      <c r="A645">
        <v>20050930</v>
      </c>
      <c r="B645">
        <f t="shared" si="9"/>
        <v>200509</v>
      </c>
      <c r="C645" s="10">
        <v>3.1857987941000001</v>
      </c>
      <c r="D645" s="10">
        <v>3.5335434456999999</v>
      </c>
      <c r="E645" s="10">
        <v>4.0616244937000001</v>
      </c>
      <c r="F645" s="10">
        <v>4.1238083508000001</v>
      </c>
      <c r="G645" s="10">
        <v>4.1338004275999998</v>
      </c>
      <c r="H645" s="10">
        <v>4.1574169714</v>
      </c>
      <c r="I645" s="10">
        <v>4.1487024453999997</v>
      </c>
    </row>
    <row r="646" spans="1:9" x14ac:dyDescent="0.2">
      <c r="A646">
        <v>20051031</v>
      </c>
      <c r="B646">
        <f t="shared" si="9"/>
        <v>200510</v>
      </c>
      <c r="C646" s="10">
        <v>3.696351591</v>
      </c>
      <c r="D646" s="10">
        <v>3.9334670669</v>
      </c>
      <c r="E646" s="10">
        <v>4.3099941217</v>
      </c>
      <c r="F646" s="10">
        <v>4.3356400356</v>
      </c>
      <c r="G646" s="10">
        <v>4.3772454813000001</v>
      </c>
      <c r="H646" s="10">
        <v>4.4034967207999998</v>
      </c>
      <c r="I646" s="10">
        <v>4.3979549665000004</v>
      </c>
    </row>
    <row r="647" spans="1:9" x14ac:dyDescent="0.2">
      <c r="A647">
        <v>20051130</v>
      </c>
      <c r="B647">
        <f t="shared" ref="B647:B710" si="10">ROUND(A647/100,0)</f>
        <v>200511</v>
      </c>
      <c r="C647" s="10">
        <v>3.9705619268999999</v>
      </c>
      <c r="D647" s="10">
        <v>3.9330417984000001</v>
      </c>
      <c r="E647" s="10">
        <v>4.3937575328999996</v>
      </c>
      <c r="F647" s="10">
        <v>4.3591559986000004</v>
      </c>
      <c r="G647" s="10">
        <v>4.3446732095999998</v>
      </c>
      <c r="H647" s="10">
        <v>4.3619798110000003</v>
      </c>
      <c r="I647" s="10">
        <v>4.3640377638999999</v>
      </c>
    </row>
    <row r="648" spans="1:9" x14ac:dyDescent="0.2">
      <c r="A648">
        <v>20051230</v>
      </c>
      <c r="B648">
        <f t="shared" si="10"/>
        <v>200512</v>
      </c>
      <c r="C648" s="10">
        <v>3.9462024058999998</v>
      </c>
      <c r="D648" s="10">
        <v>4.0606078787</v>
      </c>
      <c r="E648" s="10">
        <v>4.3887323713999997</v>
      </c>
      <c r="F648" s="10">
        <v>4.3226323806</v>
      </c>
      <c r="G648" s="10">
        <v>4.3168185024000003</v>
      </c>
      <c r="H648" s="10">
        <v>4.3121167653999999</v>
      </c>
      <c r="I648" s="10">
        <v>4.2917011708999997</v>
      </c>
    </row>
    <row r="649" spans="1:9" x14ac:dyDescent="0.2">
      <c r="A649">
        <v>20060131</v>
      </c>
      <c r="B649">
        <f t="shared" si="10"/>
        <v>200601</v>
      </c>
      <c r="C649" s="10">
        <v>4.3268513799999999</v>
      </c>
      <c r="D649" s="10">
        <v>4.4456391788999996</v>
      </c>
      <c r="E649" s="10">
        <v>4.5445496701000003</v>
      </c>
      <c r="F649" s="10">
        <v>4.4679963394</v>
      </c>
      <c r="G649" s="10">
        <v>4.4337613361999999</v>
      </c>
      <c r="H649" s="10">
        <v>4.4507398893000003</v>
      </c>
      <c r="I649" s="10">
        <v>4.4084246600999997</v>
      </c>
    </row>
    <row r="650" spans="1:9" x14ac:dyDescent="0.2">
      <c r="A650">
        <v>20060228</v>
      </c>
      <c r="B650">
        <f t="shared" si="10"/>
        <v>200602</v>
      </c>
      <c r="C650" s="10">
        <v>4.4235178167999996</v>
      </c>
      <c r="D650" s="10">
        <v>4.5969205465999998</v>
      </c>
      <c r="E650" s="10">
        <v>4.6787136722999998</v>
      </c>
      <c r="F650" s="10">
        <v>4.6169109528999996</v>
      </c>
      <c r="G650" s="10">
        <v>4.5975151375000003</v>
      </c>
      <c r="H650" s="10">
        <v>4.5879989005999997</v>
      </c>
      <c r="I650" s="10">
        <v>4.5399589144999997</v>
      </c>
    </row>
    <row r="651" spans="1:9" x14ac:dyDescent="0.2">
      <c r="A651">
        <v>20060331</v>
      </c>
      <c r="B651">
        <f t="shared" si="10"/>
        <v>200603</v>
      </c>
      <c r="C651" s="10">
        <v>4.5925873897000002</v>
      </c>
      <c r="D651" s="10">
        <v>4.5781040622000004</v>
      </c>
      <c r="E651" s="10">
        <v>4.8096726199999997</v>
      </c>
      <c r="F651" s="10">
        <v>4.7508405405999996</v>
      </c>
      <c r="G651" s="10">
        <v>4.7495850064000003</v>
      </c>
      <c r="H651" s="10">
        <v>4.7643294477999998</v>
      </c>
      <c r="I651" s="10">
        <v>4.7512907351000004</v>
      </c>
    </row>
    <row r="652" spans="1:9" x14ac:dyDescent="0.2">
      <c r="A652">
        <v>20060428</v>
      </c>
      <c r="B652">
        <f t="shared" si="10"/>
        <v>200604</v>
      </c>
      <c r="C652" s="10">
        <v>4.6129522954000004</v>
      </c>
      <c r="D652" s="10">
        <v>4.7345075634000002</v>
      </c>
      <c r="E652" s="10">
        <v>4.8544054901000004</v>
      </c>
      <c r="F652" s="10">
        <v>4.7751945500000001</v>
      </c>
      <c r="G652" s="10">
        <v>4.7999256935999997</v>
      </c>
      <c r="H652" s="10">
        <v>4.8357587731000002</v>
      </c>
      <c r="I652" s="10">
        <v>4.8462578480999996</v>
      </c>
    </row>
    <row r="653" spans="1:9" x14ac:dyDescent="0.2">
      <c r="A653">
        <v>20060531</v>
      </c>
      <c r="B653">
        <f t="shared" si="10"/>
        <v>200605</v>
      </c>
      <c r="C653" s="10">
        <v>4.6950205345000002</v>
      </c>
      <c r="D653" s="10">
        <v>4.8146519879999996</v>
      </c>
      <c r="E653" s="10">
        <v>5.0344207765000002</v>
      </c>
      <c r="F653" s="10">
        <v>4.9623026738</v>
      </c>
      <c r="G653" s="10">
        <v>4.9500816906000003</v>
      </c>
      <c r="H653" s="10">
        <v>4.9565609831000002</v>
      </c>
      <c r="I653" s="10">
        <v>4.9691746863999997</v>
      </c>
    </row>
    <row r="654" spans="1:9" x14ac:dyDescent="0.2">
      <c r="A654">
        <v>20060630</v>
      </c>
      <c r="B654">
        <f t="shared" si="10"/>
        <v>200606</v>
      </c>
      <c r="C654" s="10">
        <v>4.6842325075</v>
      </c>
      <c r="D654" s="10">
        <v>4.9525475003999997</v>
      </c>
      <c r="E654" s="10">
        <v>5.2057990605000004</v>
      </c>
      <c r="F654" s="10">
        <v>5.0786443404000003</v>
      </c>
      <c r="G654" s="10">
        <v>5.0498707841000003</v>
      </c>
      <c r="H654" s="10">
        <v>5.0170831973999999</v>
      </c>
      <c r="I654" s="10">
        <v>5.0257416389999996</v>
      </c>
    </row>
    <row r="655" spans="1:9" x14ac:dyDescent="0.2">
      <c r="A655">
        <v>20060731</v>
      </c>
      <c r="B655">
        <f t="shared" si="10"/>
        <v>200607</v>
      </c>
      <c r="C655" s="10">
        <v>5.0324328561999998</v>
      </c>
      <c r="D655" s="10">
        <v>5.0644027117999997</v>
      </c>
      <c r="E655" s="10">
        <v>5.0430624506999999</v>
      </c>
      <c r="F655" s="10">
        <v>4.8866080801000003</v>
      </c>
      <c r="G655" s="10">
        <v>4.8460217419999996</v>
      </c>
      <c r="H655" s="10">
        <v>4.8144122561999998</v>
      </c>
      <c r="I655" s="10">
        <v>4.8440463347999998</v>
      </c>
    </row>
    <row r="656" spans="1:9" x14ac:dyDescent="0.2">
      <c r="A656">
        <v>20060831</v>
      </c>
      <c r="B656">
        <f t="shared" si="10"/>
        <v>200608</v>
      </c>
      <c r="C656" s="10">
        <v>4.9646458863999996</v>
      </c>
      <c r="D656" s="10">
        <v>4.9965129395999996</v>
      </c>
      <c r="E656" s="10">
        <v>4.9269184515999997</v>
      </c>
      <c r="F656" s="10">
        <v>4.7062642386000002</v>
      </c>
      <c r="G656" s="10">
        <v>4.6339838681999996</v>
      </c>
      <c r="H656" s="10">
        <v>4.6246274543999997</v>
      </c>
      <c r="I656" s="10">
        <v>4.6271923748999999</v>
      </c>
    </row>
    <row r="657" spans="1:9" x14ac:dyDescent="0.2">
      <c r="A657">
        <v>20060929</v>
      </c>
      <c r="B657">
        <f t="shared" si="10"/>
        <v>200609</v>
      </c>
      <c r="C657" s="10">
        <v>4.6485918098000001</v>
      </c>
      <c r="D657" s="10">
        <v>4.8550563335000003</v>
      </c>
      <c r="E657" s="10">
        <v>4.8657865930000002</v>
      </c>
      <c r="F657" s="10">
        <v>4.6005468566000003</v>
      </c>
      <c r="G657" s="10">
        <v>4.5413739371000004</v>
      </c>
      <c r="H657" s="10">
        <v>4.5193158529000002</v>
      </c>
      <c r="I657" s="10">
        <v>4.5124301508000002</v>
      </c>
    </row>
    <row r="658" spans="1:9" x14ac:dyDescent="0.2">
      <c r="A658">
        <v>20061031</v>
      </c>
      <c r="B658">
        <f t="shared" si="10"/>
        <v>200610</v>
      </c>
      <c r="C658" s="10">
        <v>5.1512046615999996</v>
      </c>
      <c r="D658" s="10">
        <v>5.0408447542000001</v>
      </c>
      <c r="E658" s="10">
        <v>4.8533781156</v>
      </c>
      <c r="F658" s="10">
        <v>4.6259873276999999</v>
      </c>
      <c r="G658" s="10">
        <v>4.5352921532000003</v>
      </c>
      <c r="H658" s="10">
        <v>4.5035287011999996</v>
      </c>
      <c r="I658" s="10">
        <v>4.5005667480999998</v>
      </c>
    </row>
    <row r="659" spans="1:9" x14ac:dyDescent="0.2">
      <c r="A659">
        <v>20061130</v>
      </c>
      <c r="B659">
        <f t="shared" si="10"/>
        <v>200611</v>
      </c>
      <c r="C659" s="10">
        <v>4.9799269054000002</v>
      </c>
      <c r="D659" s="10">
        <v>4.9990794427000003</v>
      </c>
      <c r="E659" s="10">
        <v>4.8050307985999998</v>
      </c>
      <c r="F659" s="10">
        <v>4.5455028640000004</v>
      </c>
      <c r="G659" s="10">
        <v>4.4283515303999996</v>
      </c>
      <c r="H659" s="10">
        <v>4.3868404324999997</v>
      </c>
      <c r="I659" s="10">
        <v>4.3843287114000002</v>
      </c>
    </row>
    <row r="660" spans="1:9" x14ac:dyDescent="0.2">
      <c r="A660">
        <v>20061229</v>
      </c>
      <c r="B660">
        <f t="shared" si="10"/>
        <v>200612</v>
      </c>
      <c r="C660" s="10">
        <v>4.7682474055000004</v>
      </c>
      <c r="D660" s="10">
        <v>4.9884712071999999</v>
      </c>
      <c r="E660" s="10">
        <v>4.9374313638</v>
      </c>
      <c r="F660" s="10">
        <v>4.7157562434000004</v>
      </c>
      <c r="G660" s="10">
        <v>4.6467757272999997</v>
      </c>
      <c r="H660" s="10">
        <v>4.6236124075999996</v>
      </c>
      <c r="I660" s="10">
        <v>4.6223143228000003</v>
      </c>
    </row>
    <row r="661" spans="1:9" x14ac:dyDescent="0.2">
      <c r="A661">
        <v>20070131</v>
      </c>
      <c r="B661">
        <f t="shared" si="10"/>
        <v>200701</v>
      </c>
      <c r="C661" s="10">
        <v>5.0006450322999996</v>
      </c>
      <c r="D661" s="10">
        <v>5.0713019735999998</v>
      </c>
      <c r="E661" s="10">
        <v>4.9849432376999996</v>
      </c>
      <c r="F661" s="10">
        <v>4.8462779448999997</v>
      </c>
      <c r="G661" s="10">
        <v>4.7593111840000004</v>
      </c>
      <c r="H661" s="10">
        <v>4.7229276351999996</v>
      </c>
      <c r="I661" s="10">
        <v>4.7389980388000001</v>
      </c>
    </row>
    <row r="662" spans="1:9" x14ac:dyDescent="0.2">
      <c r="A662">
        <v>20070228</v>
      </c>
      <c r="B662">
        <f t="shared" si="10"/>
        <v>200702</v>
      </c>
      <c r="C662" s="10">
        <v>5.1433013319000001</v>
      </c>
      <c r="D662" s="10">
        <v>5.0969761059999996</v>
      </c>
      <c r="E662" s="10">
        <v>4.8334835674000001</v>
      </c>
      <c r="F662" s="10">
        <v>4.5761091444000002</v>
      </c>
      <c r="G662" s="10">
        <v>4.4925577328999999</v>
      </c>
      <c r="H662" s="10">
        <v>4.4611386969</v>
      </c>
      <c r="I662" s="10">
        <v>4.4599249853999998</v>
      </c>
    </row>
    <row r="663" spans="1:9" x14ac:dyDescent="0.2">
      <c r="A663">
        <v>20070330</v>
      </c>
      <c r="B663">
        <f t="shared" si="10"/>
        <v>200703</v>
      </c>
      <c r="C663" s="10">
        <v>5.0508912343999999</v>
      </c>
      <c r="D663" s="10">
        <v>4.9987357078999999</v>
      </c>
      <c r="E663" s="10">
        <v>4.8174598607999997</v>
      </c>
      <c r="F663" s="10">
        <v>4.4966958626000002</v>
      </c>
      <c r="G663" s="10">
        <v>4.4722074821</v>
      </c>
      <c r="H663" s="10">
        <v>4.4747161660000003</v>
      </c>
      <c r="I663" s="10">
        <v>4.4666930681999997</v>
      </c>
    </row>
    <row r="664" spans="1:9" x14ac:dyDescent="0.2">
      <c r="A664">
        <v>20070430</v>
      </c>
      <c r="B664">
        <f t="shared" si="10"/>
        <v>200704</v>
      </c>
      <c r="C664" s="10">
        <v>4.7545869406000003</v>
      </c>
      <c r="D664" s="10">
        <v>4.8768870812999996</v>
      </c>
      <c r="E664" s="10">
        <v>4.8731696573000001</v>
      </c>
      <c r="F664" s="10">
        <v>4.5235966590999999</v>
      </c>
      <c r="G664" s="10">
        <v>4.4493510803999996</v>
      </c>
      <c r="H664" s="10">
        <v>4.4451913320000003</v>
      </c>
      <c r="I664" s="10">
        <v>4.4519612758999996</v>
      </c>
    </row>
    <row r="665" spans="1:9" x14ac:dyDescent="0.2">
      <c r="A665">
        <v>20070531</v>
      </c>
      <c r="B665">
        <f t="shared" si="10"/>
        <v>200705</v>
      </c>
      <c r="C665" s="10">
        <v>4.6947181319000002</v>
      </c>
      <c r="D665" s="10">
        <v>4.6912162650000004</v>
      </c>
      <c r="E665" s="10">
        <v>4.9641926604000002</v>
      </c>
      <c r="F665" s="10">
        <v>4.8468091083999996</v>
      </c>
      <c r="G665" s="10">
        <v>4.7895179167000004</v>
      </c>
      <c r="H665" s="10">
        <v>4.7861432506000003</v>
      </c>
      <c r="I665" s="10">
        <v>4.7873104951999998</v>
      </c>
    </row>
    <row r="666" spans="1:9" x14ac:dyDescent="0.2">
      <c r="A666">
        <v>20070629</v>
      </c>
      <c r="B666">
        <f t="shared" si="10"/>
        <v>200706</v>
      </c>
      <c r="C666" s="10">
        <v>4.5314949906999997</v>
      </c>
      <c r="D666" s="10">
        <v>4.7627178936999996</v>
      </c>
      <c r="E666" s="10">
        <v>4.9368566732000003</v>
      </c>
      <c r="F666" s="10">
        <v>4.7772169326</v>
      </c>
      <c r="G666" s="10">
        <v>4.7998181180000001</v>
      </c>
      <c r="H666" s="10">
        <v>4.8418039054999999</v>
      </c>
      <c r="I666" s="10">
        <v>4.8568345679</v>
      </c>
    </row>
    <row r="667" spans="1:9" x14ac:dyDescent="0.2">
      <c r="A667">
        <v>20070731</v>
      </c>
      <c r="B667">
        <f t="shared" si="10"/>
        <v>200707</v>
      </c>
      <c r="C667" s="10">
        <v>5.1054887599000001</v>
      </c>
      <c r="D667" s="10">
        <v>4.9022249042999997</v>
      </c>
      <c r="E667" s="10">
        <v>4.7175718326</v>
      </c>
      <c r="F667" s="10">
        <v>4.4577641458999997</v>
      </c>
      <c r="G667" s="10">
        <v>4.4378852883000004</v>
      </c>
      <c r="H667" s="10">
        <v>4.4870248594</v>
      </c>
      <c r="I667" s="10">
        <v>4.5099571589999998</v>
      </c>
    </row>
    <row r="668" spans="1:9" x14ac:dyDescent="0.2">
      <c r="A668">
        <v>20070831</v>
      </c>
      <c r="B668">
        <f t="shared" si="10"/>
        <v>200708</v>
      </c>
      <c r="C668" s="10">
        <v>4.1522907863</v>
      </c>
      <c r="D668" s="10">
        <v>4.1169368173000001</v>
      </c>
      <c r="E668" s="10">
        <v>4.3616609662999997</v>
      </c>
      <c r="F668" s="10">
        <v>4.0994234548000001</v>
      </c>
      <c r="G668" s="10">
        <v>4.1291835181999996</v>
      </c>
      <c r="H668" s="10">
        <v>4.1965604863000001</v>
      </c>
      <c r="I668" s="10">
        <v>4.2212895059999997</v>
      </c>
    </row>
    <row r="669" spans="1:9" x14ac:dyDescent="0.2">
      <c r="A669">
        <v>20070928</v>
      </c>
      <c r="B669">
        <f t="shared" si="10"/>
        <v>200709</v>
      </c>
      <c r="C669" s="10">
        <v>3.4425973032999999</v>
      </c>
      <c r="D669" s="10">
        <v>3.7790804813999999</v>
      </c>
      <c r="E669" s="10">
        <v>4.0359529537999999</v>
      </c>
      <c r="F669" s="10">
        <v>3.9161143553</v>
      </c>
      <c r="G669" s="10">
        <v>4.0112334026000003</v>
      </c>
      <c r="H669" s="10">
        <v>4.1241405957000001</v>
      </c>
      <c r="I669" s="10">
        <v>4.2057885738999996</v>
      </c>
    </row>
    <row r="670" spans="1:9" x14ac:dyDescent="0.2">
      <c r="A670">
        <v>20071031</v>
      </c>
      <c r="B670">
        <f t="shared" si="10"/>
        <v>200710</v>
      </c>
      <c r="C670" s="10">
        <v>3.9822547732000002</v>
      </c>
      <c r="D670" s="10">
        <v>3.8920843132999998</v>
      </c>
      <c r="E670" s="10">
        <v>4.0259906343000003</v>
      </c>
      <c r="F670" s="10">
        <v>3.8951727999000001</v>
      </c>
      <c r="G670" s="10">
        <v>3.9271494144000001</v>
      </c>
      <c r="H670" s="10">
        <v>4.0508725490000002</v>
      </c>
      <c r="I670" s="10">
        <v>4.1332413684000002</v>
      </c>
    </row>
    <row r="671" spans="1:9" x14ac:dyDescent="0.2">
      <c r="A671">
        <v>20071130</v>
      </c>
      <c r="B671">
        <f t="shared" si="10"/>
        <v>200711</v>
      </c>
      <c r="C671" s="10">
        <v>3.2188486233</v>
      </c>
      <c r="D671" s="10">
        <v>3.1348625473</v>
      </c>
      <c r="E671" s="10">
        <v>3.1287247729000001</v>
      </c>
      <c r="F671" s="10">
        <v>2.9821448196999998</v>
      </c>
      <c r="G671" s="10">
        <v>3.0341797210000001</v>
      </c>
      <c r="H671" s="10">
        <v>3.2646554973000002</v>
      </c>
      <c r="I671" s="10">
        <v>3.3731539045000001</v>
      </c>
    </row>
    <row r="672" spans="1:9" x14ac:dyDescent="0.2">
      <c r="A672">
        <v>20071231</v>
      </c>
      <c r="B672">
        <f t="shared" si="10"/>
        <v>200712</v>
      </c>
      <c r="C672" s="10">
        <v>2.8575620279999998</v>
      </c>
      <c r="D672" s="10">
        <v>3.2264020821999999</v>
      </c>
      <c r="E672" s="10">
        <v>3.2711801141999999</v>
      </c>
      <c r="F672" s="10">
        <v>3.0240438253000002</v>
      </c>
      <c r="G672" s="10">
        <v>3.0224664852999998</v>
      </c>
      <c r="H672" s="10">
        <v>3.2864525491999999</v>
      </c>
      <c r="I672" s="10">
        <v>3.4312734119999999</v>
      </c>
    </row>
    <row r="673" spans="1:9" x14ac:dyDescent="0.2">
      <c r="A673">
        <v>20080131</v>
      </c>
      <c r="B673">
        <f t="shared" si="10"/>
        <v>200801</v>
      </c>
      <c r="C673" s="10">
        <v>1.6641047919</v>
      </c>
      <c r="D673" s="10">
        <v>1.9310297631</v>
      </c>
      <c r="E673" s="10">
        <v>2.0784235267</v>
      </c>
      <c r="F673" s="10">
        <v>2.0800485759999998</v>
      </c>
      <c r="G673" s="10">
        <v>2.1927275373000001</v>
      </c>
      <c r="H673" s="10">
        <v>2.5393258531999998</v>
      </c>
      <c r="I673" s="10">
        <v>2.7669316972</v>
      </c>
    </row>
    <row r="674" spans="1:9" x14ac:dyDescent="0.2">
      <c r="A674">
        <v>20080229</v>
      </c>
      <c r="B674">
        <f t="shared" si="10"/>
        <v>200802</v>
      </c>
      <c r="C674" s="10">
        <v>2.0703283906999999</v>
      </c>
      <c r="D674" s="10">
        <v>1.8291186104999999</v>
      </c>
      <c r="E674" s="10">
        <v>1.6873389763</v>
      </c>
      <c r="F674" s="10">
        <v>1.6156845124999999</v>
      </c>
      <c r="G674" s="10">
        <v>1.8397567126000001</v>
      </c>
      <c r="H674" s="10">
        <v>2.2116961907000001</v>
      </c>
      <c r="I674" s="10">
        <v>2.4832983639999999</v>
      </c>
    </row>
    <row r="675" spans="1:9" x14ac:dyDescent="0.2">
      <c r="A675">
        <v>20080331</v>
      </c>
      <c r="B675">
        <f t="shared" si="10"/>
        <v>200803</v>
      </c>
      <c r="C675" s="10">
        <v>1.2375946392999999</v>
      </c>
      <c r="D675" s="10">
        <v>1.3099596287999999</v>
      </c>
      <c r="E675" s="10">
        <v>1.4612452580999999</v>
      </c>
      <c r="F675" s="10">
        <v>1.5857771452</v>
      </c>
      <c r="G675" s="10">
        <v>1.7481676908999999</v>
      </c>
      <c r="H675" s="10">
        <v>2.2174400035000001</v>
      </c>
      <c r="I675" s="10">
        <v>2.4520538421000002</v>
      </c>
    </row>
    <row r="676" spans="1:9" x14ac:dyDescent="0.2">
      <c r="A676">
        <v>20080430</v>
      </c>
      <c r="B676">
        <f t="shared" si="10"/>
        <v>200804</v>
      </c>
      <c r="C676" s="10">
        <v>1.258002345</v>
      </c>
      <c r="D676" s="10">
        <v>1.3812906579999999</v>
      </c>
      <c r="E676" s="10">
        <v>1.9103606608999999</v>
      </c>
      <c r="F676" s="10">
        <v>2.2533429669</v>
      </c>
      <c r="G676" s="10">
        <v>2.4627110672999999</v>
      </c>
      <c r="H676" s="10">
        <v>2.8394184244999998</v>
      </c>
      <c r="I676" s="10">
        <v>3.0192298375000002</v>
      </c>
    </row>
    <row r="677" spans="1:9" x14ac:dyDescent="0.2">
      <c r="A677">
        <v>20080530</v>
      </c>
      <c r="B677">
        <f t="shared" si="10"/>
        <v>200805</v>
      </c>
      <c r="C677" s="10">
        <v>1.9484337810000001</v>
      </c>
      <c r="D677" s="10">
        <v>1.8800454085</v>
      </c>
      <c r="E677" s="10">
        <v>2.2618771154999999</v>
      </c>
      <c r="F677" s="10">
        <v>2.6207558864</v>
      </c>
      <c r="G677" s="10">
        <v>2.9358773453999998</v>
      </c>
      <c r="H677" s="10">
        <v>3.2655935546000001</v>
      </c>
      <c r="I677" s="10">
        <v>3.4210213225000001</v>
      </c>
    </row>
    <row r="678" spans="1:9" x14ac:dyDescent="0.2">
      <c r="A678">
        <v>20080630</v>
      </c>
      <c r="B678">
        <f t="shared" si="10"/>
        <v>200806</v>
      </c>
      <c r="C678" s="10">
        <v>1.6944130666999999</v>
      </c>
      <c r="D678" s="10">
        <v>1.7271614228000001</v>
      </c>
      <c r="E678" s="10">
        <v>2.3663637174000001</v>
      </c>
      <c r="F678" s="10">
        <v>2.6054190932000001</v>
      </c>
      <c r="G678" s="10">
        <v>2.9092721948000002</v>
      </c>
      <c r="H678" s="10">
        <v>3.1882868310000001</v>
      </c>
      <c r="I678" s="10">
        <v>3.3302158083000002</v>
      </c>
    </row>
    <row r="679" spans="1:9" x14ac:dyDescent="0.2">
      <c r="A679">
        <v>20080731</v>
      </c>
      <c r="B679">
        <f t="shared" si="10"/>
        <v>200807</v>
      </c>
      <c r="C679" s="10">
        <v>1.5828673114</v>
      </c>
      <c r="D679" s="10">
        <v>1.6662339016000001</v>
      </c>
      <c r="E679" s="10">
        <v>2.2557174374</v>
      </c>
      <c r="F679" s="10">
        <v>2.4935937334</v>
      </c>
      <c r="G679" s="10">
        <v>2.8054555365999998</v>
      </c>
      <c r="H679" s="10">
        <v>3.0495911712999999</v>
      </c>
      <c r="I679" s="10">
        <v>3.2426571346999999</v>
      </c>
    </row>
    <row r="680" spans="1:9" x14ac:dyDescent="0.2">
      <c r="A680">
        <v>20080829</v>
      </c>
      <c r="B680">
        <f t="shared" si="10"/>
        <v>200808</v>
      </c>
      <c r="C680" s="10">
        <v>1.6640668380000001</v>
      </c>
      <c r="D680" s="10">
        <v>1.7171426081000001</v>
      </c>
      <c r="E680" s="10">
        <v>2.1530604320000002</v>
      </c>
      <c r="F680" s="10">
        <v>2.3436106557</v>
      </c>
      <c r="G680" s="10">
        <v>2.6234939119999998</v>
      </c>
      <c r="H680" s="10">
        <v>2.8847835393999999</v>
      </c>
      <c r="I680" s="10">
        <v>3.0867284945</v>
      </c>
    </row>
    <row r="681" spans="1:9" x14ac:dyDescent="0.2">
      <c r="A681">
        <v>20080930</v>
      </c>
      <c r="B681">
        <f t="shared" si="10"/>
        <v>200809</v>
      </c>
      <c r="C681" s="10">
        <v>0.9635759103</v>
      </c>
      <c r="D681" s="10">
        <v>0.66970089519999998</v>
      </c>
      <c r="E681" s="10">
        <v>1.8067002239000001</v>
      </c>
      <c r="F681" s="10">
        <v>1.9528940919</v>
      </c>
      <c r="G681" s="10">
        <v>2.2862159961000001</v>
      </c>
      <c r="H681" s="10">
        <v>2.6692806827000002</v>
      </c>
      <c r="I681" s="10">
        <v>2.9932384297999999</v>
      </c>
    </row>
    <row r="682" spans="1:9" x14ac:dyDescent="0.2">
      <c r="A682">
        <v>20081031</v>
      </c>
      <c r="B682">
        <f t="shared" si="10"/>
        <v>200810</v>
      </c>
      <c r="C682" s="10">
        <v>0.25350215069999998</v>
      </c>
      <c r="D682" s="10">
        <v>0.43620672539999999</v>
      </c>
      <c r="E682" s="10">
        <v>1.4307993124</v>
      </c>
      <c r="F682" s="10">
        <v>1.3355642410999999</v>
      </c>
      <c r="G682" s="10">
        <v>1.8163682423</v>
      </c>
      <c r="H682" s="10">
        <v>2.1377550221999999</v>
      </c>
      <c r="I682" s="10">
        <v>2.8384717947000002</v>
      </c>
    </row>
    <row r="683" spans="1:9" x14ac:dyDescent="0.2">
      <c r="A683">
        <v>20081128</v>
      </c>
      <c r="B683">
        <f t="shared" si="10"/>
        <v>200811</v>
      </c>
      <c r="C683" s="10">
        <v>3.0417110300000001E-2</v>
      </c>
      <c r="D683" s="10">
        <v>3.0417807299999999E-2</v>
      </c>
      <c r="E683" s="10">
        <v>0.85053135790000001</v>
      </c>
      <c r="F683" s="10">
        <v>0.99213986970000001</v>
      </c>
      <c r="G683" s="10">
        <v>1.264039999</v>
      </c>
      <c r="H683" s="10">
        <v>1.2303779104000001</v>
      </c>
      <c r="I683" s="10">
        <v>1.9253880401000001</v>
      </c>
    </row>
    <row r="684" spans="1:9" x14ac:dyDescent="0.2">
      <c r="A684">
        <v>20081231</v>
      </c>
      <c r="B684">
        <f t="shared" si="10"/>
        <v>200812</v>
      </c>
      <c r="C684" s="10">
        <v>3.0417122899999999E-2</v>
      </c>
      <c r="D684" s="10">
        <v>0.11154345659999999</v>
      </c>
      <c r="E684" s="10">
        <v>0.41018034619999999</v>
      </c>
      <c r="F684" s="10">
        <v>0.53765906959999998</v>
      </c>
      <c r="G684" s="10">
        <v>0.9984829556</v>
      </c>
      <c r="H684" s="10">
        <v>1.0286454672000001</v>
      </c>
      <c r="I684" s="10">
        <v>1.5752355708000001</v>
      </c>
    </row>
    <row r="685" spans="1:9" x14ac:dyDescent="0.2">
      <c r="A685">
        <v>20090130</v>
      </c>
      <c r="B685">
        <f t="shared" si="10"/>
        <v>200901</v>
      </c>
      <c r="C685" s="10">
        <v>0.1774452198</v>
      </c>
      <c r="D685" s="10">
        <v>0.2408701265</v>
      </c>
      <c r="E685" s="10">
        <v>0.56893671710000004</v>
      </c>
      <c r="F685" s="10">
        <v>0.94265669419999998</v>
      </c>
      <c r="G685" s="10">
        <v>1.3259682641999999</v>
      </c>
      <c r="H685" s="10">
        <v>1.4850020508999999</v>
      </c>
      <c r="I685" s="10">
        <v>1.8891803564</v>
      </c>
    </row>
    <row r="686" spans="1:9" x14ac:dyDescent="0.2">
      <c r="A686">
        <v>20090227</v>
      </c>
      <c r="B686">
        <f t="shared" si="10"/>
        <v>200902</v>
      </c>
      <c r="C686" s="10">
        <v>0.1723749494</v>
      </c>
      <c r="D686" s="10">
        <v>0.2535514653</v>
      </c>
      <c r="E686" s="10">
        <v>0.77771649939999998</v>
      </c>
      <c r="F686" s="10">
        <v>0.95995470940000005</v>
      </c>
      <c r="G686" s="10">
        <v>1.3894992227</v>
      </c>
      <c r="H686" s="10">
        <v>1.6681258918999999</v>
      </c>
      <c r="I686" s="10">
        <v>1.9965732695</v>
      </c>
    </row>
    <row r="687" spans="1:9" x14ac:dyDescent="0.2">
      <c r="A687">
        <v>20090331</v>
      </c>
      <c r="B687">
        <f t="shared" si="10"/>
        <v>200903</v>
      </c>
      <c r="C687" s="10">
        <v>0.1520928393</v>
      </c>
      <c r="D687" s="10">
        <v>0.20283018010000001</v>
      </c>
      <c r="E687" s="10">
        <v>0.61191355950000004</v>
      </c>
      <c r="F687" s="10">
        <v>0.77807943639999999</v>
      </c>
      <c r="G687" s="10">
        <v>1.1627195564999999</v>
      </c>
      <c r="H687" s="10">
        <v>1.3361496452999999</v>
      </c>
      <c r="I687" s="10">
        <v>1.6708887809999999</v>
      </c>
    </row>
    <row r="688" spans="1:9" x14ac:dyDescent="0.2">
      <c r="A688">
        <v>20090430</v>
      </c>
      <c r="B688">
        <f t="shared" si="10"/>
        <v>200904</v>
      </c>
      <c r="C688" s="10">
        <v>3.5486714900000001E-2</v>
      </c>
      <c r="D688" s="10">
        <v>0.12675613790000001</v>
      </c>
      <c r="E688" s="10">
        <v>0.50765720240000001</v>
      </c>
      <c r="F688" s="10">
        <v>0.90540090510000004</v>
      </c>
      <c r="G688" s="10">
        <v>1.3821647011</v>
      </c>
      <c r="H688" s="10">
        <v>1.710080316</v>
      </c>
      <c r="I688" s="10">
        <v>2.0304509833000002</v>
      </c>
    </row>
    <row r="689" spans="1:9" x14ac:dyDescent="0.2">
      <c r="A689">
        <v>20090529</v>
      </c>
      <c r="B689">
        <f t="shared" si="10"/>
        <v>200905</v>
      </c>
      <c r="C689" s="10">
        <v>8.1114175499999996E-2</v>
      </c>
      <c r="D689" s="10">
        <v>0.13182697860000001</v>
      </c>
      <c r="E689" s="10">
        <v>0.49796372</v>
      </c>
      <c r="F689" s="10">
        <v>0.92853790700000005</v>
      </c>
      <c r="G689" s="10">
        <v>1.3966764589</v>
      </c>
      <c r="H689" s="10">
        <v>1.8609020662</v>
      </c>
      <c r="I689" s="10">
        <v>2.3713878421999999</v>
      </c>
    </row>
    <row r="690" spans="1:9" x14ac:dyDescent="0.2">
      <c r="A690">
        <v>20090630</v>
      </c>
      <c r="B690">
        <f t="shared" si="10"/>
        <v>200906</v>
      </c>
      <c r="C690" s="10">
        <v>0.14448774580000001</v>
      </c>
      <c r="D690" s="10">
        <v>0.185078354</v>
      </c>
      <c r="E690" s="10">
        <v>0.55132412099999994</v>
      </c>
      <c r="F690" s="10">
        <v>1.127063755</v>
      </c>
      <c r="G690" s="10">
        <v>1.6141689012</v>
      </c>
      <c r="H690" s="10">
        <v>2.1725830196999998</v>
      </c>
      <c r="I690" s="10">
        <v>2.5902186006000001</v>
      </c>
    </row>
    <row r="691" spans="1:9" x14ac:dyDescent="0.2">
      <c r="A691">
        <v>20090731</v>
      </c>
      <c r="B691">
        <f t="shared" si="10"/>
        <v>200907</v>
      </c>
      <c r="C691" s="10">
        <v>0.12927861709999999</v>
      </c>
      <c r="D691" s="10">
        <v>0.17746937979999999</v>
      </c>
      <c r="E691" s="10">
        <v>0.47507676650000003</v>
      </c>
      <c r="F691" s="10">
        <v>1.1259463082000001</v>
      </c>
      <c r="G691" s="10">
        <v>1.5809831920999999</v>
      </c>
      <c r="H691" s="10">
        <v>2.0772195233000001</v>
      </c>
      <c r="I691" s="10">
        <v>2.5536370489000002</v>
      </c>
    </row>
    <row r="692" spans="1:9" x14ac:dyDescent="0.2">
      <c r="A692">
        <v>20090831</v>
      </c>
      <c r="B692">
        <f t="shared" si="10"/>
        <v>200908</v>
      </c>
      <c r="C692" s="10">
        <v>9.3788457500000005E-2</v>
      </c>
      <c r="D692" s="10">
        <v>0.13689758930000001</v>
      </c>
      <c r="E692" s="10">
        <v>0.41734048080000002</v>
      </c>
      <c r="F692" s="10">
        <v>0.97751104820000001</v>
      </c>
      <c r="G692" s="10">
        <v>1.4550958302999999</v>
      </c>
      <c r="H692" s="10">
        <v>1.9652393940999999</v>
      </c>
      <c r="I692" s="10">
        <v>2.4152236472999999</v>
      </c>
    </row>
    <row r="693" spans="1:9" x14ac:dyDescent="0.2">
      <c r="A693">
        <v>20090930</v>
      </c>
      <c r="B693">
        <f t="shared" si="10"/>
        <v>200909</v>
      </c>
      <c r="C693" s="10">
        <v>4.30911935E-2</v>
      </c>
      <c r="D693" s="10">
        <v>0.11154345659999999</v>
      </c>
      <c r="E693" s="10">
        <v>0.41773211440000002</v>
      </c>
      <c r="F693" s="10">
        <v>0.954954462</v>
      </c>
      <c r="G693" s="10">
        <v>1.4187844579</v>
      </c>
      <c r="H693" s="10">
        <v>1.8791608973</v>
      </c>
      <c r="I693" s="10">
        <v>2.3468266324</v>
      </c>
    </row>
    <row r="694" spans="1:9" x14ac:dyDescent="0.2">
      <c r="A694">
        <v>20091030</v>
      </c>
      <c r="B694">
        <f t="shared" si="10"/>
        <v>200910</v>
      </c>
      <c r="C694" s="10">
        <v>1.01389368E-2</v>
      </c>
      <c r="D694" s="10">
        <v>4.5627566600000002E-2</v>
      </c>
      <c r="E694" s="10">
        <v>0.40461705059999997</v>
      </c>
      <c r="F694" s="10">
        <v>0.88800712370000001</v>
      </c>
      <c r="G694" s="10">
        <v>1.3519264928000001</v>
      </c>
      <c r="H694" s="10">
        <v>1.9014435765</v>
      </c>
      <c r="I694" s="10">
        <v>2.3375334215999999</v>
      </c>
    </row>
    <row r="695" spans="1:9" x14ac:dyDescent="0.2">
      <c r="A695">
        <v>20091130</v>
      </c>
      <c r="B695">
        <f t="shared" si="10"/>
        <v>200911</v>
      </c>
      <c r="C695" s="10">
        <v>7.3509239099999998E-2</v>
      </c>
      <c r="D695" s="10">
        <v>5.0697507500000003E-2</v>
      </c>
      <c r="E695" s="10">
        <v>0.28332266509999998</v>
      </c>
      <c r="F695" s="10">
        <v>0.63774029489999995</v>
      </c>
      <c r="G695" s="10">
        <v>1.0832241538</v>
      </c>
      <c r="H695" s="10">
        <v>1.5646708702000001</v>
      </c>
      <c r="I695" s="10">
        <v>2.0227232298</v>
      </c>
    </row>
    <row r="696" spans="1:9" x14ac:dyDescent="0.2">
      <c r="A696">
        <v>20091231</v>
      </c>
      <c r="B696">
        <f t="shared" si="10"/>
        <v>200912</v>
      </c>
      <c r="C696" s="10">
        <v>3.8021526399999998E-2</v>
      </c>
      <c r="D696" s="10">
        <v>5.5767765599999998E-2</v>
      </c>
      <c r="E696" s="10">
        <v>0.50256324890000004</v>
      </c>
      <c r="F696" s="10">
        <v>1.1347625706</v>
      </c>
      <c r="G696" s="10">
        <v>1.6549150921</v>
      </c>
      <c r="H696" s="10">
        <v>2.1930559009000001</v>
      </c>
      <c r="I696" s="10">
        <v>2.7190253403</v>
      </c>
    </row>
    <row r="697" spans="1:9" x14ac:dyDescent="0.2">
      <c r="A697">
        <v>20100129</v>
      </c>
      <c r="B697">
        <f t="shared" si="10"/>
        <v>201001</v>
      </c>
      <c r="C697" s="10">
        <v>1.5208441099999999E-2</v>
      </c>
      <c r="D697" s="10">
        <v>7.6048796500000002E-2</v>
      </c>
      <c r="E697" s="10">
        <v>0.31045376200000002</v>
      </c>
      <c r="F697" s="10">
        <v>0.78790005829999998</v>
      </c>
      <c r="G697" s="10">
        <v>1.3294091881000001</v>
      </c>
      <c r="H697" s="10">
        <v>1.8381332674999999</v>
      </c>
      <c r="I697" s="10">
        <v>2.3496266879999999</v>
      </c>
    </row>
    <row r="698" spans="1:9" x14ac:dyDescent="0.2">
      <c r="A698">
        <v>20100226</v>
      </c>
      <c r="B698">
        <f t="shared" si="10"/>
        <v>201002</v>
      </c>
      <c r="C698" s="10">
        <v>7.3509461200000001E-2</v>
      </c>
      <c r="D698" s="10">
        <v>0.1166139863</v>
      </c>
      <c r="E698" s="10">
        <v>0.36463732770000001</v>
      </c>
      <c r="F698" s="10">
        <v>0.81157024639999997</v>
      </c>
      <c r="G698" s="10">
        <v>1.3551483021999999</v>
      </c>
      <c r="H698" s="10">
        <v>1.8542839738000001</v>
      </c>
      <c r="I698" s="10">
        <v>2.3374598394000001</v>
      </c>
    </row>
    <row r="699" spans="1:9" x14ac:dyDescent="0.2">
      <c r="A699">
        <v>20100331</v>
      </c>
      <c r="B699">
        <f t="shared" si="10"/>
        <v>201003</v>
      </c>
      <c r="C699" s="10">
        <v>0.13434917860000001</v>
      </c>
      <c r="D699" s="10">
        <v>0.1521124901</v>
      </c>
      <c r="E699" s="10">
        <v>0.45769257120000001</v>
      </c>
      <c r="F699" s="10">
        <v>1.0040999262000001</v>
      </c>
      <c r="G699" s="10">
        <v>1.5703300314999999</v>
      </c>
      <c r="H699" s="10">
        <v>2.1331751616000001</v>
      </c>
      <c r="I699" s="10">
        <v>2.5880769124</v>
      </c>
    </row>
    <row r="700" spans="1:9" x14ac:dyDescent="0.2">
      <c r="A700">
        <v>20100430</v>
      </c>
      <c r="B700">
        <f t="shared" si="10"/>
        <v>201004</v>
      </c>
      <c r="C700" s="10">
        <v>0.14195382940000001</v>
      </c>
      <c r="D700" s="10">
        <v>0.15718323400000001</v>
      </c>
      <c r="E700" s="10">
        <v>0.41548702589999997</v>
      </c>
      <c r="F700" s="10">
        <v>0.94425101330000005</v>
      </c>
      <c r="G700" s="10">
        <v>1.4820211597999999</v>
      </c>
      <c r="H700" s="10">
        <v>2.0208480150999999</v>
      </c>
      <c r="I700" s="10">
        <v>2.4508131133000002</v>
      </c>
    </row>
    <row r="701" spans="1:9" x14ac:dyDescent="0.2">
      <c r="A701">
        <v>20100528</v>
      </c>
      <c r="B701">
        <f t="shared" si="10"/>
        <v>201005</v>
      </c>
      <c r="C701" s="10">
        <v>0.1368837265</v>
      </c>
      <c r="D701" s="10">
        <v>0.15718323400000001</v>
      </c>
      <c r="E701" s="10">
        <v>0.36531702399999999</v>
      </c>
      <c r="F701" s="10">
        <v>0.75330479279999996</v>
      </c>
      <c r="G701" s="10">
        <v>1.2234073245999999</v>
      </c>
      <c r="H701" s="10">
        <v>1.7669806131000001</v>
      </c>
      <c r="I701" s="10">
        <v>2.1188873127000001</v>
      </c>
    </row>
    <row r="702" spans="1:9" x14ac:dyDescent="0.2">
      <c r="A702">
        <v>20100630</v>
      </c>
      <c r="B702">
        <f t="shared" si="10"/>
        <v>201006</v>
      </c>
      <c r="C702" s="10">
        <v>0.1622352014</v>
      </c>
      <c r="D702" s="10">
        <v>0.1723985626</v>
      </c>
      <c r="E702" s="10">
        <v>0.30717259689999998</v>
      </c>
      <c r="F702" s="10">
        <v>0.57094820430000004</v>
      </c>
      <c r="G702" s="10">
        <v>0.9449068182</v>
      </c>
      <c r="H702" s="10">
        <v>1.4448590399000001</v>
      </c>
      <c r="I702" s="10">
        <v>1.7973059712999999</v>
      </c>
    </row>
    <row r="703" spans="1:9" x14ac:dyDescent="0.2">
      <c r="A703">
        <v>20100730</v>
      </c>
      <c r="B703">
        <f t="shared" si="10"/>
        <v>201007</v>
      </c>
      <c r="C703" s="10">
        <v>0.14195382940000001</v>
      </c>
      <c r="D703" s="10">
        <v>0.14196929050000001</v>
      </c>
      <c r="E703" s="10">
        <v>0.27926006510000001</v>
      </c>
      <c r="F703" s="10">
        <v>0.52736965739999997</v>
      </c>
      <c r="G703" s="10">
        <v>0.80073205439999995</v>
      </c>
      <c r="H703" s="10">
        <v>1.2216198612</v>
      </c>
      <c r="I703" s="10">
        <v>1.6145910696000001</v>
      </c>
    </row>
    <row r="704" spans="1:9" x14ac:dyDescent="0.2">
      <c r="A704">
        <v>20100831</v>
      </c>
      <c r="B704">
        <f t="shared" si="10"/>
        <v>201008</v>
      </c>
      <c r="C704" s="10">
        <v>0.1520928393</v>
      </c>
      <c r="D704" s="10">
        <v>0.1166134274</v>
      </c>
      <c r="E704" s="10">
        <v>0.2481635928</v>
      </c>
      <c r="F704" s="10">
        <v>0.46495506289999999</v>
      </c>
      <c r="G704" s="10">
        <v>0.68214645129999996</v>
      </c>
      <c r="H704" s="10">
        <v>1.0213294596</v>
      </c>
      <c r="I704" s="10">
        <v>1.3431854866999999</v>
      </c>
    </row>
    <row r="705" spans="1:9" x14ac:dyDescent="0.2">
      <c r="A705">
        <v>20100930</v>
      </c>
      <c r="B705">
        <f t="shared" si="10"/>
        <v>201009</v>
      </c>
      <c r="C705" s="10">
        <v>0.1343489313</v>
      </c>
      <c r="D705" s="10">
        <v>0.15718357250000001</v>
      </c>
      <c r="E705" s="10">
        <v>0.29969678309999997</v>
      </c>
      <c r="F705" s="10">
        <v>0.41461588030000002</v>
      </c>
      <c r="G705" s="10">
        <v>0.64724059109999998</v>
      </c>
      <c r="H705" s="10">
        <v>0.96134409369999996</v>
      </c>
      <c r="I705" s="10">
        <v>1.2824495351</v>
      </c>
    </row>
    <row r="706" spans="1:9" x14ac:dyDescent="0.2">
      <c r="A706">
        <v>20101029</v>
      </c>
      <c r="B706">
        <f t="shared" si="10"/>
        <v>201010</v>
      </c>
      <c r="C706" s="10">
        <v>0.12674359269999999</v>
      </c>
      <c r="D706" s="10">
        <v>0.1166139863</v>
      </c>
      <c r="E706" s="10">
        <v>0.2669280396</v>
      </c>
      <c r="F706" s="10">
        <v>0.31327618759999998</v>
      </c>
      <c r="G706" s="10">
        <v>0.51135001049999995</v>
      </c>
      <c r="H706" s="10">
        <v>0.84235211379999997</v>
      </c>
      <c r="I706" s="10">
        <v>1.1773207362</v>
      </c>
    </row>
    <row r="707" spans="1:9" x14ac:dyDescent="0.2">
      <c r="A707">
        <v>20101130</v>
      </c>
      <c r="B707">
        <f t="shared" si="10"/>
        <v>201011</v>
      </c>
      <c r="C707" s="10">
        <v>0.16983824249999999</v>
      </c>
      <c r="D707" s="10">
        <v>0.16732733080000001</v>
      </c>
      <c r="E707" s="10">
        <v>0.317246272</v>
      </c>
      <c r="F707" s="10">
        <v>0.44365065009999999</v>
      </c>
      <c r="G707" s="10">
        <v>0.71612486269999998</v>
      </c>
      <c r="H707" s="10">
        <v>1.0826609550999999</v>
      </c>
      <c r="I707" s="10">
        <v>1.4786293269999999</v>
      </c>
    </row>
    <row r="708" spans="1:9" x14ac:dyDescent="0.2">
      <c r="A708">
        <v>20101231</v>
      </c>
      <c r="B708">
        <f t="shared" si="10"/>
        <v>201012</v>
      </c>
      <c r="C708" s="10">
        <v>8.1114175499999996E-2</v>
      </c>
      <c r="D708" s="10">
        <v>0.1216849203</v>
      </c>
      <c r="E708" s="10">
        <v>0.35168505750000001</v>
      </c>
      <c r="F708" s="10">
        <v>0.57492830559999997</v>
      </c>
      <c r="G708" s="10">
        <v>1.0084032353000001</v>
      </c>
      <c r="H708" s="10">
        <v>1.5454224501</v>
      </c>
      <c r="I708" s="10">
        <v>2.0395804613999999</v>
      </c>
    </row>
    <row r="709" spans="1:9" x14ac:dyDescent="0.2">
      <c r="A709">
        <v>20110131</v>
      </c>
      <c r="B709">
        <f t="shared" si="10"/>
        <v>201101</v>
      </c>
      <c r="C709" s="10">
        <v>0.14955810929999999</v>
      </c>
      <c r="D709" s="10">
        <v>0.1419684621</v>
      </c>
      <c r="E709" s="10">
        <v>0.31130940099999999</v>
      </c>
      <c r="F709" s="10">
        <v>0.53841477029999996</v>
      </c>
      <c r="G709" s="10">
        <v>0.97030608480000002</v>
      </c>
      <c r="H709" s="10">
        <v>1.4429690171</v>
      </c>
      <c r="I709" s="10">
        <v>1.9722451594999999</v>
      </c>
    </row>
    <row r="710" spans="1:9" x14ac:dyDescent="0.2">
      <c r="A710">
        <v>20110228</v>
      </c>
      <c r="B710">
        <f t="shared" si="10"/>
        <v>201102</v>
      </c>
      <c r="C710" s="10">
        <v>7.8579010899999996E-2</v>
      </c>
      <c r="D710" s="10">
        <v>0.1368973326</v>
      </c>
      <c r="E710" s="10">
        <v>0.31248492509999998</v>
      </c>
      <c r="F710" s="10">
        <v>0.67422112649999999</v>
      </c>
      <c r="G710" s="10">
        <v>1.1645157182000001</v>
      </c>
      <c r="H710" s="10">
        <v>1.6711775885</v>
      </c>
      <c r="I710" s="10">
        <v>2.1687991867999998</v>
      </c>
    </row>
    <row r="711" spans="1:9" x14ac:dyDescent="0.2">
      <c r="A711">
        <v>20110331</v>
      </c>
      <c r="B711">
        <f t="shared" ref="B711:B774" si="11">ROUND(A711/100,0)</f>
        <v>201103</v>
      </c>
      <c r="C711" s="10">
        <v>5.8300240699999999E-2</v>
      </c>
      <c r="D711" s="10">
        <v>9.3795688299999999E-2</v>
      </c>
      <c r="E711" s="10">
        <v>0.29900039179999999</v>
      </c>
      <c r="F711" s="10">
        <v>0.81295189859999994</v>
      </c>
      <c r="G711" s="10">
        <v>1.309476911</v>
      </c>
      <c r="H711" s="10">
        <v>1.8186882304</v>
      </c>
      <c r="I711" s="10">
        <v>2.2928542493999999</v>
      </c>
    </row>
    <row r="712" spans="1:9" x14ac:dyDescent="0.2">
      <c r="A712">
        <v>20110429</v>
      </c>
      <c r="B712">
        <f t="shared" si="11"/>
        <v>201104</v>
      </c>
      <c r="C712" s="10">
        <v>1.5208441099999999E-2</v>
      </c>
      <c r="D712" s="10">
        <v>4.0557583500000001E-2</v>
      </c>
      <c r="E712" s="10">
        <v>0.22407586600000001</v>
      </c>
      <c r="F712" s="10">
        <v>0.59237882389999996</v>
      </c>
      <c r="G712" s="10">
        <v>1.0288564696</v>
      </c>
      <c r="H712" s="10">
        <v>1.5038131924</v>
      </c>
      <c r="I712" s="10">
        <v>1.9996746006999999</v>
      </c>
    </row>
    <row r="713" spans="1:9" x14ac:dyDescent="0.2">
      <c r="A713">
        <v>20110531</v>
      </c>
      <c r="B713">
        <f t="shared" si="11"/>
        <v>201105</v>
      </c>
      <c r="C713" s="10">
        <v>4.3091040900000002E-2</v>
      </c>
      <c r="D713" s="10">
        <v>5.0697718699999998E-2</v>
      </c>
      <c r="E713" s="10">
        <v>0.18520616500000001</v>
      </c>
      <c r="F713" s="10">
        <v>0.45169584550000003</v>
      </c>
      <c r="G713" s="10">
        <v>0.79594959700000001</v>
      </c>
      <c r="H713" s="10">
        <v>1.2299011906999999</v>
      </c>
      <c r="I713" s="10">
        <v>1.7192040796000001</v>
      </c>
    </row>
    <row r="714" spans="1:9" x14ac:dyDescent="0.2">
      <c r="A714">
        <v>20110630</v>
      </c>
      <c r="B714">
        <f t="shared" si="11"/>
        <v>201106</v>
      </c>
      <c r="C714" s="10">
        <v>7.6041944E-3</v>
      </c>
      <c r="D714" s="10">
        <v>1.5208621699999999E-2</v>
      </c>
      <c r="E714" s="10">
        <v>0.18817935860000001</v>
      </c>
      <c r="F714" s="10">
        <v>0.43943944750000002</v>
      </c>
      <c r="G714" s="10">
        <v>0.82045757180000001</v>
      </c>
      <c r="H714" s="10">
        <v>1.2922318803999999</v>
      </c>
      <c r="I714" s="10">
        <v>1.7712855184</v>
      </c>
    </row>
    <row r="715" spans="1:9" x14ac:dyDescent="0.2">
      <c r="A715">
        <v>20110729</v>
      </c>
      <c r="B715">
        <f t="shared" si="11"/>
        <v>201107</v>
      </c>
      <c r="C715" s="10">
        <v>8.8718943600000003E-2</v>
      </c>
      <c r="D715" s="10">
        <v>9.3795567799999993E-2</v>
      </c>
      <c r="E715" s="10">
        <v>0.22948627930000001</v>
      </c>
      <c r="F715" s="10">
        <v>0.3460673172</v>
      </c>
      <c r="G715" s="10">
        <v>0.55595947769999998</v>
      </c>
      <c r="H715" s="10">
        <v>0.92757184270000004</v>
      </c>
      <c r="I715" s="10">
        <v>1.3684461975</v>
      </c>
    </row>
    <row r="716" spans="1:9" x14ac:dyDescent="0.2">
      <c r="A716">
        <v>20110831</v>
      </c>
      <c r="B716">
        <f t="shared" si="11"/>
        <v>201108</v>
      </c>
      <c r="C716" s="10">
        <v>0</v>
      </c>
      <c r="D716" s="10">
        <v>1.01390184E-2</v>
      </c>
      <c r="E716" s="10">
        <v>0.14233649640000001</v>
      </c>
      <c r="F716" s="10">
        <v>0.20537246719999999</v>
      </c>
      <c r="G716" s="10">
        <v>0.3401145686</v>
      </c>
      <c r="H716" s="10">
        <v>0.61989541780000001</v>
      </c>
      <c r="I716" s="10">
        <v>0.97977293870000004</v>
      </c>
    </row>
    <row r="717" spans="1:9" x14ac:dyDescent="0.2">
      <c r="A717">
        <v>20110930</v>
      </c>
      <c r="B717">
        <f t="shared" si="11"/>
        <v>201109</v>
      </c>
      <c r="C717" s="10">
        <v>1.5208441099999999E-2</v>
      </c>
      <c r="D717" s="10">
        <v>2.02782847E-2</v>
      </c>
      <c r="E717" s="10">
        <v>0.1780865848</v>
      </c>
      <c r="F717" s="10">
        <v>0.26156224379999998</v>
      </c>
      <c r="G717" s="10">
        <v>0.42453556780000001</v>
      </c>
      <c r="H717" s="10">
        <v>0.66432359080000003</v>
      </c>
      <c r="I717" s="10">
        <v>0.96849596950000005</v>
      </c>
    </row>
    <row r="718" spans="1:9" x14ac:dyDescent="0.2">
      <c r="A718">
        <v>20111031</v>
      </c>
      <c r="B718">
        <f t="shared" si="11"/>
        <v>201110</v>
      </c>
      <c r="C718" s="10">
        <v>5.0694553999999998E-3</v>
      </c>
      <c r="D718" s="10">
        <v>2.5347299000000002E-3</v>
      </c>
      <c r="E718" s="10">
        <v>0.15983787999999999</v>
      </c>
      <c r="F718" s="10">
        <v>0.25043725430000002</v>
      </c>
      <c r="G718" s="10">
        <v>0.40701692639999998</v>
      </c>
      <c r="H718" s="10">
        <v>0.66761008040000003</v>
      </c>
      <c r="I718" s="10">
        <v>0.98786057979999997</v>
      </c>
    </row>
    <row r="719" spans="1:9" x14ac:dyDescent="0.2">
      <c r="A719">
        <v>20111130</v>
      </c>
      <c r="B719">
        <f t="shared" si="11"/>
        <v>201111</v>
      </c>
      <c r="C719" s="10">
        <v>0</v>
      </c>
      <c r="D719" s="10">
        <v>0</v>
      </c>
      <c r="E719" s="10">
        <v>0.17553538590000001</v>
      </c>
      <c r="F719" s="10">
        <v>0.26575555280000002</v>
      </c>
      <c r="G719" s="10">
        <v>0.41650859109999999</v>
      </c>
      <c r="H719" s="10">
        <v>0.67400223660000003</v>
      </c>
      <c r="I719" s="10">
        <v>0.97439826880000002</v>
      </c>
    </row>
    <row r="720" spans="1:9" x14ac:dyDescent="0.2">
      <c r="A720">
        <v>20111230</v>
      </c>
      <c r="B720">
        <f t="shared" si="11"/>
        <v>201112</v>
      </c>
      <c r="C720" s="10">
        <v>0</v>
      </c>
      <c r="D720" s="10">
        <v>1.0139015600000001E-2</v>
      </c>
      <c r="E720" s="10">
        <v>0.16495086410000001</v>
      </c>
      <c r="F720" s="10">
        <v>0.2398996887</v>
      </c>
      <c r="G720" s="10">
        <v>0.39195901420000001</v>
      </c>
      <c r="H720" s="10">
        <v>0.58274242740000004</v>
      </c>
      <c r="I720" s="10">
        <v>0.86048077990000005</v>
      </c>
    </row>
    <row r="721" spans="1:9" x14ac:dyDescent="0.2">
      <c r="A721">
        <v>20120131</v>
      </c>
      <c r="B721">
        <f t="shared" si="11"/>
        <v>201201</v>
      </c>
      <c r="C721" s="10">
        <v>3.8021427400000002E-2</v>
      </c>
      <c r="D721" s="10">
        <v>5.5767850799999998E-2</v>
      </c>
      <c r="E721" s="10">
        <v>0.1523135196</v>
      </c>
      <c r="F721" s="10">
        <v>0.22257854839999999</v>
      </c>
      <c r="G721" s="10">
        <v>0.3050144105</v>
      </c>
      <c r="H721" s="10">
        <v>0.48812904140000002</v>
      </c>
      <c r="I721" s="10">
        <v>0.72511102930000004</v>
      </c>
    </row>
    <row r="722" spans="1:9" x14ac:dyDescent="0.2">
      <c r="A722">
        <v>20120229</v>
      </c>
      <c r="B722">
        <f t="shared" si="11"/>
        <v>201202</v>
      </c>
      <c r="C722" s="10">
        <v>5.3230564000000001E-2</v>
      </c>
      <c r="D722" s="10">
        <v>7.6048954899999993E-2</v>
      </c>
      <c r="E722" s="10">
        <v>0.20493489400000001</v>
      </c>
      <c r="F722" s="10">
        <v>0.30616829950000002</v>
      </c>
      <c r="G722" s="10">
        <v>0.4531251859</v>
      </c>
      <c r="H722" s="10">
        <v>0.64057554370000003</v>
      </c>
      <c r="I722" s="10">
        <v>0.87900591890000002</v>
      </c>
    </row>
    <row r="723" spans="1:9" x14ac:dyDescent="0.2">
      <c r="A723">
        <v>20120330</v>
      </c>
      <c r="B723">
        <f t="shared" si="11"/>
        <v>201203</v>
      </c>
      <c r="C723" s="10">
        <v>3.5486697599999999E-2</v>
      </c>
      <c r="D723" s="10">
        <v>7.0978432999999994E-2</v>
      </c>
      <c r="E723" s="10">
        <v>0.17131285030000001</v>
      </c>
      <c r="F723" s="10">
        <v>0.33795450630000001</v>
      </c>
      <c r="G723" s="10">
        <v>0.54120213539999995</v>
      </c>
      <c r="H723" s="10">
        <v>0.78609516000000002</v>
      </c>
      <c r="I723" s="10">
        <v>1.0639132821999999</v>
      </c>
    </row>
    <row r="724" spans="1:9" x14ac:dyDescent="0.2">
      <c r="A724">
        <v>20120430</v>
      </c>
      <c r="B724">
        <f t="shared" si="11"/>
        <v>201204</v>
      </c>
      <c r="C724" s="10">
        <v>7.6044122300000003E-2</v>
      </c>
      <c r="D724" s="10">
        <v>9.1259924899999997E-2</v>
      </c>
      <c r="E724" s="10">
        <v>0.1823296509</v>
      </c>
      <c r="F724" s="10">
        <v>0.2710745081</v>
      </c>
      <c r="G724" s="10">
        <v>0.40444159899999998</v>
      </c>
      <c r="H724" s="10">
        <v>0.61422084720000003</v>
      </c>
      <c r="I724" s="10">
        <v>0.83003799990000005</v>
      </c>
    </row>
    <row r="725" spans="1:9" x14ac:dyDescent="0.2">
      <c r="A725">
        <v>20120531</v>
      </c>
      <c r="B725">
        <f t="shared" si="11"/>
        <v>201205</v>
      </c>
      <c r="C725" s="10">
        <v>2.7882317199999999E-2</v>
      </c>
      <c r="D725" s="10">
        <v>6.5908192500000004E-2</v>
      </c>
      <c r="E725" s="10">
        <v>0.1807922233</v>
      </c>
      <c r="F725" s="10">
        <v>0.27972942579999999</v>
      </c>
      <c r="G725" s="10">
        <v>0.37580408320000003</v>
      </c>
      <c r="H725" s="10">
        <v>0.53385764629999999</v>
      </c>
      <c r="I725" s="10">
        <v>0.67405538750000005</v>
      </c>
    </row>
    <row r="726" spans="1:9" x14ac:dyDescent="0.2">
      <c r="A726">
        <v>20120629</v>
      </c>
      <c r="B726">
        <f t="shared" si="11"/>
        <v>201206</v>
      </c>
      <c r="C726" s="10">
        <v>3.5486697599999999E-2</v>
      </c>
      <c r="D726" s="10">
        <v>8.36544605E-2</v>
      </c>
      <c r="E726" s="10">
        <v>0.2085626904</v>
      </c>
      <c r="F726" s="10">
        <v>0.30959412980000001</v>
      </c>
      <c r="G726" s="10">
        <v>0.43184108760000001</v>
      </c>
      <c r="H726" s="10">
        <v>0.5904328781</v>
      </c>
      <c r="I726" s="10">
        <v>0.73771112459999999</v>
      </c>
    </row>
    <row r="727" spans="1:9" x14ac:dyDescent="0.2">
      <c r="A727">
        <v>20120731</v>
      </c>
      <c r="B727">
        <f t="shared" si="11"/>
        <v>201207</v>
      </c>
      <c r="C727" s="10">
        <v>6.0834854200000003E-2</v>
      </c>
      <c r="D727" s="10">
        <v>9.8866618200000006E-2</v>
      </c>
      <c r="E727" s="10">
        <v>0.16855511849999999</v>
      </c>
      <c r="F727" s="10">
        <v>0.21882461189999999</v>
      </c>
      <c r="G727" s="10">
        <v>0.2896449002</v>
      </c>
      <c r="H727" s="10">
        <v>0.43411305090000002</v>
      </c>
      <c r="I727" s="10">
        <v>0.59704465139999996</v>
      </c>
    </row>
    <row r="728" spans="1:9" x14ac:dyDescent="0.2">
      <c r="A728">
        <v>20120831</v>
      </c>
      <c r="B728">
        <f t="shared" si="11"/>
        <v>201208</v>
      </c>
      <c r="C728" s="10">
        <v>7.8579264699999998E-2</v>
      </c>
      <c r="D728" s="10">
        <v>8.6189713500000001E-2</v>
      </c>
      <c r="E728" s="10">
        <v>0.19746396429999999</v>
      </c>
      <c r="F728" s="10">
        <v>0.2377287448</v>
      </c>
      <c r="G728" s="10">
        <v>0.29795892880000002</v>
      </c>
      <c r="H728" s="10">
        <v>0.4279590559</v>
      </c>
      <c r="I728" s="10">
        <v>0.600154729</v>
      </c>
    </row>
    <row r="729" spans="1:9" x14ac:dyDescent="0.2">
      <c r="A729">
        <v>20120928</v>
      </c>
      <c r="B729">
        <f t="shared" si="11"/>
        <v>201209</v>
      </c>
      <c r="C729" s="10">
        <v>4.05563216E-2</v>
      </c>
      <c r="D729" s="10">
        <v>9.1260267199999995E-2</v>
      </c>
      <c r="E729" s="10">
        <v>0.19906499020000001</v>
      </c>
      <c r="F729" s="10">
        <v>0.2357696534</v>
      </c>
      <c r="G729" s="10">
        <v>0.32437470089999998</v>
      </c>
      <c r="H729" s="10">
        <v>0.46681762789999998</v>
      </c>
      <c r="I729" s="10">
        <v>0.63053450899999997</v>
      </c>
    </row>
    <row r="730" spans="1:9" x14ac:dyDescent="0.2">
      <c r="A730">
        <v>20121031</v>
      </c>
      <c r="B730">
        <f t="shared" si="11"/>
        <v>201210</v>
      </c>
      <c r="C730" s="10">
        <v>9.3789059999999994E-2</v>
      </c>
      <c r="D730" s="10">
        <v>0.11154345659999999</v>
      </c>
      <c r="E730" s="10">
        <v>0.21870454040000001</v>
      </c>
      <c r="F730" s="10">
        <v>0.29163214059999998</v>
      </c>
      <c r="G730" s="10">
        <v>0.38074032050000001</v>
      </c>
      <c r="H730" s="10">
        <v>0.55247313679999999</v>
      </c>
      <c r="I730" s="10">
        <v>0.73298758990000001</v>
      </c>
    </row>
    <row r="731" spans="1:9" x14ac:dyDescent="0.2">
      <c r="A731">
        <v>20121130</v>
      </c>
      <c r="B731">
        <f t="shared" si="11"/>
        <v>201211</v>
      </c>
      <c r="C731" s="10">
        <v>0.1216729532</v>
      </c>
      <c r="D731" s="10">
        <v>7.6048796500000002E-2</v>
      </c>
      <c r="E731" s="10">
        <v>0.2105725329</v>
      </c>
      <c r="F731" s="10">
        <v>0.26219807070000001</v>
      </c>
      <c r="G731" s="10">
        <v>0.34789144430000002</v>
      </c>
      <c r="H731" s="10">
        <v>0.46837445849999998</v>
      </c>
      <c r="I731" s="10">
        <v>0.6245453487</v>
      </c>
    </row>
    <row r="732" spans="1:9" x14ac:dyDescent="0.2">
      <c r="A732">
        <v>20121231</v>
      </c>
      <c r="B732">
        <f t="shared" si="11"/>
        <v>201212</v>
      </c>
      <c r="C732" s="10">
        <v>2.5347495099999999E-2</v>
      </c>
      <c r="D732" s="10">
        <v>4.5627480999999998E-2</v>
      </c>
      <c r="E732" s="10">
        <v>0.1963974969</v>
      </c>
      <c r="F732" s="10">
        <v>0.25271110390000001</v>
      </c>
      <c r="G732" s="10">
        <v>0.36906619680000002</v>
      </c>
      <c r="H732" s="10">
        <v>0.54186153780000001</v>
      </c>
      <c r="I732" s="10">
        <v>0.72494209880000005</v>
      </c>
    </row>
    <row r="733" spans="1:9" x14ac:dyDescent="0.2">
      <c r="A733">
        <v>20130131</v>
      </c>
      <c r="B733">
        <f t="shared" si="11"/>
        <v>201301</v>
      </c>
      <c r="C733" s="10">
        <v>6.0835107700000002E-2</v>
      </c>
      <c r="D733" s="10">
        <v>7.3513680900000003E-2</v>
      </c>
      <c r="E733" s="10">
        <v>0.1425388044</v>
      </c>
      <c r="F733" s="10">
        <v>0.26880755229999997</v>
      </c>
      <c r="G733" s="10">
        <v>0.42290643389999999</v>
      </c>
      <c r="H733" s="10">
        <v>0.65206738929999997</v>
      </c>
      <c r="I733" s="10">
        <v>0.8862002886</v>
      </c>
    </row>
    <row r="734" spans="1:9" x14ac:dyDescent="0.2">
      <c r="A734">
        <v>20130228</v>
      </c>
      <c r="B734">
        <f t="shared" si="11"/>
        <v>201302</v>
      </c>
      <c r="C734" s="10">
        <v>4.8160834299999997E-2</v>
      </c>
      <c r="D734" s="10">
        <v>0.10647246370000001</v>
      </c>
      <c r="E734" s="10">
        <v>0.16030878800000001</v>
      </c>
      <c r="F734" s="10">
        <v>0.2461974777</v>
      </c>
      <c r="G734" s="10">
        <v>0.35622715020000001</v>
      </c>
      <c r="H734" s="10">
        <v>0.55710312029999998</v>
      </c>
      <c r="I734" s="10">
        <v>0.76661539560000003</v>
      </c>
    </row>
    <row r="735" spans="1:9" x14ac:dyDescent="0.2">
      <c r="A735">
        <v>20130328</v>
      </c>
      <c r="B735">
        <f t="shared" si="11"/>
        <v>201303</v>
      </c>
      <c r="C735" s="10">
        <v>4.0556344199999997E-2</v>
      </c>
      <c r="D735" s="10">
        <v>7.6048875700000004E-2</v>
      </c>
      <c r="E735" s="10">
        <v>0.13113296569999999</v>
      </c>
      <c r="F735" s="10">
        <v>0.2471850917</v>
      </c>
      <c r="G735" s="10">
        <v>0.36454670550000001</v>
      </c>
      <c r="H735" s="10">
        <v>0.5621414777</v>
      </c>
      <c r="I735" s="10">
        <v>0.76932378879999996</v>
      </c>
    </row>
    <row r="736" spans="1:9" x14ac:dyDescent="0.2">
      <c r="A736">
        <v>20130430</v>
      </c>
      <c r="B736">
        <f t="shared" si="11"/>
        <v>201304</v>
      </c>
      <c r="C736" s="10">
        <v>1.52084284E-2</v>
      </c>
      <c r="D736" s="10">
        <v>5.3232776599999997E-2</v>
      </c>
      <c r="E736" s="10">
        <v>0.1063476996</v>
      </c>
      <c r="F736" s="10">
        <v>0.21927923590000001</v>
      </c>
      <c r="G736" s="10">
        <v>0.3229892721</v>
      </c>
      <c r="H736" s="10">
        <v>0.48024590299999997</v>
      </c>
      <c r="I736" s="10">
        <v>0.6786839616</v>
      </c>
    </row>
    <row r="737" spans="1:9" x14ac:dyDescent="0.2">
      <c r="A737">
        <v>20130531</v>
      </c>
      <c r="B737">
        <f t="shared" si="11"/>
        <v>201305</v>
      </c>
      <c r="C737" s="10">
        <v>1.5208444200000001E-2</v>
      </c>
      <c r="D737" s="10">
        <v>3.5487663699999998E-2</v>
      </c>
      <c r="E737" s="10">
        <v>0.13410194380000001</v>
      </c>
      <c r="F737" s="10">
        <v>0.30778453979999998</v>
      </c>
      <c r="G737" s="10">
        <v>0.5176096093</v>
      </c>
      <c r="H737" s="10">
        <v>0.76729445429999998</v>
      </c>
      <c r="I737" s="10">
        <v>1.0263450076</v>
      </c>
    </row>
    <row r="738" spans="1:9" x14ac:dyDescent="0.2">
      <c r="A738">
        <v>20130628</v>
      </c>
      <c r="B738">
        <f t="shared" si="11"/>
        <v>201306</v>
      </c>
      <c r="C738" s="10">
        <v>1.01389368E-2</v>
      </c>
      <c r="D738" s="10">
        <v>3.5487663699999998E-2</v>
      </c>
      <c r="E738" s="10">
        <v>0.15539107150000001</v>
      </c>
      <c r="F738" s="10">
        <v>0.36416705269999999</v>
      </c>
      <c r="G738" s="10">
        <v>0.6930342397</v>
      </c>
      <c r="H738" s="10">
        <v>1.0738097043999999</v>
      </c>
      <c r="I738" s="10">
        <v>1.4112249730999999</v>
      </c>
    </row>
    <row r="739" spans="1:9" x14ac:dyDescent="0.2">
      <c r="A739">
        <v>20130731</v>
      </c>
      <c r="B739">
        <f t="shared" si="11"/>
        <v>201307</v>
      </c>
      <c r="C739" s="10">
        <v>1.0138939600000001E-2</v>
      </c>
      <c r="D739" s="10">
        <v>3.5487698200000001E-2</v>
      </c>
      <c r="E739" s="10">
        <v>0.15302376130000001</v>
      </c>
      <c r="F739" s="10">
        <v>0.31746350070000001</v>
      </c>
      <c r="G739" s="10">
        <v>0.62071492139999995</v>
      </c>
      <c r="H739" s="10">
        <v>1.0277779118000001</v>
      </c>
      <c r="I739" s="10">
        <v>1.4013231816</v>
      </c>
    </row>
    <row r="740" spans="1:9" x14ac:dyDescent="0.2">
      <c r="A740">
        <v>20130830</v>
      </c>
      <c r="B740">
        <f t="shared" si="11"/>
        <v>201308</v>
      </c>
      <c r="C740" s="10">
        <v>1.01389368E-2</v>
      </c>
      <c r="D740" s="10">
        <v>2.2813148799999999E-2</v>
      </c>
      <c r="E740" s="10">
        <v>0.15994156749999999</v>
      </c>
      <c r="F740" s="10">
        <v>0.41033469830000002</v>
      </c>
      <c r="G740" s="10">
        <v>0.82063602879999997</v>
      </c>
      <c r="H740" s="10">
        <v>1.2922903104000001</v>
      </c>
      <c r="I740" s="10">
        <v>1.6627597703000001</v>
      </c>
    </row>
    <row r="741" spans="1:9" x14ac:dyDescent="0.2">
      <c r="A741">
        <v>20130930</v>
      </c>
      <c r="B741">
        <f t="shared" si="11"/>
        <v>201309</v>
      </c>
      <c r="C741" s="10">
        <v>2.02779524E-2</v>
      </c>
      <c r="D741" s="10">
        <v>1.5208609E-2</v>
      </c>
      <c r="E741" s="10">
        <v>0.12024056599999999</v>
      </c>
      <c r="F741" s="10">
        <v>0.32027644150000001</v>
      </c>
      <c r="G741" s="10">
        <v>0.64815448109999996</v>
      </c>
      <c r="H741" s="10">
        <v>1.0554737385999999</v>
      </c>
      <c r="I741" s="10">
        <v>1.3924233882999999</v>
      </c>
    </row>
    <row r="742" spans="1:9" x14ac:dyDescent="0.2">
      <c r="A742">
        <v>20131031</v>
      </c>
      <c r="B742">
        <f t="shared" si="11"/>
        <v>201310</v>
      </c>
      <c r="C742" s="10">
        <v>3.5486714900000001E-2</v>
      </c>
      <c r="D742" s="10">
        <v>3.5487681E-2</v>
      </c>
      <c r="E742" s="10">
        <v>0.12971525519999999</v>
      </c>
      <c r="F742" s="10">
        <v>0.30504328720000001</v>
      </c>
      <c r="G742" s="10">
        <v>0.61097848349999995</v>
      </c>
      <c r="H742" s="10">
        <v>1.0004992188999999</v>
      </c>
      <c r="I742" s="10">
        <v>1.3372001124999999</v>
      </c>
    </row>
    <row r="743" spans="1:9" x14ac:dyDescent="0.2">
      <c r="A743">
        <v>20131129</v>
      </c>
      <c r="B743">
        <f t="shared" si="11"/>
        <v>201311</v>
      </c>
      <c r="C743" s="10">
        <v>2.5347521500000001E-2</v>
      </c>
      <c r="D743" s="10">
        <v>6.0837896299999999E-2</v>
      </c>
      <c r="E743" s="10">
        <v>0.16530375880000001</v>
      </c>
      <c r="F743" s="10">
        <v>0.28908428269999997</v>
      </c>
      <c r="G743" s="10">
        <v>0.58240850629999996</v>
      </c>
      <c r="H743" s="10">
        <v>1.0075320368</v>
      </c>
      <c r="I743" s="10">
        <v>1.3746574038999999</v>
      </c>
    </row>
    <row r="744" spans="1:9" x14ac:dyDescent="0.2">
      <c r="A744">
        <v>20131231</v>
      </c>
      <c r="B744">
        <f t="shared" si="11"/>
        <v>201312</v>
      </c>
      <c r="C744" s="10">
        <v>1.52084284E-2</v>
      </c>
      <c r="D744" s="10">
        <v>6.8443467600000002E-2</v>
      </c>
      <c r="E744" s="10">
        <v>0.16853829200000001</v>
      </c>
      <c r="F744" s="10">
        <v>0.3920434766</v>
      </c>
      <c r="G744" s="10">
        <v>0.80404912139999996</v>
      </c>
      <c r="H744" s="10">
        <v>1.3223186189</v>
      </c>
      <c r="I744" s="10">
        <v>1.7541099571000001</v>
      </c>
    </row>
    <row r="745" spans="1:9" x14ac:dyDescent="0.2">
      <c r="A745">
        <v>20140131</v>
      </c>
      <c r="B745">
        <f t="shared" si="11"/>
        <v>201401</v>
      </c>
      <c r="C745" s="10">
        <v>5.0695641399999998E-2</v>
      </c>
      <c r="D745" s="10">
        <v>1.52086185E-2</v>
      </c>
      <c r="E745" s="10">
        <v>9.5344643399999998E-2</v>
      </c>
      <c r="F745" s="10">
        <v>0.33173427700000002</v>
      </c>
      <c r="G745" s="10">
        <v>0.71667069120000004</v>
      </c>
      <c r="H745" s="10">
        <v>1.1403420082</v>
      </c>
      <c r="I745" s="10">
        <v>1.5074072289</v>
      </c>
    </row>
    <row r="746" spans="1:9" x14ac:dyDescent="0.2">
      <c r="A746">
        <v>20140228</v>
      </c>
      <c r="B746">
        <f t="shared" si="11"/>
        <v>201402</v>
      </c>
      <c r="C746" s="10">
        <v>3.0417097600000002E-2</v>
      </c>
      <c r="D746" s="10">
        <v>5.0697613099999997E-2</v>
      </c>
      <c r="E746" s="10">
        <v>0.1181645778</v>
      </c>
      <c r="F746" s="10">
        <v>0.31965185860000001</v>
      </c>
      <c r="G746" s="10">
        <v>0.71261760699999999</v>
      </c>
      <c r="H746" s="10">
        <v>1.1470219977</v>
      </c>
      <c r="I746" s="10">
        <v>1.5253029158</v>
      </c>
    </row>
    <row r="747" spans="1:9" x14ac:dyDescent="0.2">
      <c r="A747">
        <v>20140331</v>
      </c>
      <c r="B747">
        <f t="shared" si="11"/>
        <v>201403</v>
      </c>
      <c r="C747" s="10">
        <v>1.7743189199999999E-2</v>
      </c>
      <c r="D747" s="10">
        <v>3.0417769300000001E-2</v>
      </c>
      <c r="E747" s="10">
        <v>0.12597478770000001</v>
      </c>
      <c r="F747" s="10">
        <v>0.4208280318</v>
      </c>
      <c r="G747" s="10">
        <v>0.90097501540000002</v>
      </c>
      <c r="H747" s="10">
        <v>1.3693305713999999</v>
      </c>
      <c r="I747" s="10">
        <v>1.7398818838000001</v>
      </c>
    </row>
    <row r="748" spans="1:9" x14ac:dyDescent="0.2">
      <c r="A748">
        <v>20140430</v>
      </c>
      <c r="B748">
        <f t="shared" si="11"/>
        <v>201404</v>
      </c>
      <c r="C748" s="10">
        <v>1.0138939600000001E-2</v>
      </c>
      <c r="D748" s="10">
        <v>3.0417832700000001E-2</v>
      </c>
      <c r="E748" s="10">
        <v>0.1014409538</v>
      </c>
      <c r="F748" s="10">
        <v>0.41200224520000001</v>
      </c>
      <c r="G748" s="10">
        <v>0.87361234659999998</v>
      </c>
      <c r="H748" s="10">
        <v>1.3336474313</v>
      </c>
      <c r="I748" s="10">
        <v>1.6914457710999999</v>
      </c>
    </row>
    <row r="749" spans="1:9" x14ac:dyDescent="0.2">
      <c r="A749">
        <v>20140530</v>
      </c>
      <c r="B749">
        <f t="shared" si="11"/>
        <v>201405</v>
      </c>
      <c r="C749" s="10">
        <v>2.2812742399999999E-2</v>
      </c>
      <c r="D749" s="10">
        <v>3.0417807299999999E-2</v>
      </c>
      <c r="E749" s="10">
        <v>9.7980112100000002E-2</v>
      </c>
      <c r="F749" s="10">
        <v>0.37134682660000001</v>
      </c>
      <c r="G749" s="10">
        <v>0.80878030940000001</v>
      </c>
      <c r="H749" s="10">
        <v>1.2169304220999999</v>
      </c>
      <c r="I749" s="10">
        <v>1.5542706206000001</v>
      </c>
    </row>
    <row r="750" spans="1:9" x14ac:dyDescent="0.2">
      <c r="A750">
        <v>20140630</v>
      </c>
      <c r="B750">
        <f t="shared" si="11"/>
        <v>201406</v>
      </c>
      <c r="C750" s="10">
        <v>1.5208431600000001E-2</v>
      </c>
      <c r="D750" s="10">
        <v>2.2813120199999998E-2</v>
      </c>
      <c r="E750" s="10">
        <v>0.117562335</v>
      </c>
      <c r="F750" s="10">
        <v>0.45807529190000001</v>
      </c>
      <c r="G750" s="10">
        <v>0.89526085700000002</v>
      </c>
      <c r="H750" s="10">
        <v>1.3168692610999999</v>
      </c>
      <c r="I750" s="10">
        <v>1.6499954618999999</v>
      </c>
    </row>
    <row r="751" spans="1:9" x14ac:dyDescent="0.2">
      <c r="A751">
        <v>20140731</v>
      </c>
      <c r="B751">
        <f t="shared" si="11"/>
        <v>201407</v>
      </c>
      <c r="C751" s="10">
        <v>5.0694568000000002E-3</v>
      </c>
      <c r="D751" s="10">
        <v>2.2813148799999999E-2</v>
      </c>
      <c r="E751" s="10">
        <v>0.1437700894</v>
      </c>
      <c r="F751" s="10">
        <v>0.53064567269999996</v>
      </c>
      <c r="G751" s="10">
        <v>1.0388136370000001</v>
      </c>
      <c r="H751" s="10">
        <v>1.5039993935</v>
      </c>
      <c r="I751" s="10">
        <v>1.7763122191</v>
      </c>
    </row>
    <row r="752" spans="1:9" x14ac:dyDescent="0.2">
      <c r="A752">
        <v>20140829</v>
      </c>
      <c r="B752">
        <f t="shared" si="11"/>
        <v>201408</v>
      </c>
      <c r="C752" s="10">
        <v>5.0694564000000001E-3</v>
      </c>
      <c r="D752" s="10">
        <v>2.53480232E-2</v>
      </c>
      <c r="E752" s="10">
        <v>0.1146167645</v>
      </c>
      <c r="F752" s="10">
        <v>0.51244910369999996</v>
      </c>
      <c r="G752" s="10">
        <v>0.97712017009999996</v>
      </c>
      <c r="H752" s="10">
        <v>1.3963500959999999</v>
      </c>
      <c r="I752" s="10">
        <v>1.6501796202000001</v>
      </c>
    </row>
    <row r="753" spans="1:9" x14ac:dyDescent="0.2">
      <c r="A753">
        <v>20140930</v>
      </c>
      <c r="B753">
        <f t="shared" si="11"/>
        <v>201409</v>
      </c>
      <c r="C753" s="10">
        <v>1.52084284E-2</v>
      </c>
      <c r="D753" s="10">
        <v>1.01390114E-2</v>
      </c>
      <c r="E753" s="10">
        <v>0.13425163570000001</v>
      </c>
      <c r="F753" s="10">
        <v>0.58881678500000001</v>
      </c>
      <c r="G753" s="10">
        <v>1.0962590210000001</v>
      </c>
      <c r="H753" s="10">
        <v>1.5223729984000001</v>
      </c>
      <c r="I753" s="10">
        <v>1.7812844363</v>
      </c>
    </row>
    <row r="754" spans="1:9" x14ac:dyDescent="0.2">
      <c r="A754">
        <v>20141031</v>
      </c>
      <c r="B754">
        <f t="shared" si="11"/>
        <v>201410</v>
      </c>
      <c r="C754" s="10">
        <v>2.5347251999999999E-3</v>
      </c>
      <c r="D754" s="10">
        <v>1.0139015600000001E-2</v>
      </c>
      <c r="E754" s="10">
        <v>0.13179690760000001</v>
      </c>
      <c r="F754" s="10">
        <v>0.50979193339999995</v>
      </c>
      <c r="G754" s="10">
        <v>0.96981719030000002</v>
      </c>
      <c r="H754" s="10">
        <v>1.3756999042</v>
      </c>
      <c r="I754" s="10">
        <v>1.6299580837000001</v>
      </c>
    </row>
    <row r="755" spans="1:9" x14ac:dyDescent="0.2">
      <c r="A755">
        <v>20141128</v>
      </c>
      <c r="B755">
        <f t="shared" si="11"/>
        <v>201411</v>
      </c>
      <c r="C755" s="10">
        <v>5.0694568000000002E-3</v>
      </c>
      <c r="D755" s="10">
        <v>1.0139015600000001E-2</v>
      </c>
      <c r="E755" s="10">
        <v>0.1707525302</v>
      </c>
      <c r="F755" s="10">
        <v>0.47914343450000002</v>
      </c>
      <c r="G755" s="10">
        <v>0.89765377899999999</v>
      </c>
      <c r="H755" s="10">
        <v>1.258445187</v>
      </c>
      <c r="I755" s="10">
        <v>1.4939677209</v>
      </c>
    </row>
    <row r="756" spans="1:9" x14ac:dyDescent="0.2">
      <c r="A756">
        <v>20141231</v>
      </c>
      <c r="B756">
        <f t="shared" si="11"/>
        <v>201412</v>
      </c>
      <c r="C756" s="10">
        <v>1.0138939600000001E-2</v>
      </c>
      <c r="D756" s="10">
        <v>4.0557628499999998E-2</v>
      </c>
      <c r="E756" s="10">
        <v>0.2603580043</v>
      </c>
      <c r="F756" s="10">
        <v>0.68408175400000004</v>
      </c>
      <c r="G756" s="10">
        <v>1.1093016142000001</v>
      </c>
      <c r="H756" s="10">
        <v>1.4743283095999999</v>
      </c>
      <c r="I756" s="10">
        <v>1.6552277508</v>
      </c>
    </row>
    <row r="757" spans="1:9" x14ac:dyDescent="0.2">
      <c r="A757">
        <v>20150130</v>
      </c>
      <c r="B757">
        <f t="shared" si="11"/>
        <v>201501</v>
      </c>
      <c r="C757" s="10">
        <v>-2.0277586E-2</v>
      </c>
      <c r="D757" s="10">
        <v>5.0694761000000003E-3</v>
      </c>
      <c r="E757" s="10">
        <v>0.1618101405</v>
      </c>
      <c r="F757" s="10">
        <v>0.45660396310000001</v>
      </c>
      <c r="G757" s="10">
        <v>0.77209450390000001</v>
      </c>
      <c r="H757" s="10">
        <v>1.0201696099999999</v>
      </c>
      <c r="I757" s="10">
        <v>1.1648488397000001</v>
      </c>
    </row>
    <row r="758" spans="1:9" x14ac:dyDescent="0.2">
      <c r="A758">
        <v>20150227</v>
      </c>
      <c r="B758">
        <f t="shared" si="11"/>
        <v>201502</v>
      </c>
      <c r="C758" s="10">
        <v>-5.0694319999999996E-3</v>
      </c>
      <c r="D758" s="10">
        <v>1.0139015600000001E-2</v>
      </c>
      <c r="E758" s="10">
        <v>0.23398521789999999</v>
      </c>
      <c r="F758" s="10">
        <v>0.63354444659999998</v>
      </c>
      <c r="G758" s="10">
        <v>1.0351306280999999</v>
      </c>
      <c r="H758" s="10">
        <v>1.3383735306</v>
      </c>
      <c r="I758" s="10">
        <v>1.5089349426000001</v>
      </c>
    </row>
    <row r="759" spans="1:9" x14ac:dyDescent="0.2">
      <c r="A759">
        <v>20150331</v>
      </c>
      <c r="B759">
        <f t="shared" si="11"/>
        <v>201503</v>
      </c>
      <c r="C759" s="10">
        <v>3.54866286E-2</v>
      </c>
      <c r="D759" s="10">
        <v>2.78829349E-2</v>
      </c>
      <c r="E759" s="10">
        <v>0.25887724810000001</v>
      </c>
      <c r="F759" s="10">
        <v>0.56634353410000005</v>
      </c>
      <c r="G759" s="10">
        <v>0.90283251870000003</v>
      </c>
      <c r="H759" s="10">
        <v>1.1882894622</v>
      </c>
      <c r="I759" s="10">
        <v>1.3759140224999999</v>
      </c>
    </row>
    <row r="760" spans="1:9" x14ac:dyDescent="0.2">
      <c r="A760">
        <v>20150430</v>
      </c>
      <c r="B760">
        <f t="shared" si="11"/>
        <v>201504</v>
      </c>
      <c r="C760" s="10">
        <v>-5.0694319999999996E-3</v>
      </c>
      <c r="D760" s="10">
        <v>5.0694764999999996E-3</v>
      </c>
      <c r="E760" s="10">
        <v>0.2283041566</v>
      </c>
      <c r="F760" s="10">
        <v>0.58570734440000005</v>
      </c>
      <c r="G760" s="10">
        <v>0.92191316379999999</v>
      </c>
      <c r="H760" s="10">
        <v>1.2259255333000001</v>
      </c>
      <c r="I760" s="10">
        <v>1.4388950958</v>
      </c>
    </row>
    <row r="761" spans="1:9" x14ac:dyDescent="0.2">
      <c r="A761">
        <v>20150529</v>
      </c>
      <c r="B761">
        <f t="shared" si="11"/>
        <v>201505</v>
      </c>
      <c r="C761" s="10">
        <v>2.5347251999999999E-3</v>
      </c>
      <c r="D761" s="10">
        <v>5.0694761000000003E-3</v>
      </c>
      <c r="E761" s="10">
        <v>0.26621694200000001</v>
      </c>
      <c r="F761" s="10">
        <v>0.6117128597</v>
      </c>
      <c r="G761" s="10">
        <v>0.9539945058</v>
      </c>
      <c r="H761" s="10">
        <v>1.2732917822000001</v>
      </c>
      <c r="I761" s="10">
        <v>1.5038680122000001</v>
      </c>
    </row>
    <row r="762" spans="1:9" x14ac:dyDescent="0.2">
      <c r="A762">
        <v>20150630</v>
      </c>
      <c r="B762">
        <f t="shared" si="11"/>
        <v>201506</v>
      </c>
      <c r="C762" s="10">
        <v>-4.5624144999999998E-2</v>
      </c>
      <c r="D762" s="10">
        <v>2.2813163000000001E-2</v>
      </c>
      <c r="E762" s="10">
        <v>0.34362584959999998</v>
      </c>
      <c r="F762" s="10">
        <v>0.6465325381</v>
      </c>
      <c r="G762" s="10">
        <v>1.0279995827999999</v>
      </c>
      <c r="H762" s="10">
        <v>1.3891665302</v>
      </c>
      <c r="I762" s="10">
        <v>1.6648951343</v>
      </c>
    </row>
    <row r="763" spans="1:9" x14ac:dyDescent="0.2">
      <c r="A763">
        <v>20150731</v>
      </c>
      <c r="B763">
        <f t="shared" si="11"/>
        <v>201507</v>
      </c>
      <c r="C763" s="10">
        <v>3.0417097600000002E-2</v>
      </c>
      <c r="D763" s="10">
        <v>6.3373006699999998E-2</v>
      </c>
      <c r="E763" s="10">
        <v>0.36446558670000001</v>
      </c>
      <c r="F763" s="10">
        <v>0.67190479810000003</v>
      </c>
      <c r="G763" s="10">
        <v>0.9935987691</v>
      </c>
      <c r="H763" s="10">
        <v>1.3227536666999999</v>
      </c>
      <c r="I763" s="10">
        <v>1.5525374833000001</v>
      </c>
    </row>
    <row r="764" spans="1:9" x14ac:dyDescent="0.2">
      <c r="A764">
        <v>20150831</v>
      </c>
      <c r="B764">
        <f t="shared" si="11"/>
        <v>201508</v>
      </c>
      <c r="C764" s="10">
        <v>-7.6041420000000004E-3</v>
      </c>
      <c r="D764" s="10">
        <v>2.5347299999999998E-3</v>
      </c>
      <c r="E764" s="10">
        <v>0.442160995</v>
      </c>
      <c r="F764" s="10">
        <v>0.76005873089999998</v>
      </c>
      <c r="G764" s="10">
        <v>1.0943768477</v>
      </c>
      <c r="H764" s="10">
        <v>1.3929646049</v>
      </c>
      <c r="I764" s="10">
        <v>1.5797962219999999</v>
      </c>
    </row>
    <row r="765" spans="1:9" x14ac:dyDescent="0.2">
      <c r="A765">
        <v>20150930</v>
      </c>
      <c r="B765">
        <f t="shared" si="11"/>
        <v>201509</v>
      </c>
      <c r="C765" s="10">
        <v>-2.7881560999999999E-2</v>
      </c>
      <c r="D765" s="10">
        <v>-2.0277259999999998E-2</v>
      </c>
      <c r="E765" s="10">
        <v>0.38970563110000001</v>
      </c>
      <c r="F765" s="10">
        <v>0.63423459459999998</v>
      </c>
      <c r="G765" s="10">
        <v>0.91317613490000005</v>
      </c>
      <c r="H765" s="10">
        <v>1.1925934332000001</v>
      </c>
      <c r="I765" s="10">
        <v>1.3786724259000001</v>
      </c>
    </row>
    <row r="766" spans="1:9" x14ac:dyDescent="0.2">
      <c r="A766">
        <v>20151030</v>
      </c>
      <c r="B766">
        <f t="shared" si="11"/>
        <v>201510</v>
      </c>
      <c r="C766" s="10">
        <v>2.5347521500000001E-2</v>
      </c>
      <c r="D766" s="10">
        <v>7.6048796500000002E-2</v>
      </c>
      <c r="E766" s="10">
        <v>0.47201495049999997</v>
      </c>
      <c r="F766" s="10">
        <v>0.75333056170000001</v>
      </c>
      <c r="G766" s="10">
        <v>1.0336976099999999</v>
      </c>
      <c r="H766" s="10">
        <v>1.3522461294999999</v>
      </c>
      <c r="I766" s="10">
        <v>1.5422762416</v>
      </c>
    </row>
    <row r="767" spans="1:9" x14ac:dyDescent="0.2">
      <c r="A767">
        <v>20151130</v>
      </c>
      <c r="B767">
        <f t="shared" si="11"/>
        <v>201511</v>
      </c>
      <c r="C767" s="10">
        <v>0.1216729532</v>
      </c>
      <c r="D767" s="10">
        <v>0.16478930359999999</v>
      </c>
      <c r="E767" s="10">
        <v>0.71823543229999998</v>
      </c>
      <c r="F767" s="10">
        <v>0.94494982220000001</v>
      </c>
      <c r="G767" s="10">
        <v>1.2251904307000001</v>
      </c>
      <c r="H767" s="10">
        <v>1.4938859878999999</v>
      </c>
      <c r="I767" s="10">
        <v>1.6767663517</v>
      </c>
    </row>
    <row r="768" spans="1:9" x14ac:dyDescent="0.2">
      <c r="A768">
        <v>20151231</v>
      </c>
      <c r="B768">
        <f t="shared" si="11"/>
        <v>201512</v>
      </c>
      <c r="C768" s="10">
        <v>6.8439745699999999E-2</v>
      </c>
      <c r="D768" s="10">
        <v>0.1774698113</v>
      </c>
      <c r="E768" s="10">
        <v>0.70902428309999999</v>
      </c>
      <c r="F768" s="10">
        <v>1.063172225</v>
      </c>
      <c r="G768" s="10">
        <v>1.3266309721</v>
      </c>
      <c r="H768" s="10">
        <v>1.6043886944000001</v>
      </c>
      <c r="I768" s="10">
        <v>1.776803243</v>
      </c>
    </row>
    <row r="769" spans="1:9" x14ac:dyDescent="0.2">
      <c r="A769">
        <v>20160129</v>
      </c>
      <c r="B769">
        <f t="shared" si="11"/>
        <v>201601</v>
      </c>
      <c r="C769" s="10">
        <v>0.22814924170000001</v>
      </c>
      <c r="D769" s="10">
        <v>0.31442741190000001</v>
      </c>
      <c r="E769" s="10">
        <v>0.52848556859999996</v>
      </c>
      <c r="F769" s="10">
        <v>0.79837442059999997</v>
      </c>
      <c r="G769" s="10">
        <v>0.99092629239999996</v>
      </c>
      <c r="H769" s="10">
        <v>1.2061074027000001</v>
      </c>
      <c r="I769" s="10">
        <v>1.3507189595</v>
      </c>
    </row>
    <row r="770" spans="1:9" x14ac:dyDescent="0.2">
      <c r="A770">
        <v>20160229</v>
      </c>
      <c r="B770">
        <f t="shared" si="11"/>
        <v>201602</v>
      </c>
      <c r="C770" s="10">
        <v>0.22307668650000001</v>
      </c>
      <c r="D770" s="10">
        <v>0.31949662379999999</v>
      </c>
      <c r="E770" s="10">
        <v>0.63299156509999999</v>
      </c>
      <c r="F770" s="10">
        <v>0.78346756569999998</v>
      </c>
      <c r="G770" s="10">
        <v>0.90783295850000001</v>
      </c>
      <c r="H770" s="10">
        <v>1.1341527559</v>
      </c>
      <c r="I770" s="10">
        <v>1.2502125568</v>
      </c>
    </row>
    <row r="771" spans="1:9" x14ac:dyDescent="0.2">
      <c r="A771">
        <v>20160331</v>
      </c>
      <c r="B771">
        <f t="shared" si="11"/>
        <v>201603</v>
      </c>
      <c r="C771" s="10">
        <v>7.6044439199999994E-2</v>
      </c>
      <c r="D771" s="10">
        <v>0.20029305650000001</v>
      </c>
      <c r="E771" s="10">
        <v>0.58523267810000001</v>
      </c>
      <c r="F771" s="10">
        <v>0.73564608509999996</v>
      </c>
      <c r="G771" s="10">
        <v>0.86674240430000005</v>
      </c>
      <c r="H771" s="10">
        <v>1.0722489632000001</v>
      </c>
      <c r="I771" s="10">
        <v>1.2210186138000001</v>
      </c>
    </row>
    <row r="772" spans="1:9" x14ac:dyDescent="0.2">
      <c r="A772">
        <v>20160429</v>
      </c>
      <c r="B772">
        <f t="shared" si="11"/>
        <v>201604</v>
      </c>
      <c r="C772" s="10">
        <v>0.1318136476</v>
      </c>
      <c r="D772" s="10">
        <v>0.21297257689999999</v>
      </c>
      <c r="E772" s="10">
        <v>0.55491938929999995</v>
      </c>
      <c r="F772" s="10">
        <v>0.78170798630000005</v>
      </c>
      <c r="G772" s="10">
        <v>0.93970421150000005</v>
      </c>
      <c r="H772" s="10">
        <v>1.1623228514999999</v>
      </c>
      <c r="I772" s="10">
        <v>1.3151645783999999</v>
      </c>
    </row>
    <row r="773" spans="1:9" x14ac:dyDescent="0.2">
      <c r="A773">
        <v>20160531</v>
      </c>
      <c r="B773">
        <f t="shared" si="11"/>
        <v>201605</v>
      </c>
      <c r="C773" s="10">
        <v>0.22814638940000001</v>
      </c>
      <c r="D773" s="10">
        <v>0.3347260306</v>
      </c>
      <c r="E773" s="10">
        <v>0.69199129380000002</v>
      </c>
      <c r="F773" s="10">
        <v>0.88071758680000001</v>
      </c>
      <c r="G773" s="10">
        <v>1.0306351918000001</v>
      </c>
      <c r="H773" s="10">
        <v>1.2606093772</v>
      </c>
      <c r="I773" s="10">
        <v>1.3907512023999999</v>
      </c>
    </row>
    <row r="774" spans="1:9" x14ac:dyDescent="0.2">
      <c r="A774">
        <v>20160629</v>
      </c>
      <c r="B774">
        <f t="shared" si="11"/>
        <v>201606</v>
      </c>
      <c r="C774" s="10">
        <v>0.21040316810000001</v>
      </c>
      <c r="D774" s="10">
        <v>0.26369777459999999</v>
      </c>
      <c r="E774" s="10">
        <v>0.50985244740000002</v>
      </c>
      <c r="F774" s="10">
        <v>0.58985840489999997</v>
      </c>
      <c r="G774" s="10">
        <v>0.69769806280000002</v>
      </c>
      <c r="H774" s="10">
        <v>0.89071850590000001</v>
      </c>
      <c r="I774" s="10">
        <v>1.0118033808</v>
      </c>
    </row>
    <row r="775" spans="1:9" x14ac:dyDescent="0.2">
      <c r="A775">
        <v>20160729</v>
      </c>
      <c r="B775">
        <f t="shared" ref="B775:B838" si="12">ROUND(A775/100,0)</f>
        <v>201607</v>
      </c>
      <c r="C775" s="10">
        <v>0.18251551429999999</v>
      </c>
      <c r="D775" s="10">
        <v>0.2535514653</v>
      </c>
      <c r="E775" s="10">
        <v>0.59921455130000001</v>
      </c>
      <c r="F775" s="10">
        <v>0.65225482079999997</v>
      </c>
      <c r="G775" s="10">
        <v>0.7591270658</v>
      </c>
      <c r="H775" s="10">
        <v>0.93213494080000003</v>
      </c>
      <c r="I775" s="10">
        <v>1.0400119556</v>
      </c>
    </row>
    <row r="776" spans="1:9" x14ac:dyDescent="0.2">
      <c r="A776">
        <v>20160831</v>
      </c>
      <c r="B776">
        <f t="shared" si="12"/>
        <v>201608</v>
      </c>
      <c r="C776" s="10">
        <v>0.2382918893</v>
      </c>
      <c r="D776" s="10">
        <v>0.33218764179999999</v>
      </c>
      <c r="E776" s="10">
        <v>0.67631962879999996</v>
      </c>
      <c r="F776" s="10">
        <v>0.81959553860000001</v>
      </c>
      <c r="G776" s="10">
        <v>0.9399614329</v>
      </c>
      <c r="H776" s="10">
        <v>1.1286522899</v>
      </c>
      <c r="I776" s="10">
        <v>1.2215037097999999</v>
      </c>
    </row>
    <row r="777" spans="1:9" x14ac:dyDescent="0.2">
      <c r="A777">
        <v>20160930</v>
      </c>
      <c r="B777">
        <f t="shared" si="12"/>
        <v>201609</v>
      </c>
      <c r="C777" s="10">
        <v>0.1875858326</v>
      </c>
      <c r="D777" s="10">
        <v>0.27891533260000001</v>
      </c>
      <c r="E777" s="10">
        <v>0.66380014789999997</v>
      </c>
      <c r="F777" s="10">
        <v>0.78295375680000001</v>
      </c>
      <c r="G777" s="10">
        <v>0.89665173919999996</v>
      </c>
      <c r="H777" s="10">
        <v>1.0684441060000001</v>
      </c>
      <c r="I777" s="10">
        <v>1.1752242002</v>
      </c>
    </row>
    <row r="778" spans="1:9" x14ac:dyDescent="0.2">
      <c r="A778">
        <v>20161031</v>
      </c>
      <c r="B778">
        <f t="shared" si="12"/>
        <v>201610</v>
      </c>
      <c r="C778" s="10">
        <v>0.1622333986</v>
      </c>
      <c r="D778" s="10">
        <v>0.30427698040000001</v>
      </c>
      <c r="E778" s="10">
        <v>0.69740643950000003</v>
      </c>
      <c r="F778" s="10">
        <v>0.85996484080000002</v>
      </c>
      <c r="G778" s="10">
        <v>1.000570551</v>
      </c>
      <c r="H778" s="10">
        <v>1.2058188137000001</v>
      </c>
      <c r="I778" s="10">
        <v>1.3352890180000001</v>
      </c>
    </row>
    <row r="779" spans="1:9" x14ac:dyDescent="0.2">
      <c r="A779">
        <v>20161130</v>
      </c>
      <c r="B779">
        <f t="shared" si="12"/>
        <v>201611</v>
      </c>
      <c r="C779" s="10">
        <v>0.3042123008</v>
      </c>
      <c r="D779" s="10">
        <v>0.48442757269999998</v>
      </c>
      <c r="E779" s="10">
        <v>0.88971567829999998</v>
      </c>
      <c r="F779" s="10">
        <v>1.1153526647000001</v>
      </c>
      <c r="G779" s="10">
        <v>1.4016091137</v>
      </c>
      <c r="H779" s="10">
        <v>1.7217811235</v>
      </c>
      <c r="I779" s="10">
        <v>1.8790656145</v>
      </c>
    </row>
    <row r="780" spans="1:9" x14ac:dyDescent="0.2">
      <c r="A780">
        <v>20161230</v>
      </c>
      <c r="B780">
        <f t="shared" si="12"/>
        <v>201612</v>
      </c>
      <c r="C780" s="10">
        <v>0.41070355209999998</v>
      </c>
      <c r="D780" s="10">
        <v>0.49711009769999998</v>
      </c>
      <c r="E780" s="10">
        <v>0.8588167323</v>
      </c>
      <c r="F780" s="10">
        <v>1.1955578812000001</v>
      </c>
      <c r="G780" s="10">
        <v>1.4514909006000001</v>
      </c>
      <c r="H780" s="10">
        <v>1.759157299</v>
      </c>
      <c r="I780" s="10">
        <v>1.9486278785</v>
      </c>
    </row>
    <row r="781" spans="1:9" x14ac:dyDescent="0.2">
      <c r="A781">
        <v>20170131</v>
      </c>
      <c r="B781">
        <f t="shared" si="12"/>
        <v>201701</v>
      </c>
      <c r="C781" s="10">
        <v>0.47154970200000002</v>
      </c>
      <c r="D781" s="10">
        <v>0.51742426149999998</v>
      </c>
      <c r="E781" s="10">
        <v>0.82738927220000003</v>
      </c>
      <c r="F781" s="10">
        <v>1.2157195939000001</v>
      </c>
      <c r="G781" s="10">
        <v>1.4837759265999999</v>
      </c>
      <c r="H781" s="10">
        <v>1.7560027984</v>
      </c>
      <c r="I781" s="10">
        <v>1.9302884308999999</v>
      </c>
    </row>
    <row r="782" spans="1:9" x14ac:dyDescent="0.2">
      <c r="A782">
        <v>20170228</v>
      </c>
      <c r="B782">
        <f t="shared" si="12"/>
        <v>201702</v>
      </c>
      <c r="C782" s="10">
        <v>0.42895060699999998</v>
      </c>
      <c r="D782" s="10">
        <v>0.61388262650000003</v>
      </c>
      <c r="E782" s="10">
        <v>0.89906134699999996</v>
      </c>
      <c r="F782" s="10">
        <v>1.2594017495000001</v>
      </c>
      <c r="G782" s="10">
        <v>1.5335468326999999</v>
      </c>
      <c r="H782" s="10">
        <v>1.7945173109000001</v>
      </c>
      <c r="I782" s="10">
        <v>1.9532222713</v>
      </c>
    </row>
    <row r="783" spans="1:9" x14ac:dyDescent="0.2">
      <c r="A783">
        <v>20170331</v>
      </c>
      <c r="B783">
        <f t="shared" si="12"/>
        <v>201703</v>
      </c>
      <c r="C783" s="10">
        <v>0.6896659275</v>
      </c>
      <c r="D783" s="10">
        <v>0.75351206999999998</v>
      </c>
      <c r="E783" s="10">
        <v>1.0210989938999999</v>
      </c>
      <c r="F783" s="10">
        <v>1.2564567815000001</v>
      </c>
      <c r="G783" s="10">
        <v>1.5107372957</v>
      </c>
      <c r="H783" s="10">
        <v>1.7791735048999999</v>
      </c>
      <c r="I783" s="10">
        <v>1.9362376211000001</v>
      </c>
    </row>
    <row r="784" spans="1:9" x14ac:dyDescent="0.2">
      <c r="A784">
        <v>20170428</v>
      </c>
      <c r="B784">
        <f t="shared" si="12"/>
        <v>201704</v>
      </c>
      <c r="C784" s="10">
        <v>0.67444792870000003</v>
      </c>
      <c r="D784" s="10">
        <v>0.79414508220000002</v>
      </c>
      <c r="E784" s="10">
        <v>1.0872118795000001</v>
      </c>
      <c r="F784" s="10">
        <v>1.2618922799000001</v>
      </c>
      <c r="G784" s="10">
        <v>1.4521252193</v>
      </c>
      <c r="H784" s="10">
        <v>1.6898852236999999</v>
      </c>
      <c r="I784" s="10">
        <v>1.8267666775</v>
      </c>
    </row>
    <row r="785" spans="1:9" x14ac:dyDescent="0.2">
      <c r="A785">
        <v>20170531</v>
      </c>
      <c r="B785">
        <f t="shared" si="12"/>
        <v>201705</v>
      </c>
      <c r="C785" s="10">
        <v>0.75055551760000006</v>
      </c>
      <c r="D785" s="10">
        <v>0.97198829740000003</v>
      </c>
      <c r="E785" s="10">
        <v>1.1954342309999999</v>
      </c>
      <c r="F785" s="10">
        <v>1.2764952949999999</v>
      </c>
      <c r="G785" s="10">
        <v>1.4459595595000001</v>
      </c>
      <c r="H785" s="10">
        <v>1.6326212162</v>
      </c>
      <c r="I785" s="10">
        <v>1.7625548632000001</v>
      </c>
    </row>
    <row r="786" spans="1:9" x14ac:dyDescent="0.2">
      <c r="A786">
        <v>20170630</v>
      </c>
      <c r="B786">
        <f t="shared" si="12"/>
        <v>201706</v>
      </c>
      <c r="C786" s="10">
        <v>0.85707815460000003</v>
      </c>
      <c r="D786" s="10">
        <v>1.0151583662000001</v>
      </c>
      <c r="E786" s="10">
        <v>1.2641550908000001</v>
      </c>
      <c r="F786" s="10">
        <v>1.3742497407000001</v>
      </c>
      <c r="G786" s="10">
        <v>1.5553847766</v>
      </c>
      <c r="H786" s="10">
        <v>1.7517955966000001</v>
      </c>
      <c r="I786" s="10">
        <v>1.8970515480000001</v>
      </c>
    </row>
    <row r="787" spans="1:9" x14ac:dyDescent="0.2">
      <c r="A787">
        <v>20170731</v>
      </c>
      <c r="B787">
        <f t="shared" si="12"/>
        <v>201707</v>
      </c>
      <c r="C787" s="12">
        <v>0.97373586630019004</v>
      </c>
      <c r="D787" s="12">
        <v>1.0761011176188</v>
      </c>
      <c r="E787" s="11">
        <v>1.245898461291</v>
      </c>
      <c r="F787" s="11">
        <v>1.3449603372612</v>
      </c>
      <c r="G787" s="11">
        <v>1.5126733127081999</v>
      </c>
      <c r="H787" s="11">
        <v>1.7086958399512999</v>
      </c>
      <c r="I787" s="11">
        <v>1.8432374634902</v>
      </c>
    </row>
    <row r="788" spans="1:9" x14ac:dyDescent="0.2">
      <c r="A788">
        <v>20170831</v>
      </c>
      <c r="B788">
        <f t="shared" si="12"/>
        <v>201708</v>
      </c>
      <c r="C788" s="12">
        <v>1.1107997077262</v>
      </c>
      <c r="D788" s="12">
        <v>0.99230283629478</v>
      </c>
      <c r="E788" s="11">
        <v>1.2418802002230001</v>
      </c>
      <c r="F788" s="11">
        <v>1.3218179260126</v>
      </c>
      <c r="G788" s="11">
        <v>1.4326864491549001</v>
      </c>
      <c r="H788" s="11">
        <v>1.5988480999382</v>
      </c>
      <c r="I788" s="11">
        <v>1.7133785800093999</v>
      </c>
    </row>
    <row r="789" spans="1:9" x14ac:dyDescent="0.2">
      <c r="A789">
        <v>20170929</v>
      </c>
      <c r="B789">
        <f t="shared" si="12"/>
        <v>201709</v>
      </c>
      <c r="C789" s="12">
        <v>0.95855281785180002</v>
      </c>
      <c r="D789" s="12">
        <v>1.0507349753703001</v>
      </c>
      <c r="E789" s="11">
        <v>1.3463655945572</v>
      </c>
      <c r="F789" s="11">
        <v>1.4800141819588</v>
      </c>
      <c r="G789" s="11">
        <v>1.6361652633557</v>
      </c>
      <c r="H789" s="11">
        <v>1.8157482230494</v>
      </c>
      <c r="I789" s="11">
        <v>1.9450971085063999</v>
      </c>
    </row>
    <row r="790" spans="1:9" x14ac:dyDescent="0.2">
      <c r="A790">
        <v>20171031</v>
      </c>
      <c r="B790">
        <f t="shared" si="12"/>
        <v>201710</v>
      </c>
      <c r="C790" s="12">
        <v>1.0041642747416</v>
      </c>
      <c r="D790" s="12">
        <v>1.1448278075316001</v>
      </c>
      <c r="E790" s="11">
        <v>1.4795688431573999</v>
      </c>
      <c r="F790" s="11">
        <v>1.5980720888791</v>
      </c>
      <c r="G790" s="11">
        <v>1.7404515334649</v>
      </c>
      <c r="H790" s="11">
        <v>1.8925996106194001</v>
      </c>
      <c r="I790" s="11">
        <v>2.0239431519864</v>
      </c>
    </row>
    <row r="791" spans="1:9" x14ac:dyDescent="0.2">
      <c r="A791">
        <v>20171130</v>
      </c>
      <c r="B791">
        <f t="shared" si="12"/>
        <v>201711</v>
      </c>
      <c r="C791" s="12">
        <v>1.1031541114454</v>
      </c>
      <c r="D791" s="12">
        <v>1.2591966958252001</v>
      </c>
      <c r="E791" s="11">
        <v>1.6360119580057</v>
      </c>
      <c r="F791" s="11">
        <v>1.7745532681278</v>
      </c>
      <c r="G791" s="11">
        <v>1.9007834764739999</v>
      </c>
      <c r="H791" s="11">
        <v>2.0364714432040998</v>
      </c>
      <c r="I791" s="11">
        <v>2.1378122342141999</v>
      </c>
    </row>
    <row r="792" spans="1:9" x14ac:dyDescent="0.2">
      <c r="A792">
        <v>20171229</v>
      </c>
      <c r="B792">
        <f t="shared" si="12"/>
        <v>201712</v>
      </c>
      <c r="C792" s="12">
        <v>1.237657609752</v>
      </c>
      <c r="D792" s="12">
        <v>1.3812383269045001</v>
      </c>
      <c r="E792" s="11">
        <v>1.7637635028195999</v>
      </c>
      <c r="F792" s="11">
        <v>1.8727342957593001</v>
      </c>
      <c r="G792" s="11">
        <v>1.9723062381794001</v>
      </c>
      <c r="H792" s="11">
        <v>2.1109669903664998</v>
      </c>
      <c r="I792" s="11">
        <v>2.2019745725017001</v>
      </c>
    </row>
    <row r="793" spans="1:9" x14ac:dyDescent="0.2">
      <c r="A793">
        <v>20180131</v>
      </c>
      <c r="B793">
        <f t="shared" si="12"/>
        <v>201801</v>
      </c>
      <c r="C793" s="12">
        <v>1.3519078532175</v>
      </c>
      <c r="D793" s="12">
        <v>1.4576048726001001</v>
      </c>
      <c r="E793" s="11">
        <v>1.8754280317536001</v>
      </c>
      <c r="F793" s="11">
        <v>2.1304747493962002</v>
      </c>
      <c r="G793" s="11">
        <v>2.2938365171094999</v>
      </c>
      <c r="H793" s="11">
        <v>2.4243371872495998</v>
      </c>
      <c r="I793" s="11">
        <v>2.5133389590455</v>
      </c>
    </row>
    <row r="794" spans="1:9" x14ac:dyDescent="0.2">
      <c r="A794">
        <v>20180228</v>
      </c>
      <c r="B794">
        <f t="shared" si="12"/>
        <v>201802</v>
      </c>
      <c r="C794" s="12">
        <v>1.1914750048957001</v>
      </c>
      <c r="D794" s="12">
        <v>1.5431970821424001</v>
      </c>
      <c r="E794" s="11">
        <v>2.0460327401064</v>
      </c>
      <c r="F794" s="11">
        <v>2.2505209008352001</v>
      </c>
      <c r="G794" s="11">
        <v>2.4096858787225002</v>
      </c>
      <c r="H794" s="11">
        <v>2.5575439109164</v>
      </c>
      <c r="I794" s="11">
        <v>2.6388325310381999</v>
      </c>
    </row>
    <row r="795" spans="1:9" x14ac:dyDescent="0.2">
      <c r="A795">
        <v>20180329</v>
      </c>
      <c r="B795">
        <f t="shared" si="12"/>
        <v>201803</v>
      </c>
      <c r="C795" s="12">
        <v>1.6285626154977</v>
      </c>
      <c r="D795" s="12">
        <v>1.7018693177181001</v>
      </c>
      <c r="E795" s="11">
        <v>2.0844048588573001</v>
      </c>
      <c r="F795" s="11">
        <v>2.2656465907860999</v>
      </c>
      <c r="G795" s="11">
        <v>2.3776756978543001</v>
      </c>
      <c r="H795" s="11">
        <v>2.4809878751164001</v>
      </c>
      <c r="I795" s="11">
        <v>2.5530680716874001</v>
      </c>
    </row>
    <row r="796" spans="1:9" x14ac:dyDescent="0.2">
      <c r="A796">
        <v>20180430</v>
      </c>
      <c r="B796">
        <f t="shared" si="12"/>
        <v>201804</v>
      </c>
      <c r="C796" s="12">
        <v>1.6487232474569999</v>
      </c>
      <c r="D796" s="12">
        <v>1.8191156025585</v>
      </c>
      <c r="E796" s="11">
        <v>2.2440970245737</v>
      </c>
      <c r="F796" s="11">
        <v>2.4794283931907999</v>
      </c>
      <c r="G796" s="11">
        <v>2.6328228839341001</v>
      </c>
      <c r="H796" s="11">
        <v>2.7286886780762001</v>
      </c>
      <c r="I796" s="11">
        <v>2.7909917844766001</v>
      </c>
    </row>
    <row r="797" spans="1:9" x14ac:dyDescent="0.2">
      <c r="A797">
        <v>20180531</v>
      </c>
      <c r="B797">
        <f t="shared" si="12"/>
        <v>201805</v>
      </c>
      <c r="C797" s="12">
        <v>1.7580435182742999</v>
      </c>
      <c r="D797" s="12">
        <v>1.8953739824642</v>
      </c>
      <c r="E797" s="11">
        <v>2.2594718398858</v>
      </c>
      <c r="F797" s="11">
        <v>2.4160298389929999</v>
      </c>
      <c r="G797" s="11">
        <v>2.5512427922248002</v>
      </c>
      <c r="H797" s="11">
        <v>2.6416406146264002</v>
      </c>
      <c r="I797" s="11">
        <v>2.6891743363403999</v>
      </c>
    </row>
    <row r="798" spans="1:9" x14ac:dyDescent="0.2">
      <c r="A798">
        <v>20180629</v>
      </c>
      <c r="B798">
        <f t="shared" si="12"/>
        <v>201806</v>
      </c>
      <c r="C798" s="12">
        <v>1.7783123610583</v>
      </c>
      <c r="D798" s="12">
        <v>1.9106045572150001</v>
      </c>
      <c r="E798" s="11">
        <v>2.3287202396438</v>
      </c>
      <c r="F798" s="11">
        <v>2.5166365578006</v>
      </c>
      <c r="G798" s="11">
        <v>2.6131634383694999</v>
      </c>
      <c r="H798" s="11">
        <v>2.6913371370555002</v>
      </c>
      <c r="I798" s="11">
        <v>2.7280822120587001</v>
      </c>
    </row>
    <row r="799" spans="1:9" x14ac:dyDescent="0.2">
      <c r="A799">
        <v>20180731</v>
      </c>
      <c r="B799">
        <f t="shared" si="12"/>
        <v>201807</v>
      </c>
      <c r="C799" s="12">
        <v>1.9152219151896002</v>
      </c>
      <c r="D799" s="12">
        <v>2.0228429044959002</v>
      </c>
      <c r="E799" s="11">
        <v>2.4378047679303001</v>
      </c>
      <c r="F799" s="11">
        <v>2.6605692525786</v>
      </c>
      <c r="G799" s="11">
        <v>2.7522615548299001</v>
      </c>
      <c r="H799" s="11">
        <v>2.798227012026</v>
      </c>
      <c r="I799" s="11">
        <v>2.8346034572301</v>
      </c>
    </row>
    <row r="800" spans="1:9" x14ac:dyDescent="0.2">
      <c r="A800">
        <v>20180831</v>
      </c>
      <c r="B800">
        <f t="shared" si="12"/>
        <v>201808</v>
      </c>
      <c r="C800" s="12">
        <v>1.9636698503406</v>
      </c>
      <c r="D800" s="12">
        <v>2.0940078214014002</v>
      </c>
      <c r="E800" s="11">
        <v>2.4575893581360999</v>
      </c>
      <c r="F800" s="11">
        <v>2.6036333162926</v>
      </c>
      <c r="G800" s="11">
        <v>2.6752231274713001</v>
      </c>
      <c r="H800" s="11">
        <v>2.7173202663997</v>
      </c>
      <c r="I800" s="11">
        <v>2.7272029146698999</v>
      </c>
    </row>
    <row r="801" spans="1:9" x14ac:dyDescent="0.2">
      <c r="A801">
        <v>20180928</v>
      </c>
      <c r="B801">
        <f t="shared" si="12"/>
        <v>201809</v>
      </c>
      <c r="C801" s="12">
        <v>2.0855661901583002</v>
      </c>
      <c r="D801" s="12">
        <v>2.1959343733857</v>
      </c>
      <c r="E801" s="11">
        <v>2.6159781609118</v>
      </c>
      <c r="F801" s="11">
        <v>2.7974520397639</v>
      </c>
      <c r="G801" s="11">
        <v>2.8639178027574999</v>
      </c>
      <c r="H801" s="11">
        <v>2.9125173711746002</v>
      </c>
      <c r="I801" s="11">
        <v>2.9333054418761999</v>
      </c>
    </row>
    <row r="802" spans="1:9" x14ac:dyDescent="0.2">
      <c r="A802">
        <v>20181031</v>
      </c>
      <c r="B802">
        <f t="shared" si="12"/>
        <v>201810</v>
      </c>
      <c r="C802" s="12">
        <v>2.1771274715278999</v>
      </c>
      <c r="D802" s="12">
        <v>2.3209771834283002</v>
      </c>
      <c r="E802" s="11">
        <v>2.6869084092329998</v>
      </c>
      <c r="F802" s="11">
        <v>2.8487544549571</v>
      </c>
      <c r="G802" s="11">
        <v>2.9103883233710999</v>
      </c>
      <c r="H802" s="11">
        <v>2.9417736937078001</v>
      </c>
      <c r="I802" s="11">
        <v>2.9607536369377998</v>
      </c>
    </row>
    <row r="803" spans="1:9" x14ac:dyDescent="0.2">
      <c r="A803">
        <v>20181130</v>
      </c>
      <c r="B803">
        <f t="shared" si="12"/>
        <v>201811</v>
      </c>
      <c r="C803" s="12">
        <v>2.2582064615342001</v>
      </c>
      <c r="D803" s="12">
        <v>2.3488722489008</v>
      </c>
      <c r="E803" s="11">
        <v>2.6802477487713001</v>
      </c>
      <c r="F803" s="11">
        <v>2.7642106783243001</v>
      </c>
      <c r="G803" s="11">
        <v>2.7725193214989998</v>
      </c>
      <c r="H803" s="11">
        <v>2.7988810372983002</v>
      </c>
      <c r="I803" s="11">
        <v>2.8058871393649998</v>
      </c>
    </row>
    <row r="804" spans="1:9" x14ac:dyDescent="0.2">
      <c r="A804">
        <v>20181231</v>
      </c>
      <c r="B804">
        <f t="shared" si="12"/>
        <v>201812</v>
      </c>
      <c r="C804" s="12">
        <v>2.2580666657146002</v>
      </c>
      <c r="D804" s="12">
        <v>2.3537430400248001</v>
      </c>
      <c r="E804" s="11">
        <v>2.6026230246219999</v>
      </c>
      <c r="F804" s="11">
        <v>2.4582892644430001</v>
      </c>
      <c r="G804" s="11">
        <v>2.4409156098623002</v>
      </c>
      <c r="H804" s="11">
        <v>2.4734046969291001</v>
      </c>
      <c r="I804" s="11">
        <v>2.4997686433750999</v>
      </c>
    </row>
    <row r="805" spans="1:9" x14ac:dyDescent="0.2">
      <c r="A805">
        <v>20190131</v>
      </c>
      <c r="B805">
        <f t="shared" si="12"/>
        <v>201901</v>
      </c>
      <c r="C805" s="12">
        <v>2.3547269703248999</v>
      </c>
      <c r="D805" s="12">
        <v>2.3820942735638</v>
      </c>
      <c r="E805" s="11">
        <v>2.5320186556822999</v>
      </c>
      <c r="F805" s="11">
        <v>2.4434246246909002</v>
      </c>
      <c r="G805" s="11">
        <v>2.4152959818177</v>
      </c>
      <c r="H805" s="11">
        <v>2.4217834233606998</v>
      </c>
      <c r="I805" s="11">
        <v>2.4252407817047001</v>
      </c>
    </row>
    <row r="806" spans="1:9" x14ac:dyDescent="0.2">
      <c r="A806">
        <v>20190228</v>
      </c>
      <c r="B806">
        <f t="shared" si="12"/>
        <v>201902</v>
      </c>
      <c r="C806" s="12">
        <v>2.4258527353166999</v>
      </c>
      <c r="D806" s="12">
        <v>2.4279936691251001</v>
      </c>
      <c r="E806" s="11">
        <v>2.5256434777771002</v>
      </c>
      <c r="F806" s="11">
        <v>2.5012238038914001</v>
      </c>
      <c r="G806" s="11">
        <v>2.4821055991482002</v>
      </c>
      <c r="H806" s="11">
        <v>2.4952001960654999</v>
      </c>
      <c r="I806" s="11">
        <v>2.5062545666101999</v>
      </c>
    </row>
    <row r="807" spans="1:9" x14ac:dyDescent="0.2">
      <c r="A807">
        <v>20190329</v>
      </c>
      <c r="B807">
        <f t="shared" si="12"/>
        <v>201903</v>
      </c>
      <c r="C807" s="12">
        <v>2.4206918409433</v>
      </c>
      <c r="D807" s="12">
        <v>2.3794667460969001</v>
      </c>
      <c r="E807" s="11">
        <v>2.3675708969737999</v>
      </c>
      <c r="F807" s="11">
        <v>2.2385865170602002</v>
      </c>
      <c r="G807" s="11">
        <v>2.1921762169769998</v>
      </c>
      <c r="H807" s="11">
        <v>2.2115838891488999</v>
      </c>
      <c r="I807" s="11">
        <v>2.2173825322691001</v>
      </c>
    </row>
    <row r="808" spans="1:9" x14ac:dyDescent="0.2">
      <c r="A808">
        <v>20190430</v>
      </c>
      <c r="B808">
        <f t="shared" si="12"/>
        <v>201904</v>
      </c>
      <c r="C808" s="12">
        <v>2.4103721628162003</v>
      </c>
      <c r="D808" s="12">
        <v>2.4154034647703999</v>
      </c>
      <c r="E808" s="11">
        <v>2.3569778217977002</v>
      </c>
      <c r="F808" s="11">
        <v>2.2524208211409</v>
      </c>
      <c r="G808" s="11">
        <v>2.2282886383549001</v>
      </c>
      <c r="H808" s="11">
        <v>2.2475973916381999</v>
      </c>
      <c r="I808" s="11">
        <v>2.2706187278862999</v>
      </c>
    </row>
    <row r="809" spans="1:9" x14ac:dyDescent="0.2">
      <c r="A809">
        <v>20190531</v>
      </c>
      <c r="B809">
        <f t="shared" si="12"/>
        <v>201905</v>
      </c>
      <c r="C809" s="12">
        <v>2.3495710552794002</v>
      </c>
      <c r="D809" s="12">
        <v>2.3386745960367001</v>
      </c>
      <c r="E809" s="11">
        <v>2.2048595796663002</v>
      </c>
      <c r="F809" s="11">
        <v>1.9250588873414001</v>
      </c>
      <c r="G809" s="11">
        <v>1.8745228490221</v>
      </c>
      <c r="H809" s="11">
        <v>1.8909846043459</v>
      </c>
      <c r="I809" s="11">
        <v>1.9004771576901001</v>
      </c>
    </row>
    <row r="810" spans="1:9" x14ac:dyDescent="0.2">
      <c r="A810">
        <v>20190628</v>
      </c>
      <c r="B810">
        <f t="shared" si="12"/>
        <v>201906</v>
      </c>
      <c r="C810" s="12">
        <v>2.0321216252724001</v>
      </c>
      <c r="D810" s="12">
        <v>2.0812688033937001</v>
      </c>
      <c r="E810" s="11">
        <v>1.9425633714952999</v>
      </c>
      <c r="F810" s="11">
        <v>1.7461504147919999</v>
      </c>
      <c r="G810" s="11">
        <v>1.7093887857326</v>
      </c>
      <c r="H810" s="11">
        <v>1.7327065353830999</v>
      </c>
      <c r="I810" s="11">
        <v>1.7629252902089001</v>
      </c>
    </row>
    <row r="811" spans="1:9" x14ac:dyDescent="0.2">
      <c r="A811">
        <v>20190731</v>
      </c>
      <c r="B811">
        <f t="shared" si="12"/>
        <v>201907</v>
      </c>
      <c r="C811" s="12">
        <v>2.2531962603691</v>
      </c>
      <c r="D811" s="12">
        <v>2.0227867568148001</v>
      </c>
      <c r="E811" s="11">
        <v>2.0393438542769</v>
      </c>
      <c r="F811" s="11">
        <v>1.8676222291308999</v>
      </c>
      <c r="G811" s="11">
        <v>1.8176430746407</v>
      </c>
      <c r="H811" s="11">
        <v>1.8251132626444999</v>
      </c>
      <c r="I811" s="11">
        <v>1.8241227785606</v>
      </c>
    </row>
    <row r="812" spans="1:9" x14ac:dyDescent="0.2">
      <c r="A812">
        <v>20190830</v>
      </c>
      <c r="B812">
        <f t="shared" si="12"/>
        <v>201908</v>
      </c>
      <c r="C812" s="12">
        <v>2.0854469552941</v>
      </c>
      <c r="D812" s="12">
        <v>1.9717831082756001</v>
      </c>
      <c r="E812" s="11">
        <v>1.7887280462113</v>
      </c>
      <c r="F812" s="11">
        <v>1.5055313753290001</v>
      </c>
      <c r="G812" s="11">
        <v>1.4228354506872001</v>
      </c>
      <c r="H812" s="11">
        <v>1.4053416860479</v>
      </c>
      <c r="I812" s="11">
        <v>1.3909131524681999</v>
      </c>
    </row>
    <row r="813" spans="1:9" x14ac:dyDescent="0.2">
      <c r="A813">
        <v>20190930</v>
      </c>
      <c r="B813">
        <f t="shared" si="12"/>
        <v>201909</v>
      </c>
      <c r="C813" s="12">
        <v>1.8010295404926</v>
      </c>
      <c r="D813" s="12">
        <v>1.8086150467018001</v>
      </c>
      <c r="E813" s="11">
        <v>1.7856870177968001</v>
      </c>
      <c r="F813" s="11">
        <v>1.626618458124</v>
      </c>
      <c r="G813" s="11">
        <v>1.5549617445966</v>
      </c>
      <c r="H813" s="11">
        <v>1.55126529658</v>
      </c>
      <c r="I813" s="11">
        <v>1.5453809491829</v>
      </c>
    </row>
    <row r="814" spans="1:9" x14ac:dyDescent="0.2">
      <c r="A814">
        <v>20191031</v>
      </c>
      <c r="B814">
        <f t="shared" si="12"/>
        <v>201910</v>
      </c>
      <c r="C814" s="12">
        <v>1.5168034528026</v>
      </c>
      <c r="D814" s="12">
        <v>1.5389903971298</v>
      </c>
      <c r="E814" s="11">
        <v>1.5098682785321</v>
      </c>
      <c r="F814" s="11">
        <v>1.5387931869527001</v>
      </c>
      <c r="G814" s="11">
        <v>1.5085919721703001</v>
      </c>
      <c r="H814" s="11">
        <v>1.516297219018</v>
      </c>
      <c r="I814" s="11">
        <v>1.5228960769335</v>
      </c>
    </row>
    <row r="815" spans="1:9" x14ac:dyDescent="0.2">
      <c r="A815">
        <v>20191129</v>
      </c>
      <c r="B815">
        <f t="shared" si="12"/>
        <v>201911</v>
      </c>
      <c r="C815" s="12">
        <v>1.6309919197061</v>
      </c>
      <c r="D815" s="12">
        <v>1.5720359271057001</v>
      </c>
      <c r="E815" s="11">
        <v>1.5817643198772</v>
      </c>
      <c r="F815" s="11">
        <v>1.6224597504895999</v>
      </c>
      <c r="G815" s="11">
        <v>1.6091791255453001</v>
      </c>
      <c r="H815" s="11">
        <v>1.6191748146906</v>
      </c>
      <c r="I815" s="11">
        <v>1.6326232484919001</v>
      </c>
    </row>
    <row r="816" spans="1:9" x14ac:dyDescent="0.2">
      <c r="A816">
        <v>20191231</v>
      </c>
      <c r="B816">
        <f t="shared" si="12"/>
        <v>201912</v>
      </c>
      <c r="C816" s="12">
        <v>1.4151977431563001</v>
      </c>
      <c r="D816" s="12">
        <v>1.5416000637567</v>
      </c>
      <c r="E816" s="11">
        <v>1.5685913026783</v>
      </c>
      <c r="F816" s="11">
        <v>1.5755549335354</v>
      </c>
      <c r="G816" s="11">
        <v>1.6059361280122</v>
      </c>
      <c r="H816" s="11">
        <v>1.6623880208206001</v>
      </c>
      <c r="I816" s="11">
        <v>1.6894964701863</v>
      </c>
    </row>
    <row r="817" spans="1:9" x14ac:dyDescent="0.2">
      <c r="A817">
        <v>20200131</v>
      </c>
      <c r="B817">
        <f t="shared" si="12"/>
        <v>202001</v>
      </c>
      <c r="C817" s="12">
        <v>1.5599203552077001</v>
      </c>
      <c r="D817" s="12">
        <v>1.5465910601984001</v>
      </c>
      <c r="E817" s="11">
        <v>1.4381820008740001</v>
      </c>
      <c r="F817" s="11">
        <v>1.3170155569055999</v>
      </c>
      <c r="G817" s="11">
        <v>1.2896669581944</v>
      </c>
      <c r="H817" s="11">
        <v>1.2949156925533001</v>
      </c>
      <c r="I817" s="11">
        <v>1.3103826333049999</v>
      </c>
    </row>
    <row r="818" spans="1:9" x14ac:dyDescent="0.2">
      <c r="A818">
        <v>20200228</v>
      </c>
      <c r="B818">
        <f t="shared" si="12"/>
        <v>202002</v>
      </c>
      <c r="C818" s="12">
        <v>1.4457074748198</v>
      </c>
      <c r="D818" s="12">
        <v>1.2744308660682</v>
      </c>
      <c r="E818" s="11">
        <v>1.0112581224121999</v>
      </c>
      <c r="F818" s="11">
        <v>0.92111903137813</v>
      </c>
      <c r="G818" s="11">
        <v>0.90658282803197998</v>
      </c>
      <c r="H818" s="11">
        <v>0.93055899829288002</v>
      </c>
      <c r="I818" s="11">
        <v>0.94191393941241996</v>
      </c>
    </row>
    <row r="819" spans="1:9" x14ac:dyDescent="0.2">
      <c r="A819">
        <v>20200331</v>
      </c>
      <c r="B819">
        <f t="shared" si="12"/>
        <v>202003</v>
      </c>
      <c r="C819" s="12">
        <v>4.0555623148125003E-3</v>
      </c>
      <c r="D819" s="12">
        <v>0.10393737259348999</v>
      </c>
      <c r="E819" s="11">
        <v>0.15944969728381</v>
      </c>
      <c r="F819" s="11">
        <v>0.25164731718570998</v>
      </c>
      <c r="G819" s="11">
        <v>0.30250019833531</v>
      </c>
      <c r="H819" s="11">
        <v>0.34601268456945</v>
      </c>
      <c r="I819" s="11">
        <v>0.39543550974172997</v>
      </c>
    </row>
    <row r="820" spans="1:9" x14ac:dyDescent="0.2">
      <c r="A820">
        <v>20200430</v>
      </c>
      <c r="B820">
        <f t="shared" si="12"/>
        <v>202004</v>
      </c>
      <c r="C820" s="12">
        <v>7.3509387127299999E-2</v>
      </c>
      <c r="D820" s="12">
        <v>0.10140170547780999</v>
      </c>
      <c r="E820" s="11">
        <v>0.15641939056625001</v>
      </c>
      <c r="F820" s="11">
        <v>0.20694119413927001</v>
      </c>
      <c r="G820" s="11">
        <v>0.25555590702128</v>
      </c>
      <c r="H820" s="11">
        <v>0.32064332342539997</v>
      </c>
      <c r="I820" s="11">
        <v>0.37291802172826</v>
      </c>
    </row>
    <row r="821" spans="1:9" x14ac:dyDescent="0.2">
      <c r="A821">
        <v>20200529</v>
      </c>
      <c r="B821">
        <f t="shared" si="12"/>
        <v>202005</v>
      </c>
      <c r="C821" s="12">
        <v>0.12674315252787</v>
      </c>
      <c r="D821" s="12">
        <v>0.14450490813203001</v>
      </c>
      <c r="E821" s="11">
        <v>0.18753662453292999</v>
      </c>
      <c r="F821" s="11">
        <v>0.17154718576499001</v>
      </c>
      <c r="G821" s="11">
        <v>0.21179834528790001</v>
      </c>
      <c r="H821" s="11">
        <v>0.25764504563807999</v>
      </c>
      <c r="I821" s="11">
        <v>0.31971046814144</v>
      </c>
    </row>
    <row r="822" spans="1:9" x14ac:dyDescent="0.2">
      <c r="A822">
        <v>20200630</v>
      </c>
      <c r="B822">
        <f t="shared" si="12"/>
        <v>202006</v>
      </c>
      <c r="C822" s="12">
        <v>0.11660280952945</v>
      </c>
      <c r="D822" s="12">
        <v>0.19268516379476999</v>
      </c>
      <c r="E822" s="11">
        <v>0.17386790321279</v>
      </c>
      <c r="F822" s="11">
        <v>0.15706055583449999</v>
      </c>
      <c r="G822" s="11">
        <v>0.17563269077943</v>
      </c>
      <c r="H822" s="11">
        <v>0.21072730100987999</v>
      </c>
      <c r="I822" s="11">
        <v>0.29483977017909002</v>
      </c>
    </row>
    <row r="823" spans="1:9" x14ac:dyDescent="0.2">
      <c r="A823">
        <v>20200731</v>
      </c>
      <c r="B823">
        <f t="shared" si="12"/>
        <v>202007</v>
      </c>
      <c r="C823" s="12">
        <v>9.1253650194860009E-2</v>
      </c>
      <c r="D823" s="12">
        <v>9.1260267165117009E-2</v>
      </c>
      <c r="E823" s="11">
        <v>0.12547567084826999</v>
      </c>
      <c r="F823" s="11">
        <v>0.11084352878319</v>
      </c>
      <c r="G823" s="11">
        <v>0.12223453864941</v>
      </c>
      <c r="H823" s="11">
        <v>0.17502619367731001</v>
      </c>
      <c r="I823" s="11">
        <v>0.21813619887353999</v>
      </c>
    </row>
    <row r="824" spans="1:9" x14ac:dyDescent="0.2">
      <c r="A824">
        <v>20200831</v>
      </c>
      <c r="B824">
        <f t="shared" si="12"/>
        <v>202008</v>
      </c>
      <c r="C824" s="12">
        <v>9.125353612020301E-2</v>
      </c>
      <c r="D824" s="12">
        <v>0.10140128288395001</v>
      </c>
      <c r="E824" s="11">
        <v>0.13792522409501001</v>
      </c>
      <c r="F824" s="11">
        <v>0.13418210895814001</v>
      </c>
      <c r="G824" s="11">
        <v>0.15408129052698</v>
      </c>
      <c r="H824" s="11">
        <v>0.21418999964975999</v>
      </c>
      <c r="I824" s="11">
        <v>0.27606397548299999</v>
      </c>
    </row>
    <row r="825" spans="1:9" x14ac:dyDescent="0.2">
      <c r="A825">
        <v>20200930</v>
      </c>
      <c r="B825">
        <f t="shared" si="12"/>
        <v>202009</v>
      </c>
      <c r="C825" s="12">
        <v>8.6184014932593006E-2</v>
      </c>
      <c r="D825" s="12">
        <v>8.6189713536961005E-2</v>
      </c>
      <c r="E825" s="11">
        <v>0.12625367862243</v>
      </c>
      <c r="F825" s="11">
        <v>0.12642005342366999</v>
      </c>
      <c r="G825" s="11">
        <v>0.16396707506569</v>
      </c>
      <c r="H825" s="11">
        <v>0.21081668696047001</v>
      </c>
      <c r="I825" s="11">
        <v>0.28355002914623001</v>
      </c>
    </row>
    <row r="826" spans="1:9" x14ac:dyDescent="0.2">
      <c r="A826">
        <v>20201030</v>
      </c>
      <c r="B826">
        <f t="shared" si="12"/>
        <v>202010</v>
      </c>
      <c r="C826" s="12">
        <v>7.6044201501583003E-2</v>
      </c>
      <c r="D826" s="12">
        <v>8.8724982426553009E-2</v>
      </c>
      <c r="E826" s="11">
        <v>0.13136450530202001</v>
      </c>
      <c r="F826" s="11">
        <v>0.15761961914629999</v>
      </c>
      <c r="G826" s="11">
        <v>0.20024734641158001</v>
      </c>
      <c r="H826" s="11">
        <v>0.29841029353136</v>
      </c>
      <c r="I826" s="11">
        <v>0.39862626930111</v>
      </c>
    </row>
    <row r="827" spans="1:9" x14ac:dyDescent="0.2">
      <c r="A827">
        <v>20201130</v>
      </c>
      <c r="B827">
        <f t="shared" si="12"/>
        <v>202011</v>
      </c>
      <c r="C827" s="12">
        <v>7.097436133203E-2</v>
      </c>
      <c r="D827" s="12">
        <v>7.8584171161666008E-2</v>
      </c>
      <c r="E827" s="11">
        <v>0.11616001563523</v>
      </c>
      <c r="F827" s="11">
        <v>0.14786980034986</v>
      </c>
      <c r="G827" s="11">
        <v>0.18505039781047</v>
      </c>
      <c r="H827" s="11">
        <v>0.28135211701916002</v>
      </c>
      <c r="I827" s="11">
        <v>0.37335796759485002</v>
      </c>
    </row>
    <row r="828" spans="1:9" x14ac:dyDescent="0.2">
      <c r="A828">
        <v>20201231</v>
      </c>
      <c r="B828">
        <f t="shared" si="12"/>
        <v>202012</v>
      </c>
      <c r="C828" s="12">
        <v>5.0695606227506004E-2</v>
      </c>
      <c r="D828" s="12">
        <v>7.8584086560686009E-2</v>
      </c>
      <c r="E828" s="11">
        <v>0.10419054055987</v>
      </c>
      <c r="F828" s="11">
        <v>0.12432961100501</v>
      </c>
      <c r="G828" s="11">
        <v>0.15737113203465</v>
      </c>
      <c r="H828" s="11">
        <v>0.26484959220026</v>
      </c>
      <c r="I828" s="11">
        <v>0.37251681784431001</v>
      </c>
    </row>
    <row r="829" spans="1:9" x14ac:dyDescent="0.2">
      <c r="A829">
        <v>20210129</v>
      </c>
      <c r="B829">
        <f t="shared" si="12"/>
        <v>202101</v>
      </c>
      <c r="C829" s="12">
        <v>5.3230408719063003E-2</v>
      </c>
      <c r="D829" s="12">
        <v>5.3232660136434004E-2</v>
      </c>
      <c r="E829" s="11">
        <v>8.8050983761703006E-2</v>
      </c>
      <c r="F829" s="11">
        <v>0.11691828036991</v>
      </c>
      <c r="G829" s="11">
        <v>0.17853038423850001</v>
      </c>
      <c r="H829" s="11">
        <v>0.29530661523304003</v>
      </c>
      <c r="I829" s="11">
        <v>0.43010471844602999</v>
      </c>
    </row>
    <row r="830" spans="1:9" x14ac:dyDescent="0.2">
      <c r="A830">
        <v>20210226</v>
      </c>
      <c r="B830">
        <f t="shared" si="12"/>
        <v>202102</v>
      </c>
      <c r="C830" s="12">
        <v>3.0417072229596002E-2</v>
      </c>
      <c r="D830" s="12">
        <v>3.8022615671312002E-2</v>
      </c>
      <c r="E830" s="11">
        <v>7.9643837831726003E-2</v>
      </c>
      <c r="F830" s="11">
        <v>0.14728623136503</v>
      </c>
      <c r="G830" s="11">
        <v>0.29798308311865002</v>
      </c>
      <c r="H830" s="11">
        <v>0.51927185544598997</v>
      </c>
      <c r="I830" s="11">
        <v>0.73763786340227</v>
      </c>
    </row>
    <row r="831" spans="1:9" x14ac:dyDescent="0.2">
      <c r="A831">
        <v>20210331</v>
      </c>
      <c r="B831">
        <f t="shared" si="12"/>
        <v>202103</v>
      </c>
      <c r="C831" s="12">
        <v>1.5208441060209001E-2</v>
      </c>
      <c r="D831" s="12">
        <v>6.5908132958578003E-2</v>
      </c>
      <c r="E831" s="11">
        <v>7.8811472495098997E-2</v>
      </c>
      <c r="F831" s="11">
        <v>0.16164989581673</v>
      </c>
      <c r="G831" s="11">
        <v>0.36297057017819001</v>
      </c>
      <c r="H831" s="11">
        <v>0.66761384237512</v>
      </c>
      <c r="I831" s="11">
        <v>0.94962231140622</v>
      </c>
    </row>
    <row r="832" spans="1:9" x14ac:dyDescent="0.2">
      <c r="A832">
        <v>20210430</v>
      </c>
      <c r="B832">
        <f t="shared" si="12"/>
        <v>202104</v>
      </c>
      <c r="C832" s="12">
        <v>5.0694557098448995E-3</v>
      </c>
      <c r="D832" s="12">
        <v>1.0139015627076E-2</v>
      </c>
      <c r="E832" s="11">
        <v>7.2344593874129004E-2</v>
      </c>
      <c r="F832" s="11">
        <v>0.16550403483316001</v>
      </c>
      <c r="G832" s="11">
        <v>0.34183695957076998</v>
      </c>
      <c r="H832" s="11">
        <v>0.60641281565063998</v>
      </c>
      <c r="I832" s="11">
        <v>0.85990058713382</v>
      </c>
    </row>
    <row r="833" spans="1:9" x14ac:dyDescent="0.2">
      <c r="A833">
        <v>20210528</v>
      </c>
      <c r="B833">
        <f t="shared" si="12"/>
        <v>202105</v>
      </c>
      <c r="C833" s="12">
        <v>5.0694557098448995E-3</v>
      </c>
      <c r="D833" s="12">
        <v>7.6042379565636996E-3</v>
      </c>
      <c r="E833" s="11">
        <v>6.5265894056064006E-2</v>
      </c>
      <c r="F833" s="11">
        <v>0.14687879919745001</v>
      </c>
      <c r="G833" s="11">
        <v>0.31432606309209998</v>
      </c>
      <c r="H833" s="11">
        <v>0.56814608641498998</v>
      </c>
      <c r="I833" s="11">
        <v>0.82430822085211997</v>
      </c>
    </row>
    <row r="834" spans="1:9" x14ac:dyDescent="0.2">
      <c r="A834">
        <v>20210630</v>
      </c>
      <c r="B834">
        <f t="shared" si="12"/>
        <v>202106</v>
      </c>
      <c r="C834" s="12">
        <v>3.5486697630526004E-2</v>
      </c>
      <c r="D834" s="12">
        <v>3.5487663718962004E-2</v>
      </c>
      <c r="E834" s="11">
        <v>8.9157610963307002E-2</v>
      </c>
      <c r="F834" s="11">
        <v>0.24826889756411</v>
      </c>
      <c r="G834" s="11">
        <v>0.46126419735766999</v>
      </c>
      <c r="H834" s="11">
        <v>0.69157479950455003</v>
      </c>
      <c r="I834" s="11">
        <v>0.89804784028939999</v>
      </c>
    </row>
    <row r="835" spans="1:9" x14ac:dyDescent="0.2">
      <c r="A835">
        <v>20210730</v>
      </c>
      <c r="B835">
        <f t="shared" si="12"/>
        <v>202107</v>
      </c>
      <c r="C835" s="12">
        <v>5.5765252050617005E-2</v>
      </c>
      <c r="D835" s="12">
        <v>4.8162581932187004E-2</v>
      </c>
      <c r="E835" s="11">
        <v>6.4176180737380004E-2</v>
      </c>
      <c r="F835" s="11">
        <v>0.17421936678533001</v>
      </c>
      <c r="G835" s="11">
        <v>0.34445764782192001</v>
      </c>
      <c r="H835" s="11">
        <v>0.55117026889077003</v>
      </c>
      <c r="I835" s="11">
        <v>0.69722750255956001</v>
      </c>
    </row>
    <row r="836" spans="1:9" x14ac:dyDescent="0.2">
      <c r="A836">
        <v>20210831</v>
      </c>
      <c r="B836">
        <f t="shared" si="12"/>
        <v>202108</v>
      </c>
      <c r="C836" s="12">
        <v>4.0556231496392002E-2</v>
      </c>
      <c r="D836" s="12">
        <v>5.5767765613010008E-2</v>
      </c>
      <c r="E836" s="11">
        <v>9.0404529263891004E-2</v>
      </c>
      <c r="F836" s="11">
        <v>0.21445117904203001</v>
      </c>
      <c r="G836" s="11">
        <v>0.41429152809341002</v>
      </c>
      <c r="H836" s="11">
        <v>0.62728360524816995</v>
      </c>
      <c r="I836" s="11">
        <v>0.78212791960564998</v>
      </c>
    </row>
    <row r="837" spans="1:9" x14ac:dyDescent="0.2">
      <c r="A837">
        <v>20210930</v>
      </c>
      <c r="B837">
        <f t="shared" si="12"/>
        <v>202109</v>
      </c>
      <c r="C837" s="12">
        <v>4.5625912524216002E-2</v>
      </c>
      <c r="D837" s="12">
        <v>3.8022635476323001E-2</v>
      </c>
      <c r="E837" s="11">
        <v>8.3663392987042007E-2</v>
      </c>
      <c r="F837" s="11">
        <v>0.27631407256090001</v>
      </c>
      <c r="G837" s="11">
        <v>0.50083568515593002</v>
      </c>
      <c r="H837" s="11">
        <v>0.77946092270435996</v>
      </c>
      <c r="I837" s="11">
        <v>0.97695344694623998</v>
      </c>
    </row>
    <row r="838" spans="1:9" x14ac:dyDescent="0.2">
      <c r="A838">
        <v>20211029</v>
      </c>
      <c r="B838">
        <f t="shared" si="12"/>
        <v>202110</v>
      </c>
      <c r="C838" s="12">
        <v>5.0695571020946004E-2</v>
      </c>
      <c r="D838" s="12">
        <v>5.5767723007705002E-2</v>
      </c>
      <c r="E838" s="11">
        <v>0.14941179330991999</v>
      </c>
      <c r="F838" s="11">
        <v>0.50728229637916</v>
      </c>
      <c r="G838" s="11">
        <v>0.76258445744782999</v>
      </c>
      <c r="H838" s="11">
        <v>1.0317057181696001</v>
      </c>
      <c r="I838" s="11">
        <v>1.1820334002757</v>
      </c>
    </row>
    <row r="839" spans="1:9" x14ac:dyDescent="0.2">
      <c r="A839">
        <v>20211130</v>
      </c>
      <c r="B839">
        <f t="shared" ref="B839:B864" si="13">ROUND(A839/100,0)</f>
        <v>202111</v>
      </c>
      <c r="C839" s="12">
        <v>8.1113814935022011E-2</v>
      </c>
      <c r="D839" s="12">
        <v>6.590819246712E-2</v>
      </c>
      <c r="E839" s="11">
        <v>0.24803943219798</v>
      </c>
      <c r="F839" s="11">
        <v>0.57256388537629999</v>
      </c>
      <c r="G839" s="11">
        <v>0.85089505311003</v>
      </c>
      <c r="H839" s="11">
        <v>1.0650059617567</v>
      </c>
      <c r="I839" s="11">
        <v>1.1567837655352999</v>
      </c>
    </row>
    <row r="840" spans="1:9" x14ac:dyDescent="0.2">
      <c r="A840">
        <v>20211231</v>
      </c>
      <c r="B840">
        <f t="shared" si="13"/>
        <v>202112</v>
      </c>
      <c r="C840" s="12">
        <v>5.0695571020946004E-2</v>
      </c>
      <c r="D840" s="12">
        <v>4.5627566598743001E-2</v>
      </c>
      <c r="E840" s="11">
        <v>0.38446578011318999</v>
      </c>
      <c r="F840" s="11">
        <v>0.73231368688506004</v>
      </c>
      <c r="G840" s="11">
        <v>0.97146401311125996</v>
      </c>
      <c r="H840" s="11">
        <v>1.153660823342</v>
      </c>
      <c r="I840" s="11">
        <v>1.2651669321032</v>
      </c>
    </row>
    <row r="841" spans="1:9" x14ac:dyDescent="0.2">
      <c r="A841">
        <v>20220131</v>
      </c>
      <c r="B841">
        <f t="shared" si="13"/>
        <v>202201</v>
      </c>
      <c r="C841" s="12">
        <v>3.5486645877785002E-2</v>
      </c>
      <c r="D841" s="12">
        <v>0.20282961642971001</v>
      </c>
      <c r="E841" s="11">
        <v>0.78934546127075</v>
      </c>
      <c r="F841" s="11">
        <v>1.1701769676566001</v>
      </c>
      <c r="G841" s="11">
        <v>1.3853921955848001</v>
      </c>
      <c r="H841" s="11">
        <v>1.5402041930385</v>
      </c>
      <c r="I841" s="11">
        <v>1.610702806181</v>
      </c>
    </row>
    <row r="842" spans="1:9" x14ac:dyDescent="0.2">
      <c r="A842">
        <v>20220228</v>
      </c>
      <c r="B842">
        <f t="shared" si="13"/>
        <v>202202</v>
      </c>
      <c r="C842" s="12">
        <v>7.097436133203E-2</v>
      </c>
      <c r="D842" s="12">
        <v>0.33979825106973</v>
      </c>
      <c r="E842" s="11">
        <v>1.0083368791309999</v>
      </c>
      <c r="F842" s="11">
        <v>1.4519258375174</v>
      </c>
      <c r="G842" s="11">
        <v>1.6320840218154</v>
      </c>
      <c r="H842" s="11">
        <v>1.7145603655332</v>
      </c>
      <c r="I842" s="11">
        <v>1.7264260733990999</v>
      </c>
    </row>
    <row r="843" spans="1:9" x14ac:dyDescent="0.2">
      <c r="A843">
        <v>20220331</v>
      </c>
      <c r="B843">
        <f t="shared" si="13"/>
        <v>202203</v>
      </c>
      <c r="C843" s="12">
        <v>4.0556299092388004E-2</v>
      </c>
      <c r="D843" s="12">
        <v>0.50472715350511999</v>
      </c>
      <c r="E843" s="11">
        <v>1.6892353466345</v>
      </c>
      <c r="F843" s="11">
        <v>2.3329461543606</v>
      </c>
      <c r="G843" s="11">
        <v>2.5164962715931001</v>
      </c>
      <c r="H843" s="11">
        <v>2.5248638396967</v>
      </c>
      <c r="I843" s="11">
        <v>2.4504828795893001</v>
      </c>
    </row>
    <row r="844" spans="1:9" x14ac:dyDescent="0.2">
      <c r="A844">
        <v>20220429</v>
      </c>
      <c r="B844">
        <f t="shared" si="13"/>
        <v>202204</v>
      </c>
      <c r="C844" s="12">
        <v>0.34984531235651001</v>
      </c>
      <c r="D844" s="12">
        <v>0.83224222893085997</v>
      </c>
      <c r="E844" s="11">
        <v>2.1187029425549002</v>
      </c>
      <c r="F844" s="11">
        <v>2.6953026663847002</v>
      </c>
      <c r="G844" s="11">
        <v>2.8839861323670002</v>
      </c>
      <c r="H844" s="11">
        <v>2.9432540445175999</v>
      </c>
      <c r="I844" s="11">
        <v>2.9426541628438998</v>
      </c>
    </row>
    <row r="845" spans="1:9" x14ac:dyDescent="0.2">
      <c r="A845">
        <v>20220531</v>
      </c>
      <c r="B845">
        <f t="shared" si="13"/>
        <v>202205</v>
      </c>
      <c r="C845" s="12">
        <v>0.68963986086461004</v>
      </c>
      <c r="D845" s="12">
        <v>1.0710815965829001</v>
      </c>
      <c r="E845" s="11">
        <v>2.1257913636254999</v>
      </c>
      <c r="F845" s="11">
        <v>2.5289228864957001</v>
      </c>
      <c r="G845" s="11">
        <v>2.7239694230847</v>
      </c>
      <c r="H845" s="11">
        <v>2.8024368776119002</v>
      </c>
      <c r="I845" s="11">
        <v>2.8194025965718001</v>
      </c>
    </row>
    <row r="846" spans="1:9" x14ac:dyDescent="0.2">
      <c r="A846">
        <v>20220630</v>
      </c>
      <c r="B846">
        <f t="shared" si="13"/>
        <v>202206</v>
      </c>
      <c r="C846" s="12">
        <v>1.1209150148594</v>
      </c>
      <c r="D846" s="12">
        <v>1.7018693177181001</v>
      </c>
      <c r="E846" s="11">
        <v>2.8748828584744999</v>
      </c>
      <c r="F846" s="11">
        <v>2.9377453393188002</v>
      </c>
      <c r="G846" s="11">
        <v>2.996103333517</v>
      </c>
      <c r="H846" s="11">
        <v>3.0294568330986</v>
      </c>
      <c r="I846" s="11">
        <v>3.0327275521250998</v>
      </c>
    </row>
    <row r="847" spans="1:9" x14ac:dyDescent="0.2">
      <c r="A847">
        <v>20220729</v>
      </c>
      <c r="B847">
        <f t="shared" si="13"/>
        <v>202207</v>
      </c>
      <c r="C847" s="12">
        <v>2.1667093951606002</v>
      </c>
      <c r="D847" s="12">
        <v>2.3514217021827002</v>
      </c>
      <c r="E847" s="11">
        <v>2.9355039383580999</v>
      </c>
      <c r="F847" s="11">
        <v>2.8540857241097002</v>
      </c>
      <c r="G847" s="11">
        <v>2.7934207491172001</v>
      </c>
      <c r="H847" s="11">
        <v>2.7055910613138998</v>
      </c>
      <c r="I847" s="11">
        <v>2.6582653173912001</v>
      </c>
    </row>
    <row r="848" spans="1:9" x14ac:dyDescent="0.2">
      <c r="A848">
        <v>20220831</v>
      </c>
      <c r="B848">
        <f t="shared" si="13"/>
        <v>202208</v>
      </c>
      <c r="C848" s="12">
        <v>2.3548029828571</v>
      </c>
      <c r="D848" s="12">
        <v>2.769749031111</v>
      </c>
      <c r="E848" s="11">
        <v>3.4637983394113001</v>
      </c>
      <c r="F848" s="11">
        <v>3.4443478640295999</v>
      </c>
      <c r="G848" s="11">
        <v>3.4930063540798999</v>
      </c>
      <c r="H848" s="11">
        <v>3.4429310877672998</v>
      </c>
      <c r="I848" s="11">
        <v>3.3290944494215</v>
      </c>
    </row>
    <row r="849" spans="1:9" x14ac:dyDescent="0.2">
      <c r="A849">
        <v>20220930</v>
      </c>
      <c r="B849">
        <f t="shared" si="13"/>
        <v>202209</v>
      </c>
      <c r="C849" s="12">
        <v>2.7255454462113002</v>
      </c>
      <c r="D849" s="12">
        <v>3.2983765322433003</v>
      </c>
      <c r="E849" s="11">
        <v>4.1102210848127001</v>
      </c>
      <c r="F849" s="11">
        <v>4.2439465421921998</v>
      </c>
      <c r="G849" s="11">
        <v>4.2324407368698997</v>
      </c>
      <c r="H849" s="11">
        <v>4.1575055034473003</v>
      </c>
      <c r="I849" s="11">
        <v>4.0466860061562997</v>
      </c>
    </row>
    <row r="850" spans="1:9" x14ac:dyDescent="0.2">
      <c r="A850">
        <v>20221031</v>
      </c>
      <c r="B850">
        <f t="shared" si="13"/>
        <v>202210</v>
      </c>
      <c r="C850" s="12">
        <v>3.4573627851493001</v>
      </c>
      <c r="D850" s="12">
        <v>4.0380146575404003</v>
      </c>
      <c r="E850" s="11">
        <v>4.6789962734193997</v>
      </c>
      <c r="F850" s="11">
        <v>4.4395420255796001</v>
      </c>
      <c r="G850" s="11">
        <v>4.3875026552124998</v>
      </c>
      <c r="H850" s="11">
        <v>4.3015838506319</v>
      </c>
      <c r="I850" s="11">
        <v>4.1845449752991</v>
      </c>
    </row>
    <row r="851" spans="1:9" x14ac:dyDescent="0.2">
      <c r="A851">
        <v>20221130</v>
      </c>
      <c r="B851">
        <f t="shared" si="13"/>
        <v>202211</v>
      </c>
      <c r="C851" s="12">
        <v>3.9843639360062002</v>
      </c>
      <c r="D851" s="12">
        <v>4.2244956121852004</v>
      </c>
      <c r="E851" s="11">
        <v>4.6698608310459004</v>
      </c>
      <c r="F851" s="11">
        <v>4.2659194963595999</v>
      </c>
      <c r="G851" s="11">
        <v>3.9778177780327999</v>
      </c>
      <c r="H851" s="11">
        <v>3.8449217074292998</v>
      </c>
      <c r="I851" s="11">
        <v>3.7102735859861999</v>
      </c>
    </row>
    <row r="852" spans="1:9" x14ac:dyDescent="0.2">
      <c r="A852">
        <v>20221230</v>
      </c>
      <c r="B852">
        <f t="shared" si="13"/>
        <v>202212</v>
      </c>
      <c r="C852" s="12">
        <v>3.9915593232658999</v>
      </c>
      <c r="D852" s="12">
        <v>4.3525790015011001</v>
      </c>
      <c r="E852" s="11">
        <v>4.6552576217004997</v>
      </c>
      <c r="F852" s="11">
        <v>4.3624954851717996</v>
      </c>
      <c r="G852" s="11">
        <v>4.1270435734296003</v>
      </c>
      <c r="H852" s="11">
        <v>4.0267140439975</v>
      </c>
      <c r="I852" s="11">
        <v>3.9574184251051001</v>
      </c>
    </row>
    <row r="853" spans="1:9" x14ac:dyDescent="0.2">
      <c r="A853">
        <v>20230131</v>
      </c>
      <c r="B853">
        <f t="shared" si="13"/>
        <v>202301</v>
      </c>
      <c r="C853" s="12">
        <v>4.4845742605387002</v>
      </c>
      <c r="D853" s="12">
        <v>4.6553142817457998</v>
      </c>
      <c r="E853" s="11">
        <v>4.6512373742054001</v>
      </c>
      <c r="F853" s="11">
        <v>4.1466806837650001</v>
      </c>
      <c r="G853" s="11">
        <v>3.8198069649935</v>
      </c>
      <c r="H853" s="11">
        <v>3.6833979051419998</v>
      </c>
      <c r="I853" s="11">
        <v>3.5740284713396</v>
      </c>
    </row>
    <row r="854" spans="1:9" x14ac:dyDescent="0.2">
      <c r="A854">
        <v>20230228</v>
      </c>
      <c r="B854">
        <f t="shared" si="13"/>
        <v>202302</v>
      </c>
      <c r="C854" s="12">
        <v>4.4184299180939002</v>
      </c>
      <c r="D854" s="12">
        <v>4.7630298736032</v>
      </c>
      <c r="E854" s="11">
        <v>5.0723442418489002</v>
      </c>
      <c r="F854" s="11">
        <v>4.7558282595661003</v>
      </c>
      <c r="G854" s="11">
        <v>4.4437935535294004</v>
      </c>
      <c r="H854" s="11">
        <v>4.2598758205090004</v>
      </c>
      <c r="I854" s="11">
        <v>4.122969040598</v>
      </c>
    </row>
    <row r="855" spans="1:9" x14ac:dyDescent="0.2">
      <c r="A855">
        <v>20230331</v>
      </c>
      <c r="B855">
        <f t="shared" si="13"/>
        <v>202303</v>
      </c>
      <c r="C855" s="12">
        <v>4.6658146610997004</v>
      </c>
      <c r="D855" s="12">
        <v>4.7370720578091001</v>
      </c>
      <c r="E855" s="11">
        <v>4.5747917132784002</v>
      </c>
      <c r="F855" s="11">
        <v>3.9663978051230999</v>
      </c>
      <c r="G855" s="11">
        <v>3.7220869420879001</v>
      </c>
      <c r="H855" s="11">
        <v>3.6461806233176999</v>
      </c>
      <c r="I855" s="11">
        <v>3.5434488861618001</v>
      </c>
    </row>
    <row r="856" spans="1:9" x14ac:dyDescent="0.2">
      <c r="A856">
        <v>20230428</v>
      </c>
      <c r="B856">
        <f t="shared" si="13"/>
        <v>202304</v>
      </c>
      <c r="C856" s="12">
        <v>4.1696257742635998</v>
      </c>
      <c r="D856" s="12">
        <v>5.0397963088518001</v>
      </c>
      <c r="E856" s="11">
        <v>4.7330586116087998</v>
      </c>
      <c r="F856" s="11">
        <v>3.9627946762619999</v>
      </c>
      <c r="G856" s="11">
        <v>3.6537495694622</v>
      </c>
      <c r="H856" s="11">
        <v>3.5419840001476</v>
      </c>
      <c r="I856" s="11">
        <v>3.4490306330043001</v>
      </c>
    </row>
    <row r="857" spans="1:9" x14ac:dyDescent="0.2">
      <c r="A857">
        <v>20230531</v>
      </c>
      <c r="B857">
        <f t="shared" si="13"/>
        <v>202305</v>
      </c>
      <c r="C857" s="12">
        <v>4.9544586648374001</v>
      </c>
      <c r="D857" s="12">
        <v>5.2605682918059005</v>
      </c>
      <c r="E857" s="11">
        <v>5.1272626651457998</v>
      </c>
      <c r="F857" s="11">
        <v>4.3514589104594004</v>
      </c>
      <c r="G857" s="11">
        <v>3.9871268653674998</v>
      </c>
      <c r="H857" s="11">
        <v>3.8594215698464001</v>
      </c>
      <c r="I857" s="11">
        <v>3.720279613222</v>
      </c>
    </row>
    <row r="858" spans="1:9" x14ac:dyDescent="0.2">
      <c r="A858">
        <v>20230630</v>
      </c>
      <c r="B858">
        <f t="shared" si="13"/>
        <v>202306</v>
      </c>
      <c r="C858" s="12">
        <v>5.1622194914437998</v>
      </c>
      <c r="D858" s="12">
        <v>5.2528649201559006</v>
      </c>
      <c r="E858" s="11">
        <v>5.3417034488224999</v>
      </c>
      <c r="F858" s="11">
        <v>4.8293151269327996</v>
      </c>
      <c r="G858" s="11">
        <v>4.4132152766598001</v>
      </c>
      <c r="H858" s="11">
        <v>4.2548153794493002</v>
      </c>
      <c r="I858" s="11">
        <v>4.0937550868696997</v>
      </c>
    </row>
    <row r="859" spans="1:9" x14ac:dyDescent="0.2">
      <c r="A859">
        <v>20230731</v>
      </c>
      <c r="B859">
        <f t="shared" si="13"/>
        <v>202307</v>
      </c>
      <c r="C859" s="12">
        <v>5.3298926071314998</v>
      </c>
      <c r="D859" s="12">
        <v>5.3563780181150005</v>
      </c>
      <c r="E859" s="11">
        <v>5.2983300780156002</v>
      </c>
      <c r="F859" s="11">
        <v>4.8229419079231004</v>
      </c>
      <c r="G859" s="11">
        <v>4.4388227589884002</v>
      </c>
      <c r="H859" s="11">
        <v>4.2549663877267996</v>
      </c>
      <c r="I859" s="11">
        <v>4.1195764777367003</v>
      </c>
    </row>
    <row r="860" spans="1:9" x14ac:dyDescent="0.2">
      <c r="A860">
        <v>20230831</v>
      </c>
      <c r="B860">
        <f t="shared" si="13"/>
        <v>202308</v>
      </c>
      <c r="C860" s="12">
        <v>5.3561422011586002</v>
      </c>
      <c r="D860" s="12">
        <v>5.4150699188610005</v>
      </c>
      <c r="E860" s="11">
        <v>5.3228296785662002</v>
      </c>
      <c r="F860" s="11">
        <v>4.8026911352774997</v>
      </c>
      <c r="G860" s="11">
        <v>4.4723201999478004</v>
      </c>
      <c r="H860" s="11">
        <v>4.3248256384649997</v>
      </c>
      <c r="I860" s="11">
        <v>4.1991697574079998</v>
      </c>
    </row>
    <row r="861" spans="1:9" x14ac:dyDescent="0.2">
      <c r="A861">
        <v>20230929</v>
      </c>
      <c r="B861">
        <f t="shared" si="13"/>
        <v>202309</v>
      </c>
      <c r="C861" s="12">
        <v>5.3659352677349998</v>
      </c>
      <c r="D861" s="12">
        <v>5.4172352594706998</v>
      </c>
      <c r="E861" s="11">
        <v>5.3834694728523997</v>
      </c>
      <c r="F861" s="11">
        <v>4.9621221516388001</v>
      </c>
      <c r="G861" s="11">
        <v>4.7004813396553997</v>
      </c>
      <c r="H861" s="11">
        <v>4.6277358763449001</v>
      </c>
      <c r="I861" s="11">
        <v>4.5541974061098003</v>
      </c>
    </row>
    <row r="862" spans="1:9" x14ac:dyDescent="0.2">
      <c r="A862">
        <v>20231031</v>
      </c>
      <c r="B862">
        <f t="shared" si="13"/>
        <v>202310</v>
      </c>
      <c r="C862" s="12">
        <v>5.3702371871515</v>
      </c>
      <c r="D862" s="12">
        <v>5.4561788173545001</v>
      </c>
      <c r="E862" s="11">
        <v>5.3551659252660997</v>
      </c>
      <c r="F862" s="11">
        <v>5.0197752240659996</v>
      </c>
      <c r="G862" s="11">
        <v>4.8442349560000002</v>
      </c>
      <c r="H862" s="11">
        <v>4.8319309494661002</v>
      </c>
      <c r="I862" s="11">
        <v>4.8074909294625998</v>
      </c>
    </row>
    <row r="863" spans="1:9" x14ac:dyDescent="0.2">
      <c r="A863">
        <v>20231130</v>
      </c>
      <c r="B863">
        <f t="shared" si="13"/>
        <v>202311</v>
      </c>
      <c r="C863" s="12">
        <v>5.3459541421501005</v>
      </c>
      <c r="D863" s="12">
        <v>5.3431394831415</v>
      </c>
      <c r="E863" s="11">
        <v>5.0157250407109002</v>
      </c>
      <c r="F863" s="11">
        <v>4.6147798779154998</v>
      </c>
      <c r="G863" s="11">
        <v>4.3725965406413998</v>
      </c>
      <c r="H863" s="11">
        <v>4.2907825309516996</v>
      </c>
      <c r="I863" s="11">
        <v>4.2251646975141997</v>
      </c>
    </row>
    <row r="864" spans="1:9" x14ac:dyDescent="0.2">
      <c r="A864">
        <v>20231229</v>
      </c>
      <c r="B864">
        <f t="shared" si="13"/>
        <v>202312</v>
      </c>
      <c r="C864" s="12">
        <v>5.3812154177737002</v>
      </c>
      <c r="D864" s="12">
        <v>5.2965192943417003</v>
      </c>
      <c r="E864" s="11">
        <v>4.6928670181575001</v>
      </c>
      <c r="F864" s="11">
        <v>4.1712633780613997</v>
      </c>
      <c r="G864" s="11">
        <v>3.9290622751024</v>
      </c>
      <c r="H864" s="11">
        <v>3.8595651472022001</v>
      </c>
      <c r="I864" s="11">
        <v>3.8011437661512999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708"/>
  <sheetViews>
    <sheetView topLeftCell="A50" workbookViewId="0">
      <selection activeCell="AT20" sqref="AT20"/>
    </sheetView>
  </sheetViews>
  <sheetFormatPr baseColWidth="10" defaultColWidth="8.83203125" defaultRowHeight="15" x14ac:dyDescent="0.2"/>
  <cols>
    <col min="7" max="7" width="9.1640625" style="2"/>
    <col min="12" max="12" width="9.1640625" style="2"/>
    <col min="16" max="16" width="9" style="4"/>
    <col min="17" max="17" width="9.1640625" style="2"/>
    <col min="22" max="22" width="9.1640625" style="2"/>
    <col min="26" max="26" width="9.1640625" style="2"/>
    <col min="30" max="31" width="9.1640625" style="2"/>
  </cols>
  <sheetData>
    <row r="1" spans="1:47" x14ac:dyDescent="0.2">
      <c r="A1" t="s">
        <v>7</v>
      </c>
    </row>
    <row r="2" spans="1:47" x14ac:dyDescent="0.2">
      <c r="A2" t="s">
        <v>8</v>
      </c>
      <c r="V2" s="2" t="s">
        <v>23</v>
      </c>
      <c r="Z2" s="2" t="s">
        <v>25</v>
      </c>
    </row>
    <row r="3" spans="1:47" x14ac:dyDescent="0.2">
      <c r="A3" t="s">
        <v>8</v>
      </c>
      <c r="V3" s="3" t="s">
        <v>24</v>
      </c>
      <c r="Z3" s="3" t="s">
        <v>26</v>
      </c>
    </row>
    <row r="4" spans="1:47" x14ac:dyDescent="0.2">
      <c r="G4" s="2" t="s">
        <v>19</v>
      </c>
      <c r="L4" s="2" t="s">
        <v>20</v>
      </c>
      <c r="Q4" s="2" t="s">
        <v>21</v>
      </c>
      <c r="R4" t="s">
        <v>22</v>
      </c>
      <c r="V4" s="2" t="s">
        <v>31</v>
      </c>
      <c r="AL4" t="s">
        <v>27</v>
      </c>
      <c r="AN4" t="s">
        <v>28</v>
      </c>
      <c r="AU4" t="s">
        <v>29</v>
      </c>
    </row>
    <row r="5" spans="1:47" x14ac:dyDescent="0.2">
      <c r="A5" s="5" t="s">
        <v>9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>
        <v>1</v>
      </c>
      <c r="H5" s="5">
        <v>2</v>
      </c>
      <c r="I5" s="5">
        <v>3</v>
      </c>
      <c r="J5" s="5">
        <v>4</v>
      </c>
      <c r="K5" s="5">
        <v>5</v>
      </c>
      <c r="L5" s="7" t="s">
        <v>12</v>
      </c>
      <c r="M5" s="8" t="s">
        <v>15</v>
      </c>
      <c r="N5" s="8" t="s">
        <v>14</v>
      </c>
      <c r="O5" s="8" t="s">
        <v>13</v>
      </c>
      <c r="P5" s="9"/>
      <c r="Q5" s="7" t="s">
        <v>17</v>
      </c>
      <c r="R5" s="7" t="s">
        <v>12</v>
      </c>
      <c r="S5" s="8" t="s">
        <v>15</v>
      </c>
      <c r="T5" s="8" t="s">
        <v>14</v>
      </c>
      <c r="U5" s="8" t="s">
        <v>13</v>
      </c>
      <c r="V5" s="6">
        <v>2</v>
      </c>
      <c r="W5" s="5">
        <v>3</v>
      </c>
      <c r="X5" s="5">
        <v>4</v>
      </c>
      <c r="Y5" s="5">
        <v>5</v>
      </c>
      <c r="Z5" s="6">
        <v>2</v>
      </c>
      <c r="AA5" s="5">
        <v>3</v>
      </c>
      <c r="AB5" s="5">
        <v>4</v>
      </c>
      <c r="AC5" s="5">
        <v>5</v>
      </c>
      <c r="AD5" s="6" t="s">
        <v>16</v>
      </c>
      <c r="AE5" s="6" t="s">
        <v>30</v>
      </c>
      <c r="AL5">
        <f t="array" aca="1" ref="AL5:AL10" ca="1">MMULT(AN5:AS10,AU5:AU10)</f>
        <v>-1.0398618618427289</v>
      </c>
      <c r="AN5">
        <f t="array" aca="1" ref="AN5:AS10" ca="1">MINVERSE(MMULT(TRANSPOSE(P6:U73),(P6:U73)))</f>
        <v>0.12533940673642421</v>
      </c>
      <c r="AO5">
        <f ca="1"/>
        <v>-2.4300176474571795E-2</v>
      </c>
      <c r="AP5">
        <f ca="1"/>
        <v>7.9786038754093819E-2</v>
      </c>
      <c r="AQ5">
        <f ca="1"/>
        <v>-9.2788946463085321E-3</v>
      </c>
      <c r="AR5">
        <f ca="1"/>
        <v>-4.245499761842543E-2</v>
      </c>
      <c r="AS5">
        <f ca="1"/>
        <v>-1.9237770163136887E-2</v>
      </c>
      <c r="AU5">
        <f t="array" aca="1" ref="AU5:AU10" ca="1">MMULT(TRANSPOSE(P6:U73),AD7:AD74)</f>
        <v>61.889235951472806</v>
      </c>
    </row>
    <row r="6" spans="1:47" x14ac:dyDescent="0.2">
      <c r="A6">
        <f>195306</f>
        <v>195306</v>
      </c>
      <c r="B6">
        <f ca="1">LOOKUP($A6,FBYields!$B$6:$B$7864,FBYields!E$6:E$864)</f>
        <v>2.4207484724000001</v>
      </c>
      <c r="C6">
        <f ca="1">LOOKUP($A6,FBYields!$B$6:$B$7864,FBYields!F$6:F$864)</f>
        <v>2.4430177999999998</v>
      </c>
      <c r="D6">
        <f ca="1">LOOKUP($A6,FBYields!$B$6:$B$7864,FBYields!G$6:G$864)</f>
        <v>2.3064287510999999</v>
      </c>
      <c r="E6">
        <f ca="1">LOOKUP($A6,FBYields!$B$6:$B$7864,FBYields!H$6:H$864)</f>
        <v>2.4397417955999998</v>
      </c>
      <c r="F6">
        <f ca="1">LOOKUP($A6,FBYields!$B$6:$B$7864,FBYields!I$6:I$864)</f>
        <v>2.7915218535999999</v>
      </c>
      <c r="G6" s="2">
        <f ca="1">EXP(-B6/100*G$5)</f>
        <v>0.97608316639992798</v>
      </c>
      <c r="H6">
        <f t="shared" ref="H6:K6" ca="1" si="0">EXP(-C6/100*H$5)</f>
        <v>0.95231410536459138</v>
      </c>
      <c r="I6">
        <f t="shared" ca="1" si="0"/>
        <v>0.93314669368743908</v>
      </c>
      <c r="J6">
        <f t="shared" ca="1" si="0"/>
        <v>0.9070210036811921</v>
      </c>
      <c r="K6">
        <f t="shared" ca="1" si="0"/>
        <v>0.86972684084024632</v>
      </c>
      <c r="L6" s="2">
        <f ca="1">H6/G6</f>
        <v>0.9756485288820177</v>
      </c>
      <c r="M6">
        <f t="shared" ref="M6:O6" ca="1" si="1">I6/H6</f>
        <v>0.97987280502391161</v>
      </c>
      <c r="N6">
        <f t="shared" ca="1" si="1"/>
        <v>0.97200259060769079</v>
      </c>
      <c r="O6">
        <f t="shared" ca="1" si="1"/>
        <v>0.9588828012917171</v>
      </c>
      <c r="P6" s="4">
        <v>1</v>
      </c>
      <c r="Q6" s="2">
        <f ca="1">B6</f>
        <v>2.4207484724000001</v>
      </c>
      <c r="R6">
        <f ca="1">-LN(L6)*100</f>
        <v>2.4652871275999857</v>
      </c>
      <c r="S6">
        <f t="shared" ref="S6:U6" ca="1" si="2">-LN(M6)*100</f>
        <v>2.033250653300009</v>
      </c>
      <c r="T6">
        <f t="shared" ca="1" si="2"/>
        <v>2.8396809290999929</v>
      </c>
      <c r="U6">
        <f t="shared" ca="1" si="2"/>
        <v>4.1986420856000004</v>
      </c>
      <c r="V6" s="2" t="s">
        <v>18</v>
      </c>
      <c r="W6" s="2" t="s">
        <v>18</v>
      </c>
      <c r="X6" s="2" t="s">
        <v>18</v>
      </c>
      <c r="Y6" s="2" t="s">
        <v>18</v>
      </c>
      <c r="Z6" s="2" t="s">
        <v>18</v>
      </c>
      <c r="AA6" s="2" t="s">
        <v>18</v>
      </c>
      <c r="AB6" s="2" t="s">
        <v>18</v>
      </c>
      <c r="AC6" s="2" t="s">
        <v>18</v>
      </c>
      <c r="AD6" s="2" t="s">
        <v>18</v>
      </c>
      <c r="AE6" s="2">
        <f ca="1">MMULT(P6:U6,$AL$5:$AL$10)</f>
        <v>-1.0892432251788584</v>
      </c>
      <c r="AL6">
        <f ca="1"/>
        <v>-1.4439111477227922</v>
      </c>
      <c r="AN6">
        <f ca="1"/>
        <v>-2.4300176474572326E-2</v>
      </c>
      <c r="AO6">
        <f ca="1"/>
        <v>5.7435382382823079E-2</v>
      </c>
      <c r="AP6">
        <f ca="1"/>
        <v>-8.5618857853463209E-2</v>
      </c>
      <c r="AQ6">
        <f ca="1"/>
        <v>-3.6753702643727028E-3</v>
      </c>
      <c r="AR6">
        <f ca="1"/>
        <v>2.4766230762856552E-2</v>
      </c>
      <c r="AS6">
        <f ca="1"/>
        <v>1.2392447684662909E-2</v>
      </c>
      <c r="AU6">
        <f ca="1"/>
        <v>350.12013145048184</v>
      </c>
    </row>
    <row r="7" spans="1:47" x14ac:dyDescent="0.2">
      <c r="A7">
        <f>A6+100</f>
        <v>195406</v>
      </c>
      <c r="B7">
        <f ca="1">LOOKUP($A7,FBYields!$B$6:$B$7864,FBYields!E$6:E$864)</f>
        <v>0.73165959970000005</v>
      </c>
      <c r="C7">
        <f ca="1">LOOKUP($A7,FBYields!$B$6:$B$7864,FBYields!F$6:F$864)</f>
        <v>0.91252896610000001</v>
      </c>
      <c r="D7">
        <f ca="1">LOOKUP($A7,FBYields!$B$6:$B$7864,FBYields!G$6:G$864)</f>
        <v>1.3196040225000001</v>
      </c>
      <c r="E7">
        <f ca="1">LOOKUP($A7,FBYields!$B$6:$B$7864,FBYields!H$6:H$864)</f>
        <v>1.6478813549</v>
      </c>
      <c r="F7">
        <f ca="1">LOOKUP($A7,FBYields!$B$6:$B$7864,FBYields!I$6:I$864)</f>
        <v>1.7668413419</v>
      </c>
      <c r="G7" s="2">
        <f t="shared" ref="G7:G63" ca="1" si="3">EXP(-B7/100*G$5)</f>
        <v>0.99271010513134972</v>
      </c>
      <c r="H7">
        <f t="shared" ref="H7:H63" ca="1" si="4">EXP(-C7/100*H$5)</f>
        <v>0.9819149539450861</v>
      </c>
      <c r="I7">
        <f t="shared" ref="I7:I63" ca="1" si="5">EXP(-D7/100*I$5)</f>
        <v>0.96118524996553811</v>
      </c>
      <c r="J7">
        <f t="shared" ref="J7:J63" ca="1" si="6">EXP(-E7/100*J$5)</f>
        <v>0.93621020081603379</v>
      </c>
      <c r="K7">
        <f t="shared" ref="K7:K63" ca="1" si="7">EXP(-F7/100*K$5)</f>
        <v>0.91544767863094501</v>
      </c>
      <c r="L7" s="2">
        <f t="shared" ref="L7:L63" ca="1" si="8">H7/G7</f>
        <v>0.98912557540165735</v>
      </c>
      <c r="M7">
        <f t="shared" ref="M7:M63" ca="1" si="9">I7/H7</f>
        <v>0.97888849345224727</v>
      </c>
      <c r="N7">
        <f t="shared" ref="N7:N63" ca="1" si="10">J7/I7</f>
        <v>0.97401640406945511</v>
      </c>
      <c r="O7">
        <f t="shared" ref="O7:O63" ca="1" si="11">K7/J7</f>
        <v>0.97782279859053933</v>
      </c>
      <c r="P7" s="4">
        <f>P6</f>
        <v>1</v>
      </c>
      <c r="Q7" s="2">
        <f t="shared" ref="Q7:Q63" ca="1" si="12">B7</f>
        <v>0.73165959970000005</v>
      </c>
      <c r="R7">
        <f t="shared" ref="R7:R63" ca="1" si="13">-LN(L7)*100</f>
        <v>1.0933983325000032</v>
      </c>
      <c r="S7">
        <f t="shared" ref="S7:S63" ca="1" si="14">-LN(M7)*100</f>
        <v>2.1337541352999962</v>
      </c>
      <c r="T7">
        <f t="shared" ref="T7:T63" ca="1" si="15">-LN(N7)*100</f>
        <v>2.6327133520999983</v>
      </c>
      <c r="U7">
        <f t="shared" ref="U7:U63" ca="1" si="16">-LN(O7)*100</f>
        <v>2.2426812899000037</v>
      </c>
      <c r="V7" s="2">
        <f t="shared" ref="V7:Y38" ca="1" si="17">LN(G7/H6)*100</f>
        <v>4.1543760002999868</v>
      </c>
      <c r="W7" s="2">
        <f t="shared" ca="1" si="17"/>
        <v>5.0942283210999921</v>
      </c>
      <c r="X7" s="2">
        <f t="shared" ca="1" si="17"/>
        <v>5.8001551148999946</v>
      </c>
      <c r="Y7" s="2">
        <f t="shared" ca="1" si="17"/>
        <v>7.3660838484000015</v>
      </c>
      <c r="Z7" s="2">
        <f ca="1">V7-$B6</f>
        <v>1.7336275278999866</v>
      </c>
      <c r="AA7" s="2">
        <f t="shared" ref="AA7:AC22" ca="1" si="18">W7-$B6</f>
        <v>2.673479848699992</v>
      </c>
      <c r="AB7" s="2">
        <f t="shared" ca="1" si="18"/>
        <v>3.3794066424999945</v>
      </c>
      <c r="AC7" s="2">
        <f t="shared" ca="1" si="18"/>
        <v>4.9453353760000009</v>
      </c>
      <c r="AD7" s="2">
        <f ca="1">AVERAGE(Z7:AC7)</f>
        <v>3.1829623487749936</v>
      </c>
      <c r="AE7" s="2">
        <f t="array" aca="1" ref="AE7" ca="1">MMULT(P7:U7,$AL$5:$AL$10)</f>
        <v>0.82008155872281141</v>
      </c>
      <c r="AL7">
        <f ca="1"/>
        <v>0.39135866160069699</v>
      </c>
      <c r="AN7">
        <f ca="1"/>
        <v>7.9786038754091876E-2</v>
      </c>
      <c r="AO7">
        <f ca="1"/>
        <v>-8.5618857853459185E-2</v>
      </c>
      <c r="AP7">
        <f ca="1"/>
        <v>0.21577041354950041</v>
      </c>
      <c r="AQ7">
        <f ca="1"/>
        <v>-8.7843487540983159E-2</v>
      </c>
      <c r="AR7">
        <f ca="1"/>
        <v>-5.2789364702810163E-2</v>
      </c>
      <c r="AS7">
        <f ca="1"/>
        <v>2.3095581837739587E-5</v>
      </c>
      <c r="AU7">
        <f ca="1"/>
        <v>424.04343512352631</v>
      </c>
    </row>
    <row r="8" spans="1:47" x14ac:dyDescent="0.2">
      <c r="A8">
        <f t="shared" ref="A8:A71" si="19">A7+100</f>
        <v>195506</v>
      </c>
      <c r="B8">
        <f ca="1">LOOKUP($A8,FBYields!$B$6:$B$7864,FBYields!E$6:E$864)</f>
        <v>1.8391172343</v>
      </c>
      <c r="C8">
        <f ca="1">LOOKUP($A8,FBYields!$B$6:$B$7864,FBYields!F$6:F$864)</f>
        <v>2.1658956061999999</v>
      </c>
      <c r="D8">
        <f ca="1">LOOKUP($A8,FBYields!$B$6:$B$7864,FBYields!G$6:G$864)</f>
        <v>2.4253657476999999</v>
      </c>
      <c r="E8">
        <f ca="1">LOOKUP($A8,FBYields!$B$6:$B$7864,FBYields!H$6:H$864)</f>
        <v>2.4463709116999999</v>
      </c>
      <c r="F8">
        <f ca="1">LOOKUP($A8,FBYields!$B$6:$B$7864,FBYields!I$6:I$864)</f>
        <v>2.5128153953000001</v>
      </c>
      <c r="G8" s="2">
        <f t="shared" ca="1" si="3"/>
        <v>0.98177691325935179</v>
      </c>
      <c r="H8">
        <f t="shared" ca="1" si="4"/>
        <v>0.95760690682443228</v>
      </c>
      <c r="I8">
        <f t="shared" ca="1" si="5"/>
        <v>0.9298230568104402</v>
      </c>
      <c r="J8">
        <f t="shared" ca="1" si="6"/>
        <v>0.90678052566419332</v>
      </c>
      <c r="K8">
        <f t="shared" ca="1" si="7"/>
        <v>0.88193160638341195</v>
      </c>
      <c r="L8" s="2">
        <f t="shared" ca="1" si="8"/>
        <v>0.97538136606341785</v>
      </c>
      <c r="M8">
        <f t="shared" ca="1" si="9"/>
        <v>0.97098616372126278</v>
      </c>
      <c r="N8">
        <f t="shared" ca="1" si="10"/>
        <v>0.97521836979899235</v>
      </c>
      <c r="O8">
        <f t="shared" ca="1" si="11"/>
        <v>0.9725965450541848</v>
      </c>
      <c r="P8" s="4">
        <f t="shared" ref="P8:P76" si="20">P7</f>
        <v>1</v>
      </c>
      <c r="Q8" s="2">
        <f t="shared" ca="1" si="12"/>
        <v>1.8391172343</v>
      </c>
      <c r="R8">
        <f t="shared" ca="1" si="13"/>
        <v>2.4926739781000053</v>
      </c>
      <c r="S8">
        <f t="shared" ca="1" si="14"/>
        <v>2.9443060306999862</v>
      </c>
      <c r="T8">
        <f t="shared" ca="1" si="15"/>
        <v>2.5093864037000042</v>
      </c>
      <c r="U8">
        <f t="shared" ca="1" si="16"/>
        <v>2.7785933296999934</v>
      </c>
      <c r="V8" s="2">
        <f t="shared" ca="1" si="17"/>
        <v>-1.405930209999955E-2</v>
      </c>
      <c r="W8" s="2">
        <f t="shared" ca="1" si="17"/>
        <v>-0.37297914490000578</v>
      </c>
      <c r="X8" s="2">
        <f t="shared" ca="1" si="17"/>
        <v>-0.68457182350000001</v>
      </c>
      <c r="Y8" s="2">
        <f t="shared" ca="1" si="17"/>
        <v>-0.95127693730000329</v>
      </c>
      <c r="Z8" s="2">
        <f t="shared" ref="Z8:AC23" ca="1" si="21">V8-$B7</f>
        <v>-0.74571890179999956</v>
      </c>
      <c r="AA8" s="2">
        <f t="shared" ca="1" si="18"/>
        <v>-1.1046387446000059</v>
      </c>
      <c r="AB8" s="2">
        <f t="shared" ca="1" si="18"/>
        <v>-1.4162314232000002</v>
      </c>
      <c r="AC8" s="2">
        <f t="shared" ca="1" si="18"/>
        <v>-1.6829365370000033</v>
      </c>
      <c r="AD8" s="2">
        <f t="shared" ref="AD8:AD70" ca="1" si="22">AVERAGE(Z8:AC8)</f>
        <v>-1.2373814016500022</v>
      </c>
      <c r="AE8" s="2">
        <f t="array" aca="1" ref="AE8" ca="1">MMULT(P8:U8,$AL$5:$AL$10)</f>
        <v>1.040520724898524</v>
      </c>
      <c r="AL8">
        <f ca="1"/>
        <v>1.4512304855121805</v>
      </c>
      <c r="AN8">
        <f ca="1"/>
        <v>-9.2788946463035638E-3</v>
      </c>
      <c r="AO8">
        <f ca="1"/>
        <v>-3.6753702643798048E-3</v>
      </c>
      <c r="AP8">
        <f ca="1"/>
        <v>-8.7843487540970336E-2</v>
      </c>
      <c r="AQ8">
        <f ca="1"/>
        <v>0.16433034429017881</v>
      </c>
      <c r="AR8">
        <f ca="1"/>
        <v>-2.8509360705788682E-2</v>
      </c>
      <c r="AS8">
        <f ca="1"/>
        <v>-4.4955814396161052E-2</v>
      </c>
      <c r="AU8">
        <f ca="1"/>
        <v>465.17720830884485</v>
      </c>
    </row>
    <row r="9" spans="1:47" x14ac:dyDescent="0.2">
      <c r="A9">
        <f t="shared" si="19"/>
        <v>195606</v>
      </c>
      <c r="B9">
        <f ca="1">LOOKUP($A9,FBYields!$B$6:$B$7864,FBYields!E$6:E$864)</f>
        <v>2.5495806829999998</v>
      </c>
      <c r="C9">
        <f ca="1">LOOKUP($A9,FBYields!$B$6:$B$7864,FBYields!F$6:F$864)</f>
        <v>2.818871599</v>
      </c>
      <c r="D9">
        <f ca="1">LOOKUP($A9,FBYields!$B$6:$B$7864,FBYields!G$6:G$864)</f>
        <v>2.7805113505999999</v>
      </c>
      <c r="E9">
        <f ca="1">LOOKUP($A9,FBYields!$B$6:$B$7864,FBYields!H$6:H$864)</f>
        <v>2.8263461619000001</v>
      </c>
      <c r="F9">
        <f ca="1">LOOKUP($A9,FBYields!$B$6:$B$7864,FBYields!I$6:I$864)</f>
        <v>2.8428327556999999</v>
      </c>
      <c r="G9" s="2">
        <f t="shared" ca="1" si="3"/>
        <v>0.97482646657026595</v>
      </c>
      <c r="H9">
        <f t="shared" ca="1" si="4"/>
        <v>0.9451823265220386</v>
      </c>
      <c r="I9">
        <f t="shared" ca="1" si="5"/>
        <v>0.91996896747075807</v>
      </c>
      <c r="J9">
        <f t="shared" ca="1" si="6"/>
        <v>0.89310256839522761</v>
      </c>
      <c r="K9">
        <f t="shared" ca="1" si="7"/>
        <v>0.86749837723530432</v>
      </c>
      <c r="L9" s="2">
        <f t="shared" ca="1" si="8"/>
        <v>0.96959034139427458</v>
      </c>
      <c r="M9">
        <f t="shared" ca="1" si="9"/>
        <v>0.97332434352210395</v>
      </c>
      <c r="N9">
        <f t="shared" ca="1" si="10"/>
        <v>0.97079640724252536</v>
      </c>
      <c r="O9">
        <f t="shared" ca="1" si="11"/>
        <v>0.97133118628700144</v>
      </c>
      <c r="P9" s="4">
        <f t="shared" si="20"/>
        <v>1</v>
      </c>
      <c r="Q9" s="2">
        <f t="shared" ca="1" si="12"/>
        <v>2.5495806829999998</v>
      </c>
      <c r="R9">
        <f t="shared" ca="1" si="13"/>
        <v>3.0881625150000125</v>
      </c>
      <c r="S9">
        <f t="shared" ca="1" si="14"/>
        <v>2.703790853799986</v>
      </c>
      <c r="T9">
        <f t="shared" ca="1" si="15"/>
        <v>2.9638505958000101</v>
      </c>
      <c r="U9">
        <f t="shared" ca="1" si="16"/>
        <v>2.9087791308999993</v>
      </c>
      <c r="V9" s="2">
        <f t="shared" ca="1" si="17"/>
        <v>1.782210529400013</v>
      </c>
      <c r="W9" s="2">
        <f t="shared" ca="1" si="17"/>
        <v>1.6383540450999923</v>
      </c>
      <c r="X9" s="2">
        <f t="shared" ca="1" si="17"/>
        <v>1.4439495950000008</v>
      </c>
      <c r="Y9" s="2">
        <f t="shared" ca="1" si="17"/>
        <v>1.2586923288999905</v>
      </c>
      <c r="Z9" s="2">
        <f t="shared" ca="1" si="21"/>
        <v>-5.6906704899986948E-2</v>
      </c>
      <c r="AA9" s="2">
        <f t="shared" ca="1" si="18"/>
        <v>-0.20076318920000769</v>
      </c>
      <c r="AB9" s="2">
        <f t="shared" ca="1" si="18"/>
        <v>-0.39516763929999921</v>
      </c>
      <c r="AC9" s="2">
        <f t="shared" ca="1" si="18"/>
        <v>-0.58042490540000946</v>
      </c>
      <c r="AD9" s="2">
        <f t="shared" ca="1" si="22"/>
        <v>-0.30831560970000083</v>
      </c>
      <c r="AE9" s="2">
        <f t="array" aca="1" ref="AE9" ca="1">MMULT(P9:U9,$AL$5:$AL$10)</f>
        <v>-0.23318978504594867</v>
      </c>
      <c r="AL9">
        <f ca="1"/>
        <v>-0.32016001218644874</v>
      </c>
      <c r="AN9">
        <f ca="1"/>
        <v>-4.2454997618426596E-2</v>
      </c>
      <c r="AO9">
        <f ca="1"/>
        <v>2.4766230762857576E-2</v>
      </c>
      <c r="AP9">
        <f ca="1"/>
        <v>-5.2789364702813847E-2</v>
      </c>
      <c r="AQ9">
        <f ca="1"/>
        <v>-2.8509360705785487E-2</v>
      </c>
      <c r="AR9">
        <f ca="1"/>
        <v>7.1097739037875793E-2</v>
      </c>
      <c r="AS9">
        <f ca="1"/>
        <v>-9.4420979649851612E-3</v>
      </c>
      <c r="AU9">
        <f ca="1"/>
        <v>477.64032612437109</v>
      </c>
    </row>
    <row r="10" spans="1:47" x14ac:dyDescent="0.2">
      <c r="A10">
        <f t="shared" si="19"/>
        <v>195706</v>
      </c>
      <c r="B10">
        <f ca="1">LOOKUP($A10,FBYields!$B$6:$B$7864,FBYields!E$6:E$864)</f>
        <v>3.5808036445</v>
      </c>
      <c r="C10">
        <f ca="1">LOOKUP($A10,FBYields!$B$6:$B$7864,FBYields!F$6:F$864)</f>
        <v>3.5127718289000001</v>
      </c>
      <c r="D10">
        <f ca="1">LOOKUP($A10,FBYields!$B$6:$B$7864,FBYields!G$6:G$864)</f>
        <v>3.7130380564999999</v>
      </c>
      <c r="E10">
        <f ca="1">LOOKUP($A10,FBYields!$B$6:$B$7864,FBYields!H$6:H$864)</f>
        <v>3.8456421438000001</v>
      </c>
      <c r="F10">
        <f ca="1">LOOKUP($A10,FBYields!$B$6:$B$7864,FBYields!I$6:I$864)</f>
        <v>3.9460548186</v>
      </c>
      <c r="G10" s="2">
        <f t="shared" ca="1" si="3"/>
        <v>0.96482548703779414</v>
      </c>
      <c r="H10">
        <f t="shared" ca="1" si="4"/>
        <v>0.93215568283499717</v>
      </c>
      <c r="I10">
        <f t="shared" ca="1" si="5"/>
        <v>0.89458876952008537</v>
      </c>
      <c r="J10">
        <f t="shared" ca="1" si="6"/>
        <v>0.85742146876418934</v>
      </c>
      <c r="K10">
        <f t="shared" ca="1" si="7"/>
        <v>0.82094206292473526</v>
      </c>
      <c r="L10" s="2">
        <f t="shared" ca="1" si="8"/>
        <v>0.96613915714115328</v>
      </c>
      <c r="M10">
        <f t="shared" ca="1" si="9"/>
        <v>0.95969888506106804</v>
      </c>
      <c r="N10">
        <f t="shared" ca="1" si="10"/>
        <v>0.95845319992577716</v>
      </c>
      <c r="O10">
        <f t="shared" ca="1" si="11"/>
        <v>0.95745452246252682</v>
      </c>
      <c r="P10" s="4">
        <f t="shared" si="20"/>
        <v>1</v>
      </c>
      <c r="Q10" s="2">
        <f t="shared" ca="1" si="12"/>
        <v>3.5808036445</v>
      </c>
      <c r="R10">
        <f t="shared" ca="1" si="13"/>
        <v>3.4447400133000032</v>
      </c>
      <c r="S10">
        <f t="shared" ca="1" si="14"/>
        <v>4.1135705116999972</v>
      </c>
      <c r="T10">
        <f t="shared" ca="1" si="15"/>
        <v>4.2434544057000068</v>
      </c>
      <c r="U10">
        <f t="shared" ca="1" si="16"/>
        <v>4.3477055177999935</v>
      </c>
      <c r="V10" s="2">
        <f t="shared" ca="1" si="17"/>
        <v>2.0569395534999964</v>
      </c>
      <c r="W10" s="2">
        <f t="shared" ca="1" si="17"/>
        <v>1.3159903940000024</v>
      </c>
      <c r="X10" s="2">
        <f t="shared" ca="1" si="17"/>
        <v>0.16627047810000073</v>
      </c>
      <c r="Y10" s="2">
        <f t="shared" ca="1" si="17"/>
        <v>-1.1684047967000042</v>
      </c>
      <c r="Z10" s="2">
        <f t="shared" ca="1" si="21"/>
        <v>-0.49264112950000349</v>
      </c>
      <c r="AA10" s="2">
        <f t="shared" ca="1" si="18"/>
        <v>-1.2335902889999975</v>
      </c>
      <c r="AB10" s="2">
        <f t="shared" ca="1" si="18"/>
        <v>-2.383310204899999</v>
      </c>
      <c r="AC10" s="2">
        <f t="shared" ca="1" si="18"/>
        <v>-3.7179854797000038</v>
      </c>
      <c r="AD10" s="2">
        <f t="shared" ca="1" si="22"/>
        <v>-1.956881775775001</v>
      </c>
      <c r="AE10" s="2">
        <f t="array" aca="1" ref="AE10" ca="1">MMULT(P10:U10,$AL$5:$AL$10)</f>
        <v>0.20425567212652346</v>
      </c>
      <c r="AL10">
        <f ca="1"/>
        <v>0.10469809291284804</v>
      </c>
      <c r="AN10">
        <f ca="1"/>
        <v>-1.923777016313849E-2</v>
      </c>
      <c r="AO10">
        <f ca="1"/>
        <v>1.2392447684665004E-2</v>
      </c>
      <c r="AP10">
        <f ca="1"/>
        <v>2.3095581832139307E-5</v>
      </c>
      <c r="AQ10">
        <f ca="1"/>
        <v>-4.4955814396157749E-2</v>
      </c>
      <c r="AR10">
        <f ca="1"/>
        <v>-9.4420979649847501E-3</v>
      </c>
      <c r="AS10">
        <f ca="1"/>
        <v>4.51683920059665E-2</v>
      </c>
      <c r="AU10">
        <f ca="1"/>
        <v>495.23607202818101</v>
      </c>
    </row>
    <row r="11" spans="1:47" x14ac:dyDescent="0.2">
      <c r="A11">
        <f t="shared" si="19"/>
        <v>195806</v>
      </c>
      <c r="B11">
        <f ca="1">LOOKUP($A11,FBYields!$B$6:$B$7864,FBYields!E$6:E$864)</f>
        <v>1.0999651510999999</v>
      </c>
      <c r="C11">
        <f ca="1">LOOKUP($A11,FBYields!$B$6:$B$7864,FBYields!F$6:F$864)</f>
        <v>1.6663812158</v>
      </c>
      <c r="D11">
        <f ca="1">LOOKUP($A11,FBYields!$B$6:$B$7864,FBYields!G$6:G$864)</f>
        <v>2.1979458052999998</v>
      </c>
      <c r="E11">
        <f ca="1">LOOKUP($A11,FBYields!$B$6:$B$7864,FBYields!H$6:H$864)</f>
        <v>2.4896742917000001</v>
      </c>
      <c r="F11">
        <f ca="1">LOOKUP($A11,FBYields!$B$6:$B$7864,FBYields!I$6:I$864)</f>
        <v>2.5612100957999999</v>
      </c>
      <c r="G11" s="2">
        <f t="shared" ca="1" si="3"/>
        <v>0.98906062345205625</v>
      </c>
      <c r="H11">
        <f t="shared" ca="1" si="4"/>
        <v>0.96722162235125086</v>
      </c>
      <c r="I11">
        <f t="shared" ca="1" si="5"/>
        <v>0.93618855592104622</v>
      </c>
      <c r="J11">
        <f t="shared" ca="1" si="6"/>
        <v>0.90521121871528376</v>
      </c>
      <c r="K11">
        <f t="shared" ca="1" si="7"/>
        <v>0.87980014541117213</v>
      </c>
      <c r="L11" s="2">
        <f t="shared" ca="1" si="8"/>
        <v>0.97791945146437831</v>
      </c>
      <c r="M11">
        <f t="shared" ca="1" si="9"/>
        <v>0.96791524743340074</v>
      </c>
      <c r="N11">
        <f t="shared" ca="1" si="10"/>
        <v>0.9669112199568749</v>
      </c>
      <c r="O11">
        <f t="shared" ca="1" si="11"/>
        <v>0.97192801770599335</v>
      </c>
      <c r="P11" s="4">
        <f t="shared" si="20"/>
        <v>1</v>
      </c>
      <c r="Q11" s="2">
        <f t="shared" ca="1" si="12"/>
        <v>1.0999651510999999</v>
      </c>
      <c r="R11">
        <f t="shared" ca="1" si="13"/>
        <v>2.2327972804999972</v>
      </c>
      <c r="S11">
        <f t="shared" ca="1" si="14"/>
        <v>3.2610749842999955</v>
      </c>
      <c r="T11">
        <f t="shared" ca="1" si="15"/>
        <v>3.3648597508999942</v>
      </c>
      <c r="U11">
        <f t="shared" ca="1" si="16"/>
        <v>2.8473533121999952</v>
      </c>
      <c r="V11" s="2">
        <f t="shared" ca="1" si="17"/>
        <v>5.9255785066999955</v>
      </c>
      <c r="W11" s="2">
        <f t="shared" ca="1" si="17"/>
        <v>7.8063517378999938</v>
      </c>
      <c r="X11" s="2">
        <f t="shared" ca="1" si="17"/>
        <v>8.7887311593000152</v>
      </c>
      <c r="Y11" s="2">
        <f t="shared" ca="1" si="17"/>
        <v>9.7715769262000034</v>
      </c>
      <c r="Z11" s="2">
        <f t="shared" ca="1" si="21"/>
        <v>2.3447748621999955</v>
      </c>
      <c r="AA11" s="2">
        <f t="shared" ca="1" si="18"/>
        <v>4.2255480933999934</v>
      </c>
      <c r="AB11" s="2">
        <f t="shared" ca="1" si="18"/>
        <v>5.2079275148000157</v>
      </c>
      <c r="AC11" s="2">
        <f t="shared" ca="1" si="18"/>
        <v>6.1907732817000038</v>
      </c>
      <c r="AD11" s="2">
        <f t="shared" ca="1" si="22"/>
        <v>4.4922559380250018</v>
      </c>
      <c r="AE11" s="2">
        <f t="array" aca="1" ref="AE11" ca="1">MMULT(P11:U11,$AL$5:$AL$10)</f>
        <v>2.1991011052394476</v>
      </c>
    </row>
    <row r="12" spans="1:47" x14ac:dyDescent="0.2">
      <c r="A12">
        <f t="shared" si="19"/>
        <v>195906</v>
      </c>
      <c r="B12">
        <f ca="1">LOOKUP($A12,FBYields!$B$6:$B$7864,FBYields!E$6:E$864)</f>
        <v>4.0831019960999999</v>
      </c>
      <c r="C12">
        <f ca="1">LOOKUP($A12,FBYields!$B$6:$B$7864,FBYields!F$6:F$864)</f>
        <v>4.2861824561999997</v>
      </c>
      <c r="D12">
        <f ca="1">LOOKUP($A12,FBYields!$B$6:$B$7864,FBYields!G$6:G$864)</f>
        <v>4.2760092152000002</v>
      </c>
      <c r="E12">
        <f ca="1">LOOKUP($A12,FBYields!$B$6:$B$7864,FBYields!H$6:H$864)</f>
        <v>4.4145219597000001</v>
      </c>
      <c r="F12">
        <f ca="1">LOOKUP($A12,FBYields!$B$6:$B$7864,FBYields!I$6:I$864)</f>
        <v>4.4325815958000003</v>
      </c>
      <c r="G12" s="2">
        <f t="shared" ca="1" si="3"/>
        <v>0.95999133561598493</v>
      </c>
      <c r="H12">
        <f t="shared" ca="1" si="4"/>
        <v>0.91784784423123611</v>
      </c>
      <c r="I12">
        <f t="shared" ca="1" si="5"/>
        <v>0.87960681151290265</v>
      </c>
      <c r="J12">
        <f t="shared" ca="1" si="6"/>
        <v>0.83813098973048938</v>
      </c>
      <c r="K12">
        <f t="shared" ca="1" si="7"/>
        <v>0.80121249513229265</v>
      </c>
      <c r="L12" s="2">
        <f t="shared" ca="1" si="8"/>
        <v>0.95610013359369839</v>
      </c>
      <c r="M12">
        <f t="shared" ca="1" si="9"/>
        <v>0.9583361959624549</v>
      </c>
      <c r="N12">
        <f t="shared" ca="1" si="10"/>
        <v>0.95284731627864971</v>
      </c>
      <c r="O12">
        <f t="shared" ca="1" si="11"/>
        <v>0.95595140252471955</v>
      </c>
      <c r="P12" s="4">
        <f t="shared" si="20"/>
        <v>1</v>
      </c>
      <c r="Q12" s="2">
        <f t="shared" ca="1" si="12"/>
        <v>4.0831019960999999</v>
      </c>
      <c r="R12">
        <f t="shared" ca="1" si="13"/>
        <v>4.4892629162999933</v>
      </c>
      <c r="S12">
        <f t="shared" ca="1" si="14"/>
        <v>4.2556627331999994</v>
      </c>
      <c r="T12">
        <f t="shared" ca="1" si="15"/>
        <v>4.8300601932000014</v>
      </c>
      <c r="U12">
        <f t="shared" ca="1" si="16"/>
        <v>4.5048201402000085</v>
      </c>
      <c r="V12" s="2">
        <f t="shared" ca="1" si="17"/>
        <v>-0.75033956449999639</v>
      </c>
      <c r="W12" s="2">
        <f t="shared" ca="1" si="17"/>
        <v>-1.9785274965000013</v>
      </c>
      <c r="X12" s="2">
        <f t="shared" ca="1" si="17"/>
        <v>-2.8693304788000034</v>
      </c>
      <c r="Y12" s="2">
        <f t="shared" ca="1" si="17"/>
        <v>-4.8520373598000006</v>
      </c>
      <c r="Z12" s="2">
        <f t="shared" ca="1" si="21"/>
        <v>-1.8503047155999963</v>
      </c>
      <c r="AA12" s="2">
        <f t="shared" ca="1" si="18"/>
        <v>-3.078492647600001</v>
      </c>
      <c r="AB12" s="2">
        <f t="shared" ca="1" si="18"/>
        <v>-3.9692956299000031</v>
      </c>
      <c r="AC12" s="2">
        <f t="shared" ca="1" si="18"/>
        <v>-5.9520025109000008</v>
      </c>
      <c r="AD12" s="2">
        <f t="shared" ca="1" si="22"/>
        <v>-3.7125238760000006</v>
      </c>
      <c r="AE12" s="2">
        <f t="array" aca="1" ref="AE12" ca="1">MMULT(P12:U12,$AL$5:$AL$10)</f>
        <v>-7.7384983047832145E-2</v>
      </c>
    </row>
    <row r="13" spans="1:47" x14ac:dyDescent="0.2">
      <c r="A13">
        <f t="shared" si="19"/>
        <v>196006</v>
      </c>
      <c r="B13">
        <f ca="1">LOOKUP($A13,FBYields!$B$6:$B$7864,FBYields!E$6:E$864)</f>
        <v>3.1688928423</v>
      </c>
      <c r="C13">
        <f ca="1">LOOKUP($A13,FBYields!$B$6:$B$7864,FBYields!F$6:F$864)</f>
        <v>3.6993851809999998</v>
      </c>
      <c r="D13">
        <f ca="1">LOOKUP($A13,FBYields!$B$6:$B$7864,FBYields!G$6:G$864)</f>
        <v>3.7523477686</v>
      </c>
      <c r="E13">
        <f ca="1">LOOKUP($A13,FBYields!$B$6:$B$7864,FBYields!H$6:H$864)</f>
        <v>3.9500697466000001</v>
      </c>
      <c r="F13">
        <f ca="1">LOOKUP($A13,FBYields!$B$6:$B$7864,FBYields!I$6:I$864)</f>
        <v>3.9785960618999998</v>
      </c>
      <c r="G13" s="2">
        <f t="shared" ca="1" si="3"/>
        <v>0.96880790381290349</v>
      </c>
      <c r="H13">
        <f t="shared" ca="1" si="4"/>
        <v>0.92868311321153818</v>
      </c>
      <c r="I13">
        <f t="shared" ca="1" si="5"/>
        <v>0.893534410531172</v>
      </c>
      <c r="J13">
        <f t="shared" ca="1" si="6"/>
        <v>0.8538473998470365</v>
      </c>
      <c r="K13">
        <f t="shared" ca="1" si="7"/>
        <v>0.81960742521818719</v>
      </c>
      <c r="L13" s="2">
        <f t="shared" ca="1" si="8"/>
        <v>0.95858333685816599</v>
      </c>
      <c r="M13">
        <f t="shared" ca="1" si="9"/>
        <v>0.96215210314440169</v>
      </c>
      <c r="N13">
        <f t="shared" ca="1" si="10"/>
        <v>0.95558423915588986</v>
      </c>
      <c r="O13">
        <f t="shared" ca="1" si="11"/>
        <v>0.95989918733138579</v>
      </c>
      <c r="P13" s="4">
        <f t="shared" si="20"/>
        <v>1</v>
      </c>
      <c r="Q13" s="2">
        <f t="shared" ca="1" si="12"/>
        <v>3.1688928423</v>
      </c>
      <c r="R13">
        <f t="shared" ca="1" si="13"/>
        <v>4.2298775197000085</v>
      </c>
      <c r="S13">
        <f t="shared" ca="1" si="14"/>
        <v>3.858272943799995</v>
      </c>
      <c r="T13">
        <f t="shared" ca="1" si="15"/>
        <v>4.5432356806000032</v>
      </c>
      <c r="U13">
        <f t="shared" ca="1" si="16"/>
        <v>4.0927013231000027</v>
      </c>
      <c r="V13" s="2">
        <f t="shared" ca="1" si="17"/>
        <v>5.4034720700999914</v>
      </c>
      <c r="W13" s="2">
        <f t="shared" ca="1" si="17"/>
        <v>5.4292572835999922</v>
      </c>
      <c r="X13" s="2">
        <f t="shared" ca="1" si="17"/>
        <v>6.4010445330000056</v>
      </c>
      <c r="Y13" s="2">
        <f t="shared" ca="1" si="17"/>
        <v>6.3626289926000084</v>
      </c>
      <c r="Z13" s="2">
        <f t="shared" ca="1" si="21"/>
        <v>1.3203700739999915</v>
      </c>
      <c r="AA13" s="2">
        <f t="shared" ca="1" si="18"/>
        <v>1.3461552874999922</v>
      </c>
      <c r="AB13" s="2">
        <f t="shared" ca="1" si="18"/>
        <v>2.3179425369000057</v>
      </c>
      <c r="AC13" s="2">
        <f t="shared" ca="1" si="18"/>
        <v>2.2795269965000085</v>
      </c>
      <c r="AD13" s="2">
        <f t="shared" ca="1" si="22"/>
        <v>1.8159987237249995</v>
      </c>
      <c r="AE13" s="2">
        <f t="array" aca="1" ref="AE13" ca="1">MMULT(P13:U13,$AL$5:$AL$10)</f>
        <v>0.61311659205903946</v>
      </c>
    </row>
    <row r="14" spans="1:47" x14ac:dyDescent="0.2">
      <c r="A14">
        <f t="shared" si="19"/>
        <v>196106</v>
      </c>
      <c r="B14">
        <f ca="1">LOOKUP($A14,FBYields!$B$6:$B$7864,FBYields!E$6:E$864)</f>
        <v>2.9978781685999998</v>
      </c>
      <c r="C14">
        <f ca="1">LOOKUP($A14,FBYields!$B$6:$B$7864,FBYields!F$6:F$864)</f>
        <v>3.2571057926</v>
      </c>
      <c r="D14">
        <f ca="1">LOOKUP($A14,FBYields!$B$6:$B$7864,FBYields!G$6:G$864)</f>
        <v>3.5129106860000001</v>
      </c>
      <c r="E14">
        <f ca="1">LOOKUP($A14,FBYields!$B$6:$B$7864,FBYields!H$6:H$864)</f>
        <v>3.6276080938000002</v>
      </c>
      <c r="F14">
        <f ca="1">LOOKUP($A14,FBYields!$B$6:$B$7864,FBYields!I$6:I$864)</f>
        <v>3.6277489750999998</v>
      </c>
      <c r="G14" s="2">
        <f t="shared" ca="1" si="3"/>
        <v>0.97046612498501594</v>
      </c>
      <c r="H14">
        <f t="shared" ca="1" si="4"/>
        <v>0.93693430069895201</v>
      </c>
      <c r="I14">
        <f t="shared" ca="1" si="5"/>
        <v>0.89997587589336747</v>
      </c>
      <c r="J14">
        <f t="shared" ca="1" si="6"/>
        <v>0.86493205544660801</v>
      </c>
      <c r="K14">
        <f t="shared" ca="1" si="7"/>
        <v>0.83411212037812033</v>
      </c>
      <c r="L14" s="2">
        <f t="shared" ca="1" si="8"/>
        <v>0.96544771278175046</v>
      </c>
      <c r="M14">
        <f t="shared" ca="1" si="9"/>
        <v>0.96055387792077462</v>
      </c>
      <c r="N14">
        <f t="shared" ca="1" si="10"/>
        <v>0.961061377993079</v>
      </c>
      <c r="O14">
        <f t="shared" ca="1" si="11"/>
        <v>0.96436721835615891</v>
      </c>
      <c r="P14" s="4">
        <f t="shared" si="20"/>
        <v>1</v>
      </c>
      <c r="Q14" s="2">
        <f t="shared" ca="1" si="12"/>
        <v>2.9978781685999998</v>
      </c>
      <c r="R14">
        <f t="shared" ca="1" si="13"/>
        <v>3.5163334165999962</v>
      </c>
      <c r="S14">
        <f t="shared" ca="1" si="14"/>
        <v>4.0245204728000088</v>
      </c>
      <c r="T14">
        <f t="shared" ca="1" si="15"/>
        <v>3.9717003171999985</v>
      </c>
      <c r="U14">
        <f t="shared" ca="1" si="16"/>
        <v>3.6283125003000003</v>
      </c>
      <c r="V14" s="2">
        <f t="shared" ca="1" si="17"/>
        <v>4.4008921933999989</v>
      </c>
      <c r="W14" s="2">
        <f t="shared" ca="1" si="17"/>
        <v>4.7428317205999928</v>
      </c>
      <c r="X14" s="2">
        <f t="shared" ca="1" si="17"/>
        <v>5.261546928400004</v>
      </c>
      <c r="Y14" s="2">
        <f t="shared" ca="1" si="17"/>
        <v>5.3825479342999962</v>
      </c>
      <c r="Z14" s="2">
        <f t="shared" ca="1" si="21"/>
        <v>1.2319993510999989</v>
      </c>
      <c r="AA14" s="2">
        <f t="shared" ca="1" si="18"/>
        <v>1.5739388782999928</v>
      </c>
      <c r="AB14" s="2">
        <f t="shared" ca="1" si="18"/>
        <v>2.092654086100004</v>
      </c>
      <c r="AC14" s="2">
        <f t="shared" ca="1" si="18"/>
        <v>2.2136550919999962</v>
      </c>
      <c r="AD14" s="2">
        <f t="shared" ca="1" si="22"/>
        <v>1.778061851874998</v>
      </c>
      <c r="AE14" s="2">
        <f t="array" aca="1" ref="AE14" ca="1">MMULT(P14:U14,$AL$5:$AL$10)</f>
        <v>0.95642054767617424</v>
      </c>
    </row>
    <row r="15" spans="1:47" x14ac:dyDescent="0.2">
      <c r="A15">
        <f t="shared" si="19"/>
        <v>196206</v>
      </c>
      <c r="B15">
        <f ca="1">LOOKUP($A15,FBYields!$B$6:$B$7864,FBYields!E$6:E$864)</f>
        <v>3.0712127760999999</v>
      </c>
      <c r="C15">
        <f ca="1">LOOKUP($A15,FBYields!$B$6:$B$7864,FBYields!F$6:F$864)</f>
        <v>3.3774720194999999</v>
      </c>
      <c r="D15">
        <f ca="1">LOOKUP($A15,FBYields!$B$6:$B$7864,FBYields!G$6:G$864)</f>
        <v>3.4806610806</v>
      </c>
      <c r="E15">
        <f ca="1">LOOKUP($A15,FBYields!$B$6:$B$7864,FBYields!H$6:H$864)</f>
        <v>3.6102472098999998</v>
      </c>
      <c r="F15">
        <f ca="1">LOOKUP($A15,FBYields!$B$6:$B$7864,FBYields!I$6:I$864)</f>
        <v>3.6521043912</v>
      </c>
      <c r="G15" s="2">
        <f t="shared" ca="1" si="3"/>
        <v>0.96975469835418493</v>
      </c>
      <c r="H15">
        <f t="shared" ca="1" si="4"/>
        <v>0.93468150845535947</v>
      </c>
      <c r="I15">
        <f t="shared" ca="1" si="5"/>
        <v>0.90084701323896343</v>
      </c>
      <c r="J15">
        <f t="shared" ca="1" si="6"/>
        <v>0.86553290344734946</v>
      </c>
      <c r="K15">
        <f t="shared" ca="1" si="7"/>
        <v>0.83309698121869435</v>
      </c>
      <c r="L15" s="2">
        <f t="shared" ca="1" si="8"/>
        <v>0.96383292603959558</v>
      </c>
      <c r="M15">
        <f t="shared" ca="1" si="9"/>
        <v>0.96380104355299545</v>
      </c>
      <c r="N15">
        <f t="shared" ca="1" si="10"/>
        <v>0.96079899331114682</v>
      </c>
      <c r="O15">
        <f t="shared" ca="1" si="11"/>
        <v>0.96252491141646335</v>
      </c>
      <c r="P15" s="4">
        <f t="shared" si="20"/>
        <v>1</v>
      </c>
      <c r="Q15" s="2">
        <f t="shared" ca="1" si="12"/>
        <v>3.0712127760999999</v>
      </c>
      <c r="R15">
        <f t="shared" ca="1" si="13"/>
        <v>3.6837312629000052</v>
      </c>
      <c r="S15">
        <f t="shared" ca="1" si="14"/>
        <v>3.6870392028000034</v>
      </c>
      <c r="T15">
        <f t="shared" ca="1" si="15"/>
        <v>3.9990055977999992</v>
      </c>
      <c r="U15">
        <f t="shared" ca="1" si="16"/>
        <v>3.8195331163999966</v>
      </c>
      <c r="V15" s="2">
        <f t="shared" ca="1" si="17"/>
        <v>3.442998809099989</v>
      </c>
      <c r="W15" s="2">
        <f t="shared" ca="1" si="17"/>
        <v>3.7837880189999979</v>
      </c>
      <c r="X15" s="2">
        <f t="shared" ca="1" si="17"/>
        <v>4.0684491333999873</v>
      </c>
      <c r="Y15" s="2">
        <f t="shared" ca="1" si="17"/>
        <v>3.6977560359000003</v>
      </c>
      <c r="Z15" s="2">
        <f t="shared" ca="1" si="21"/>
        <v>0.44512064049998923</v>
      </c>
      <c r="AA15" s="2">
        <f t="shared" ca="1" si="18"/>
        <v>0.78590985039999817</v>
      </c>
      <c r="AB15" s="2">
        <f t="shared" ca="1" si="18"/>
        <v>1.0705709647999875</v>
      </c>
      <c r="AC15" s="2">
        <f t="shared" ca="1" si="18"/>
        <v>0.69987786730000057</v>
      </c>
      <c r="AD15" s="2">
        <f t="shared" ca="1" si="22"/>
        <v>0.75036983074999386</v>
      </c>
      <c r="AE15" s="2">
        <f t="array" aca="1" ref="AE15" ca="1">MMULT(P15:U15,$AL$5:$AL$10)</f>
        <v>0.43755975502412348</v>
      </c>
    </row>
    <row r="16" spans="1:47" x14ac:dyDescent="0.2">
      <c r="A16">
        <f t="shared" si="19"/>
        <v>196306</v>
      </c>
      <c r="B16">
        <f ca="1">LOOKUP($A16,FBYields!$B$6:$B$7864,FBYields!E$6:E$864)</f>
        <v>3.1257007489999999</v>
      </c>
      <c r="C16">
        <f ca="1">LOOKUP($A16,FBYields!$B$6:$B$7864,FBYields!F$6:F$864)</f>
        <v>3.2785651001999998</v>
      </c>
      <c r="D16">
        <f ca="1">LOOKUP($A16,FBYields!$B$6:$B$7864,FBYields!G$6:G$864)</f>
        <v>3.5351512848</v>
      </c>
      <c r="E16">
        <f ca="1">LOOKUP($A16,FBYields!$B$6:$B$7864,FBYields!H$6:H$864)</f>
        <v>3.7134923228000001</v>
      </c>
      <c r="F16">
        <f ca="1">LOOKUP($A16,FBYields!$B$6:$B$7864,FBYields!I$6:I$864)</f>
        <v>3.7706895538</v>
      </c>
      <c r="G16" s="2">
        <f t="shared" ca="1" si="3"/>
        <v>0.96922644260794277</v>
      </c>
      <c r="H16">
        <f t="shared" ca="1" si="4"/>
        <v>0.93653226775141629</v>
      </c>
      <c r="I16">
        <f t="shared" ca="1" si="5"/>
        <v>0.89937559610280404</v>
      </c>
      <c r="J16">
        <f t="shared" ca="1" si="6"/>
        <v>0.86196579255911332</v>
      </c>
      <c r="K16">
        <f t="shared" ca="1" si="7"/>
        <v>0.82817194949066653</v>
      </c>
      <c r="L16" s="2">
        <f t="shared" ca="1" si="8"/>
        <v>0.9662677642506794</v>
      </c>
      <c r="M16">
        <f t="shared" ca="1" si="9"/>
        <v>0.96032526275061059</v>
      </c>
      <c r="N16">
        <f t="shared" ca="1" si="10"/>
        <v>0.95840469353872204</v>
      </c>
      <c r="O16">
        <f t="shared" ca="1" si="11"/>
        <v>0.96079444989560969</v>
      </c>
      <c r="P16" s="4">
        <f t="shared" si="20"/>
        <v>1</v>
      </c>
      <c r="Q16" s="2">
        <f t="shared" ca="1" si="12"/>
        <v>3.1257007489999999</v>
      </c>
      <c r="R16">
        <f t="shared" ca="1" si="13"/>
        <v>3.4314294513999908</v>
      </c>
      <c r="S16">
        <f t="shared" ca="1" si="14"/>
        <v>4.0483236540000052</v>
      </c>
      <c r="T16">
        <f t="shared" ca="1" si="15"/>
        <v>4.2485154368000018</v>
      </c>
      <c r="U16">
        <f t="shared" ca="1" si="16"/>
        <v>3.9994784778000012</v>
      </c>
      <c r="V16" s="2">
        <f t="shared" ca="1" si="17"/>
        <v>3.6292432899999949</v>
      </c>
      <c r="W16" s="2">
        <f t="shared" ca="1" si="17"/>
        <v>3.8848530414000084</v>
      </c>
      <c r="X16" s="2">
        <f t="shared" ca="1" si="17"/>
        <v>3.8355349851999994</v>
      </c>
      <c r="Y16" s="2">
        <f t="shared" ca="1" si="17"/>
        <v>3.4065526647999929</v>
      </c>
      <c r="Z16" s="2">
        <f t="shared" ca="1" si="21"/>
        <v>0.55803051389999503</v>
      </c>
      <c r="AA16" s="2">
        <f t="shared" ca="1" si="18"/>
        <v>0.81364026530000855</v>
      </c>
      <c r="AB16" s="2">
        <f t="shared" ca="1" si="18"/>
        <v>0.76432220909999948</v>
      </c>
      <c r="AC16" s="2">
        <f t="shared" ca="1" si="18"/>
        <v>0.33533988869999298</v>
      </c>
      <c r="AD16" s="2">
        <f t="shared" ca="1" si="22"/>
        <v>0.61783321924999901</v>
      </c>
      <c r="AE16" s="2">
        <f t="array" aca="1" ref="AE16" ca="1">MMULT(P16:U16,$AL$5:$AL$10)</f>
        <v>0.7234073368641134</v>
      </c>
    </row>
    <row r="17" spans="1:31" x14ac:dyDescent="0.2">
      <c r="A17">
        <f t="shared" si="19"/>
        <v>196406</v>
      </c>
      <c r="B17">
        <f ca="1">LOOKUP($A17,FBYields!$B$6:$B$7864,FBYields!E$6:E$864)</f>
        <v>3.7795392952000002</v>
      </c>
      <c r="C17">
        <f ca="1">LOOKUP($A17,FBYields!$B$6:$B$7864,FBYields!F$6:F$864)</f>
        <v>3.7785039575999999</v>
      </c>
      <c r="D17">
        <f ca="1">LOOKUP($A17,FBYields!$B$6:$B$7864,FBYields!G$6:G$864)</f>
        <v>3.893532644</v>
      </c>
      <c r="E17">
        <f ca="1">LOOKUP($A17,FBYields!$B$6:$B$7864,FBYields!H$6:H$864)</f>
        <v>3.9724796674</v>
      </c>
      <c r="F17">
        <f ca="1">LOOKUP($A17,FBYields!$B$6:$B$7864,FBYields!I$6:I$864)</f>
        <v>3.9773172034000002</v>
      </c>
      <c r="G17" s="2">
        <f t="shared" ca="1" si="3"/>
        <v>0.9629099388970096</v>
      </c>
      <c r="H17">
        <f t="shared" ca="1" si="4"/>
        <v>0.92721474983373897</v>
      </c>
      <c r="I17">
        <f t="shared" ca="1" si="5"/>
        <v>0.88975780783237302</v>
      </c>
      <c r="J17">
        <f t="shared" ca="1" si="6"/>
        <v>0.8530823566851633</v>
      </c>
      <c r="K17">
        <f t="shared" ca="1" si="7"/>
        <v>0.81965983498990658</v>
      </c>
      <c r="L17" s="2">
        <f t="shared" ca="1" si="8"/>
        <v>0.96292987784074735</v>
      </c>
      <c r="M17">
        <f t="shared" ca="1" si="9"/>
        <v>0.95960273279940544</v>
      </c>
      <c r="N17">
        <f t="shared" ca="1" si="10"/>
        <v>0.95878041100132805</v>
      </c>
      <c r="O17">
        <f t="shared" ca="1" si="11"/>
        <v>0.96082145946010744</v>
      </c>
      <c r="P17" s="4">
        <f t="shared" si="20"/>
        <v>1</v>
      </c>
      <c r="Q17" s="2">
        <f t="shared" ca="1" si="12"/>
        <v>3.7795392952000002</v>
      </c>
      <c r="R17">
        <f t="shared" ca="1" si="13"/>
        <v>3.7774686200000027</v>
      </c>
      <c r="S17">
        <f t="shared" ca="1" si="14"/>
        <v>4.1235900168000059</v>
      </c>
      <c r="T17">
        <f t="shared" ca="1" si="15"/>
        <v>4.2093207375999953</v>
      </c>
      <c r="U17">
        <f t="shared" ca="1" si="16"/>
        <v>3.9966673474000047</v>
      </c>
      <c r="V17" s="2">
        <f t="shared" ca="1" si="17"/>
        <v>2.7775909051999865</v>
      </c>
      <c r="W17" s="2">
        <f t="shared" ca="1" si="17"/>
        <v>3.0484459392000027</v>
      </c>
      <c r="X17" s="2">
        <f t="shared" ca="1" si="17"/>
        <v>3.173371359199991</v>
      </c>
      <c r="Y17" s="2">
        <f t="shared" ca="1" si="17"/>
        <v>2.9635290994000014</v>
      </c>
      <c r="Z17" s="2">
        <f t="shared" ca="1" si="21"/>
        <v>-0.34810984380001342</v>
      </c>
      <c r="AA17" s="2">
        <f t="shared" ca="1" si="18"/>
        <v>-7.7254809799997215E-2</v>
      </c>
      <c r="AB17" s="2">
        <f t="shared" ca="1" si="18"/>
        <v>4.7670610199991081E-2</v>
      </c>
      <c r="AC17" s="2">
        <f t="shared" ca="1" si="18"/>
        <v>-0.16217164959999852</v>
      </c>
      <c r="AD17" s="2">
        <f t="shared" ca="1" si="22"/>
        <v>-0.13496642325000452</v>
      </c>
      <c r="AE17" s="2">
        <f t="array" aca="1" ref="AE17" ca="1">MMULT(P17:U17,$AL$5:$AL$10)</f>
        <v>3.6231092690477806E-2</v>
      </c>
    </row>
    <row r="18" spans="1:31" x14ac:dyDescent="0.2">
      <c r="A18">
        <f t="shared" si="19"/>
        <v>196506</v>
      </c>
      <c r="B18">
        <f ca="1">LOOKUP($A18,FBYields!$B$6:$B$7864,FBYields!E$6:E$864)</f>
        <v>3.9764244462999998</v>
      </c>
      <c r="C18">
        <f ca="1">LOOKUP($A18,FBYields!$B$6:$B$7864,FBYields!F$6:F$864)</f>
        <v>3.9317456139</v>
      </c>
      <c r="D18">
        <f ca="1">LOOKUP($A18,FBYields!$B$6:$B$7864,FBYields!G$6:G$864)</f>
        <v>4.0044583758999996</v>
      </c>
      <c r="E18">
        <f ca="1">LOOKUP($A18,FBYields!$B$6:$B$7864,FBYields!H$6:H$864)</f>
        <v>4.0173985878999998</v>
      </c>
      <c r="F18">
        <f ca="1">LOOKUP($A18,FBYields!$B$6:$B$7864,FBYields!I$6:I$864)</f>
        <v>4.0935291960000004</v>
      </c>
      <c r="G18" s="2">
        <f t="shared" ca="1" si="3"/>
        <v>0.96101597728525479</v>
      </c>
      <c r="H18">
        <f t="shared" ca="1" si="4"/>
        <v>0.92437734166583396</v>
      </c>
      <c r="I18">
        <f t="shared" ca="1" si="5"/>
        <v>0.88680181790903456</v>
      </c>
      <c r="J18">
        <f t="shared" ca="1" si="6"/>
        <v>0.85155095133626069</v>
      </c>
      <c r="K18">
        <f t="shared" ca="1" si="7"/>
        <v>0.81491093020962668</v>
      </c>
      <c r="L18" s="2">
        <f t="shared" ca="1" si="8"/>
        <v>0.96187510251086539</v>
      </c>
      <c r="M18">
        <f t="shared" ca="1" si="9"/>
        <v>0.95935044914765655</v>
      </c>
      <c r="N18">
        <f t="shared" ca="1" si="10"/>
        <v>0.96024944259147904</v>
      </c>
      <c r="O18">
        <f t="shared" ca="1" si="11"/>
        <v>0.95697260267381745</v>
      </c>
      <c r="P18" s="4">
        <f t="shared" si="20"/>
        <v>1</v>
      </c>
      <c r="Q18" s="2">
        <f t="shared" ca="1" si="12"/>
        <v>3.9764244462999998</v>
      </c>
      <c r="R18">
        <f t="shared" ca="1" si="13"/>
        <v>3.8870667814999953</v>
      </c>
      <c r="S18">
        <f t="shared" ca="1" si="14"/>
        <v>4.1498838999000016</v>
      </c>
      <c r="T18">
        <f t="shared" ca="1" si="15"/>
        <v>4.0562192238999977</v>
      </c>
      <c r="U18">
        <f t="shared" ca="1" si="16"/>
        <v>4.3980516284000011</v>
      </c>
      <c r="V18" s="2">
        <f t="shared" ca="1" si="17"/>
        <v>3.5805834688999969</v>
      </c>
      <c r="W18" s="2">
        <f t="shared" ca="1" si="17"/>
        <v>3.8171067042000018</v>
      </c>
      <c r="X18" s="2">
        <f t="shared" ca="1" si="17"/>
        <v>3.8765435418999865</v>
      </c>
      <c r="Y18" s="2">
        <f t="shared" ca="1" si="17"/>
        <v>3.8169916653999865</v>
      </c>
      <c r="Z18" s="2">
        <f t="shared" ca="1" si="21"/>
        <v>-0.1989558263000033</v>
      </c>
      <c r="AA18" s="2">
        <f t="shared" ca="1" si="18"/>
        <v>3.756740900000155E-2</v>
      </c>
      <c r="AB18" s="2">
        <f t="shared" ca="1" si="18"/>
        <v>9.7004246699986307E-2</v>
      </c>
      <c r="AC18" s="2">
        <f t="shared" ca="1" si="18"/>
        <v>3.7452370199986262E-2</v>
      </c>
      <c r="AD18" s="2">
        <f t="shared" ca="1" si="22"/>
        <v>-6.7329501000072955E-3</v>
      </c>
      <c r="AE18" s="2">
        <f t="array" aca="1" ref="AE18" ca="1">MMULT(P18:U18,$AL$5:$AL$10)</f>
        <v>-7.5961746030308086E-2</v>
      </c>
    </row>
    <row r="19" spans="1:31" x14ac:dyDescent="0.2">
      <c r="A19">
        <f t="shared" si="19"/>
        <v>196606</v>
      </c>
      <c r="B19">
        <f ca="1">LOOKUP($A19,FBYields!$B$6:$B$7864,FBYields!E$6:E$864)</f>
        <v>5.1063795196999999</v>
      </c>
      <c r="C19">
        <f ca="1">LOOKUP($A19,FBYields!$B$6:$B$7864,FBYields!F$6:F$864)</f>
        <v>5.0784920072000004</v>
      </c>
      <c r="D19">
        <f ca="1">LOOKUP($A19,FBYields!$B$6:$B$7864,FBYields!G$6:G$864)</f>
        <v>5.1204788563000001</v>
      </c>
      <c r="E19">
        <f ca="1">LOOKUP($A19,FBYields!$B$6:$B$7864,FBYields!H$6:H$864)</f>
        <v>5.1126197026</v>
      </c>
      <c r="F19">
        <f ca="1">LOOKUP($A19,FBYields!$B$6:$B$7864,FBYields!I$6:I$864)</f>
        <v>5.0073774826999999</v>
      </c>
      <c r="G19" s="2">
        <f t="shared" ca="1" si="3"/>
        <v>0.95021804925112929</v>
      </c>
      <c r="H19">
        <f t="shared" ca="1" si="4"/>
        <v>0.90341808228993337</v>
      </c>
      <c r="I19">
        <f t="shared" ca="1" si="5"/>
        <v>0.85760267826891379</v>
      </c>
      <c r="J19">
        <f t="shared" ca="1" si="6"/>
        <v>0.81505083935998168</v>
      </c>
      <c r="K19">
        <f t="shared" ca="1" si="7"/>
        <v>0.77851355658467991</v>
      </c>
      <c r="L19" s="2">
        <f t="shared" ca="1" si="8"/>
        <v>0.95074818143258888</v>
      </c>
      <c r="M19">
        <f t="shared" ca="1" si="9"/>
        <v>0.94928659839872886</v>
      </c>
      <c r="N19">
        <f t="shared" ca="1" si="10"/>
        <v>0.95038280547954479</v>
      </c>
      <c r="O19">
        <f t="shared" ca="1" si="11"/>
        <v>0.95517177455581459</v>
      </c>
      <c r="P19" s="4">
        <f t="shared" si="20"/>
        <v>1</v>
      </c>
      <c r="Q19" s="2">
        <f t="shared" ca="1" si="12"/>
        <v>5.1063795196999999</v>
      </c>
      <c r="R19">
        <f t="shared" ca="1" si="13"/>
        <v>5.0506044947000071</v>
      </c>
      <c r="S19">
        <f t="shared" ca="1" si="14"/>
        <v>5.2044525545000049</v>
      </c>
      <c r="T19">
        <f t="shared" ca="1" si="15"/>
        <v>5.0890422414999907</v>
      </c>
      <c r="U19">
        <f t="shared" ca="1" si="16"/>
        <v>4.5864086030999989</v>
      </c>
      <c r="V19" s="2">
        <f t="shared" ca="1" si="17"/>
        <v>2.7571117080999969</v>
      </c>
      <c r="W19" s="2">
        <f t="shared" ca="1" si="17"/>
        <v>1.8563911133000033</v>
      </c>
      <c r="X19" s="2">
        <f t="shared" ca="1" si="17"/>
        <v>0.70815778269999052</v>
      </c>
      <c r="Y19" s="2">
        <f t="shared" ca="1" si="17"/>
        <v>1.7167169599995161E-2</v>
      </c>
      <c r="Z19" s="2">
        <f t="shared" ca="1" si="21"/>
        <v>-1.2193127382000029</v>
      </c>
      <c r="AA19" s="2">
        <f t="shared" ca="1" si="18"/>
        <v>-2.1200333329999967</v>
      </c>
      <c r="AB19" s="2">
        <f t="shared" ca="1" si="18"/>
        <v>-3.2682666636000093</v>
      </c>
      <c r="AC19" s="2">
        <f t="shared" ca="1" si="18"/>
        <v>-3.9592572767000047</v>
      </c>
      <c r="AD19" s="2">
        <f t="shared" ca="1" si="22"/>
        <v>-2.6417175028750033</v>
      </c>
      <c r="AE19" s="2">
        <f t="array" aca="1" ref="AE19" ca="1">MMULT(P19:U19,$AL$5:$AL$10)</f>
        <v>-3.2681744020847725E-2</v>
      </c>
    </row>
    <row r="20" spans="1:31" x14ac:dyDescent="0.2">
      <c r="A20">
        <f t="shared" si="19"/>
        <v>196706</v>
      </c>
      <c r="B20">
        <f ca="1">LOOKUP($A20,FBYields!$B$6:$B$7864,FBYields!E$6:E$864)</f>
        <v>5.0612264795000002</v>
      </c>
      <c r="C20">
        <f ca="1">LOOKUP($A20,FBYields!$B$6:$B$7864,FBYields!F$6:F$864)</f>
        <v>4.9209553069999998</v>
      </c>
      <c r="D20">
        <f ca="1">LOOKUP($A20,FBYields!$B$6:$B$7864,FBYields!G$6:G$864)</f>
        <v>5.0505150508999996</v>
      </c>
      <c r="E20">
        <f ca="1">LOOKUP($A20,FBYields!$B$6:$B$7864,FBYields!H$6:H$864)</f>
        <v>5.1744968621999998</v>
      </c>
      <c r="F20">
        <f ca="1">LOOKUP($A20,FBYields!$B$6:$B$7864,FBYields!I$6:I$864)</f>
        <v>5.2530761658999996</v>
      </c>
      <c r="G20" s="2">
        <f t="shared" ca="1" si="3"/>
        <v>0.95064719846856338</v>
      </c>
      <c r="H20">
        <f t="shared" ca="1" si="4"/>
        <v>0.90626900124683085</v>
      </c>
      <c r="I20">
        <f t="shared" ca="1" si="5"/>
        <v>0.85940460305690713</v>
      </c>
      <c r="J20">
        <f t="shared" ca="1" si="6"/>
        <v>0.81303601258894542</v>
      </c>
      <c r="K20">
        <f t="shared" ca="1" si="7"/>
        <v>0.76900807545096905</v>
      </c>
      <c r="L20" s="2">
        <f t="shared" ca="1" si="8"/>
        <v>0.9533179108998342</v>
      </c>
      <c r="M20">
        <f t="shared" ca="1" si="9"/>
        <v>0.94828864484446851</v>
      </c>
      <c r="N20">
        <f t="shared" ca="1" si="10"/>
        <v>0.94604568057579819</v>
      </c>
      <c r="O20">
        <f t="shared" ca="1" si="11"/>
        <v>0.94584749450669658</v>
      </c>
      <c r="P20" s="4">
        <f t="shared" si="20"/>
        <v>1</v>
      </c>
      <c r="Q20" s="2">
        <f t="shared" ca="1" si="12"/>
        <v>5.0612264795000002</v>
      </c>
      <c r="R20">
        <f t="shared" ca="1" si="13"/>
        <v>4.7806841344999951</v>
      </c>
      <c r="S20">
        <f t="shared" ca="1" si="14"/>
        <v>5.3096345386999886</v>
      </c>
      <c r="T20">
        <f t="shared" ca="1" si="15"/>
        <v>5.5464422961000022</v>
      </c>
      <c r="U20">
        <f t="shared" ca="1" si="16"/>
        <v>5.5673933806999987</v>
      </c>
      <c r="V20" s="2">
        <f t="shared" ca="1" si="17"/>
        <v>5.0957575349000095</v>
      </c>
      <c r="W20" s="2">
        <f t="shared" ca="1" si="17"/>
        <v>5.5195259548999944</v>
      </c>
      <c r="X20" s="2">
        <f t="shared" ca="1" si="17"/>
        <v>5.2989336576999984</v>
      </c>
      <c r="Y20" s="2">
        <f t="shared" ca="1" si="17"/>
        <v>4.3388999646999906</v>
      </c>
      <c r="Z20" s="2">
        <f t="shared" ca="1" si="21"/>
        <v>-1.0621984799990436E-2</v>
      </c>
      <c r="AA20" s="2">
        <f t="shared" ca="1" si="18"/>
        <v>0.4131464351999945</v>
      </c>
      <c r="AB20" s="2">
        <f t="shared" ca="1" si="18"/>
        <v>0.19255413799999843</v>
      </c>
      <c r="AC20" s="2">
        <f t="shared" ca="1" si="18"/>
        <v>-0.76747955500000931</v>
      </c>
      <c r="AD20" s="2">
        <f t="shared" ca="1" si="22"/>
        <v>-4.3100241650001703E-2</v>
      </c>
      <c r="AE20" s="2">
        <f t="array" aca="1" ref="AE20" ca="1">MMULT(P20:U20,$AL$5:$AL$10)</f>
        <v>3.5788893504963837E-2</v>
      </c>
    </row>
    <row r="21" spans="1:31" x14ac:dyDescent="0.2">
      <c r="A21">
        <f t="shared" si="19"/>
        <v>196806</v>
      </c>
      <c r="B21">
        <f ca="1">LOOKUP($A21,FBYields!$B$6:$B$7864,FBYields!E$6:E$864)</f>
        <v>5.9000705692000004</v>
      </c>
      <c r="C21">
        <f ca="1">LOOKUP($A21,FBYields!$B$6:$B$7864,FBYields!F$6:F$864)</f>
        <v>5.5282485701999997</v>
      </c>
      <c r="D21">
        <f ca="1">LOOKUP($A21,FBYields!$B$6:$B$7864,FBYields!G$6:G$864)</f>
        <v>5.5520099631999997</v>
      </c>
      <c r="E21">
        <f ca="1">LOOKUP($A21,FBYields!$B$6:$B$7864,FBYields!H$6:H$864)</f>
        <v>5.5389263605999997</v>
      </c>
      <c r="F21">
        <f ca="1">LOOKUP($A21,FBYields!$B$6:$B$7864,FBYields!I$6:I$864)</f>
        <v>5.3740206059000002</v>
      </c>
      <c r="G21" s="2">
        <f t="shared" ca="1" si="3"/>
        <v>0.94270610389670917</v>
      </c>
      <c r="H21">
        <f t="shared" ca="1" si="4"/>
        <v>0.89532815757229001</v>
      </c>
      <c r="I21">
        <f t="shared" ca="1" si="5"/>
        <v>0.8465717680533611</v>
      </c>
      <c r="J21">
        <f t="shared" ca="1" si="6"/>
        <v>0.80127020483375466</v>
      </c>
      <c r="K21">
        <f t="shared" ca="1" si="7"/>
        <v>0.76437174548598552</v>
      </c>
      <c r="L21" s="2">
        <f t="shared" ca="1" si="8"/>
        <v>0.94974261211571587</v>
      </c>
      <c r="M21">
        <f t="shared" ca="1" si="9"/>
        <v>0.94554355393989464</v>
      </c>
      <c r="N21">
        <f t="shared" ca="1" si="10"/>
        <v>0.94648821880302658</v>
      </c>
      <c r="O21">
        <f t="shared" ca="1" si="11"/>
        <v>0.95395004191448163</v>
      </c>
      <c r="P21" s="4">
        <f t="shared" si="20"/>
        <v>1</v>
      </c>
      <c r="Q21" s="2">
        <f t="shared" ca="1" si="12"/>
        <v>5.9000705692000004</v>
      </c>
      <c r="R21">
        <f t="shared" ca="1" si="13"/>
        <v>5.156426571199999</v>
      </c>
      <c r="S21">
        <f t="shared" ca="1" si="14"/>
        <v>5.599532749200006</v>
      </c>
      <c r="T21">
        <f t="shared" ca="1" si="15"/>
        <v>5.499675552799987</v>
      </c>
      <c r="U21">
        <f t="shared" ca="1" si="16"/>
        <v>4.714397587100013</v>
      </c>
      <c r="V21" s="2">
        <f t="shared" ca="1" si="17"/>
        <v>3.9418400448000099</v>
      </c>
      <c r="W21" s="2">
        <f t="shared" ca="1" si="17"/>
        <v>4.0950480122999942</v>
      </c>
      <c r="X21" s="2">
        <f t="shared" ca="1" si="17"/>
        <v>4.0419575592000001</v>
      </c>
      <c r="Y21" s="2">
        <f t="shared" ca="1" si="17"/>
        <v>4.1096753871000029</v>
      </c>
      <c r="Z21" s="2">
        <f t="shared" ca="1" si="21"/>
        <v>-1.1193864346999902</v>
      </c>
      <c r="AA21" s="2">
        <f t="shared" ca="1" si="18"/>
        <v>-0.966178467200006</v>
      </c>
      <c r="AB21" s="2">
        <f t="shared" ca="1" si="18"/>
        <v>-1.0192689203</v>
      </c>
      <c r="AC21" s="2">
        <f t="shared" ca="1" si="18"/>
        <v>-0.95155109239999724</v>
      </c>
      <c r="AD21" s="2">
        <f t="shared" ca="1" si="22"/>
        <v>-1.0140962286499984</v>
      </c>
      <c r="AE21" s="2">
        <f t="array" aca="1" ref="AE21" ca="1">MMULT(P21:U21,$AL$5:$AL$10)</f>
        <v>-0.68200245265544113</v>
      </c>
    </row>
    <row r="22" spans="1:31" x14ac:dyDescent="0.2">
      <c r="A22">
        <f t="shared" si="19"/>
        <v>196906</v>
      </c>
      <c r="B22">
        <f ca="1">LOOKUP($A22,FBYields!$B$6:$B$7864,FBYields!E$6:E$864)</f>
        <v>7.3547966629000001</v>
      </c>
      <c r="C22">
        <f ca="1">LOOKUP($A22,FBYields!$B$6:$B$7864,FBYields!F$6:F$864)</f>
        <v>7.010883475</v>
      </c>
      <c r="D22">
        <f ca="1">LOOKUP($A22,FBYields!$B$6:$B$7864,FBYields!G$6:G$864)</f>
        <v>7.0224049814000002</v>
      </c>
      <c r="E22">
        <f ca="1">LOOKUP($A22,FBYields!$B$6:$B$7864,FBYields!H$6:H$864)</f>
        <v>6.7958999822999999</v>
      </c>
      <c r="F22">
        <f ca="1">LOOKUP($A22,FBYields!$B$6:$B$7864,FBYields!I$6:I$864)</f>
        <v>6.8481899002000004</v>
      </c>
      <c r="G22" s="2">
        <f t="shared" ca="1" si="3"/>
        <v>0.92909157933158359</v>
      </c>
      <c r="H22">
        <f t="shared" ca="1" si="4"/>
        <v>0.8691690232199929</v>
      </c>
      <c r="I22">
        <f t="shared" ca="1" si="5"/>
        <v>0.8100395952853966</v>
      </c>
      <c r="J22">
        <f t="shared" ca="1" si="6"/>
        <v>0.76197921597411378</v>
      </c>
      <c r="K22">
        <f t="shared" ca="1" si="7"/>
        <v>0.71005738021364018</v>
      </c>
      <c r="L22" s="2">
        <f t="shared" ca="1" si="8"/>
        <v>0.93550414464556786</v>
      </c>
      <c r="M22">
        <f t="shared" ca="1" si="9"/>
        <v>0.93197016189608239</v>
      </c>
      <c r="N22">
        <f t="shared" ca="1" si="10"/>
        <v>0.94066909865764037</v>
      </c>
      <c r="O22">
        <f t="shared" ca="1" si="11"/>
        <v>0.93185924934435804</v>
      </c>
      <c r="P22" s="4">
        <f t="shared" si="20"/>
        <v>1</v>
      </c>
      <c r="Q22" s="2">
        <f t="shared" ca="1" si="12"/>
        <v>7.3547966629000001</v>
      </c>
      <c r="R22">
        <f t="shared" ca="1" si="13"/>
        <v>6.6669702871000061</v>
      </c>
      <c r="S22">
        <f t="shared" ca="1" si="14"/>
        <v>7.0454479941999981</v>
      </c>
      <c r="T22">
        <f t="shared" ca="1" si="15"/>
        <v>6.1163849849999963</v>
      </c>
      <c r="U22">
        <f t="shared" ca="1" si="16"/>
        <v>7.0573495718000059</v>
      </c>
      <c r="V22" s="2">
        <f t="shared" ca="1" si="17"/>
        <v>3.7017004775000037</v>
      </c>
      <c r="W22" s="2">
        <f t="shared" ca="1" si="17"/>
        <v>2.6342629396000072</v>
      </c>
      <c r="X22" s="2">
        <f t="shared" ca="1" si="17"/>
        <v>1.0884904982000048</v>
      </c>
      <c r="Y22" s="2">
        <f t="shared" ca="1" si="17"/>
        <v>-0.31349689969998851</v>
      </c>
      <c r="Z22" s="2">
        <f t="shared" ca="1" si="21"/>
        <v>-2.1983700916999966</v>
      </c>
      <c r="AA22" s="2">
        <f t="shared" ca="1" si="18"/>
        <v>-3.2658076295999932</v>
      </c>
      <c r="AB22" s="2">
        <f t="shared" ca="1" si="18"/>
        <v>-4.8115800709999954</v>
      </c>
      <c r="AC22" s="2">
        <f t="shared" ca="1" si="18"/>
        <v>-6.2135674688999885</v>
      </c>
      <c r="AD22" s="2">
        <f t="shared" ca="1" si="22"/>
        <v>-4.1223313152999932</v>
      </c>
      <c r="AE22" s="2">
        <f t="array" aca="1" ref="AE22" ca="1">MMULT(P22:U22,$AL$5:$AL$10)</f>
        <v>-4.512012102152152E-2</v>
      </c>
    </row>
    <row r="23" spans="1:31" x14ac:dyDescent="0.2">
      <c r="A23">
        <f t="shared" si="19"/>
        <v>197006</v>
      </c>
      <c r="B23">
        <f ca="1">LOOKUP($A23,FBYields!$B$6:$B$7864,FBYields!E$6:E$864)</f>
        <v>7.1872021687999998</v>
      </c>
      <c r="C23">
        <f ca="1">LOOKUP($A23,FBYields!$B$6:$B$7864,FBYields!F$6:F$864)</f>
        <v>7.4489334122999997</v>
      </c>
      <c r="D23">
        <f ca="1">LOOKUP($A23,FBYields!$B$6:$B$7864,FBYields!G$6:G$864)</f>
        <v>7.5654033401999996</v>
      </c>
      <c r="E23">
        <f ca="1">LOOKUP($A23,FBYields!$B$6:$B$7864,FBYields!H$6:H$864)</f>
        <v>7.6232848245999998</v>
      </c>
      <c r="F23">
        <f ca="1">LOOKUP($A23,FBYields!$B$6:$B$7864,FBYields!I$6:I$864)</f>
        <v>7.5377789241000004</v>
      </c>
      <c r="G23" s="2">
        <f t="shared" ca="1" si="3"/>
        <v>0.93064999120516667</v>
      </c>
      <c r="H23">
        <f t="shared" ca="1" si="4"/>
        <v>0.86158749387539846</v>
      </c>
      <c r="I23">
        <f t="shared" ca="1" si="5"/>
        <v>0.79695098599597625</v>
      </c>
      <c r="J23">
        <f t="shared" ca="1" si="6"/>
        <v>0.73717394796159963</v>
      </c>
      <c r="K23">
        <f t="shared" ca="1" si="7"/>
        <v>0.68599225170891709</v>
      </c>
      <c r="L23" s="2">
        <f t="shared" ca="1" si="8"/>
        <v>0.92579111590563268</v>
      </c>
      <c r="M23">
        <f t="shared" ca="1" si="9"/>
        <v>0.92497975151810896</v>
      </c>
      <c r="N23">
        <f t="shared" ca="1" si="10"/>
        <v>0.92499283006762167</v>
      </c>
      <c r="O23">
        <f t="shared" ca="1" si="11"/>
        <v>0.93057039468878699</v>
      </c>
      <c r="P23" s="4">
        <f t="shared" si="20"/>
        <v>1</v>
      </c>
      <c r="Q23" s="2">
        <f t="shared" ca="1" si="12"/>
        <v>7.1872021687999998</v>
      </c>
      <c r="R23">
        <f t="shared" ca="1" si="13"/>
        <v>7.7106646557999996</v>
      </c>
      <c r="S23">
        <f t="shared" ca="1" si="14"/>
        <v>7.7983431959999905</v>
      </c>
      <c r="T23">
        <f t="shared" ca="1" si="15"/>
        <v>7.7969292778000003</v>
      </c>
      <c r="U23">
        <f t="shared" ca="1" si="16"/>
        <v>7.1957553221000046</v>
      </c>
      <c r="V23" s="2">
        <f t="shared" ca="1" si="17"/>
        <v>6.8345647812000045</v>
      </c>
      <c r="W23" s="2">
        <f t="shared" ca="1" si="17"/>
        <v>6.169348119599988</v>
      </c>
      <c r="X23" s="2">
        <f t="shared" ca="1" si="17"/>
        <v>4.4873899085999902</v>
      </c>
      <c r="Y23" s="2">
        <f t="shared" ca="1" si="17"/>
        <v>3.7478102026000046</v>
      </c>
      <c r="Z23" s="2">
        <f t="shared" ca="1" si="21"/>
        <v>-0.52023188169999557</v>
      </c>
      <c r="AA23" s="2">
        <f t="shared" ca="1" si="21"/>
        <v>-1.1854485433000121</v>
      </c>
      <c r="AB23" s="2">
        <f t="shared" ca="1" si="21"/>
        <v>-2.8674067543000099</v>
      </c>
      <c r="AC23" s="2">
        <f t="shared" ca="1" si="21"/>
        <v>-3.6069864602999955</v>
      </c>
      <c r="AD23" s="2">
        <f t="shared" ca="1" si="22"/>
        <v>-2.0450184099000035</v>
      </c>
      <c r="AE23" s="2">
        <f t="array" aca="1" ref="AE23" ca="1">MMULT(P23:U23,$AL$5:$AL$10)</f>
        <v>1.1744024746509063</v>
      </c>
    </row>
    <row r="24" spans="1:31" x14ac:dyDescent="0.2">
      <c r="A24">
        <f t="shared" si="19"/>
        <v>197106</v>
      </c>
      <c r="B24">
        <f ca="1">LOOKUP($A24,FBYields!$B$6:$B$7864,FBYields!E$6:E$864)</f>
        <v>6.0556786138999996</v>
      </c>
      <c r="C24">
        <f ca="1">LOOKUP($A24,FBYields!$B$6:$B$7864,FBYields!F$6:F$864)</f>
        <v>6.2624852446999997</v>
      </c>
      <c r="D24">
        <f ca="1">LOOKUP($A24,FBYields!$B$6:$B$7864,FBYields!G$6:G$864)</f>
        <v>6.6716850928999998</v>
      </c>
      <c r="E24">
        <f ca="1">LOOKUP($A24,FBYields!$B$6:$B$7864,FBYields!H$6:H$864)</f>
        <v>6.6092610273999997</v>
      </c>
      <c r="F24">
        <f ca="1">LOOKUP($A24,FBYields!$B$6:$B$7864,FBYields!I$6:I$864)</f>
        <v>6.7796422029999999</v>
      </c>
      <c r="G24" s="2">
        <f t="shared" ca="1" si="3"/>
        <v>0.9412403180972484</v>
      </c>
      <c r="H24">
        <f t="shared" ca="1" si="4"/>
        <v>0.88227656629974938</v>
      </c>
      <c r="I24">
        <f t="shared" ca="1" si="5"/>
        <v>0.8186075001595714</v>
      </c>
      <c r="J24">
        <f t="shared" ca="1" si="6"/>
        <v>0.7676891033836718</v>
      </c>
      <c r="K24">
        <f t="shared" ca="1" si="7"/>
        <v>0.71249519540734807</v>
      </c>
      <c r="L24" s="2">
        <f t="shared" ca="1" si="8"/>
        <v>0.93735526340744058</v>
      </c>
      <c r="M24">
        <f t="shared" ca="1" si="9"/>
        <v>0.92783547861051685</v>
      </c>
      <c r="N24">
        <f t="shared" ca="1" si="10"/>
        <v>0.93779876587256528</v>
      </c>
      <c r="O24">
        <f t="shared" ca="1" si="11"/>
        <v>0.9281038277955872</v>
      </c>
      <c r="P24" s="4">
        <f t="shared" si="20"/>
        <v>1</v>
      </c>
      <c r="Q24" s="2">
        <f t="shared" ca="1" si="12"/>
        <v>6.0556786138999996</v>
      </c>
      <c r="R24">
        <f t="shared" ca="1" si="13"/>
        <v>6.4692918754999944</v>
      </c>
      <c r="S24">
        <f t="shared" ca="1" si="14"/>
        <v>7.4900847892999973</v>
      </c>
      <c r="T24">
        <f t="shared" ca="1" si="15"/>
        <v>6.4219888308999993</v>
      </c>
      <c r="U24">
        <f t="shared" ca="1" si="16"/>
        <v>7.4611669054000078</v>
      </c>
      <c r="V24" s="2">
        <f t="shared" ca="1" si="17"/>
        <v>8.8421882107000052</v>
      </c>
      <c r="W24" s="2">
        <f t="shared" ca="1" si="17"/>
        <v>10.171239531200001</v>
      </c>
      <c r="X24" s="2">
        <f t="shared" ca="1" si="17"/>
        <v>10.478084019699995</v>
      </c>
      <c r="Y24" s="2">
        <f t="shared" ca="1" si="17"/>
        <v>11.251850510900001</v>
      </c>
      <c r="Z24" s="2">
        <f t="shared" ref="Z24:AC39" ca="1" si="23">V24-$B23</f>
        <v>1.6549860419000053</v>
      </c>
      <c r="AA24" s="2">
        <f t="shared" ca="1" si="23"/>
        <v>2.9840373624000014</v>
      </c>
      <c r="AB24" s="2">
        <f t="shared" ca="1" si="23"/>
        <v>3.2908818508999955</v>
      </c>
      <c r="AC24" s="2">
        <f t="shared" ca="1" si="23"/>
        <v>4.0646483421000008</v>
      </c>
      <c r="AD24" s="2">
        <f t="shared" ca="1" si="22"/>
        <v>2.9986383993250008</v>
      </c>
      <c r="AE24" s="2">
        <f t="array" aca="1" ref="AE24" ca="1">MMULT(P24:U24,$AL$5:$AL$10)</f>
        <v>2.343034999261385</v>
      </c>
    </row>
    <row r="25" spans="1:31" x14ac:dyDescent="0.2">
      <c r="A25">
        <f t="shared" si="19"/>
        <v>197206</v>
      </c>
      <c r="B25">
        <f ca="1">LOOKUP($A25,FBYields!$B$6:$B$7864,FBYields!E$6:E$864)</f>
        <v>5.2477260704999997</v>
      </c>
      <c r="C25">
        <f ca="1">LOOKUP($A25,FBYields!$B$6:$B$7864,FBYields!F$6:F$864)</f>
        <v>5.4324533075000003</v>
      </c>
      <c r="D25">
        <f ca="1">LOOKUP($A25,FBYields!$B$6:$B$7864,FBYields!G$6:G$864)</f>
        <v>5.6981633961</v>
      </c>
      <c r="E25">
        <f ca="1">LOOKUP($A25,FBYields!$B$6:$B$7864,FBYields!H$6:H$864)</f>
        <v>5.8507912496000003</v>
      </c>
      <c r="F25">
        <f ca="1">LOOKUP($A25,FBYields!$B$6:$B$7864,FBYields!I$6:I$864)</f>
        <v>5.9047398534999997</v>
      </c>
      <c r="G25" s="2">
        <f t="shared" ca="1" si="3"/>
        <v>0.94887589757943636</v>
      </c>
      <c r="H25">
        <f t="shared" ca="1" si="4"/>
        <v>0.89704516578074323</v>
      </c>
      <c r="I25">
        <f t="shared" ca="1" si="5"/>
        <v>0.84286801263262867</v>
      </c>
      <c r="J25">
        <f t="shared" ca="1" si="6"/>
        <v>0.79133676970313038</v>
      </c>
      <c r="K25">
        <f t="shared" ca="1" si="7"/>
        <v>0.74435515984022704</v>
      </c>
      <c r="L25" s="2">
        <f t="shared" ca="1" si="8"/>
        <v>0.94537670107238225</v>
      </c>
      <c r="M25">
        <f t="shared" ca="1" si="9"/>
        <v>0.93960487697298778</v>
      </c>
      <c r="N25">
        <f t="shared" ca="1" si="10"/>
        <v>0.93886202565862631</v>
      </c>
      <c r="O25">
        <f t="shared" ca="1" si="11"/>
        <v>0.94063006843403918</v>
      </c>
      <c r="P25" s="4">
        <f t="shared" si="20"/>
        <v>1</v>
      </c>
      <c r="Q25" s="2">
        <f t="shared" ca="1" si="12"/>
        <v>5.2477260704999997</v>
      </c>
      <c r="R25">
        <f t="shared" ca="1" si="13"/>
        <v>5.6171805445000107</v>
      </c>
      <c r="S25">
        <f t="shared" ca="1" si="14"/>
        <v>6.2295835732999887</v>
      </c>
      <c r="T25">
        <f t="shared" ca="1" si="15"/>
        <v>6.3086748101000119</v>
      </c>
      <c r="U25">
        <f t="shared" ca="1" si="16"/>
        <v>6.1205342690999958</v>
      </c>
      <c r="V25" s="2">
        <f t="shared" ca="1" si="17"/>
        <v>7.2772444188999987</v>
      </c>
      <c r="W25" s="2">
        <f t="shared" ca="1" si="17"/>
        <v>9.150148663699996</v>
      </c>
      <c r="X25" s="2">
        <f t="shared" ca="1" si="17"/>
        <v>9.3425539213000057</v>
      </c>
      <c r="Y25" s="2">
        <f t="shared" ca="1" si="17"/>
        <v>10.4950460166</v>
      </c>
      <c r="Z25" s="2">
        <f t="shared" ca="1" si="23"/>
        <v>1.2215658049999991</v>
      </c>
      <c r="AA25" s="2">
        <f t="shared" ca="1" si="23"/>
        <v>3.0944700497999964</v>
      </c>
      <c r="AB25" s="2">
        <f t="shared" ca="1" si="23"/>
        <v>3.2868753074000061</v>
      </c>
      <c r="AC25" s="2">
        <f t="shared" ca="1" si="23"/>
        <v>4.4393674027000003</v>
      </c>
      <c r="AD25" s="2">
        <f t="shared" ca="1" si="22"/>
        <v>3.0105696412250005</v>
      </c>
      <c r="AE25" s="2">
        <f t="array" aca="1" ref="AE25" ca="1">MMULT(P25:U25,$AL$5:$AL$10)</f>
        <v>1.2428046797511836</v>
      </c>
    </row>
    <row r="26" spans="1:31" x14ac:dyDescent="0.2">
      <c r="A26">
        <f t="shared" si="19"/>
        <v>197306</v>
      </c>
      <c r="B26">
        <f ca="1">LOOKUP($A26,FBYields!$B$6:$B$7864,FBYields!E$6:E$864)</f>
        <v>7.5563469852000003</v>
      </c>
      <c r="C26">
        <f ca="1">LOOKUP($A26,FBYields!$B$6:$B$7864,FBYields!F$6:F$864)</f>
        <v>6.9640340489000003</v>
      </c>
      <c r="D26">
        <f ca="1">LOOKUP($A26,FBYields!$B$6:$B$7864,FBYields!G$6:G$864)</f>
        <v>6.8792569986999998</v>
      </c>
      <c r="E26">
        <f ca="1">LOOKUP($A26,FBYields!$B$6:$B$7864,FBYields!H$6:H$864)</f>
        <v>6.7102105559999998</v>
      </c>
      <c r="F26">
        <f ca="1">LOOKUP($A26,FBYields!$B$6:$B$7864,FBYields!I$6:I$864)</f>
        <v>6.7167211826999997</v>
      </c>
      <c r="G26" s="2">
        <f t="shared" ca="1" si="3"/>
        <v>0.92722087809443676</v>
      </c>
      <c r="H26">
        <f t="shared" ca="1" si="4"/>
        <v>0.86998380628000416</v>
      </c>
      <c r="I26">
        <f t="shared" ca="1" si="5"/>
        <v>0.81352574146878154</v>
      </c>
      <c r="J26">
        <f t="shared" ca="1" si="6"/>
        <v>0.76459543954147435</v>
      </c>
      <c r="K26">
        <f t="shared" ca="1" si="7"/>
        <v>0.71474027135002083</v>
      </c>
      <c r="L26" s="2">
        <f t="shared" ca="1" si="8"/>
        <v>0.93827029441780641</v>
      </c>
      <c r="M26">
        <f t="shared" ca="1" si="9"/>
        <v>0.9351044646995974</v>
      </c>
      <c r="N26">
        <f t="shared" ca="1" si="10"/>
        <v>0.93985402128890738</v>
      </c>
      <c r="O26">
        <f t="shared" ca="1" si="11"/>
        <v>0.93479536286359288</v>
      </c>
      <c r="P26" s="4">
        <f t="shared" si="20"/>
        <v>1</v>
      </c>
      <c r="Q26" s="2">
        <f t="shared" ca="1" si="12"/>
        <v>7.5563469852000003</v>
      </c>
      <c r="R26">
        <f t="shared" ca="1" si="13"/>
        <v>6.3717211125999986</v>
      </c>
      <c r="S26">
        <f t="shared" ca="1" si="14"/>
        <v>6.7097028982999962</v>
      </c>
      <c r="T26">
        <f t="shared" ca="1" si="15"/>
        <v>6.2030712279000042</v>
      </c>
      <c r="U26">
        <f t="shared" ca="1" si="16"/>
        <v>6.742763689500002</v>
      </c>
      <c r="V26" s="2">
        <f t="shared" ca="1" si="17"/>
        <v>3.3085596298000066</v>
      </c>
      <c r="W26" s="2">
        <f t="shared" ca="1" si="17"/>
        <v>3.1664220904999802</v>
      </c>
      <c r="X26" s="2">
        <f t="shared" ca="1" si="17"/>
        <v>2.7653940023000003</v>
      </c>
      <c r="Y26" s="2">
        <f t="shared" ca="1" si="17"/>
        <v>2.6828570434999968</v>
      </c>
      <c r="Z26" s="2">
        <f t="shared" ca="1" si="23"/>
        <v>-1.9391664406999931</v>
      </c>
      <c r="AA26" s="2">
        <f t="shared" ca="1" si="23"/>
        <v>-2.0813039800000195</v>
      </c>
      <c r="AB26" s="2">
        <f t="shared" ca="1" si="23"/>
        <v>-2.4823320681999994</v>
      </c>
      <c r="AC26" s="2">
        <f t="shared" ca="1" si="23"/>
        <v>-2.564869027000003</v>
      </c>
      <c r="AD26" s="2">
        <f t="shared" ca="1" si="22"/>
        <v>-2.2669178789750042</v>
      </c>
      <c r="AE26" s="2">
        <f t="array" aca="1" ref="AE26" ca="1">MMULT(P26:U26,$AL$5:$AL$10)</f>
        <v>-0.99962272903731886</v>
      </c>
    </row>
    <row r="27" spans="1:31" x14ac:dyDescent="0.2">
      <c r="A27">
        <f t="shared" si="19"/>
        <v>197406</v>
      </c>
      <c r="B27">
        <f ca="1">LOOKUP($A27,FBYields!$B$6:$B$7864,FBYields!E$6:E$864)</f>
        <v>8.6083785413000005</v>
      </c>
      <c r="C27">
        <f ca="1">LOOKUP($A27,FBYields!$B$6:$B$7864,FBYields!F$6:F$864)</f>
        <v>8.2704655699000007</v>
      </c>
      <c r="D27">
        <f ca="1">LOOKUP($A27,FBYields!$B$6:$B$7864,FBYields!G$6:G$864)</f>
        <v>8.1390835781999993</v>
      </c>
      <c r="E27">
        <f ca="1">LOOKUP($A27,FBYields!$B$6:$B$7864,FBYields!H$6:H$864)</f>
        <v>8.2130230756000007</v>
      </c>
      <c r="F27">
        <f ca="1">LOOKUP($A27,FBYields!$B$6:$B$7864,FBYields!I$6:I$864)</f>
        <v>8.0739768864000006</v>
      </c>
      <c r="G27" s="2">
        <f t="shared" ca="1" si="3"/>
        <v>0.9175173534291855</v>
      </c>
      <c r="H27">
        <f t="shared" ca="1" si="4"/>
        <v>0.84754672254713426</v>
      </c>
      <c r="I27">
        <f t="shared" ca="1" si="5"/>
        <v>0.78335248854760153</v>
      </c>
      <c r="J27">
        <f t="shared" ca="1" si="6"/>
        <v>0.71998786374487089</v>
      </c>
      <c r="K27">
        <f t="shared" ca="1" si="7"/>
        <v>0.66784521636721328</v>
      </c>
      <c r="L27" s="2">
        <f t="shared" ca="1" si="8"/>
        <v>0.92373917439213682</v>
      </c>
      <c r="M27">
        <f t="shared" ca="1" si="9"/>
        <v>0.92425876675375529</v>
      </c>
      <c r="N27">
        <f t="shared" ca="1" si="10"/>
        <v>0.91911096763065914</v>
      </c>
      <c r="O27">
        <f t="shared" ca="1" si="11"/>
        <v>0.92757843568855702</v>
      </c>
      <c r="P27" s="4">
        <f t="shared" si="20"/>
        <v>1</v>
      </c>
      <c r="Q27" s="2">
        <f t="shared" ca="1" si="12"/>
        <v>8.6083785413000005</v>
      </c>
      <c r="R27">
        <f t="shared" ca="1" si="13"/>
        <v>7.9325525985000107</v>
      </c>
      <c r="S27">
        <f t="shared" ca="1" si="14"/>
        <v>7.8763195947999947</v>
      </c>
      <c r="T27">
        <f t="shared" ca="1" si="15"/>
        <v>8.4348415678000102</v>
      </c>
      <c r="U27">
        <f t="shared" ca="1" si="16"/>
        <v>7.5177921296000028</v>
      </c>
      <c r="V27" s="2">
        <f t="shared" ca="1" si="17"/>
        <v>5.3196895565000064</v>
      </c>
      <c r="W27" s="2">
        <f t="shared" ca="1" si="17"/>
        <v>4.0968398563000035</v>
      </c>
      <c r="X27" s="2">
        <f t="shared" ca="1" si="17"/>
        <v>2.4235914894000032</v>
      </c>
      <c r="Y27" s="2">
        <f t="shared" ca="1" si="17"/>
        <v>0.73151361110001201</v>
      </c>
      <c r="Z27" s="2">
        <f t="shared" ca="1" si="23"/>
        <v>-2.2366574286999938</v>
      </c>
      <c r="AA27" s="2">
        <f t="shared" ca="1" si="23"/>
        <v>-3.4595071288999968</v>
      </c>
      <c r="AB27" s="2">
        <f t="shared" ca="1" si="23"/>
        <v>-5.132755495799997</v>
      </c>
      <c r="AC27" s="2">
        <f t="shared" ca="1" si="23"/>
        <v>-6.8248333740999882</v>
      </c>
      <c r="AD27" s="2">
        <f t="shared" ca="1" si="22"/>
        <v>-4.4134383568749938</v>
      </c>
      <c r="AE27" s="2">
        <f t="array" aca="1" ref="AE27" ca="1">MMULT(P27:U27,$AL$5:$AL$10)</f>
        <v>-0.84816780405995318</v>
      </c>
    </row>
    <row r="28" spans="1:31" x14ac:dyDescent="0.2">
      <c r="A28">
        <f t="shared" si="19"/>
        <v>197506</v>
      </c>
      <c r="B28">
        <f ca="1">LOOKUP($A28,FBYields!$B$6:$B$7864,FBYields!E$6:E$864)</f>
        <v>6.7009300428999996</v>
      </c>
      <c r="C28">
        <f ca="1">LOOKUP($A28,FBYields!$B$6:$B$7864,FBYields!F$6:F$864)</f>
        <v>7.0607186161</v>
      </c>
      <c r="D28">
        <f ca="1">LOOKUP($A28,FBYields!$B$6:$B$7864,FBYields!G$6:G$864)</f>
        <v>7.3374188269999996</v>
      </c>
      <c r="E28">
        <f ca="1">LOOKUP($A28,FBYields!$B$6:$B$7864,FBYields!H$6:H$864)</f>
        <v>7.2911259940999997</v>
      </c>
      <c r="F28">
        <f ca="1">LOOKUP($A28,FBYields!$B$6:$B$7864,FBYields!I$6:I$864)</f>
        <v>7.5967038979000003</v>
      </c>
      <c r="G28" s="2">
        <f t="shared" ca="1" si="3"/>
        <v>0.93518650366065148</v>
      </c>
      <c r="H28">
        <f t="shared" ca="1" si="4"/>
        <v>0.86830315158178817</v>
      </c>
      <c r="I28">
        <f t="shared" ca="1" si="5"/>
        <v>0.80242044342601049</v>
      </c>
      <c r="J28">
        <f t="shared" ca="1" si="6"/>
        <v>0.74703365615990192</v>
      </c>
      <c r="K28">
        <f t="shared" ca="1" si="7"/>
        <v>0.68397412235130173</v>
      </c>
      <c r="L28" s="2">
        <f t="shared" ca="1" si="8"/>
        <v>0.92848126890512406</v>
      </c>
      <c r="M28">
        <f t="shared" ca="1" si="9"/>
        <v>0.92412476214584838</v>
      </c>
      <c r="N28">
        <f t="shared" ca="1" si="10"/>
        <v>0.93097535373148099</v>
      </c>
      <c r="O28">
        <f t="shared" ca="1" si="11"/>
        <v>0.91558675664928491</v>
      </c>
      <c r="P28" s="4">
        <f t="shared" si="20"/>
        <v>1</v>
      </c>
      <c r="Q28" s="2">
        <f t="shared" ca="1" si="12"/>
        <v>6.7009300428999996</v>
      </c>
      <c r="R28">
        <f t="shared" ca="1" si="13"/>
        <v>7.4205071893000003</v>
      </c>
      <c r="S28">
        <f t="shared" ca="1" si="14"/>
        <v>7.8908192487999917</v>
      </c>
      <c r="T28">
        <f t="shared" ca="1" si="15"/>
        <v>7.152247495400001</v>
      </c>
      <c r="U28">
        <f t="shared" ca="1" si="16"/>
        <v>8.8190155131000143</v>
      </c>
      <c r="V28" s="2">
        <f t="shared" ca="1" si="17"/>
        <v>9.8400010969000089</v>
      </c>
      <c r="W28" s="2">
        <f t="shared" ca="1" si="17"/>
        <v>10.295813502399991</v>
      </c>
      <c r="X28" s="2">
        <f t="shared" ca="1" si="17"/>
        <v>10.839835821400005</v>
      </c>
      <c r="Y28" s="2">
        <f t="shared" ca="1" si="17"/>
        <v>11.205380455600018</v>
      </c>
      <c r="Z28" s="2">
        <f t="shared" ca="1" si="23"/>
        <v>1.2316225556000084</v>
      </c>
      <c r="AA28" s="2">
        <f t="shared" ca="1" si="23"/>
        <v>1.6874349610999904</v>
      </c>
      <c r="AB28" s="2">
        <f t="shared" ca="1" si="23"/>
        <v>2.2314572801000043</v>
      </c>
      <c r="AC28" s="2">
        <f t="shared" ca="1" si="23"/>
        <v>2.5970019143000176</v>
      </c>
      <c r="AD28" s="2">
        <f t="shared" ca="1" si="22"/>
        <v>1.9368791777750052</v>
      </c>
      <c r="AE28" s="2">
        <f t="array" aca="1" ref="AE28" ca="1">MMULT(P28:U28,$AL$5:$AL$10)</f>
        <v>2.2735382209336938</v>
      </c>
    </row>
    <row r="29" spans="1:31" x14ac:dyDescent="0.2">
      <c r="A29">
        <f t="shared" si="19"/>
        <v>197606</v>
      </c>
      <c r="B29">
        <f ca="1">LOOKUP($A29,FBYields!$B$6:$B$7864,FBYields!E$6:E$864)</f>
        <v>6.3419474148999999</v>
      </c>
      <c r="C29">
        <f ca="1">LOOKUP($A29,FBYields!$B$6:$B$7864,FBYields!F$6:F$864)</f>
        <v>6.9159961188999999</v>
      </c>
      <c r="D29">
        <f ca="1">LOOKUP($A29,FBYields!$B$6:$B$7864,FBYields!G$6:G$864)</f>
        <v>7.1040890634</v>
      </c>
      <c r="E29">
        <f ca="1">LOOKUP($A29,FBYields!$B$6:$B$7864,FBYields!H$6:H$864)</f>
        <v>7.3547742023999998</v>
      </c>
      <c r="F29">
        <f ca="1">LOOKUP($A29,FBYields!$B$6:$B$7864,FBYields!I$6:I$864)</f>
        <v>7.4617449965000002</v>
      </c>
      <c r="G29" s="2">
        <f t="shared" ca="1" si="3"/>
        <v>0.93854969377057063</v>
      </c>
      <c r="H29">
        <f t="shared" ca="1" si="4"/>
        <v>0.87082005235472726</v>
      </c>
      <c r="I29">
        <f t="shared" ca="1" si="5"/>
        <v>0.80805700524650104</v>
      </c>
      <c r="J29">
        <f t="shared" ca="1" si="6"/>
        <v>0.74513418099953388</v>
      </c>
      <c r="K29">
        <f t="shared" ca="1" si="7"/>
        <v>0.68860514954407348</v>
      </c>
      <c r="L29" s="2">
        <f t="shared" ca="1" si="8"/>
        <v>0.92783584943302966</v>
      </c>
      <c r="M29">
        <f t="shared" ca="1" si="9"/>
        <v>0.92792650222222972</v>
      </c>
      <c r="N29">
        <f t="shared" ca="1" si="10"/>
        <v>0.92213071127602897</v>
      </c>
      <c r="O29">
        <f t="shared" ca="1" si="11"/>
        <v>0.92413576923872753</v>
      </c>
      <c r="P29" s="4">
        <f t="shared" si="20"/>
        <v>1</v>
      </c>
      <c r="Q29" s="2">
        <f t="shared" ca="1" si="12"/>
        <v>6.3419474148999999</v>
      </c>
      <c r="R29">
        <f t="shared" ca="1" si="13"/>
        <v>7.4900448228999998</v>
      </c>
      <c r="S29">
        <f t="shared" ca="1" si="14"/>
        <v>7.4802749524000056</v>
      </c>
      <c r="T29">
        <f t="shared" ca="1" si="15"/>
        <v>8.1068296194000009</v>
      </c>
      <c r="U29">
        <f t="shared" ca="1" si="16"/>
        <v>7.8896281728999904</v>
      </c>
      <c r="V29" s="2">
        <f t="shared" ca="1" si="17"/>
        <v>7.7794898172999947</v>
      </c>
      <c r="W29" s="2">
        <f t="shared" ca="1" si="17"/>
        <v>8.180264243200007</v>
      </c>
      <c r="X29" s="2">
        <f t="shared" ca="1" si="17"/>
        <v>7.8522367862000051</v>
      </c>
      <c r="Y29" s="2">
        <f t="shared" ca="1" si="17"/>
        <v>8.5644226798999998</v>
      </c>
      <c r="Z29" s="2">
        <f t="shared" ca="1" si="23"/>
        <v>1.0785597743999951</v>
      </c>
      <c r="AA29" s="2">
        <f t="shared" ca="1" si="23"/>
        <v>1.4793342003000074</v>
      </c>
      <c r="AB29" s="2">
        <f t="shared" ca="1" si="23"/>
        <v>1.1513067433000055</v>
      </c>
      <c r="AC29" s="2">
        <f t="shared" ca="1" si="23"/>
        <v>1.8634926370000002</v>
      </c>
      <c r="AD29" s="2">
        <f t="shared" ca="1" si="22"/>
        <v>1.393173338750002</v>
      </c>
      <c r="AE29" s="2">
        <f t="array" aca="1" ref="AE29" ca="1">MMULT(P29:U29,$AL$5:$AL$10)</f>
        <v>1.8203728894203932</v>
      </c>
    </row>
    <row r="30" spans="1:31" x14ac:dyDescent="0.2">
      <c r="A30">
        <f t="shared" si="19"/>
        <v>197706</v>
      </c>
      <c r="B30">
        <f ca="1">LOOKUP($A30,FBYields!$B$6:$B$7864,FBYields!E$6:E$864)</f>
        <v>5.6094171759</v>
      </c>
      <c r="C30">
        <f ca="1">LOOKUP($A30,FBYields!$B$6:$B$7864,FBYields!F$6:F$864)</f>
        <v>5.9715127542999999</v>
      </c>
      <c r="D30">
        <f ca="1">LOOKUP($A30,FBYields!$B$6:$B$7864,FBYields!G$6:G$864)</f>
        <v>6.1720114522999996</v>
      </c>
      <c r="E30">
        <f ca="1">LOOKUP($A30,FBYields!$B$6:$B$7864,FBYields!H$6:H$864)</f>
        <v>6.4632708081999999</v>
      </c>
      <c r="F30">
        <f ca="1">LOOKUP($A30,FBYields!$B$6:$B$7864,FBYields!I$6:I$864)</f>
        <v>6.6153507754999996</v>
      </c>
      <c r="G30" s="2">
        <f t="shared" ca="1" si="3"/>
        <v>0.94545009699930638</v>
      </c>
      <c r="H30">
        <f t="shared" ca="1" si="4"/>
        <v>0.88742589910373859</v>
      </c>
      <c r="I30">
        <f t="shared" ca="1" si="5"/>
        <v>0.83097103230834113</v>
      </c>
      <c r="J30">
        <f t="shared" ca="1" si="6"/>
        <v>0.77218522241409471</v>
      </c>
      <c r="K30">
        <f t="shared" ca="1" si="7"/>
        <v>0.7183721433007354</v>
      </c>
      <c r="L30" s="2">
        <f t="shared" ca="1" si="8"/>
        <v>0.93862796346446364</v>
      </c>
      <c r="M30">
        <f t="shared" ca="1" si="9"/>
        <v>0.93638357089598756</v>
      </c>
      <c r="N30">
        <f t="shared" ca="1" si="10"/>
        <v>0.92925648715943054</v>
      </c>
      <c r="O30">
        <f t="shared" ca="1" si="11"/>
        <v>0.93031065921577383</v>
      </c>
      <c r="P30" s="4">
        <f t="shared" si="20"/>
        <v>1</v>
      </c>
      <c r="Q30" s="2">
        <f t="shared" ca="1" si="12"/>
        <v>5.6094171759</v>
      </c>
      <c r="R30">
        <f t="shared" ca="1" si="13"/>
        <v>6.3336083327000008</v>
      </c>
      <c r="S30">
        <f t="shared" ca="1" si="14"/>
        <v>6.5730088483000051</v>
      </c>
      <c r="T30">
        <f t="shared" ca="1" si="15"/>
        <v>7.3370488758999919</v>
      </c>
      <c r="U30">
        <f t="shared" ca="1" si="16"/>
        <v>7.223670644700003</v>
      </c>
      <c r="V30" s="2">
        <f t="shared" ca="1" si="17"/>
        <v>8.2225750618999882</v>
      </c>
      <c r="W30" s="2">
        <f t="shared" ca="1" si="17"/>
        <v>9.3692416816000001</v>
      </c>
      <c r="X30" s="2">
        <f t="shared" ca="1" si="17"/>
        <v>10.903062452699999</v>
      </c>
      <c r="Y30" s="2">
        <f t="shared" ca="1" si="17"/>
        <v>11.455641749699986</v>
      </c>
      <c r="Z30" s="2">
        <f t="shared" ca="1" si="23"/>
        <v>1.8806276469999883</v>
      </c>
      <c r="AA30" s="2">
        <f t="shared" ca="1" si="23"/>
        <v>3.0272942667000002</v>
      </c>
      <c r="AB30" s="2">
        <f t="shared" ca="1" si="23"/>
        <v>4.5611150377999987</v>
      </c>
      <c r="AC30" s="2">
        <f t="shared" ca="1" si="23"/>
        <v>5.1136943347999857</v>
      </c>
      <c r="AD30" s="2">
        <f t="shared" ca="1" si="22"/>
        <v>3.6456828215749932</v>
      </c>
      <c r="AE30" s="2">
        <f t="array" aca="1" ref="AE30" ca="1">MMULT(P30:U30,$AL$5:$AL$10)</f>
        <v>1.2855763308402293</v>
      </c>
    </row>
    <row r="31" spans="1:31" x14ac:dyDescent="0.2">
      <c r="A31">
        <f t="shared" si="19"/>
        <v>197806</v>
      </c>
      <c r="B31">
        <f ca="1">LOOKUP($A31,FBYields!$B$6:$B$7864,FBYields!E$6:E$864)</f>
        <v>8.1936102267000006</v>
      </c>
      <c r="C31">
        <f ca="1">LOOKUP($A31,FBYields!$B$6:$B$7864,FBYields!F$6:F$864)</f>
        <v>8.2894500373</v>
      </c>
      <c r="D31">
        <f ca="1">LOOKUP($A31,FBYields!$B$6:$B$7864,FBYields!G$6:G$864)</f>
        <v>8.3047806597000005</v>
      </c>
      <c r="E31">
        <f ca="1">LOOKUP($A31,FBYields!$B$6:$B$7864,FBYields!H$6:H$864)</f>
        <v>8.3049900066000006</v>
      </c>
      <c r="F31">
        <f ca="1">LOOKUP($A31,FBYields!$B$6:$B$7864,FBYields!I$6:I$864)</f>
        <v>8.3111641181000007</v>
      </c>
      <c r="G31" s="2">
        <f t="shared" ca="1" si="3"/>
        <v>0.92133082776676589</v>
      </c>
      <c r="H31">
        <f t="shared" ca="1" si="4"/>
        <v>0.84722497916978279</v>
      </c>
      <c r="I31">
        <f t="shared" ca="1" si="5"/>
        <v>0.77946817420514891</v>
      </c>
      <c r="J31">
        <f t="shared" ca="1" si="6"/>
        <v>0.71734412648687662</v>
      </c>
      <c r="K31">
        <f t="shared" ca="1" si="7"/>
        <v>0.65997177772082349</v>
      </c>
      <c r="L31" s="2">
        <f t="shared" ca="1" si="8"/>
        <v>0.91956651577955995</v>
      </c>
      <c r="M31">
        <f t="shared" ca="1" si="9"/>
        <v>0.92002501504260359</v>
      </c>
      <c r="N31">
        <f t="shared" ca="1" si="10"/>
        <v>0.92029944290974763</v>
      </c>
      <c r="O31">
        <f t="shared" ca="1" si="11"/>
        <v>0.92002116327761874</v>
      </c>
      <c r="P31" s="4">
        <f t="shared" si="20"/>
        <v>1</v>
      </c>
      <c r="Q31" s="2">
        <f t="shared" ca="1" si="12"/>
        <v>8.1936102267000006</v>
      </c>
      <c r="R31">
        <f t="shared" ca="1" si="13"/>
        <v>8.3852898479000011</v>
      </c>
      <c r="S31">
        <f t="shared" ca="1" si="14"/>
        <v>8.3354419045000032</v>
      </c>
      <c r="T31">
        <f t="shared" ca="1" si="15"/>
        <v>8.3056180473000065</v>
      </c>
      <c r="U31">
        <f t="shared" ca="1" si="16"/>
        <v>8.3358605640999883</v>
      </c>
      <c r="V31" s="2">
        <f t="shared" ca="1" si="17"/>
        <v>3.7494152819000162</v>
      </c>
      <c r="W31" s="2">
        <f t="shared" ca="1" si="17"/>
        <v>1.9371342823000133</v>
      </c>
      <c r="X31" s="2">
        <f t="shared" ca="1" si="17"/>
        <v>0.93874125369999462</v>
      </c>
      <c r="Y31" s="2">
        <f t="shared" ca="1" si="17"/>
        <v>-0.1432061489000076</v>
      </c>
      <c r="Z31" s="2">
        <f t="shared" ca="1" si="23"/>
        <v>-1.8600018939999838</v>
      </c>
      <c r="AA31" s="2">
        <f t="shared" ca="1" si="23"/>
        <v>-3.6722828935999869</v>
      </c>
      <c r="AB31" s="2">
        <f t="shared" ca="1" si="23"/>
        <v>-4.6706759222000054</v>
      </c>
      <c r="AC31" s="2">
        <f t="shared" ca="1" si="23"/>
        <v>-5.7526233248000072</v>
      </c>
      <c r="AD31" s="2">
        <f t="shared" ca="1" si="22"/>
        <v>-3.9888960086499958</v>
      </c>
      <c r="AE31" s="2">
        <f t="array" aca="1" ref="AE31" ca="1">MMULT(P31:U31,$AL$5:$AL$10)</f>
        <v>0.721218134372965</v>
      </c>
    </row>
    <row r="32" spans="1:31" x14ac:dyDescent="0.2">
      <c r="A32">
        <f t="shared" si="19"/>
        <v>197906</v>
      </c>
      <c r="B32">
        <f ca="1">LOOKUP($A32,FBYields!$B$6:$B$7864,FBYields!E$6:E$864)</f>
        <v>9.1072430882000006</v>
      </c>
      <c r="C32">
        <f ca="1">LOOKUP($A32,FBYields!$B$6:$B$7864,FBYields!F$6:F$864)</f>
        <v>8.6327544618999994</v>
      </c>
      <c r="D32">
        <f ca="1">LOOKUP($A32,FBYields!$B$6:$B$7864,FBYields!G$6:G$864)</f>
        <v>8.5261549089000006</v>
      </c>
      <c r="E32">
        <f ca="1">LOOKUP($A32,FBYields!$B$6:$B$7864,FBYields!H$6:H$864)</f>
        <v>8.4918904801000004</v>
      </c>
      <c r="F32">
        <f ca="1">LOOKUP($A32,FBYields!$B$6:$B$7864,FBYields!I$6:I$864)</f>
        <v>8.3416310555000006</v>
      </c>
      <c r="G32" s="2">
        <f t="shared" ca="1" si="3"/>
        <v>0.91295158261607756</v>
      </c>
      <c r="H32">
        <f t="shared" ca="1" si="4"/>
        <v>0.84142778229836834</v>
      </c>
      <c r="I32">
        <f t="shared" ca="1" si="5"/>
        <v>0.77430870033335997</v>
      </c>
      <c r="J32">
        <f t="shared" ca="1" si="6"/>
        <v>0.71200124483779503</v>
      </c>
      <c r="K32">
        <f t="shared" ca="1" si="7"/>
        <v>0.6589671771507829</v>
      </c>
      <c r="L32" s="2">
        <f t="shared" ca="1" si="8"/>
        <v>0.9216565240921577</v>
      </c>
      <c r="M32">
        <f t="shared" ca="1" si="9"/>
        <v>0.92023191606334664</v>
      </c>
      <c r="N32">
        <f t="shared" ca="1" si="10"/>
        <v>0.91953150536893102</v>
      </c>
      <c r="O32">
        <f t="shared" ca="1" si="11"/>
        <v>0.92551408010656766</v>
      </c>
      <c r="P32" s="4">
        <f t="shared" si="20"/>
        <v>1</v>
      </c>
      <c r="Q32" s="2">
        <f t="shared" ca="1" si="12"/>
        <v>9.1072430882000006</v>
      </c>
      <c r="R32">
        <f t="shared" ca="1" si="13"/>
        <v>8.1582658355999857</v>
      </c>
      <c r="S32">
        <f t="shared" ca="1" si="14"/>
        <v>8.3129558028999941</v>
      </c>
      <c r="T32">
        <f t="shared" ca="1" si="15"/>
        <v>8.3890971937000138</v>
      </c>
      <c r="U32">
        <f t="shared" ca="1" si="16"/>
        <v>7.7405933570999981</v>
      </c>
      <c r="V32" s="2">
        <f t="shared" ca="1" si="17"/>
        <v>7.4716569863999895</v>
      </c>
      <c r="W32" s="2">
        <f t="shared" ca="1" si="17"/>
        <v>7.6488330552999999</v>
      </c>
      <c r="X32" s="2">
        <f t="shared" ca="1" si="17"/>
        <v>7.6414952997000087</v>
      </c>
      <c r="Y32" s="2">
        <f t="shared" ca="1" si="17"/>
        <v>7.5882586700999894</v>
      </c>
      <c r="Z32" s="2">
        <f t="shared" ca="1" si="23"/>
        <v>-0.72195324030001107</v>
      </c>
      <c r="AA32" s="2">
        <f t="shared" ca="1" si="23"/>
        <v>-0.5447771714000007</v>
      </c>
      <c r="AB32" s="2">
        <f t="shared" ca="1" si="23"/>
        <v>-0.55211492699999187</v>
      </c>
      <c r="AC32" s="2">
        <f t="shared" ca="1" si="23"/>
        <v>-0.60535155660001116</v>
      </c>
      <c r="AD32" s="2">
        <f t="shared" ca="1" si="22"/>
        <v>-0.6060492238250037</v>
      </c>
      <c r="AE32" s="2">
        <f t="array" aca="1" ref="AE32" ca="1">MMULT(P32:U32,$AL$5:$AL$10)</f>
        <v>-0.80851689489516776</v>
      </c>
    </row>
    <row r="33" spans="1:31" x14ac:dyDescent="0.2">
      <c r="A33">
        <f t="shared" si="19"/>
        <v>198006</v>
      </c>
      <c r="B33">
        <f ca="1">LOOKUP($A33,FBYields!$B$6:$B$7864,FBYields!E$6:E$864)</f>
        <v>8.2144023864999998</v>
      </c>
      <c r="C33">
        <f ca="1">LOOKUP($A33,FBYields!$B$6:$B$7864,FBYields!F$6:F$864)</f>
        <v>8.7422934271999999</v>
      </c>
      <c r="D33">
        <f ca="1">LOOKUP($A33,FBYields!$B$6:$B$7864,FBYields!G$6:G$864)</f>
        <v>9.0359923948999992</v>
      </c>
      <c r="E33">
        <f ca="1">LOOKUP($A33,FBYields!$B$6:$B$7864,FBYields!H$6:H$864)</f>
        <v>9.1596910957999995</v>
      </c>
      <c r="F33">
        <f ca="1">LOOKUP($A33,FBYields!$B$6:$B$7864,FBYields!I$6:I$864)</f>
        <v>9.3989402644000002</v>
      </c>
      <c r="G33" s="2">
        <f t="shared" ca="1" si="3"/>
        <v>0.9211392831025963</v>
      </c>
      <c r="H33">
        <f t="shared" ca="1" si="4"/>
        <v>0.83958641747386298</v>
      </c>
      <c r="I33">
        <f t="shared" ca="1" si="5"/>
        <v>0.76255566350500315</v>
      </c>
      <c r="J33">
        <f t="shared" ca="1" si="6"/>
        <v>0.6932340212252095</v>
      </c>
      <c r="K33">
        <f t="shared" ca="1" si="7"/>
        <v>0.62503538601778308</v>
      </c>
      <c r="L33" s="2">
        <f t="shared" ca="1" si="8"/>
        <v>0.91146521799173996</v>
      </c>
      <c r="M33">
        <f t="shared" ca="1" si="9"/>
        <v>0.90825154818412979</v>
      </c>
      <c r="N33">
        <f t="shared" ca="1" si="10"/>
        <v>0.90909300711089813</v>
      </c>
      <c r="O33">
        <f t="shared" ca="1" si="11"/>
        <v>0.901622492377259</v>
      </c>
      <c r="P33" s="4">
        <f t="shared" si="20"/>
        <v>1</v>
      </c>
      <c r="Q33" s="2">
        <f t="shared" ca="1" si="12"/>
        <v>8.2144023864999998</v>
      </c>
      <c r="R33">
        <f t="shared" ca="1" si="13"/>
        <v>9.2701844678999983</v>
      </c>
      <c r="S33">
        <f t="shared" ca="1" si="14"/>
        <v>9.6233903302999924</v>
      </c>
      <c r="T33">
        <f t="shared" ca="1" si="15"/>
        <v>9.5307871984999935</v>
      </c>
      <c r="U33">
        <f t="shared" ca="1" si="16"/>
        <v>10.355936938800021</v>
      </c>
      <c r="V33" s="2">
        <f t="shared" ca="1" si="17"/>
        <v>9.0511065372999919</v>
      </c>
      <c r="W33" s="2">
        <f t="shared" ca="1" si="17"/>
        <v>8.0938778723000002</v>
      </c>
      <c r="X33" s="2">
        <f t="shared" ca="1" si="17"/>
        <v>6.8595847357000057</v>
      </c>
      <c r="Y33" s="2">
        <f t="shared" ca="1" si="17"/>
        <v>5.0693908943000103</v>
      </c>
      <c r="Z33" s="2">
        <f t="shared" ca="1" si="23"/>
        <v>-5.6136550900008686E-2</v>
      </c>
      <c r="AA33" s="2">
        <f t="shared" ca="1" si="23"/>
        <v>-1.0133652159000004</v>
      </c>
      <c r="AB33" s="2">
        <f t="shared" ca="1" si="23"/>
        <v>-2.2476583524999949</v>
      </c>
      <c r="AC33" s="2">
        <f t="shared" ca="1" si="23"/>
        <v>-4.0378521938999903</v>
      </c>
      <c r="AD33" s="2">
        <f t="shared" ca="1" si="22"/>
        <v>-1.8387530782999986</v>
      </c>
      <c r="AE33" s="2">
        <f t="array" aca="1" ref="AE33" ca="1">MMULT(P33:U33,$AL$5:$AL$10)</f>
        <v>2.7258652700724788</v>
      </c>
    </row>
    <row r="34" spans="1:31" x14ac:dyDescent="0.2">
      <c r="A34">
        <f t="shared" si="19"/>
        <v>198106</v>
      </c>
      <c r="B34">
        <f ca="1">LOOKUP($A34,FBYields!$B$6:$B$7864,FBYields!E$6:E$864)</f>
        <v>13.905506054</v>
      </c>
      <c r="C34">
        <f ca="1">LOOKUP($A34,FBYields!$B$6:$B$7864,FBYields!F$6:F$864)</f>
        <v>13.987683034</v>
      </c>
      <c r="D34">
        <f ca="1">LOOKUP($A34,FBYields!$B$6:$B$7864,FBYields!G$6:G$864)</f>
        <v>13.554229306</v>
      </c>
      <c r="E34">
        <f ca="1">LOOKUP($A34,FBYields!$B$6:$B$7864,FBYields!H$6:H$864)</f>
        <v>13.808265293</v>
      </c>
      <c r="F34">
        <f ca="1">LOOKUP($A34,FBYields!$B$6:$B$7864,FBYields!I$6:I$864)</f>
        <v>13.227970938</v>
      </c>
      <c r="G34" s="2">
        <f t="shared" ca="1" si="3"/>
        <v>0.87018011455217648</v>
      </c>
      <c r="H34">
        <f t="shared" ca="1" si="4"/>
        <v>0.75596994364218106</v>
      </c>
      <c r="I34">
        <f t="shared" ca="1" si="5"/>
        <v>0.66589260234860614</v>
      </c>
      <c r="J34">
        <f t="shared" ca="1" si="6"/>
        <v>0.5756067300978257</v>
      </c>
      <c r="K34">
        <f t="shared" ca="1" si="7"/>
        <v>0.5161289988879314</v>
      </c>
      <c r="L34" s="2">
        <f t="shared" ca="1" si="8"/>
        <v>0.86875111370618741</v>
      </c>
      <c r="M34">
        <f t="shared" ca="1" si="9"/>
        <v>0.88084534041182638</v>
      </c>
      <c r="N34">
        <f t="shared" ca="1" si="10"/>
        <v>0.86441376292161565</v>
      </c>
      <c r="O34">
        <f t="shared" ca="1" si="11"/>
        <v>0.89666950002515444</v>
      </c>
      <c r="P34" s="4">
        <f t="shared" si="20"/>
        <v>1</v>
      </c>
      <c r="Q34" s="2">
        <f t="shared" ca="1" si="12"/>
        <v>13.905506054</v>
      </c>
      <c r="R34">
        <f t="shared" ca="1" si="13"/>
        <v>14.069860014000016</v>
      </c>
      <c r="S34">
        <f t="shared" ca="1" si="14"/>
        <v>12.687321849999986</v>
      </c>
      <c r="T34">
        <f t="shared" ca="1" si="15"/>
        <v>14.570373254000005</v>
      </c>
      <c r="U34">
        <f t="shared" ca="1" si="16"/>
        <v>10.906793517999997</v>
      </c>
      <c r="V34" s="2">
        <f t="shared" ca="1" si="17"/>
        <v>3.5790808004000088</v>
      </c>
      <c r="W34" s="2">
        <f t="shared" ca="1" si="17"/>
        <v>-0.86738888330000485</v>
      </c>
      <c r="X34" s="2">
        <f t="shared" ca="1" si="17"/>
        <v>-4.0239235348000069</v>
      </c>
      <c r="Y34" s="2">
        <f t="shared" ca="1" si="17"/>
        <v>-8.2383598499999966</v>
      </c>
      <c r="Z34" s="2">
        <f t="shared" ca="1" si="23"/>
        <v>-4.635321586099991</v>
      </c>
      <c r="AA34" s="2">
        <f t="shared" ca="1" si="23"/>
        <v>-9.0817912698000054</v>
      </c>
      <c r="AB34" s="2">
        <f t="shared" ca="1" si="23"/>
        <v>-12.238325921300007</v>
      </c>
      <c r="AC34" s="2">
        <f t="shared" ca="1" si="23"/>
        <v>-16.452762236499996</v>
      </c>
      <c r="AD34" s="2">
        <f t="shared" ca="1" si="22"/>
        <v>-10.602050253424999</v>
      </c>
      <c r="AE34" s="2">
        <f t="array" aca="1" ref="AE34" ca="1">MMULT(P34:U34,$AL$5:$AL$10)</f>
        <v>-0.72251763316005468</v>
      </c>
    </row>
    <row r="35" spans="1:31" x14ac:dyDescent="0.2">
      <c r="A35">
        <f t="shared" si="19"/>
        <v>198206</v>
      </c>
      <c r="B35">
        <f ca="1">LOOKUP($A35,FBYields!$B$6:$B$7864,FBYields!E$6:E$864)</f>
        <v>13.962879075</v>
      </c>
      <c r="C35">
        <f ca="1">LOOKUP($A35,FBYields!$B$6:$B$7864,FBYields!F$6:F$864)</f>
        <v>14.063977830000001</v>
      </c>
      <c r="D35">
        <f ca="1">LOOKUP($A35,FBYields!$B$6:$B$7864,FBYields!G$6:G$864)</f>
        <v>14.205262766000001</v>
      </c>
      <c r="E35">
        <f ca="1">LOOKUP($A35,FBYields!$B$6:$B$7864,FBYields!H$6:H$864)</f>
        <v>13.827750855</v>
      </c>
      <c r="F35">
        <f ca="1">LOOKUP($A35,FBYields!$B$6:$B$7864,FBYields!I$6:I$864)</f>
        <v>14.022093706</v>
      </c>
      <c r="G35" s="2">
        <f t="shared" ca="1" si="3"/>
        <v>0.86968100912193891</v>
      </c>
      <c r="H35">
        <f t="shared" ca="1" si="4"/>
        <v>0.75481729182653501</v>
      </c>
      <c r="I35">
        <f t="shared" ca="1" si="5"/>
        <v>0.65301323430599356</v>
      </c>
      <c r="J35">
        <f t="shared" ca="1" si="6"/>
        <v>0.57515826406770454</v>
      </c>
      <c r="K35">
        <f t="shared" ca="1" si="7"/>
        <v>0.49603703619344863</v>
      </c>
      <c r="L35" s="2">
        <f t="shared" ca="1" si="8"/>
        <v>0.86792431237359724</v>
      </c>
      <c r="M35">
        <f t="shared" ca="1" si="9"/>
        <v>0.86512754990788276</v>
      </c>
      <c r="N35">
        <f t="shared" ca="1" si="10"/>
        <v>0.88077581563713425</v>
      </c>
      <c r="O35">
        <f t="shared" ca="1" si="11"/>
        <v>0.86243572801217339</v>
      </c>
      <c r="P35" s="4">
        <f t="shared" si="20"/>
        <v>1</v>
      </c>
      <c r="Q35" s="2">
        <f t="shared" ca="1" si="12"/>
        <v>13.962879075</v>
      </c>
      <c r="R35">
        <f t="shared" ca="1" si="13"/>
        <v>14.165076585000008</v>
      </c>
      <c r="S35">
        <f t="shared" ca="1" si="14"/>
        <v>14.487832637999992</v>
      </c>
      <c r="T35">
        <f t="shared" ca="1" si="15"/>
        <v>12.695215121999984</v>
      </c>
      <c r="U35">
        <f t="shared" ca="1" si="16"/>
        <v>14.799465110000021</v>
      </c>
      <c r="V35" s="2">
        <f t="shared" ca="1" si="17"/>
        <v>14.012486992999998</v>
      </c>
      <c r="W35" s="2">
        <f t="shared" ca="1" si="17"/>
        <v>12.534732257999991</v>
      </c>
      <c r="X35" s="2">
        <f t="shared" ca="1" si="17"/>
        <v>12.61727287400001</v>
      </c>
      <c r="Y35" s="2">
        <f t="shared" ca="1" si="17"/>
        <v>10.828851270000012</v>
      </c>
      <c r="Z35" s="2">
        <f t="shared" ca="1" si="23"/>
        <v>0.10698093899999783</v>
      </c>
      <c r="AA35" s="2">
        <f t="shared" ca="1" si="23"/>
        <v>-1.3707737960000088</v>
      </c>
      <c r="AB35" s="2">
        <f t="shared" ca="1" si="23"/>
        <v>-1.28823317999999</v>
      </c>
      <c r="AC35" s="2">
        <f t="shared" ca="1" si="23"/>
        <v>-3.076654783999988</v>
      </c>
      <c r="AD35" s="2">
        <f t="shared" ca="1" si="22"/>
        <v>-1.4071702052499973</v>
      </c>
      <c r="AE35" s="2">
        <f t="array" aca="1" ref="AE35" ca="1">MMULT(P35:U35,$AL$5:$AL$10)</f>
        <v>2.852766739478513</v>
      </c>
    </row>
    <row r="36" spans="1:31" x14ac:dyDescent="0.2">
      <c r="A36">
        <f t="shared" si="19"/>
        <v>198306</v>
      </c>
      <c r="B36">
        <f ca="1">LOOKUP($A36,FBYields!$B$6:$B$7864,FBYields!E$6:E$864)</f>
        <v>9.3988790998000002</v>
      </c>
      <c r="C36">
        <f ca="1">LOOKUP($A36,FBYields!$B$6:$B$7864,FBYields!F$6:F$864)</f>
        <v>10.036083444999999</v>
      </c>
      <c r="D36">
        <f ca="1">LOOKUP($A36,FBYields!$B$6:$B$7864,FBYields!G$6:G$864)</f>
        <v>10.168502404</v>
      </c>
      <c r="E36">
        <f ca="1">LOOKUP($A36,FBYields!$B$6:$B$7864,FBYields!H$6:H$864)</f>
        <v>10.413565986</v>
      </c>
      <c r="F36">
        <f ca="1">LOOKUP($A36,FBYields!$B$6:$B$7864,FBYields!I$6:I$864)</f>
        <v>10.749045009</v>
      </c>
      <c r="G36" s="2">
        <f t="shared" ca="1" si="3"/>
        <v>0.91029296565925444</v>
      </c>
      <c r="H36">
        <f t="shared" ca="1" si="4"/>
        <v>0.81814011370467932</v>
      </c>
      <c r="I36">
        <f t="shared" ca="1" si="5"/>
        <v>0.73708278056250276</v>
      </c>
      <c r="J36">
        <f t="shared" ca="1" si="6"/>
        <v>0.65932239905819101</v>
      </c>
      <c r="K36">
        <f t="shared" ca="1" si="7"/>
        <v>0.58423484189650787</v>
      </c>
      <c r="L36" s="2">
        <f t="shared" ca="1" si="8"/>
        <v>0.89876572111283315</v>
      </c>
      <c r="M36">
        <f t="shared" ca="1" si="9"/>
        <v>0.90092487608860172</v>
      </c>
      <c r="N36">
        <f t="shared" ca="1" si="10"/>
        <v>0.89450251239763179</v>
      </c>
      <c r="O36">
        <f t="shared" ca="1" si="11"/>
        <v>0.88611405092722173</v>
      </c>
      <c r="P36" s="4">
        <f t="shared" si="20"/>
        <v>1</v>
      </c>
      <c r="Q36" s="2">
        <f t="shared" ca="1" si="12"/>
        <v>9.3988790998000002</v>
      </c>
      <c r="R36">
        <f t="shared" ca="1" si="13"/>
        <v>10.673287790200012</v>
      </c>
      <c r="S36">
        <f t="shared" ca="1" si="14"/>
        <v>10.433340322000003</v>
      </c>
      <c r="T36">
        <f t="shared" ca="1" si="15"/>
        <v>11.148756731999988</v>
      </c>
      <c r="U36">
        <f t="shared" ca="1" si="16"/>
        <v>12.090961101000005</v>
      </c>
      <c r="V36" s="2">
        <f t="shared" ca="1" si="17"/>
        <v>18.72907656020001</v>
      </c>
      <c r="W36" s="2">
        <f t="shared" ca="1" si="17"/>
        <v>22.543621408000003</v>
      </c>
      <c r="X36" s="2">
        <f t="shared" ca="1" si="17"/>
        <v>24.805496207999983</v>
      </c>
      <c r="Y36" s="2">
        <f t="shared" ca="1" si="17"/>
        <v>28.456204586000013</v>
      </c>
      <c r="Z36" s="2">
        <f t="shared" ca="1" si="23"/>
        <v>4.76619748520001</v>
      </c>
      <c r="AA36" s="2">
        <f t="shared" ca="1" si="23"/>
        <v>8.5807423330000034</v>
      </c>
      <c r="AB36" s="2">
        <f t="shared" ca="1" si="23"/>
        <v>10.842617132999983</v>
      </c>
      <c r="AC36" s="2">
        <f t="shared" ca="1" si="23"/>
        <v>14.493325511000013</v>
      </c>
      <c r="AD36" s="2">
        <f t="shared" ca="1" si="22"/>
        <v>9.6707206155500032</v>
      </c>
      <c r="AE36" s="2">
        <f t="array" aca="1" ref="AE36" ca="1">MMULT(P36:U36,$AL$5:$AL$10)</f>
        <v>2.4037714728961612</v>
      </c>
    </row>
    <row r="37" spans="1:31" x14ac:dyDescent="0.2">
      <c r="A37">
        <f t="shared" si="19"/>
        <v>198406</v>
      </c>
      <c r="B37">
        <f ca="1">LOOKUP($A37,FBYields!$B$6:$B$7864,FBYields!E$6:E$864)</f>
        <v>11.919360318000001</v>
      </c>
      <c r="C37">
        <f ca="1">LOOKUP($A37,FBYields!$B$6:$B$7864,FBYields!F$6:F$864)</f>
        <v>12.770389913000001</v>
      </c>
      <c r="D37">
        <f ca="1">LOOKUP($A37,FBYields!$B$6:$B$7864,FBYields!G$6:G$864)</f>
        <v>13.108308957</v>
      </c>
      <c r="E37">
        <f ca="1">LOOKUP($A37,FBYields!$B$6:$B$7864,FBYields!H$6:H$864)</f>
        <v>13.210778349</v>
      </c>
      <c r="F37">
        <f ca="1">LOOKUP($A37,FBYields!$B$6:$B$7864,FBYields!I$6:I$864)</f>
        <v>13.350189322</v>
      </c>
      <c r="G37" s="2">
        <f t="shared" ca="1" si="3"/>
        <v>0.88763593498591098</v>
      </c>
      <c r="H37">
        <f t="shared" ca="1" si="4"/>
        <v>0.77460055278689166</v>
      </c>
      <c r="I37">
        <f t="shared" ca="1" si="5"/>
        <v>0.67486050501068551</v>
      </c>
      <c r="J37">
        <f t="shared" ca="1" si="6"/>
        <v>0.58952913678389496</v>
      </c>
      <c r="K37">
        <f t="shared" ca="1" si="7"/>
        <v>0.51298459366727633</v>
      </c>
      <c r="L37" s="2">
        <f t="shared" ca="1" si="8"/>
        <v>0.87265569391260223</v>
      </c>
      <c r="M37">
        <f t="shared" ca="1" si="9"/>
        <v>0.87123679757604477</v>
      </c>
      <c r="N37">
        <f t="shared" ca="1" si="10"/>
        <v>0.87355702757351394</v>
      </c>
      <c r="O37">
        <f t="shared" ca="1" si="11"/>
        <v>0.87015986430425107</v>
      </c>
      <c r="P37" s="4">
        <f t="shared" si="20"/>
        <v>1</v>
      </c>
      <c r="Q37" s="2">
        <f t="shared" ca="1" si="12"/>
        <v>11.919360318000001</v>
      </c>
      <c r="R37">
        <f t="shared" ca="1" si="13"/>
        <v>13.621419508000013</v>
      </c>
      <c r="S37">
        <f t="shared" ca="1" si="14"/>
        <v>13.784147044999994</v>
      </c>
      <c r="T37">
        <f t="shared" ca="1" si="15"/>
        <v>13.518186524999987</v>
      </c>
      <c r="U37">
        <f t="shared" ca="1" si="16"/>
        <v>13.907833214000032</v>
      </c>
      <c r="V37" s="2">
        <f t="shared" ca="1" si="17"/>
        <v>8.1528065720000065</v>
      </c>
      <c r="W37" s="2">
        <f t="shared" ca="1" si="17"/>
        <v>4.9647273859999981</v>
      </c>
      <c r="X37" s="2">
        <f t="shared" ca="1" si="17"/>
        <v>2.3293370730000009</v>
      </c>
      <c r="Y37" s="2">
        <f t="shared" ca="1" si="17"/>
        <v>0.90211164900001928</v>
      </c>
      <c r="Z37" s="2">
        <f t="shared" ca="1" si="23"/>
        <v>-1.2460725277999938</v>
      </c>
      <c r="AA37" s="2">
        <f t="shared" ca="1" si="23"/>
        <v>-4.4341517138000022</v>
      </c>
      <c r="AB37" s="2">
        <f t="shared" ca="1" si="23"/>
        <v>-7.0695420267999989</v>
      </c>
      <c r="AC37" s="2">
        <f t="shared" ca="1" si="23"/>
        <v>-8.4967674507999806</v>
      </c>
      <c r="AD37" s="2">
        <f t="shared" ca="1" si="22"/>
        <v>-5.3116334297999934</v>
      </c>
      <c r="AE37" s="2">
        <f t="array" aca="1" ref="AE37" ca="1">MMULT(P37:U37,$AL$5:$AL$10)</f>
        <v>4.2126166689846132</v>
      </c>
    </row>
    <row r="38" spans="1:31" x14ac:dyDescent="0.2">
      <c r="A38">
        <f t="shared" si="19"/>
        <v>198506</v>
      </c>
      <c r="B38">
        <f ca="1">LOOKUP($A38,FBYields!$B$6:$B$7864,FBYields!E$6:E$864)</f>
        <v>7.6792820109999997</v>
      </c>
      <c r="C38">
        <f ca="1">LOOKUP($A38,FBYields!$B$6:$B$7864,FBYields!F$6:F$864)</f>
        <v>8.5832075528999994</v>
      </c>
      <c r="D38">
        <f ca="1">LOOKUP($A38,FBYields!$B$6:$B$7864,FBYields!G$6:G$864)</f>
        <v>9.2425519569999999</v>
      </c>
      <c r="E38">
        <f ca="1">LOOKUP($A38,FBYields!$B$6:$B$7864,FBYields!H$6:H$864)</f>
        <v>9.6402970102999994</v>
      </c>
      <c r="F38">
        <f ca="1">LOOKUP($A38,FBYields!$B$6:$B$7864,FBYields!I$6:I$864)</f>
        <v>9.7099930370000003</v>
      </c>
      <c r="G38" s="2">
        <f t="shared" ca="1" si="3"/>
        <v>0.92608169923710981</v>
      </c>
      <c r="H38">
        <f t="shared" ca="1" si="4"/>
        <v>0.84226199847362593</v>
      </c>
      <c r="I38">
        <f t="shared" ca="1" si="5"/>
        <v>0.75784487952379853</v>
      </c>
      <c r="J38">
        <f t="shared" ca="1" si="6"/>
        <v>0.68003440914254043</v>
      </c>
      <c r="K38">
        <f t="shared" ca="1" si="7"/>
        <v>0.61538963936309277</v>
      </c>
      <c r="L38" s="2">
        <f t="shared" ca="1" si="8"/>
        <v>0.90948995014961087</v>
      </c>
      <c r="M38">
        <f t="shared" ca="1" si="9"/>
        <v>0.89977332575515601</v>
      </c>
      <c r="N38">
        <f t="shared" ca="1" si="10"/>
        <v>0.89732665287630986</v>
      </c>
      <c r="O38">
        <f t="shared" ca="1" si="11"/>
        <v>0.90493897233676945</v>
      </c>
      <c r="P38" s="4">
        <f t="shared" si="20"/>
        <v>1</v>
      </c>
      <c r="Q38" s="2">
        <f t="shared" ca="1" si="12"/>
        <v>7.6792820109999997</v>
      </c>
      <c r="R38">
        <f t="shared" ca="1" si="13"/>
        <v>9.487133094799999</v>
      </c>
      <c r="S38">
        <f t="shared" ca="1" si="14"/>
        <v>10.561240765199997</v>
      </c>
      <c r="T38">
        <f t="shared" ca="1" si="15"/>
        <v>10.833532170200003</v>
      </c>
      <c r="U38">
        <f t="shared" ca="1" si="16"/>
        <v>9.9887771438000073</v>
      </c>
      <c r="V38" s="2">
        <f t="shared" ca="1" si="17"/>
        <v>17.861497815000003</v>
      </c>
      <c r="W38" s="2">
        <f t="shared" ca="1" si="17"/>
        <v>22.158511765199997</v>
      </c>
      <c r="X38" s="2">
        <f t="shared" ca="1" si="17"/>
        <v>25.115457524999989</v>
      </c>
      <c r="Y38" s="2">
        <f t="shared" ca="1" si="17"/>
        <v>28.189758568800023</v>
      </c>
      <c r="Z38" s="2">
        <f t="shared" ca="1" si="23"/>
        <v>5.9421374970000027</v>
      </c>
      <c r="AA38" s="2">
        <f t="shared" ca="1" si="23"/>
        <v>10.239151447199996</v>
      </c>
      <c r="AB38" s="2">
        <f t="shared" ca="1" si="23"/>
        <v>13.196097206999989</v>
      </c>
      <c r="AC38" s="2">
        <f t="shared" ca="1" si="23"/>
        <v>16.270398250800021</v>
      </c>
      <c r="AD38" s="2">
        <f t="shared" ca="1" si="22"/>
        <v>11.411946100500002</v>
      </c>
      <c r="AE38" s="2">
        <f t="array" aca="1" ref="AE38" ca="1">MMULT(P38:U38,$AL$5:$AL$10)</f>
        <v>4.4889456355218895</v>
      </c>
    </row>
    <row r="39" spans="1:31" x14ac:dyDescent="0.2">
      <c r="A39">
        <f t="shared" si="19"/>
        <v>198606</v>
      </c>
      <c r="B39">
        <f ca="1">LOOKUP($A39,FBYields!$B$6:$B$7864,FBYields!E$6:E$864)</f>
        <v>6.4184939936000003</v>
      </c>
      <c r="C39">
        <f ca="1">LOOKUP($A39,FBYields!$B$6:$B$7864,FBYields!F$6:F$864)</f>
        <v>6.7734018033999996</v>
      </c>
      <c r="D39">
        <f ca="1">LOOKUP($A39,FBYields!$B$6:$B$7864,FBYields!G$6:G$864)</f>
        <v>7.1183431728000004</v>
      </c>
      <c r="E39">
        <f ca="1">LOOKUP($A39,FBYields!$B$6:$B$7864,FBYields!H$6:H$864)</f>
        <v>7.4474844192000003</v>
      </c>
      <c r="F39">
        <f ca="1">LOOKUP($A39,FBYields!$B$6:$B$7864,FBYields!I$6:I$864)</f>
        <v>7.5063895081999998</v>
      </c>
      <c r="G39" s="2">
        <f t="shared" ca="1" si="3"/>
        <v>0.93783154098634902</v>
      </c>
      <c r="H39">
        <f t="shared" ca="1" si="4"/>
        <v>0.87330707681037645</v>
      </c>
      <c r="I39">
        <f t="shared" ca="1" si="5"/>
        <v>0.80771153512867166</v>
      </c>
      <c r="J39">
        <f t="shared" ca="1" si="6"/>
        <v>0.74237603626573723</v>
      </c>
      <c r="K39">
        <f t="shared" ca="1" si="7"/>
        <v>0.68706974183703828</v>
      </c>
      <c r="L39" s="2">
        <f t="shared" ca="1" si="8"/>
        <v>0.93119823619057429</v>
      </c>
      <c r="M39">
        <f t="shared" ca="1" si="9"/>
        <v>0.92488834291680921</v>
      </c>
      <c r="N39">
        <f t="shared" ca="1" si="10"/>
        <v>0.91911035558935505</v>
      </c>
      <c r="O39">
        <f t="shared" ca="1" si="11"/>
        <v>0.92550097022676281</v>
      </c>
      <c r="P39" s="4">
        <f t="shared" si="20"/>
        <v>1</v>
      </c>
      <c r="Q39" s="2">
        <f t="shared" ca="1" si="12"/>
        <v>6.4184939936000003</v>
      </c>
      <c r="R39">
        <f t="shared" ca="1" si="13"/>
        <v>7.1283096131999919</v>
      </c>
      <c r="S39">
        <f t="shared" ca="1" si="14"/>
        <v>7.8082259115999992</v>
      </c>
      <c r="T39">
        <f t="shared" ca="1" si="15"/>
        <v>8.4349081583999936</v>
      </c>
      <c r="U39">
        <f t="shared" ca="1" si="16"/>
        <v>7.7420098642000026</v>
      </c>
      <c r="V39" s="2">
        <f t="shared" ref="V39:Y70" ca="1" si="24">LN(G39/H38)*100</f>
        <v>10.747921112199986</v>
      </c>
      <c r="W39" s="2">
        <f t="shared" ca="1" si="24"/>
        <v>14.1808522642</v>
      </c>
      <c r="X39" s="2">
        <f t="shared" ca="1" si="24"/>
        <v>17.206158522799992</v>
      </c>
      <c r="Y39" s="2">
        <f t="shared" ca="1" si="24"/>
        <v>18.760027508200007</v>
      </c>
      <c r="Z39" s="2">
        <f t="shared" ca="1" si="23"/>
        <v>3.0686391011999863</v>
      </c>
      <c r="AA39" s="2">
        <f t="shared" ca="1" si="23"/>
        <v>6.5015702532000006</v>
      </c>
      <c r="AB39" s="2">
        <f t="shared" ca="1" si="23"/>
        <v>9.5268765117999923</v>
      </c>
      <c r="AC39" s="2">
        <f t="shared" ca="1" si="23"/>
        <v>11.080745497200008</v>
      </c>
      <c r="AD39" s="2">
        <f t="shared" ca="1" si="22"/>
        <v>7.5444578408499972</v>
      </c>
      <c r="AE39" s="2">
        <f t="array" aca="1" ref="AE39" ca="1">MMULT(P39:U39,$AL$5:$AL$10)</f>
        <v>1.9237176688931128</v>
      </c>
    </row>
    <row r="40" spans="1:31" x14ac:dyDescent="0.2">
      <c r="A40">
        <f t="shared" si="19"/>
        <v>198706</v>
      </c>
      <c r="B40">
        <f ca="1">LOOKUP($A40,FBYields!$B$6:$B$7864,FBYields!E$6:E$864)</f>
        <v>6.8229829801999999</v>
      </c>
      <c r="C40">
        <f ca="1">LOOKUP($A40,FBYields!$B$6:$B$7864,FBYields!F$6:F$864)</f>
        <v>7.347878788</v>
      </c>
      <c r="D40">
        <f ca="1">LOOKUP($A40,FBYields!$B$6:$B$7864,FBYields!G$6:G$864)</f>
        <v>7.6332629928999998</v>
      </c>
      <c r="E40">
        <f ca="1">LOOKUP($A40,FBYields!$B$6:$B$7864,FBYields!H$6:H$864)</f>
        <v>7.8255168456000002</v>
      </c>
      <c r="F40">
        <f ca="1">LOOKUP($A40,FBYields!$B$6:$B$7864,FBYields!I$6:I$864)</f>
        <v>8.0068074636999995</v>
      </c>
      <c r="G40" s="2">
        <f t="shared" ca="1" si="3"/>
        <v>0.93404577735029559</v>
      </c>
      <c r="H40">
        <f t="shared" ca="1" si="4"/>
        <v>0.86333060278410412</v>
      </c>
      <c r="I40">
        <f t="shared" ca="1" si="5"/>
        <v>0.7953302118194755</v>
      </c>
      <c r="J40">
        <f t="shared" ca="1" si="6"/>
        <v>0.73123479499315913</v>
      </c>
      <c r="K40">
        <f t="shared" ca="1" si="7"/>
        <v>0.67009192589179312</v>
      </c>
      <c r="L40" s="2">
        <f t="shared" ca="1" si="8"/>
        <v>0.92429153229855976</v>
      </c>
      <c r="M40">
        <f t="shared" ca="1" si="9"/>
        <v>0.92123481926235651</v>
      </c>
      <c r="N40">
        <f t="shared" ca="1" si="10"/>
        <v>0.91941030797800904</v>
      </c>
      <c r="O40">
        <f t="shared" ca="1" si="11"/>
        <v>0.91638408139216343</v>
      </c>
      <c r="P40" s="4">
        <f t="shared" si="20"/>
        <v>1</v>
      </c>
      <c r="Q40" s="2">
        <f t="shared" ca="1" si="12"/>
        <v>6.8229829801999999</v>
      </c>
      <c r="R40">
        <f t="shared" ca="1" si="13"/>
        <v>7.8727745958000002</v>
      </c>
      <c r="S40">
        <f t="shared" ca="1" si="14"/>
        <v>8.2040314027000019</v>
      </c>
      <c r="T40">
        <f t="shared" ca="1" si="15"/>
        <v>8.402278403700004</v>
      </c>
      <c r="U40">
        <f t="shared" ca="1" si="16"/>
        <v>8.7319699361000112</v>
      </c>
      <c r="V40" s="2">
        <f t="shared" ca="1" si="24"/>
        <v>6.7238206265999896</v>
      </c>
      <c r="W40" s="2">
        <f t="shared" ca="1" si="24"/>
        <v>6.6592719424000109</v>
      </c>
      <c r="X40" s="2">
        <f t="shared" ca="1" si="24"/>
        <v>6.8901486980999955</v>
      </c>
      <c r="Y40" s="2">
        <f t="shared" ca="1" si="24"/>
        <v>6.2298801586000092</v>
      </c>
      <c r="Z40" s="2">
        <f t="shared" ref="Z40:AC55" ca="1" si="25">V40-$B39</f>
        <v>0.3053266329999893</v>
      </c>
      <c r="AA40" s="2">
        <f t="shared" ca="1" si="25"/>
        <v>0.24077794880001058</v>
      </c>
      <c r="AB40" s="2">
        <f t="shared" ca="1" si="25"/>
        <v>0.47165470449999525</v>
      </c>
      <c r="AC40" s="2">
        <f t="shared" ca="1" si="25"/>
        <v>-0.18861383499999107</v>
      </c>
      <c r="AD40" s="2">
        <f t="shared" ca="1" si="22"/>
        <v>0.20728636282500101</v>
      </c>
      <c r="AE40" s="2">
        <f t="array" aca="1" ref="AE40" ca="1">MMULT(P40:U40,$AL$5:$AL$10)</f>
        <v>2.3195230004768339</v>
      </c>
    </row>
    <row r="41" spans="1:31" x14ac:dyDescent="0.2">
      <c r="A41">
        <f t="shared" si="19"/>
        <v>198806</v>
      </c>
      <c r="B41">
        <f ca="1">LOOKUP($A41,FBYields!$B$6:$B$7864,FBYields!E$6:E$864)</f>
        <v>7.5091343522000003</v>
      </c>
      <c r="C41">
        <f ca="1">LOOKUP($A41,FBYields!$B$6:$B$7864,FBYields!F$6:F$864)</f>
        <v>7.8652395475999999</v>
      </c>
      <c r="D41">
        <f ca="1">LOOKUP($A41,FBYields!$B$6:$B$7864,FBYields!G$6:G$864)</f>
        <v>8.0357746743000007</v>
      </c>
      <c r="E41">
        <f ca="1">LOOKUP($A41,FBYields!$B$6:$B$7864,FBYields!H$6:H$864)</f>
        <v>8.1820123868000003</v>
      </c>
      <c r="F41">
        <f ca="1">LOOKUP($A41,FBYields!$B$6:$B$7864,FBYields!I$6:I$864)</f>
        <v>8.3095474573000008</v>
      </c>
      <c r="G41" s="2">
        <f t="shared" ca="1" si="3"/>
        <v>0.9276587468412596</v>
      </c>
      <c r="H41">
        <f t="shared" ca="1" si="4"/>
        <v>0.85444359244983226</v>
      </c>
      <c r="I41">
        <f t="shared" ca="1" si="5"/>
        <v>0.78578407327529842</v>
      </c>
      <c r="J41">
        <f t="shared" ca="1" si="6"/>
        <v>0.72088151066571193</v>
      </c>
      <c r="K41">
        <f t="shared" ca="1" si="7"/>
        <v>0.66002512740211028</v>
      </c>
      <c r="L41" s="2">
        <f t="shared" ca="1" si="8"/>
        <v>0.9210753365494263</v>
      </c>
      <c r="M41">
        <f t="shared" ca="1" si="9"/>
        <v>0.91964417571711721</v>
      </c>
      <c r="N41">
        <f t="shared" ca="1" si="10"/>
        <v>0.91740407471093144</v>
      </c>
      <c r="O41">
        <f t="shared" ca="1" si="11"/>
        <v>0.91558060185591017</v>
      </c>
      <c r="P41" s="4">
        <f t="shared" si="20"/>
        <v>1</v>
      </c>
      <c r="Q41" s="2">
        <f t="shared" ca="1" si="12"/>
        <v>7.5091343522000003</v>
      </c>
      <c r="R41">
        <f t="shared" ca="1" si="13"/>
        <v>8.2213447430000031</v>
      </c>
      <c r="S41">
        <f t="shared" ca="1" si="14"/>
        <v>8.376844927699997</v>
      </c>
      <c r="T41">
        <f t="shared" ca="1" si="15"/>
        <v>8.6207255243000063</v>
      </c>
      <c r="U41">
        <f t="shared" ca="1" si="16"/>
        <v>8.8196877393000044</v>
      </c>
      <c r="V41" s="2">
        <f t="shared" ca="1" si="24"/>
        <v>7.1866232237999856</v>
      </c>
      <c r="W41" s="2">
        <f t="shared" ca="1" si="24"/>
        <v>7.1693098834999951</v>
      </c>
      <c r="X41" s="2">
        <f t="shared" ca="1" si="24"/>
        <v>7.1947433594999906</v>
      </c>
      <c r="Y41" s="2">
        <f t="shared" ca="1" si="24"/>
        <v>7.3059877713000061</v>
      </c>
      <c r="Z41" s="2">
        <f t="shared" ca="1" si="25"/>
        <v>0.3636402435999857</v>
      </c>
      <c r="AA41" s="2">
        <f t="shared" ca="1" si="25"/>
        <v>0.34632690329999516</v>
      </c>
      <c r="AB41" s="2">
        <f t="shared" ca="1" si="25"/>
        <v>0.37176037929999062</v>
      </c>
      <c r="AC41" s="2">
        <f t="shared" ca="1" si="25"/>
        <v>0.48300479110000616</v>
      </c>
      <c r="AD41" s="2">
        <f t="shared" ca="1" si="22"/>
        <v>0.39118307932499441</v>
      </c>
      <c r="AE41" s="2">
        <f t="array" aca="1" ref="AE41" ca="1">MMULT(P41:U41,$AL$5:$AL$10)</f>
        <v>1.6552354414078623</v>
      </c>
    </row>
    <row r="42" spans="1:31" x14ac:dyDescent="0.2">
      <c r="A42">
        <f t="shared" si="19"/>
        <v>198906</v>
      </c>
      <c r="B42">
        <f ca="1">LOOKUP($A42,FBYields!$B$6:$B$7864,FBYields!E$6:E$864)</f>
        <v>8.1182700036999993</v>
      </c>
      <c r="C42">
        <f ca="1">LOOKUP($A42,FBYields!$B$6:$B$7864,FBYields!F$6:F$864)</f>
        <v>7.9054274899000001</v>
      </c>
      <c r="D42">
        <f ca="1">LOOKUP($A42,FBYields!$B$6:$B$7864,FBYields!G$6:G$864)</f>
        <v>7.9107931816999999</v>
      </c>
      <c r="E42">
        <f ca="1">LOOKUP($A42,FBYields!$B$6:$B$7864,FBYields!H$6:H$864)</f>
        <v>7.8567118231000004</v>
      </c>
      <c r="F42">
        <f ca="1">LOOKUP($A42,FBYields!$B$6:$B$7864,FBYields!I$6:I$864)</f>
        <v>7.9387474291000002</v>
      </c>
      <c r="G42" s="2">
        <f t="shared" ca="1" si="3"/>
        <v>0.92202522201321424</v>
      </c>
      <c r="H42">
        <f t="shared" ca="1" si="4"/>
        <v>0.8537571017774257</v>
      </c>
      <c r="I42">
        <f t="shared" ca="1" si="5"/>
        <v>0.78873585758350895</v>
      </c>
      <c r="J42">
        <f t="shared" ca="1" si="6"/>
        <v>0.73032292990461112</v>
      </c>
      <c r="K42">
        <f t="shared" ca="1" si="7"/>
        <v>0.67237613425302367</v>
      </c>
      <c r="L42" s="2">
        <f t="shared" ca="1" si="8"/>
        <v>0.92595851110588145</v>
      </c>
      <c r="M42">
        <f t="shared" ca="1" si="9"/>
        <v>0.92384105027232</v>
      </c>
      <c r="N42">
        <f t="shared" ca="1" si="10"/>
        <v>0.92594107758982769</v>
      </c>
      <c r="O42">
        <f t="shared" ca="1" si="11"/>
        <v>0.92065592729074519</v>
      </c>
      <c r="P42" s="4">
        <f t="shared" si="20"/>
        <v>1</v>
      </c>
      <c r="Q42" s="2">
        <f t="shared" ca="1" si="12"/>
        <v>8.1182700036999993</v>
      </c>
      <c r="R42">
        <f t="shared" ca="1" si="13"/>
        <v>7.6925849761000062</v>
      </c>
      <c r="S42">
        <f t="shared" ca="1" si="14"/>
        <v>7.9215245652999977</v>
      </c>
      <c r="T42">
        <f t="shared" ca="1" si="15"/>
        <v>7.6944677472999894</v>
      </c>
      <c r="U42">
        <f t="shared" ca="1" si="16"/>
        <v>8.2668898531000128</v>
      </c>
      <c r="V42" s="2">
        <f t="shared" ca="1" si="24"/>
        <v>7.6122090915000076</v>
      </c>
      <c r="W42" s="2">
        <f t="shared" ca="1" si="24"/>
        <v>8.2964690431000054</v>
      </c>
      <c r="X42" s="2">
        <f t="shared" ca="1" si="24"/>
        <v>8.9956700020999989</v>
      </c>
      <c r="Y42" s="2">
        <f t="shared" ca="1" si="24"/>
        <v>10.120889994100015</v>
      </c>
      <c r="Z42" s="2">
        <f t="shared" ca="1" si="25"/>
        <v>0.10307473930000732</v>
      </c>
      <c r="AA42" s="2">
        <f t="shared" ca="1" si="25"/>
        <v>0.78733469090000519</v>
      </c>
      <c r="AB42" s="2">
        <f t="shared" ca="1" si="25"/>
        <v>1.4865356498999986</v>
      </c>
      <c r="AC42" s="2">
        <f t="shared" ca="1" si="25"/>
        <v>2.6117556419000145</v>
      </c>
      <c r="AD42" s="2">
        <f t="shared" ca="1" si="22"/>
        <v>1.2471751805000064</v>
      </c>
      <c r="AE42" s="2">
        <f t="array" aca="1" ref="AE42" ca="1">MMULT(P42:U42,$AL$5:$AL$10)</f>
        <v>0.14666199518074119</v>
      </c>
    </row>
    <row r="43" spans="1:31" x14ac:dyDescent="0.2">
      <c r="A43">
        <f t="shared" si="19"/>
        <v>199006</v>
      </c>
      <c r="B43">
        <f ca="1">LOOKUP($A43,FBYields!$B$6:$B$7864,FBYields!E$6:E$864)</f>
        <v>7.9469299313999997</v>
      </c>
      <c r="C43">
        <f ca="1">LOOKUP($A43,FBYields!$B$6:$B$7864,FBYields!F$6:F$864)</f>
        <v>8.0437407490999995</v>
      </c>
      <c r="D43">
        <f ca="1">LOOKUP($A43,FBYields!$B$6:$B$7864,FBYields!G$6:G$864)</f>
        <v>8.1385550404</v>
      </c>
      <c r="E43">
        <f ca="1">LOOKUP($A43,FBYields!$B$6:$B$7864,FBYields!H$6:H$864)</f>
        <v>8.2199776435</v>
      </c>
      <c r="F43">
        <f ca="1">LOOKUP($A43,FBYields!$B$6:$B$7864,FBYields!I$6:I$864)</f>
        <v>8.2681536335000008</v>
      </c>
      <c r="G43" s="2">
        <f t="shared" ca="1" si="3"/>
        <v>0.92360637488264941</v>
      </c>
      <c r="H43">
        <f t="shared" ca="1" si="4"/>
        <v>0.85139864679109623</v>
      </c>
      <c r="I43">
        <f t="shared" ca="1" si="5"/>
        <v>0.78336490958810368</v>
      </c>
      <c r="J43">
        <f t="shared" ca="1" si="6"/>
        <v>0.71978760342121917</v>
      </c>
      <c r="K43">
        <f t="shared" ca="1" si="7"/>
        <v>0.66139259021820351</v>
      </c>
      <c r="L43" s="2">
        <f t="shared" ca="1" si="8"/>
        <v>0.92181980326767698</v>
      </c>
      <c r="M43">
        <f t="shared" ca="1" si="9"/>
        <v>0.92009179547159214</v>
      </c>
      <c r="N43">
        <f t="shared" ca="1" si="10"/>
        <v>0.91884075302745727</v>
      </c>
      <c r="O43">
        <f t="shared" ca="1" si="11"/>
        <v>0.91887188258667063</v>
      </c>
      <c r="P43" s="4">
        <f t="shared" si="20"/>
        <v>1</v>
      </c>
      <c r="Q43" s="2">
        <f t="shared" ca="1" si="12"/>
        <v>7.9469299313999997</v>
      </c>
      <c r="R43">
        <f t="shared" ca="1" si="13"/>
        <v>8.1405515668000064</v>
      </c>
      <c r="S43">
        <f t="shared" ca="1" si="14"/>
        <v>8.3281836230000135</v>
      </c>
      <c r="T43">
        <f t="shared" ca="1" si="15"/>
        <v>8.4642454527999895</v>
      </c>
      <c r="U43">
        <f t="shared" ca="1" si="16"/>
        <v>8.4608575935000037</v>
      </c>
      <c r="V43" s="2">
        <f t="shared" ca="1" si="24"/>
        <v>7.8639250484000067</v>
      </c>
      <c r="W43" s="2">
        <f t="shared" ca="1" si="24"/>
        <v>7.6448980469000016</v>
      </c>
      <c r="X43" s="2">
        <f t="shared" ca="1" si="24"/>
        <v>7.0111821711999855</v>
      </c>
      <c r="Y43" s="2">
        <f t="shared" ca="1" si="24"/>
        <v>6.8138265715000079</v>
      </c>
      <c r="Z43" s="2">
        <f t="shared" ca="1" si="25"/>
        <v>-0.25434495529999257</v>
      </c>
      <c r="AA43" s="2">
        <f t="shared" ca="1" si="25"/>
        <v>-0.47337195679999766</v>
      </c>
      <c r="AB43" s="2">
        <f t="shared" ca="1" si="25"/>
        <v>-1.1070878325000137</v>
      </c>
      <c r="AC43" s="2">
        <f t="shared" ca="1" si="25"/>
        <v>-1.3044434321999914</v>
      </c>
      <c r="AD43" s="2">
        <f t="shared" ca="1" si="22"/>
        <v>-0.78481204419999884</v>
      </c>
      <c r="AE43" s="2">
        <f t="array" aca="1" ref="AE43" ca="1">MMULT(P43:U43,$AL$5:$AL$10)</f>
        <v>0.93338947568119712</v>
      </c>
    </row>
    <row r="44" spans="1:31" x14ac:dyDescent="0.2">
      <c r="A44">
        <f t="shared" si="19"/>
        <v>199106</v>
      </c>
      <c r="B44">
        <f ca="1">LOOKUP($A44,FBYields!$B$6:$B$7864,FBYields!E$6:E$864)</f>
        <v>6.3128300191999998</v>
      </c>
      <c r="C44">
        <f ca="1">LOOKUP($A44,FBYields!$B$6:$B$7864,FBYields!F$6:F$864)</f>
        <v>6.8527902879999996</v>
      </c>
      <c r="D44">
        <f ca="1">LOOKUP($A44,FBYields!$B$6:$B$7864,FBYields!G$6:G$864)</f>
        <v>7.2950870530999996</v>
      </c>
      <c r="E44">
        <f ca="1">LOOKUP($A44,FBYields!$B$6:$B$7864,FBYields!H$6:H$864)</f>
        <v>7.6769690801000001</v>
      </c>
      <c r="F44">
        <f ca="1">LOOKUP($A44,FBYields!$B$6:$B$7864,FBYields!I$6:I$864)</f>
        <v>7.8623743234000001</v>
      </c>
      <c r="G44" s="2">
        <f t="shared" ca="1" si="3"/>
        <v>0.93882301478879704</v>
      </c>
      <c r="H44">
        <f t="shared" ca="1" si="4"/>
        <v>0.87192156652869846</v>
      </c>
      <c r="I44">
        <f t="shared" ca="1" si="5"/>
        <v>0.80344012718781876</v>
      </c>
      <c r="J44">
        <f t="shared" ca="1" si="6"/>
        <v>0.73559266099069798</v>
      </c>
      <c r="K44">
        <f t="shared" ca="1" si="7"/>
        <v>0.67494861551516028</v>
      </c>
      <c r="L44" s="2">
        <f t="shared" ca="1" si="8"/>
        <v>0.92873901980859608</v>
      </c>
      <c r="M44">
        <f t="shared" ca="1" si="9"/>
        <v>0.92145917480454287</v>
      </c>
      <c r="N44">
        <f t="shared" ca="1" si="10"/>
        <v>0.91555379934208814</v>
      </c>
      <c r="O44">
        <f t="shared" ca="1" si="11"/>
        <v>0.91755757134136962</v>
      </c>
      <c r="P44" s="4">
        <f t="shared" si="20"/>
        <v>1</v>
      </c>
      <c r="Q44" s="2">
        <f t="shared" ca="1" si="12"/>
        <v>6.3128300191999998</v>
      </c>
      <c r="R44">
        <f t="shared" ca="1" si="13"/>
        <v>7.3927505568000011</v>
      </c>
      <c r="S44">
        <f t="shared" ca="1" si="14"/>
        <v>8.1796805832999979</v>
      </c>
      <c r="T44">
        <f t="shared" ca="1" si="15"/>
        <v>8.8226151610999999</v>
      </c>
      <c r="U44">
        <f t="shared" ca="1" si="16"/>
        <v>8.6039952965999955</v>
      </c>
      <c r="V44" s="2">
        <f t="shared" ca="1" si="24"/>
        <v>9.7746514790000063</v>
      </c>
      <c r="W44" s="2">
        <f t="shared" ca="1" si="24"/>
        <v>10.710084545200003</v>
      </c>
      <c r="X44" s="2">
        <f t="shared" ca="1" si="24"/>
        <v>10.9946494147</v>
      </c>
      <c r="Y44" s="2">
        <f t="shared" ca="1" si="24"/>
        <v>10.632891847100009</v>
      </c>
      <c r="Z44" s="2">
        <f t="shared" ca="1" si="25"/>
        <v>1.8277215476000066</v>
      </c>
      <c r="AA44" s="2">
        <f t="shared" ca="1" si="25"/>
        <v>2.7631546138000029</v>
      </c>
      <c r="AB44" s="2">
        <f t="shared" ca="1" si="25"/>
        <v>3.0477194832999999</v>
      </c>
      <c r="AC44" s="2">
        <f t="shared" ca="1" si="25"/>
        <v>2.685961915700009</v>
      </c>
      <c r="AD44" s="2">
        <f t="shared" ca="1" si="22"/>
        <v>2.5811393901000046</v>
      </c>
      <c r="AE44" s="2">
        <f t="array" aca="1" ref="AE44" ca="1">MMULT(P44:U44,$AL$5:$AL$10)</f>
        <v>2.6849646089403816</v>
      </c>
    </row>
    <row r="45" spans="1:31" x14ac:dyDescent="0.2">
      <c r="A45">
        <f t="shared" si="19"/>
        <v>199206</v>
      </c>
      <c r="B45">
        <f ca="1">LOOKUP($A45,FBYields!$B$6:$B$7864,FBYields!E$6:E$864)</f>
        <v>4.0634661196000001</v>
      </c>
      <c r="C45">
        <f ca="1">LOOKUP($A45,FBYields!$B$6:$B$7864,FBYields!F$6:F$864)</f>
        <v>4.7989376862000004</v>
      </c>
      <c r="D45">
        <f ca="1">LOOKUP($A45,FBYields!$B$6:$B$7864,FBYields!G$6:G$864)</f>
        <v>5.4531144539999996</v>
      </c>
      <c r="E45">
        <f ca="1">LOOKUP($A45,FBYields!$B$6:$B$7864,FBYields!H$6:H$864)</f>
        <v>5.9951010946999999</v>
      </c>
      <c r="F45">
        <f ca="1">LOOKUP($A45,FBYields!$B$6:$B$7864,FBYields!I$6:I$864)</f>
        <v>6.3080136272000003</v>
      </c>
      <c r="G45" s="2">
        <f t="shared" ca="1" si="3"/>
        <v>0.96017985683734852</v>
      </c>
      <c r="H45">
        <f t="shared" ca="1" si="4"/>
        <v>0.90848331775097135</v>
      </c>
      <c r="I45">
        <f t="shared" ca="1" si="5"/>
        <v>0.84908716200802847</v>
      </c>
      <c r="J45">
        <f t="shared" ca="1" si="6"/>
        <v>0.78678202078624571</v>
      </c>
      <c r="K45">
        <f t="shared" ca="1" si="7"/>
        <v>0.72949652004475729</v>
      </c>
      <c r="L45" s="2">
        <f t="shared" ca="1" si="8"/>
        <v>0.94615952551154758</v>
      </c>
      <c r="M45">
        <f t="shared" ca="1" si="9"/>
        <v>0.93462053228452979</v>
      </c>
      <c r="N45">
        <f t="shared" ca="1" si="10"/>
        <v>0.92662103019619835</v>
      </c>
      <c r="O45">
        <f t="shared" ca="1" si="11"/>
        <v>0.92719012480198526</v>
      </c>
      <c r="P45" s="4">
        <f t="shared" si="20"/>
        <v>1</v>
      </c>
      <c r="Q45" s="2">
        <f t="shared" ca="1" si="12"/>
        <v>4.0634661196000001</v>
      </c>
      <c r="R45">
        <f t="shared" ca="1" si="13"/>
        <v>5.5344092527999917</v>
      </c>
      <c r="S45">
        <f t="shared" ca="1" si="14"/>
        <v>6.7614679896000007</v>
      </c>
      <c r="T45">
        <f t="shared" ca="1" si="15"/>
        <v>7.6210610168000068</v>
      </c>
      <c r="U45">
        <f t="shared" ca="1" si="16"/>
        <v>7.5596637571999876</v>
      </c>
      <c r="V45" s="2">
        <f t="shared" ca="1" si="24"/>
        <v>9.6421144563999892</v>
      </c>
      <c r="W45" s="2">
        <f t="shared" ca="1" si="24"/>
        <v>12.287385786900003</v>
      </c>
      <c r="X45" s="2">
        <f t="shared" ca="1" si="24"/>
        <v>14.348532958400007</v>
      </c>
      <c r="Y45" s="2">
        <f t="shared" ca="1" si="24"/>
        <v>15.331467238200005</v>
      </c>
      <c r="Z45" s="2">
        <f t="shared" ca="1" si="25"/>
        <v>3.3292844371999895</v>
      </c>
      <c r="AA45" s="2">
        <f t="shared" ca="1" si="25"/>
        <v>5.9745557677000036</v>
      </c>
      <c r="AB45" s="2">
        <f t="shared" ca="1" si="25"/>
        <v>8.0357029392000072</v>
      </c>
      <c r="AC45" s="2">
        <f t="shared" ca="1" si="25"/>
        <v>9.0186372190000057</v>
      </c>
      <c r="AD45" s="2">
        <f t="shared" ca="1" si="22"/>
        <v>6.5895450907750011</v>
      </c>
      <c r="AE45" s="2">
        <f t="array" aca="1" ref="AE45" ca="1">MMULT(P45:U45,$AL$5:$AL$10)</f>
        <v>3.4227649713504023</v>
      </c>
    </row>
    <row r="46" spans="1:31" x14ac:dyDescent="0.2">
      <c r="A46">
        <f t="shared" si="19"/>
        <v>199306</v>
      </c>
      <c r="B46">
        <f ca="1">LOOKUP($A46,FBYields!$B$6:$B$7864,FBYields!E$6:E$864)</f>
        <v>3.4996761163999999</v>
      </c>
      <c r="C46">
        <f ca="1">LOOKUP($A46,FBYields!$B$6:$B$7864,FBYields!F$6:F$864)</f>
        <v>3.982526977</v>
      </c>
      <c r="D46">
        <f ca="1">LOOKUP($A46,FBYields!$B$6:$B$7864,FBYields!G$6:G$864)</f>
        <v>4.3967182741000004</v>
      </c>
      <c r="E46">
        <f ca="1">LOOKUP($A46,FBYields!$B$6:$B$7864,FBYields!H$6:H$864)</f>
        <v>4.7466357687</v>
      </c>
      <c r="F46">
        <f ca="1">LOOKUP($A46,FBYields!$B$6:$B$7864,FBYields!I$6:I$864)</f>
        <v>5.0519641658000003</v>
      </c>
      <c r="G46" s="2">
        <f t="shared" ca="1" si="3"/>
        <v>0.96560854370021509</v>
      </c>
      <c r="H46">
        <f t="shared" ca="1" si="4"/>
        <v>0.92343899542293439</v>
      </c>
      <c r="I46">
        <f t="shared" ca="1" si="5"/>
        <v>0.87642727665481435</v>
      </c>
      <c r="J46">
        <f t="shared" ca="1" si="6"/>
        <v>0.82707042470344083</v>
      </c>
      <c r="K46">
        <f t="shared" ca="1" si="7"/>
        <v>0.77677992286528974</v>
      </c>
      <c r="L46" s="2">
        <f t="shared" ca="1" si="8"/>
        <v>0.95632852613784169</v>
      </c>
      <c r="M46">
        <f t="shared" ca="1" si="9"/>
        <v>0.94909060695819036</v>
      </c>
      <c r="N46">
        <f t="shared" ca="1" si="10"/>
        <v>0.9436840303056736</v>
      </c>
      <c r="O46">
        <f t="shared" ca="1" si="11"/>
        <v>0.93919441399904546</v>
      </c>
      <c r="P46" s="4">
        <f t="shared" si="20"/>
        <v>1</v>
      </c>
      <c r="Q46" s="2">
        <f t="shared" ca="1" si="12"/>
        <v>3.4996761163999999</v>
      </c>
      <c r="R46">
        <f t="shared" ca="1" si="13"/>
        <v>4.465377837599994</v>
      </c>
      <c r="S46">
        <f t="shared" ca="1" si="14"/>
        <v>5.2251008683000011</v>
      </c>
      <c r="T46">
        <f t="shared" ca="1" si="15"/>
        <v>5.7963882525000097</v>
      </c>
      <c r="U46">
        <f t="shared" ca="1" si="16"/>
        <v>6.2732777542000004</v>
      </c>
      <c r="V46" s="2">
        <f t="shared" ca="1" si="24"/>
        <v>6.0981992559999982</v>
      </c>
      <c r="W46" s="2">
        <f t="shared" ca="1" si="24"/>
        <v>8.3942894080000023</v>
      </c>
      <c r="X46" s="2">
        <f t="shared" ca="1" si="24"/>
        <v>10.790249556500005</v>
      </c>
      <c r="Y46" s="2">
        <f t="shared" ca="1" si="24"/>
        <v>12.553525061199981</v>
      </c>
      <c r="Z46" s="2">
        <f t="shared" ca="1" si="25"/>
        <v>2.0347331363999981</v>
      </c>
      <c r="AA46" s="2">
        <f t="shared" ca="1" si="25"/>
        <v>4.3308232884000022</v>
      </c>
      <c r="AB46" s="2">
        <f t="shared" ca="1" si="25"/>
        <v>6.7267834369000044</v>
      </c>
      <c r="AC46" s="2">
        <f t="shared" ca="1" si="25"/>
        <v>8.4900589415999796</v>
      </c>
      <c r="AD46" s="2">
        <f t="shared" ca="1" si="22"/>
        <v>5.3955997008249961</v>
      </c>
      <c r="AE46" s="2">
        <f t="array" aca="1" ref="AE46" ca="1">MMULT(P46:U46,$AL$5:$AL$10)</f>
        <v>2.0383352279053213</v>
      </c>
    </row>
    <row r="47" spans="1:31" x14ac:dyDescent="0.2">
      <c r="A47">
        <f t="shared" si="19"/>
        <v>199406</v>
      </c>
      <c r="B47">
        <f ca="1">LOOKUP($A47,FBYields!$B$6:$B$7864,FBYields!E$6:E$864)</f>
        <v>5.4271171280999999</v>
      </c>
      <c r="C47">
        <f ca="1">LOOKUP($A47,FBYields!$B$6:$B$7864,FBYields!F$6:F$864)</f>
        <v>6.0816603144999997</v>
      </c>
      <c r="D47">
        <f ca="1">LOOKUP($A47,FBYields!$B$6:$B$7864,FBYields!G$6:G$864)</f>
        <v>6.3877102725999997</v>
      </c>
      <c r="E47">
        <f ca="1">LOOKUP($A47,FBYields!$B$6:$B$7864,FBYields!H$6:H$864)</f>
        <v>6.7340179156</v>
      </c>
      <c r="F47">
        <f ca="1">LOOKUP($A47,FBYields!$B$6:$B$7864,FBYields!I$6:I$864)</f>
        <v>6.9164880768000003</v>
      </c>
      <c r="G47" s="2">
        <f t="shared" ca="1" si="3"/>
        <v>0.94717522495484086</v>
      </c>
      <c r="H47">
        <f t="shared" ca="1" si="4"/>
        <v>0.88547309490677117</v>
      </c>
      <c r="I47">
        <f t="shared" ca="1" si="5"/>
        <v>0.82561120848512148</v>
      </c>
      <c r="J47">
        <f t="shared" ca="1" si="6"/>
        <v>0.76386766618060853</v>
      </c>
      <c r="K47">
        <f t="shared" ca="1" si="7"/>
        <v>0.70763673449075215</v>
      </c>
      <c r="L47" s="2">
        <f t="shared" ca="1" si="8"/>
        <v>0.93485668921396092</v>
      </c>
      <c r="M47">
        <f t="shared" ca="1" si="9"/>
        <v>0.93239558969552616</v>
      </c>
      <c r="N47">
        <f t="shared" ca="1" si="10"/>
        <v>0.9252147479710171</v>
      </c>
      <c r="O47">
        <f t="shared" ca="1" si="11"/>
        <v>0.92638655335286679</v>
      </c>
      <c r="P47" s="4">
        <f t="shared" si="20"/>
        <v>1</v>
      </c>
      <c r="Q47" s="2">
        <f t="shared" ca="1" si="12"/>
        <v>5.4271171280999999</v>
      </c>
      <c r="R47">
        <f t="shared" ca="1" si="13"/>
        <v>6.7362035009000012</v>
      </c>
      <c r="S47">
        <f t="shared" ca="1" si="14"/>
        <v>6.9998101887999988</v>
      </c>
      <c r="T47">
        <f t="shared" ca="1" si="15"/>
        <v>7.7729408445999955</v>
      </c>
      <c r="U47">
        <f t="shared" ca="1" si="16"/>
        <v>7.6463687216</v>
      </c>
      <c r="V47" s="2">
        <f t="shared" ca="1" si="24"/>
        <v>2.5379368258999913</v>
      </c>
      <c r="W47" s="2">
        <f t="shared" ca="1" si="24"/>
        <v>1.0268341932999894</v>
      </c>
      <c r="X47" s="2">
        <f t="shared" ca="1" si="24"/>
        <v>-0.17658774300000657</v>
      </c>
      <c r="Y47" s="2">
        <f t="shared" ca="1" si="24"/>
        <v>-1.6762508333999937</v>
      </c>
      <c r="Z47" s="2">
        <f t="shared" ca="1" si="25"/>
        <v>-0.96173929050000861</v>
      </c>
      <c r="AA47" s="2">
        <f t="shared" ca="1" si="25"/>
        <v>-2.4728419231000105</v>
      </c>
      <c r="AB47" s="2">
        <f t="shared" ca="1" si="25"/>
        <v>-3.6762638594000063</v>
      </c>
      <c r="AC47" s="2">
        <f t="shared" ca="1" si="25"/>
        <v>-5.1759269497999938</v>
      </c>
      <c r="AD47" s="2">
        <f t="shared" ca="1" si="22"/>
        <v>-3.0716930057000047</v>
      </c>
      <c r="AE47" s="2">
        <f t="array" aca="1" ref="AE47" ca="1">MMULT(P47:U47,$AL$5:$AL$10)</f>
        <v>2.2304481293921525</v>
      </c>
    </row>
    <row r="48" spans="1:31" x14ac:dyDescent="0.2">
      <c r="A48">
        <f t="shared" si="19"/>
        <v>199506</v>
      </c>
      <c r="B48">
        <f ca="1">LOOKUP($A48,FBYields!$B$6:$B$7864,FBYields!E$6:E$864)</f>
        <v>5.5517830054999999</v>
      </c>
      <c r="C48">
        <f ca="1">LOOKUP($A48,FBYields!$B$6:$B$7864,FBYields!F$6:F$864)</f>
        <v>5.7037081276999997</v>
      </c>
      <c r="D48">
        <f ca="1">LOOKUP($A48,FBYields!$B$6:$B$7864,FBYields!G$6:G$864)</f>
        <v>5.8015918465</v>
      </c>
      <c r="E48">
        <f ca="1">LOOKUP($A48,FBYields!$B$6:$B$7864,FBYields!H$6:H$864)</f>
        <v>5.9003846233999999</v>
      </c>
      <c r="F48">
        <f ca="1">LOOKUP($A48,FBYields!$B$6:$B$7864,FBYields!I$6:I$864)</f>
        <v>5.8900844254000004</v>
      </c>
      <c r="G48" s="2">
        <f t="shared" ca="1" si="3"/>
        <v>0.9459951563743948</v>
      </c>
      <c r="H48">
        <f t="shared" ca="1" si="4"/>
        <v>0.8921917862072597</v>
      </c>
      <c r="I48">
        <f t="shared" ca="1" si="5"/>
        <v>0.84025676990633247</v>
      </c>
      <c r="J48">
        <f t="shared" ca="1" si="6"/>
        <v>0.78976852330114888</v>
      </c>
      <c r="K48">
        <f t="shared" ca="1" si="7"/>
        <v>0.74490080190755892</v>
      </c>
      <c r="L48" s="2">
        <f t="shared" ca="1" si="8"/>
        <v>0.94312511030887203</v>
      </c>
      <c r="M48">
        <f t="shared" ca="1" si="9"/>
        <v>0.94178940323839466</v>
      </c>
      <c r="N48">
        <f t="shared" ca="1" si="10"/>
        <v>0.93991331172397252</v>
      </c>
      <c r="O48">
        <f t="shared" ca="1" si="11"/>
        <v>0.94318876978529398</v>
      </c>
      <c r="P48" s="4">
        <f t="shared" si="20"/>
        <v>1</v>
      </c>
      <c r="Q48" s="2">
        <f t="shared" ca="1" si="12"/>
        <v>5.5517830054999999</v>
      </c>
      <c r="R48">
        <f t="shared" ca="1" si="13"/>
        <v>5.8556332498999897</v>
      </c>
      <c r="S48">
        <f t="shared" ca="1" si="14"/>
        <v>5.9973592840999981</v>
      </c>
      <c r="T48">
        <f t="shared" ca="1" si="15"/>
        <v>6.1967629540999942</v>
      </c>
      <c r="U48">
        <f t="shared" ca="1" si="16"/>
        <v>5.8488836334000105</v>
      </c>
      <c r="V48" s="2">
        <f t="shared" ca="1" si="24"/>
        <v>6.6115376235000118</v>
      </c>
      <c r="W48" s="2">
        <f t="shared" ca="1" si="24"/>
        <v>7.7557145624000148</v>
      </c>
      <c r="X48" s="2">
        <f t="shared" ca="1" si="24"/>
        <v>9.5312961229000024</v>
      </c>
      <c r="Y48" s="2">
        <f t="shared" ca="1" si="24"/>
        <v>10.980901890400013</v>
      </c>
      <c r="Z48" s="2">
        <f t="shared" ca="1" si="25"/>
        <v>1.1844204954000119</v>
      </c>
      <c r="AA48" s="2">
        <f t="shared" ca="1" si="25"/>
        <v>2.3285974343000149</v>
      </c>
      <c r="AB48" s="2">
        <f t="shared" ca="1" si="25"/>
        <v>4.1041789948000025</v>
      </c>
      <c r="AC48" s="2">
        <f t="shared" ca="1" si="25"/>
        <v>5.5537847623000127</v>
      </c>
      <c r="AD48" s="2">
        <f t="shared" ca="1" si="22"/>
        <v>3.2927454217000105</v>
      </c>
      <c r="AE48" s="2">
        <f t="array" aca="1" ref="AE48" ca="1">MMULT(P48:U48,$AL$5:$AL$10)</f>
        <v>0.56747144312365716</v>
      </c>
    </row>
    <row r="49" spans="1:31" x14ac:dyDescent="0.2">
      <c r="A49">
        <f t="shared" si="19"/>
        <v>199606</v>
      </c>
      <c r="B49">
        <f ca="1">LOOKUP($A49,FBYields!$B$6:$B$7864,FBYields!E$6:E$864)</f>
        <v>5.6435069685999997</v>
      </c>
      <c r="C49">
        <f ca="1">LOOKUP($A49,FBYields!$B$6:$B$7864,FBYields!F$6:F$864)</f>
        <v>6.0066997817000001</v>
      </c>
      <c r="D49">
        <f ca="1">LOOKUP($A49,FBYields!$B$6:$B$7864,FBYields!G$6:G$864)</f>
        <v>6.237602195</v>
      </c>
      <c r="E49">
        <f ca="1">LOOKUP($A49,FBYields!$B$6:$B$7864,FBYields!H$6:H$864)</f>
        <v>6.3334137127999997</v>
      </c>
      <c r="F49">
        <f ca="1">LOOKUP($A49,FBYields!$B$6:$B$7864,FBYields!I$6:I$864)</f>
        <v>6.3734097798000002</v>
      </c>
      <c r="G49" s="2">
        <f t="shared" ca="1" si="3"/>
        <v>0.94512784995095356</v>
      </c>
      <c r="H49">
        <f t="shared" ca="1" si="4"/>
        <v>0.88680160121282925</v>
      </c>
      <c r="I49">
        <f t="shared" ca="1" si="5"/>
        <v>0.82933751976978232</v>
      </c>
      <c r="J49">
        <f t="shared" ca="1" si="6"/>
        <v>0.77620660668184049</v>
      </c>
      <c r="K49">
        <f t="shared" ca="1" si="7"/>
        <v>0.72711510226823617</v>
      </c>
      <c r="L49" s="2">
        <f t="shared" ca="1" si="8"/>
        <v>0.93828745101400712</v>
      </c>
      <c r="M49">
        <f t="shared" ca="1" si="9"/>
        <v>0.9352007468587602</v>
      </c>
      <c r="N49">
        <f t="shared" ca="1" si="10"/>
        <v>0.93593571758011074</v>
      </c>
      <c r="O49">
        <f t="shared" ca="1" si="11"/>
        <v>0.93675459086407076</v>
      </c>
      <c r="P49" s="4">
        <f t="shared" si="20"/>
        <v>1</v>
      </c>
      <c r="Q49" s="2">
        <f t="shared" ca="1" si="12"/>
        <v>5.6435069685999997</v>
      </c>
      <c r="R49">
        <f t="shared" ca="1" si="13"/>
        <v>6.369892594800004</v>
      </c>
      <c r="S49">
        <f t="shared" ca="1" si="14"/>
        <v>6.6994070215999972</v>
      </c>
      <c r="T49">
        <f t="shared" ca="1" si="15"/>
        <v>6.6208482662000012</v>
      </c>
      <c r="U49">
        <f t="shared" ca="1" si="16"/>
        <v>6.5333940478000034</v>
      </c>
      <c r="V49" s="2">
        <f t="shared" ca="1" si="24"/>
        <v>5.7639092867999935</v>
      </c>
      <c r="W49" s="2">
        <f t="shared" ca="1" si="24"/>
        <v>5.3913759760999893</v>
      </c>
      <c r="X49" s="2">
        <f t="shared" ca="1" si="24"/>
        <v>4.8887319085999916</v>
      </c>
      <c r="Y49" s="2">
        <f t="shared" ca="1" si="24"/>
        <v>4.1167672758000009</v>
      </c>
      <c r="Z49" s="2">
        <f t="shared" ca="1" si="25"/>
        <v>0.21212628129999356</v>
      </c>
      <c r="AA49" s="2">
        <f t="shared" ca="1" si="25"/>
        <v>-0.16040702940001061</v>
      </c>
      <c r="AB49" s="2">
        <f t="shared" ca="1" si="25"/>
        <v>-0.6630510969000083</v>
      </c>
      <c r="AC49" s="2">
        <f t="shared" ca="1" si="25"/>
        <v>-1.435015729699999</v>
      </c>
      <c r="AD49" s="2">
        <f t="shared" ca="1" si="22"/>
        <v>-0.51158689367500609</v>
      </c>
      <c r="AE49" s="2">
        <f t="array" aca="1" ref="AE49" ca="1">MMULT(P49:U49,$AL$5:$AL$10)</f>
        <v>1.5910148944474591</v>
      </c>
    </row>
    <row r="50" spans="1:31" x14ac:dyDescent="0.2">
      <c r="A50">
        <f t="shared" si="19"/>
        <v>199706</v>
      </c>
      <c r="B50">
        <f ca="1">LOOKUP($A50,FBYields!$B$6:$B$7864,FBYields!E$6:E$864)</f>
        <v>5.6078603091000003</v>
      </c>
      <c r="C50">
        <f ca="1">LOOKUP($A50,FBYields!$B$6:$B$7864,FBYields!F$6:F$864)</f>
        <v>5.9867494117</v>
      </c>
      <c r="D50">
        <f ca="1">LOOKUP($A50,FBYields!$B$6:$B$7864,FBYields!G$6:G$864)</f>
        <v>6.1216507339000001</v>
      </c>
      <c r="E50">
        <f ca="1">LOOKUP($A50,FBYields!$B$6:$B$7864,FBYields!H$6:H$864)</f>
        <v>6.2737261256999997</v>
      </c>
      <c r="F50">
        <f ca="1">LOOKUP($A50,FBYields!$B$6:$B$7864,FBYields!I$6:I$864)</f>
        <v>6.3051350413999998</v>
      </c>
      <c r="G50" s="2">
        <f t="shared" ca="1" si="3"/>
        <v>0.94546481651255854</v>
      </c>
      <c r="H50">
        <f t="shared" ca="1" si="4"/>
        <v>0.88715551221590416</v>
      </c>
      <c r="I50">
        <f t="shared" ca="1" si="5"/>
        <v>0.83222743011049305</v>
      </c>
      <c r="J50">
        <f t="shared" ca="1" si="6"/>
        <v>0.7780620166771649</v>
      </c>
      <c r="K50">
        <f t="shared" ca="1" si="7"/>
        <v>0.72960152351730112</v>
      </c>
      <c r="L50" s="2">
        <f t="shared" ca="1" si="8"/>
        <v>0.93832736736652556</v>
      </c>
      <c r="M50">
        <f t="shared" ca="1" si="9"/>
        <v>0.9380851706954807</v>
      </c>
      <c r="N50">
        <f t="shared" ca="1" si="10"/>
        <v>0.9349151308000786</v>
      </c>
      <c r="O50">
        <f t="shared" ca="1" si="11"/>
        <v>0.93771641318924437</v>
      </c>
      <c r="P50" s="4">
        <f t="shared" si="20"/>
        <v>1</v>
      </c>
      <c r="Q50" s="2">
        <f t="shared" ca="1" si="12"/>
        <v>5.6078603091000003</v>
      </c>
      <c r="R50">
        <f t="shared" ca="1" si="13"/>
        <v>6.3656385143000014</v>
      </c>
      <c r="S50">
        <f t="shared" ca="1" si="14"/>
        <v>6.3914533783000049</v>
      </c>
      <c r="T50">
        <f t="shared" ca="1" si="15"/>
        <v>6.7299523010999884</v>
      </c>
      <c r="U50">
        <f t="shared" ca="1" si="16"/>
        <v>6.4307707042000093</v>
      </c>
      <c r="V50" s="2">
        <f t="shared" ca="1" si="24"/>
        <v>6.4055392542999927</v>
      </c>
      <c r="W50" s="2">
        <f t="shared" ca="1" si="24"/>
        <v>6.7393077616000028</v>
      </c>
      <c r="X50" s="2">
        <f t="shared" ca="1" si="24"/>
        <v>6.9687026494999831</v>
      </c>
      <c r="Y50" s="2">
        <f t="shared" ca="1" si="24"/>
        <v>6.7721443962000016</v>
      </c>
      <c r="Z50" s="2">
        <f t="shared" ca="1" si="25"/>
        <v>0.76203228569999304</v>
      </c>
      <c r="AA50" s="2">
        <f t="shared" ca="1" si="25"/>
        <v>1.0958007930000031</v>
      </c>
      <c r="AB50" s="2">
        <f t="shared" ca="1" si="25"/>
        <v>1.3251956808999834</v>
      </c>
      <c r="AC50" s="2">
        <f t="shared" ca="1" si="25"/>
        <v>1.128637427600002</v>
      </c>
      <c r="AD50" s="2">
        <f t="shared" ca="1" si="22"/>
        <v>1.0779165467999954</v>
      </c>
      <c r="AE50" s="2">
        <f t="array" aca="1" ref="AE50" ca="1">MMULT(P50:U50,$AL$5:$AL$10)</f>
        <v>1.1482336994398405</v>
      </c>
    </row>
    <row r="51" spans="1:31" x14ac:dyDescent="0.2">
      <c r="A51">
        <f t="shared" si="19"/>
        <v>199806</v>
      </c>
      <c r="B51">
        <f ca="1">LOOKUP($A51,FBYields!$B$6:$B$7864,FBYields!E$6:E$864)</f>
        <v>5.3370772857000004</v>
      </c>
      <c r="C51">
        <f ca="1">LOOKUP($A51,FBYields!$B$6:$B$7864,FBYields!F$6:F$864)</f>
        <v>5.3992511910000003</v>
      </c>
      <c r="D51">
        <f ca="1">LOOKUP($A51,FBYields!$B$6:$B$7864,FBYields!G$6:G$864)</f>
        <v>5.4777512059999998</v>
      </c>
      <c r="E51">
        <f ca="1">LOOKUP($A51,FBYields!$B$6:$B$7864,FBYields!H$6:H$864)</f>
        <v>5.4799307763999998</v>
      </c>
      <c r="F51">
        <f ca="1">LOOKUP($A51,FBYields!$B$6:$B$7864,FBYields!I$6:I$864)</f>
        <v>5.3813945112999999</v>
      </c>
      <c r="G51" s="2">
        <f t="shared" ca="1" si="3"/>
        <v>0.94802844409558362</v>
      </c>
      <c r="H51">
        <f t="shared" ca="1" si="4"/>
        <v>0.89764103956355512</v>
      </c>
      <c r="I51">
        <f t="shared" ca="1" si="5"/>
        <v>0.84845983137232239</v>
      </c>
      <c r="J51">
        <f t="shared" ca="1" si="6"/>
        <v>0.80316329378646356</v>
      </c>
      <c r="K51">
        <f t="shared" ca="1" si="7"/>
        <v>0.76408997718541494</v>
      </c>
      <c r="L51" s="2">
        <f t="shared" ca="1" si="8"/>
        <v>0.94685032411649006</v>
      </c>
      <c r="M51">
        <f t="shared" ca="1" si="9"/>
        <v>0.94521060644113897</v>
      </c>
      <c r="N51">
        <f t="shared" ca="1" si="10"/>
        <v>0.94661322090805999</v>
      </c>
      <c r="O51">
        <f t="shared" ca="1" si="11"/>
        <v>0.95135071920824477</v>
      </c>
      <c r="P51" s="4">
        <f t="shared" si="20"/>
        <v>1</v>
      </c>
      <c r="Q51" s="2">
        <f t="shared" ca="1" si="12"/>
        <v>5.3370772857000004</v>
      </c>
      <c r="R51">
        <f t="shared" ca="1" si="13"/>
        <v>5.4614250963000019</v>
      </c>
      <c r="S51">
        <f t="shared" ca="1" si="14"/>
        <v>5.6347512360000023</v>
      </c>
      <c r="T51">
        <f t="shared" ca="1" si="15"/>
        <v>5.4864694875999991</v>
      </c>
      <c r="U51">
        <f t="shared" ca="1" si="16"/>
        <v>4.9872494509000154</v>
      </c>
      <c r="V51" s="2">
        <f t="shared" ca="1" si="24"/>
        <v>6.6364215376999978</v>
      </c>
      <c r="W51" s="2">
        <f t="shared" ca="1" si="24"/>
        <v>7.5664498197000079</v>
      </c>
      <c r="X51" s="2">
        <f t="shared" ca="1" si="24"/>
        <v>8.6616508847999967</v>
      </c>
      <c r="Y51" s="2">
        <f t="shared" ca="1" si="24"/>
        <v>9.605952101399998</v>
      </c>
      <c r="Z51" s="2">
        <f t="shared" ca="1" si="25"/>
        <v>1.0285612285999974</v>
      </c>
      <c r="AA51" s="2">
        <f t="shared" ca="1" si="25"/>
        <v>1.9585895106000075</v>
      </c>
      <c r="AB51" s="2">
        <f t="shared" ca="1" si="25"/>
        <v>3.0537905756999963</v>
      </c>
      <c r="AC51" s="2">
        <f t="shared" ca="1" si="25"/>
        <v>3.9980917922999977</v>
      </c>
      <c r="AD51" s="2">
        <f t="shared" ca="1" si="22"/>
        <v>2.5097582767999995</v>
      </c>
      <c r="AE51" s="2">
        <f t="array" aca="1" ref="AE51" ca="1">MMULT(P51:U51,$AL$5:$AL$10)</f>
        <v>0.33417890553729523</v>
      </c>
    </row>
    <row r="52" spans="1:31" x14ac:dyDescent="0.2">
      <c r="A52">
        <f t="shared" si="19"/>
        <v>199906</v>
      </c>
      <c r="B52">
        <f ca="1">LOOKUP($A52,FBYields!$B$6:$B$7864,FBYields!E$6:E$864)</f>
        <v>5.1783345062999997</v>
      </c>
      <c r="C52">
        <f ca="1">LOOKUP($A52,FBYields!$B$6:$B$7864,FBYields!F$6:F$864)</f>
        <v>5.4527222474999997</v>
      </c>
      <c r="D52">
        <f ca="1">LOOKUP($A52,FBYields!$B$6:$B$7864,FBYields!G$6:G$864)</f>
        <v>5.5646829350999996</v>
      </c>
      <c r="E52">
        <f ca="1">LOOKUP($A52,FBYields!$B$6:$B$7864,FBYields!H$6:H$864)</f>
        <v>5.6338810426999997</v>
      </c>
      <c r="F52">
        <f ca="1">LOOKUP($A52,FBYields!$B$6:$B$7864,FBYields!I$6:I$864)</f>
        <v>5.7564537879</v>
      </c>
      <c r="G52" s="2">
        <f t="shared" ca="1" si="3"/>
        <v>0.94953456591078245</v>
      </c>
      <c r="H52">
        <f t="shared" ca="1" si="4"/>
        <v>0.89668159638453493</v>
      </c>
      <c r="I52">
        <f t="shared" ca="1" si="5"/>
        <v>0.84624997182212003</v>
      </c>
      <c r="J52">
        <f t="shared" ca="1" si="6"/>
        <v>0.79823260287303788</v>
      </c>
      <c r="K52">
        <f t="shared" ca="1" si="7"/>
        <v>0.74989454470715988</v>
      </c>
      <c r="L52" s="2">
        <f t="shared" ca="1" si="8"/>
        <v>0.94433802472946149</v>
      </c>
      <c r="M52">
        <f t="shared" ca="1" si="9"/>
        <v>0.94375748898409673</v>
      </c>
      <c r="N52">
        <f t="shared" ca="1" si="10"/>
        <v>0.94325864632445111</v>
      </c>
      <c r="O52">
        <f t="shared" ca="1" si="11"/>
        <v>0.939443643379264</v>
      </c>
      <c r="P52" s="4">
        <f t="shared" si="20"/>
        <v>1</v>
      </c>
      <c r="Q52" s="2">
        <f t="shared" ca="1" si="12"/>
        <v>5.1783345062999997</v>
      </c>
      <c r="R52">
        <f t="shared" ca="1" si="13"/>
        <v>5.7271099886999979</v>
      </c>
      <c r="S52">
        <f t="shared" ca="1" si="14"/>
        <v>5.7886043103000038</v>
      </c>
      <c r="T52">
        <f t="shared" ca="1" si="15"/>
        <v>5.8414753655000036</v>
      </c>
      <c r="U52">
        <f t="shared" ca="1" si="16"/>
        <v>6.2467447687000162</v>
      </c>
      <c r="V52" s="2">
        <f t="shared" ca="1" si="24"/>
        <v>5.6201678757000151</v>
      </c>
      <c r="W52" s="2">
        <f t="shared" ca="1" si="24"/>
        <v>5.5278091230000115</v>
      </c>
      <c r="X52" s="2">
        <f t="shared" ca="1" si="24"/>
        <v>5.2256743002999988</v>
      </c>
      <c r="Y52" s="2">
        <f t="shared" ca="1" si="24"/>
        <v>4.371448385700007</v>
      </c>
      <c r="Z52" s="2">
        <f t="shared" ca="1" si="25"/>
        <v>0.28309059000001469</v>
      </c>
      <c r="AA52" s="2">
        <f t="shared" ca="1" si="25"/>
        <v>0.19073183730001109</v>
      </c>
      <c r="AB52" s="2">
        <f t="shared" ca="1" si="25"/>
        <v>-0.1114029854000016</v>
      </c>
      <c r="AC52" s="2">
        <f t="shared" ca="1" si="25"/>
        <v>-0.96562889999999335</v>
      </c>
      <c r="AD52" s="2">
        <f t="shared" ca="1" si="22"/>
        <v>-0.15080236452499229</v>
      </c>
      <c r="AE52" s="2">
        <f t="array" aca="1" ref="AE52" ca="1">MMULT(P52:U52,$AL$5:$AL$10)</f>
        <v>0.90885180155617085</v>
      </c>
    </row>
    <row r="53" spans="1:31" x14ac:dyDescent="0.2">
      <c r="A53">
        <f t="shared" si="19"/>
        <v>200006</v>
      </c>
      <c r="B53">
        <f ca="1">LOOKUP($A53,FBYields!$B$6:$B$7864,FBYields!E$6:E$864)</f>
        <v>6.3938258107000001</v>
      </c>
      <c r="C53">
        <f ca="1">LOOKUP($A53,FBYields!$B$6:$B$7864,FBYields!F$6:F$864)</f>
        <v>6.2781885617000004</v>
      </c>
      <c r="D53">
        <f ca="1">LOOKUP($A53,FBYields!$B$6:$B$7864,FBYields!G$6:G$864)</f>
        <v>6.1984923968999999</v>
      </c>
      <c r="E53">
        <f ca="1">LOOKUP($A53,FBYields!$B$6:$B$7864,FBYields!H$6:H$864)</f>
        <v>6.2054769168000004</v>
      </c>
      <c r="F53">
        <f ca="1">LOOKUP($A53,FBYields!$B$6:$B$7864,FBYields!I$6:I$864)</f>
        <v>6.1535398678000002</v>
      </c>
      <c r="G53" s="2">
        <f t="shared" ca="1" si="3"/>
        <v>0.93806291552294707</v>
      </c>
      <c r="H53">
        <f t="shared" ca="1" si="4"/>
        <v>0.8819995164359995</v>
      </c>
      <c r="I53">
        <f t="shared" ca="1" si="5"/>
        <v>0.83031114752251045</v>
      </c>
      <c r="J53">
        <f t="shared" ca="1" si="6"/>
        <v>0.78018900334385843</v>
      </c>
      <c r="K53">
        <f t="shared" ca="1" si="7"/>
        <v>0.73515273885676324</v>
      </c>
      <c r="L53" s="2">
        <f t="shared" ca="1" si="8"/>
        <v>0.94023492650736162</v>
      </c>
      <c r="M53">
        <f t="shared" ca="1" si="9"/>
        <v>0.94139637499762763</v>
      </c>
      <c r="N53">
        <f t="shared" ca="1" si="10"/>
        <v>0.93963450409137961</v>
      </c>
      <c r="O53">
        <f t="shared" ca="1" si="11"/>
        <v>0.94227518678926314</v>
      </c>
      <c r="P53" s="4">
        <f t="shared" si="20"/>
        <v>1</v>
      </c>
      <c r="Q53" s="2">
        <f t="shared" ca="1" si="12"/>
        <v>6.3938258107000001</v>
      </c>
      <c r="R53">
        <f t="shared" ca="1" si="13"/>
        <v>6.1625513126999989</v>
      </c>
      <c r="S53">
        <f t="shared" ca="1" si="14"/>
        <v>6.0391000673000068</v>
      </c>
      <c r="T53">
        <f t="shared" ca="1" si="15"/>
        <v>6.2264304764999956</v>
      </c>
      <c r="U53">
        <f t="shared" ca="1" si="16"/>
        <v>5.9457916717999986</v>
      </c>
      <c r="V53" s="2">
        <f t="shared" ca="1" si="24"/>
        <v>4.5116186842999895</v>
      </c>
      <c r="W53" s="2">
        <f t="shared" ca="1" si="24"/>
        <v>4.1376716818999988</v>
      </c>
      <c r="X53" s="2">
        <f t="shared" ca="1" si="24"/>
        <v>3.9400469800999973</v>
      </c>
      <c r="Y53" s="2">
        <f t="shared" ca="1" si="24"/>
        <v>3.9603612723000019</v>
      </c>
      <c r="Z53" s="2">
        <f t="shared" ca="1" si="25"/>
        <v>-0.66671582200001023</v>
      </c>
      <c r="AA53" s="2">
        <f t="shared" ca="1" si="25"/>
        <v>-1.0406628244000009</v>
      </c>
      <c r="AB53" s="2">
        <f t="shared" ca="1" si="25"/>
        <v>-1.2382875262000024</v>
      </c>
      <c r="AC53" s="2">
        <f t="shared" ca="1" si="25"/>
        <v>-1.2179732339999978</v>
      </c>
      <c r="AD53" s="2">
        <f t="shared" ca="1" si="22"/>
        <v>-1.0409098516500028</v>
      </c>
      <c r="AE53" s="2">
        <f t="array" aca="1" ref="AE53" ca="1">MMULT(P53:U53,$AL$5:$AL$10)</f>
        <v>-0.46702527834161867</v>
      </c>
    </row>
    <row r="54" spans="1:31" x14ac:dyDescent="0.2">
      <c r="A54">
        <f t="shared" si="19"/>
        <v>200106</v>
      </c>
      <c r="B54">
        <f ca="1">LOOKUP($A54,FBYields!$B$6:$B$7864,FBYields!E$6:E$864)</f>
        <v>3.8775664052000001</v>
      </c>
      <c r="C54">
        <f ca="1">LOOKUP($A54,FBYields!$B$6:$B$7864,FBYields!F$6:F$864)</f>
        <v>4.2299706339999998</v>
      </c>
      <c r="D54">
        <f ca="1">LOOKUP($A54,FBYields!$B$6:$B$7864,FBYields!G$6:G$864)</f>
        <v>4.6609620811000001</v>
      </c>
      <c r="E54">
        <f ca="1">LOOKUP($A54,FBYields!$B$6:$B$7864,FBYields!H$6:H$864)</f>
        <v>4.9173750415999997</v>
      </c>
      <c r="F54">
        <f ca="1">LOOKUP($A54,FBYields!$B$6:$B$7864,FBYields!I$6:I$864)</f>
        <v>5.0651246280000004</v>
      </c>
      <c r="G54" s="2">
        <f t="shared" ca="1" si="3"/>
        <v>0.96196648860608258</v>
      </c>
      <c r="H54">
        <f t="shared" ca="1" si="4"/>
        <v>0.91888030248261987</v>
      </c>
      <c r="I54">
        <f t="shared" ca="1" si="5"/>
        <v>0.86950702798370072</v>
      </c>
      <c r="J54">
        <f t="shared" ca="1" si="6"/>
        <v>0.82144113328845303</v>
      </c>
      <c r="K54">
        <f t="shared" ca="1" si="7"/>
        <v>0.77626895185846323</v>
      </c>
      <c r="L54" s="2">
        <f t="shared" ca="1" si="8"/>
        <v>0.9552103044817124</v>
      </c>
      <c r="M54">
        <f t="shared" ca="1" si="9"/>
        <v>0.94626800208305362</v>
      </c>
      <c r="N54">
        <f t="shared" ca="1" si="10"/>
        <v>0.94472052191837064</v>
      </c>
      <c r="O54">
        <f t="shared" ca="1" si="11"/>
        <v>0.94500862009532782</v>
      </c>
      <c r="P54" s="4">
        <f t="shared" si="20"/>
        <v>1</v>
      </c>
      <c r="Q54" s="2">
        <f t="shared" ca="1" si="12"/>
        <v>3.8775664052000001</v>
      </c>
      <c r="R54">
        <f t="shared" ca="1" si="13"/>
        <v>4.5823748628000001</v>
      </c>
      <c r="S54">
        <f t="shared" ca="1" si="14"/>
        <v>5.5229449753000006</v>
      </c>
      <c r="T54">
        <f t="shared" ca="1" si="15"/>
        <v>5.6866139231000048</v>
      </c>
      <c r="U54">
        <f t="shared" ca="1" si="16"/>
        <v>5.6561229735999907</v>
      </c>
      <c r="V54" s="2">
        <f t="shared" ca="1" si="24"/>
        <v>8.6788107182000029</v>
      </c>
      <c r="W54" s="2">
        <f t="shared" ca="1" si="24"/>
        <v>10.13553592270001</v>
      </c>
      <c r="X54" s="2">
        <f t="shared" ca="1" si="24"/>
        <v>10.839021423900002</v>
      </c>
      <c r="Y54" s="2">
        <f t="shared" ca="1" si="24"/>
        <v>11.098199172599985</v>
      </c>
      <c r="Z54" s="2">
        <f t="shared" ca="1" si="25"/>
        <v>2.2849849075000028</v>
      </c>
      <c r="AA54" s="2">
        <f t="shared" ca="1" si="25"/>
        <v>3.7417101120000096</v>
      </c>
      <c r="AB54" s="2">
        <f t="shared" ca="1" si="25"/>
        <v>4.4451956132000019</v>
      </c>
      <c r="AC54" s="2">
        <f t="shared" ca="1" si="25"/>
        <v>4.704373361899985</v>
      </c>
      <c r="AD54" s="2">
        <f t="shared" ca="1" si="22"/>
        <v>3.7940659986499998</v>
      </c>
      <c r="AE54" s="2">
        <f t="array" aca="1" ref="AE54" ca="1">MMULT(P54:U54,$AL$5:$AL$10)</f>
        <v>1.9412538965704997</v>
      </c>
    </row>
    <row r="55" spans="1:31" x14ac:dyDescent="0.2">
      <c r="A55">
        <f t="shared" si="19"/>
        <v>200206</v>
      </c>
      <c r="B55">
        <f ca="1">LOOKUP($A55,FBYields!$B$6:$B$7864,FBYields!E$6:E$864)</f>
        <v>1.9411165248</v>
      </c>
      <c r="C55">
        <f ca="1">LOOKUP($A55,FBYields!$B$6:$B$7864,FBYields!F$6:F$864)</f>
        <v>2.8796835102</v>
      </c>
      <c r="D55">
        <f ca="1">LOOKUP($A55,FBYields!$B$6:$B$7864,FBYields!G$6:G$864)</f>
        <v>3.4588667960000001</v>
      </c>
      <c r="E55">
        <f ca="1">LOOKUP($A55,FBYields!$B$6:$B$7864,FBYields!H$6:H$864)</f>
        <v>3.8610320304000001</v>
      </c>
      <c r="F55">
        <f ca="1">LOOKUP($A55,FBYields!$B$6:$B$7864,FBYields!I$6:I$864)</f>
        <v>4.1473745747999997</v>
      </c>
      <c r="G55" s="2">
        <f t="shared" ca="1" si="3"/>
        <v>0.98077601831318273</v>
      </c>
      <c r="H55">
        <f t="shared" ca="1" si="4"/>
        <v>0.9440334584381328</v>
      </c>
      <c r="I55">
        <f t="shared" ca="1" si="5"/>
        <v>0.90143620531889967</v>
      </c>
      <c r="J55">
        <f t="shared" ca="1" si="6"/>
        <v>0.85689380642721602</v>
      </c>
      <c r="K55">
        <f t="shared" ca="1" si="7"/>
        <v>0.81271992153907835</v>
      </c>
      <c r="L55" s="2">
        <f t="shared" ca="1" si="8"/>
        <v>0.96253725704035598</v>
      </c>
      <c r="M55">
        <f t="shared" ca="1" si="9"/>
        <v>0.95487739047966724</v>
      </c>
      <c r="N55">
        <f t="shared" ca="1" si="10"/>
        <v>0.95058729766026429</v>
      </c>
      <c r="O55">
        <f t="shared" ca="1" si="11"/>
        <v>0.94844882229652361</v>
      </c>
      <c r="P55" s="4">
        <f t="shared" si="20"/>
        <v>1</v>
      </c>
      <c r="Q55" s="2">
        <f t="shared" ca="1" si="12"/>
        <v>1.9411165248</v>
      </c>
      <c r="R55">
        <f t="shared" ca="1" si="13"/>
        <v>3.8182504955999943</v>
      </c>
      <c r="S55">
        <f t="shared" ca="1" si="14"/>
        <v>4.6172333676000088</v>
      </c>
      <c r="T55">
        <f t="shared" ca="1" si="15"/>
        <v>5.0675277335999951</v>
      </c>
      <c r="U55">
        <f t="shared" ca="1" si="16"/>
        <v>5.2927447524000097</v>
      </c>
      <c r="V55" s="2">
        <f t="shared" ca="1" si="24"/>
        <v>6.5188247432000077</v>
      </c>
      <c r="W55" s="2">
        <f t="shared" ca="1" si="24"/>
        <v>8.2235192229000038</v>
      </c>
      <c r="X55" s="2">
        <f t="shared" ca="1" si="24"/>
        <v>9.2928997783999954</v>
      </c>
      <c r="Y55" s="2">
        <f t="shared" ca="1" si="24"/>
        <v>9.8814950183999954</v>
      </c>
      <c r="Z55" s="2">
        <f t="shared" ca="1" si="25"/>
        <v>2.6412583380000076</v>
      </c>
      <c r="AA55" s="2">
        <f t="shared" ca="1" si="25"/>
        <v>4.3459528177000042</v>
      </c>
      <c r="AB55" s="2">
        <f t="shared" ca="1" si="25"/>
        <v>5.4153333731999957</v>
      </c>
      <c r="AC55" s="2">
        <f t="shared" ca="1" si="25"/>
        <v>6.0039286131999958</v>
      </c>
      <c r="AD55" s="2">
        <f t="shared" ca="1" si="22"/>
        <v>4.6016182855250012</v>
      </c>
      <c r="AE55" s="2">
        <f t="array" aca="1" ref="AE55" ca="1">MMULT(P55:U55,$AL$5:$AL$10)</f>
        <v>3.2840341152752623</v>
      </c>
    </row>
    <row r="56" spans="1:31" x14ac:dyDescent="0.2">
      <c r="A56">
        <f t="shared" si="19"/>
        <v>200306</v>
      </c>
      <c r="B56">
        <f ca="1">LOOKUP($A56,FBYields!$B$6:$B$7864,FBYields!E$6:E$864)</f>
        <v>1.0393215968</v>
      </c>
      <c r="C56">
        <f ca="1">LOOKUP($A56,FBYields!$B$6:$B$7864,FBYields!F$6:F$864)</f>
        <v>1.2994811606000001</v>
      </c>
      <c r="D56">
        <f ca="1">LOOKUP($A56,FBYields!$B$6:$B$7864,FBYields!G$6:G$864)</f>
        <v>1.6997417320999999</v>
      </c>
      <c r="E56">
        <f ca="1">LOOKUP($A56,FBYields!$B$6:$B$7864,FBYields!H$6:H$864)</f>
        <v>2.1143618292999999</v>
      </c>
      <c r="F56">
        <f ca="1">LOOKUP($A56,FBYields!$B$6:$B$7864,FBYields!I$6:I$864)</f>
        <v>2.5001047975000001</v>
      </c>
      <c r="G56" s="2">
        <f t="shared" ca="1" si="3"/>
        <v>0.98966060687554824</v>
      </c>
      <c r="H56">
        <f t="shared" ca="1" si="4"/>
        <v>0.97434520012987247</v>
      </c>
      <c r="I56">
        <f t="shared" ca="1" si="5"/>
        <v>0.95028603335525019</v>
      </c>
      <c r="J56">
        <f t="shared" ca="1" si="6"/>
        <v>0.91890321919103923</v>
      </c>
      <c r="K56">
        <f t="shared" ca="1" si="7"/>
        <v>0.88249227842325295</v>
      </c>
      <c r="L56" s="2">
        <f t="shared" ca="1" si="8"/>
        <v>0.98452458687425382</v>
      </c>
      <c r="M56">
        <f t="shared" ca="1" si="9"/>
        <v>0.97530734818479592</v>
      </c>
      <c r="N56">
        <f t="shared" ca="1" si="10"/>
        <v>0.9669754020761463</v>
      </c>
      <c r="O56">
        <f t="shared" ca="1" si="11"/>
        <v>0.96037565218256515</v>
      </c>
      <c r="P56" s="4">
        <f t="shared" si="20"/>
        <v>1</v>
      </c>
      <c r="Q56" s="2">
        <f t="shared" ca="1" si="12"/>
        <v>1.0393215968</v>
      </c>
      <c r="R56">
        <f t="shared" ca="1" si="13"/>
        <v>1.5596407244000003</v>
      </c>
      <c r="S56">
        <f t="shared" ca="1" si="14"/>
        <v>2.5002628751000051</v>
      </c>
      <c r="T56">
        <f t="shared" ca="1" si="15"/>
        <v>3.3582221209000007</v>
      </c>
      <c r="U56">
        <f t="shared" ca="1" si="16"/>
        <v>4.0430766703000067</v>
      </c>
      <c r="V56" s="2">
        <f t="shared" ca="1" si="24"/>
        <v>4.7200454235999914</v>
      </c>
      <c r="W56" s="2">
        <f t="shared" ca="1" si="24"/>
        <v>7.7776380668000078</v>
      </c>
      <c r="X56" s="2">
        <f t="shared" ca="1" si="24"/>
        <v>10.344902925299991</v>
      </c>
      <c r="Y56" s="2">
        <f t="shared" ca="1" si="24"/>
        <v>12.279425556800003</v>
      </c>
      <c r="Z56" s="2">
        <f t="shared" ref="Z56:AC70" ca="1" si="26">V56-$B55</f>
        <v>2.7789288987999914</v>
      </c>
      <c r="AA56" s="2">
        <f t="shared" ca="1" si="26"/>
        <v>5.8365215420000078</v>
      </c>
      <c r="AB56" s="2">
        <f t="shared" ca="1" si="26"/>
        <v>8.4037864004999907</v>
      </c>
      <c r="AC56" s="2">
        <f t="shared" ca="1" si="26"/>
        <v>10.338309032000003</v>
      </c>
      <c r="AD56" s="2">
        <f t="shared" ca="1" si="22"/>
        <v>6.8393864683249994</v>
      </c>
      <c r="AE56" s="2">
        <f t="array" aca="1" ref="AE56" ca="1">MMULT(P56:U56,$AL$5:$AL$10)</f>
        <v>1.0464206928159767</v>
      </c>
    </row>
    <row r="57" spans="1:31" x14ac:dyDescent="0.2">
      <c r="A57">
        <f t="shared" si="19"/>
        <v>200406</v>
      </c>
      <c r="B57">
        <f ca="1">LOOKUP($A57,FBYields!$B$6:$B$7864,FBYields!E$6:E$864)</f>
        <v>2.0120815507000001</v>
      </c>
      <c r="C57">
        <f ca="1">LOOKUP($A57,FBYields!$B$6:$B$7864,FBYields!F$6:F$864)</f>
        <v>2.6724470049</v>
      </c>
      <c r="D57">
        <f ca="1">LOOKUP($A57,FBYields!$B$6:$B$7864,FBYields!G$6:G$864)</f>
        <v>3.1600009697</v>
      </c>
      <c r="E57">
        <f ca="1">LOOKUP($A57,FBYields!$B$6:$B$7864,FBYields!H$6:H$864)</f>
        <v>3.5037160346</v>
      </c>
      <c r="F57">
        <f ca="1">LOOKUP($A57,FBYields!$B$6:$B$7864,FBYields!I$6:I$864)</f>
        <v>3.8109805841000002</v>
      </c>
      <c r="G57" s="2">
        <f t="shared" ca="1" si="3"/>
        <v>0.98008025726047043</v>
      </c>
      <c r="H57">
        <f t="shared" ca="1" si="4"/>
        <v>0.94795434222392627</v>
      </c>
      <c r="I57">
        <f t="shared" ca="1" si="5"/>
        <v>0.90955480078393725</v>
      </c>
      <c r="J57">
        <f t="shared" ca="1" si="6"/>
        <v>0.86922902239094246</v>
      </c>
      <c r="K57">
        <f t="shared" ca="1" si="7"/>
        <v>0.82650523384109376</v>
      </c>
      <c r="L57" s="2">
        <f t="shared" ca="1" si="8"/>
        <v>0.96722113847457469</v>
      </c>
      <c r="M57">
        <f t="shared" ca="1" si="9"/>
        <v>0.95949220365413102</v>
      </c>
      <c r="N57">
        <f t="shared" ca="1" si="10"/>
        <v>0.95566426744354671</v>
      </c>
      <c r="O57">
        <f t="shared" ca="1" si="11"/>
        <v>0.95084864005998027</v>
      </c>
      <c r="P57" s="4">
        <f t="shared" si="20"/>
        <v>1</v>
      </c>
      <c r="Q57" s="2">
        <f t="shared" ca="1" si="12"/>
        <v>2.0120815507000001</v>
      </c>
      <c r="R57">
        <f t="shared" ca="1" si="13"/>
        <v>3.3328124591000061</v>
      </c>
      <c r="S57">
        <f t="shared" ca="1" si="14"/>
        <v>4.1351088992999925</v>
      </c>
      <c r="T57">
        <f t="shared" ca="1" si="15"/>
        <v>4.5348612292999979</v>
      </c>
      <c r="U57">
        <f t="shared" ca="1" si="16"/>
        <v>5.0400387821000043</v>
      </c>
      <c r="V57" s="2">
        <f t="shared" ca="1" si="24"/>
        <v>0.58688077050000664</v>
      </c>
      <c r="W57" s="2">
        <f t="shared" ca="1" si="24"/>
        <v>-0.2456688134999985</v>
      </c>
      <c r="X57" s="2">
        <f t="shared" ca="1" si="24"/>
        <v>-1.0225555918999942</v>
      </c>
      <c r="Y57" s="2">
        <f t="shared" ca="1" si="24"/>
        <v>-1.514340150899993</v>
      </c>
      <c r="Z57" s="2">
        <f t="shared" ca="1" si="26"/>
        <v>-0.45244082629999338</v>
      </c>
      <c r="AA57" s="2">
        <f t="shared" ca="1" si="26"/>
        <v>-1.2849904102999985</v>
      </c>
      <c r="AB57" s="2">
        <f t="shared" ca="1" si="26"/>
        <v>-2.0618771886999943</v>
      </c>
      <c r="AC57" s="2">
        <f t="shared" ca="1" si="26"/>
        <v>-2.553661747699993</v>
      </c>
      <c r="AD57" s="2">
        <f t="shared" ca="1" si="22"/>
        <v>-1.5882425432499949</v>
      </c>
      <c r="AE57" s="2">
        <f t="array" aca="1" ref="AE57" ca="1">MMULT(P57:U57,$AL$5:$AL$10)</f>
        <v>2.4359934981666731</v>
      </c>
    </row>
    <row r="58" spans="1:31" x14ac:dyDescent="0.2">
      <c r="A58">
        <f t="shared" si="19"/>
        <v>200506</v>
      </c>
      <c r="B58">
        <f ca="1">LOOKUP($A58,FBYields!$B$6:$B$7864,FBYields!E$6:E$864)</f>
        <v>3.4902132023000001</v>
      </c>
      <c r="C58">
        <f ca="1">LOOKUP($A58,FBYields!$B$6:$B$7864,FBYields!F$6:F$864)</f>
        <v>3.6032096802</v>
      </c>
      <c r="D58">
        <f ca="1">LOOKUP($A58,FBYields!$B$6:$B$7864,FBYields!G$6:G$864)</f>
        <v>3.6160055043999999</v>
      </c>
      <c r="E58">
        <f ca="1">LOOKUP($A58,FBYields!$B$6:$B$7864,FBYields!H$6:H$864)</f>
        <v>3.6562254568000001</v>
      </c>
      <c r="F58">
        <f ca="1">LOOKUP($A58,FBYields!$B$6:$B$7864,FBYields!I$6:I$864)</f>
        <v>3.6725983520000001</v>
      </c>
      <c r="G58" s="2">
        <f t="shared" ca="1" si="3"/>
        <v>0.96569992273073912</v>
      </c>
      <c r="H58">
        <f t="shared" ca="1" si="4"/>
        <v>0.93047116359660387</v>
      </c>
      <c r="I58">
        <f t="shared" ca="1" si="5"/>
        <v>0.89719669041840822</v>
      </c>
      <c r="J58">
        <f t="shared" ca="1" si="6"/>
        <v>0.86394253891768902</v>
      </c>
      <c r="K58">
        <f t="shared" ca="1" si="7"/>
        <v>0.83224374560399916</v>
      </c>
      <c r="L58" s="2">
        <f t="shared" ca="1" si="8"/>
        <v>0.96351997312527704</v>
      </c>
      <c r="M58">
        <f t="shared" ca="1" si="9"/>
        <v>0.96423911403167195</v>
      </c>
      <c r="N58">
        <f t="shared" ca="1" si="10"/>
        <v>0.96293549468488215</v>
      </c>
      <c r="O58">
        <f t="shared" ca="1" si="11"/>
        <v>0.96330914165495218</v>
      </c>
      <c r="P58" s="4">
        <f t="shared" si="20"/>
        <v>1</v>
      </c>
      <c r="Q58" s="2">
        <f t="shared" ca="1" si="12"/>
        <v>3.4902132023000001</v>
      </c>
      <c r="R58">
        <f t="shared" ca="1" si="13"/>
        <v>3.7162061581000003</v>
      </c>
      <c r="S58">
        <f t="shared" ca="1" si="14"/>
        <v>3.6415971527999997</v>
      </c>
      <c r="T58">
        <f t="shared" ca="1" si="15"/>
        <v>3.776885314000014</v>
      </c>
      <c r="U58">
        <f t="shared" ca="1" si="16"/>
        <v>3.738089932799999</v>
      </c>
      <c r="V58" s="2">
        <f t="shared" ca="1" si="24"/>
        <v>1.8546808075000105</v>
      </c>
      <c r="W58" s="2">
        <f t="shared" ca="1" si="24"/>
        <v>2.2735835486999991</v>
      </c>
      <c r="X58" s="2">
        <f t="shared" ca="1" si="24"/>
        <v>3.166847625199992</v>
      </c>
      <c r="Y58" s="2">
        <f t="shared" ca="1" si="24"/>
        <v>4.4300010933000049</v>
      </c>
      <c r="Z58" s="2">
        <f t="shared" ca="1" si="26"/>
        <v>-0.15740074319998953</v>
      </c>
      <c r="AA58" s="2">
        <f t="shared" ca="1" si="26"/>
        <v>0.26150199799999907</v>
      </c>
      <c r="AB58" s="2">
        <f t="shared" ca="1" si="26"/>
        <v>1.1547660744999919</v>
      </c>
      <c r="AC58" s="2">
        <f t="shared" ca="1" si="26"/>
        <v>2.4179195426000049</v>
      </c>
      <c r="AD58" s="2">
        <f t="shared" ca="1" si="22"/>
        <v>0.91919671797500158</v>
      </c>
      <c r="AE58" s="2">
        <f t="array" aca="1" ref="AE58" ca="1">MMULT(P58:U58,$AL$5:$AL$10)</f>
        <v>-0.15809010126514955</v>
      </c>
    </row>
    <row r="59" spans="1:31" x14ac:dyDescent="0.2">
      <c r="A59">
        <f t="shared" si="19"/>
        <v>200606</v>
      </c>
      <c r="B59">
        <f ca="1">LOOKUP($A59,FBYields!$B$6:$B$7864,FBYields!E$6:E$864)</f>
        <v>5.2057990605000004</v>
      </c>
      <c r="C59">
        <f ca="1">LOOKUP($A59,FBYields!$B$6:$B$7864,FBYields!F$6:F$864)</f>
        <v>5.0786443404000003</v>
      </c>
      <c r="D59">
        <f ca="1">LOOKUP($A59,FBYields!$B$6:$B$7864,FBYields!G$6:G$864)</f>
        <v>5.0498707841000003</v>
      </c>
      <c r="E59">
        <f ca="1">LOOKUP($A59,FBYields!$B$6:$B$7864,FBYields!H$6:H$864)</f>
        <v>5.0170831973999999</v>
      </c>
      <c r="F59">
        <f ca="1">LOOKUP($A59,FBYields!$B$6:$B$7864,FBYields!I$6:I$864)</f>
        <v>5.0257416389999996</v>
      </c>
      <c r="G59" s="2">
        <f t="shared" ca="1" si="3"/>
        <v>0.94927381628378038</v>
      </c>
      <c r="H59">
        <f t="shared" ca="1" si="4"/>
        <v>0.90341532988277795</v>
      </c>
      <c r="I59">
        <f t="shared" ca="1" si="5"/>
        <v>0.85942121379303826</v>
      </c>
      <c r="J59">
        <f t="shared" ca="1" si="6"/>
        <v>0.81817148261940542</v>
      </c>
      <c r="K59">
        <f t="shared" ca="1" si="7"/>
        <v>0.7777990474370825</v>
      </c>
      <c r="L59" s="2">
        <f t="shared" ca="1" si="8"/>
        <v>0.95169098144882014</v>
      </c>
      <c r="M59">
        <f t="shared" ca="1" si="9"/>
        <v>0.95130244679880727</v>
      </c>
      <c r="N59">
        <f t="shared" ca="1" si="10"/>
        <v>0.95200289391091708</v>
      </c>
      <c r="O59">
        <f t="shared" ca="1" si="11"/>
        <v>0.95065528921508102</v>
      </c>
      <c r="P59" s="4">
        <f t="shared" si="20"/>
        <v>1</v>
      </c>
      <c r="Q59" s="2">
        <f t="shared" ca="1" si="12"/>
        <v>5.2057990605000004</v>
      </c>
      <c r="R59">
        <f t="shared" ca="1" si="13"/>
        <v>4.9514896202999967</v>
      </c>
      <c r="S59">
        <f t="shared" ca="1" si="14"/>
        <v>4.9923236714999959</v>
      </c>
      <c r="T59">
        <f t="shared" ca="1" si="15"/>
        <v>4.9187204373000091</v>
      </c>
      <c r="U59">
        <f t="shared" ca="1" si="16"/>
        <v>5.0603754053999976</v>
      </c>
      <c r="V59" s="2">
        <f t="shared" ca="1" si="24"/>
        <v>2.0006202998999822</v>
      </c>
      <c r="W59" s="2">
        <f t="shared" ca="1" si="24"/>
        <v>0.6907278323999948</v>
      </c>
      <c r="X59" s="2">
        <f t="shared" ca="1" si="24"/>
        <v>-0.52471052509999117</v>
      </c>
      <c r="Y59" s="2">
        <f t="shared" ca="1" si="24"/>
        <v>-1.7053410296000038</v>
      </c>
      <c r="Z59" s="2">
        <f t="shared" ca="1" si="26"/>
        <v>-1.4895929024000178</v>
      </c>
      <c r="AA59" s="2">
        <f t="shared" ca="1" si="26"/>
        <v>-2.7994853699000055</v>
      </c>
      <c r="AB59" s="2">
        <f t="shared" ca="1" si="26"/>
        <v>-4.0149237273999914</v>
      </c>
      <c r="AC59" s="2">
        <f t="shared" ca="1" si="26"/>
        <v>-5.1955542319000036</v>
      </c>
      <c r="AD59" s="2">
        <f t="shared" ca="1" si="22"/>
        <v>-3.3748890579000044</v>
      </c>
      <c r="AE59" s="2">
        <f t="array" aca="1" ref="AE59" ca="1">MMULT(P59:U59,$AL$5:$AL$10)</f>
        <v>-0.41871844252752266</v>
      </c>
    </row>
    <row r="60" spans="1:31" x14ac:dyDescent="0.2">
      <c r="A60">
        <f t="shared" si="19"/>
        <v>200706</v>
      </c>
      <c r="B60">
        <f ca="1">LOOKUP($A60,FBYields!$B$6:$B$7864,FBYields!E$6:E$864)</f>
        <v>4.9368566732000003</v>
      </c>
      <c r="C60">
        <f ca="1">LOOKUP($A60,FBYields!$B$6:$B$7864,FBYields!F$6:F$864)</f>
        <v>4.7772169326</v>
      </c>
      <c r="D60">
        <f ca="1">LOOKUP($A60,FBYields!$B$6:$B$7864,FBYields!G$6:G$864)</f>
        <v>4.7998181180000001</v>
      </c>
      <c r="E60">
        <f ca="1">LOOKUP($A60,FBYields!$B$6:$B$7864,FBYields!H$6:H$864)</f>
        <v>4.8418039054999999</v>
      </c>
      <c r="F60">
        <f ca="1">LOOKUP($A60,FBYields!$B$6:$B$7864,FBYields!I$6:I$864)</f>
        <v>4.8568345679</v>
      </c>
      <c r="G60" s="2">
        <f t="shared" ca="1" si="3"/>
        <v>0.95183025207614114</v>
      </c>
      <c r="H60">
        <f t="shared" ca="1" si="4"/>
        <v>0.90887806233215285</v>
      </c>
      <c r="I60">
        <f t="shared" ca="1" si="5"/>
        <v>0.86589247275395687</v>
      </c>
      <c r="J60">
        <f t="shared" ca="1" si="6"/>
        <v>0.82392797965818843</v>
      </c>
      <c r="K60">
        <f t="shared" ca="1" si="7"/>
        <v>0.78439565150627699</v>
      </c>
      <c r="L60" s="2">
        <f t="shared" ca="1" si="8"/>
        <v>0.95487410738385281</v>
      </c>
      <c r="M60">
        <f t="shared" ca="1" si="9"/>
        <v>0.9527047781658452</v>
      </c>
      <c r="N60">
        <f t="shared" ca="1" si="10"/>
        <v>0.95153613824323813</v>
      </c>
      <c r="O60">
        <f t="shared" ca="1" si="11"/>
        <v>0.9520196799624262</v>
      </c>
      <c r="P60" s="4">
        <f t="shared" si="20"/>
        <v>1</v>
      </c>
      <c r="Q60" s="2">
        <f t="shared" ca="1" si="12"/>
        <v>4.9368566732000003</v>
      </c>
      <c r="R60">
        <f t="shared" ca="1" si="13"/>
        <v>4.6175771920000006</v>
      </c>
      <c r="S60">
        <f t="shared" ca="1" si="14"/>
        <v>4.8450204887999924</v>
      </c>
      <c r="T60">
        <f t="shared" ca="1" si="15"/>
        <v>4.9677612680000056</v>
      </c>
      <c r="U60">
        <f t="shared" ca="1" si="16"/>
        <v>4.9169572175000047</v>
      </c>
      <c r="V60" s="2">
        <f t="shared" ca="1" si="24"/>
        <v>5.2204320075999977</v>
      </c>
      <c r="W60" s="2">
        <f t="shared" ca="1" si="24"/>
        <v>5.5951784870999974</v>
      </c>
      <c r="X60" s="2">
        <f t="shared" ca="1" si="24"/>
        <v>5.6688784356000044</v>
      </c>
      <c r="Y60" s="2">
        <f t="shared" ca="1" si="24"/>
        <v>5.7614925730000053</v>
      </c>
      <c r="Z60" s="2">
        <f t="shared" ca="1" si="26"/>
        <v>1.4632947099997295E-2</v>
      </c>
      <c r="AA60" s="2">
        <f t="shared" ca="1" si="26"/>
        <v>0.38937942659999702</v>
      </c>
      <c r="AB60" s="2">
        <f t="shared" ca="1" si="26"/>
        <v>0.46307937510000396</v>
      </c>
      <c r="AC60" s="2">
        <f t="shared" ca="1" si="26"/>
        <v>0.55569351250000487</v>
      </c>
      <c r="AD60" s="2">
        <f t="shared" ca="1" si="22"/>
        <v>0.35569631532500079</v>
      </c>
      <c r="AE60" s="2">
        <f t="array" aca="1" ref="AE60" ca="1">MMULT(P60:U60,$AL$5:$AL$10)</f>
        <v>-0.40555644550510384</v>
      </c>
    </row>
    <row r="61" spans="1:31" x14ac:dyDescent="0.2">
      <c r="A61">
        <f t="shared" si="19"/>
        <v>200806</v>
      </c>
      <c r="B61">
        <f ca="1">LOOKUP($A61,FBYields!$B$6:$B$7864,FBYields!E$6:E$864)</f>
        <v>2.3663637174000001</v>
      </c>
      <c r="C61">
        <f ca="1">LOOKUP($A61,FBYields!$B$6:$B$7864,FBYields!F$6:F$864)</f>
        <v>2.6054190932000001</v>
      </c>
      <c r="D61">
        <f ca="1">LOOKUP($A61,FBYields!$B$6:$B$7864,FBYields!G$6:G$864)</f>
        <v>2.9092721948000002</v>
      </c>
      <c r="E61">
        <f ca="1">LOOKUP($A61,FBYields!$B$6:$B$7864,FBYields!H$6:H$864)</f>
        <v>3.1882868310000001</v>
      </c>
      <c r="F61">
        <f ca="1">LOOKUP($A61,FBYields!$B$6:$B$7864,FBYields!I$6:I$864)</f>
        <v>3.3302158083000002</v>
      </c>
      <c r="G61" s="2">
        <f t="shared" ca="1" si="3"/>
        <v>0.9766141512128782</v>
      </c>
      <c r="H61">
        <f t="shared" ca="1" si="4"/>
        <v>0.94922598238625744</v>
      </c>
      <c r="I61">
        <f t="shared" ca="1" si="5"/>
        <v>0.91642214283639389</v>
      </c>
      <c r="J61">
        <f t="shared" ca="1" si="6"/>
        <v>0.88026571058426339</v>
      </c>
      <c r="K61">
        <f t="shared" ca="1" si="7"/>
        <v>0.84661368157318373</v>
      </c>
      <c r="L61" s="2">
        <f t="shared" ca="1" si="8"/>
        <v>0.9719559983923981</v>
      </c>
      <c r="M61">
        <f t="shared" ca="1" si="9"/>
        <v>0.96544148584365752</v>
      </c>
      <c r="N61">
        <f t="shared" ca="1" si="10"/>
        <v>0.96054609490313747</v>
      </c>
      <c r="O61">
        <f t="shared" ca="1" si="11"/>
        <v>0.96177060107368761</v>
      </c>
      <c r="P61" s="4">
        <f t="shared" si="20"/>
        <v>1</v>
      </c>
      <c r="Q61" s="2">
        <f t="shared" ca="1" si="12"/>
        <v>2.3663637174000001</v>
      </c>
      <c r="R61">
        <f t="shared" ca="1" si="13"/>
        <v>2.8444744689999935</v>
      </c>
      <c r="S61">
        <f t="shared" ca="1" si="14"/>
        <v>3.5169783980000049</v>
      </c>
      <c r="T61">
        <f t="shared" ca="1" si="15"/>
        <v>4.0253307395999984</v>
      </c>
      <c r="U61">
        <f t="shared" ca="1" si="16"/>
        <v>3.8979317174999926</v>
      </c>
      <c r="V61" s="2">
        <f t="shared" ca="1" si="24"/>
        <v>7.1880701477999898</v>
      </c>
      <c r="W61" s="2">
        <f t="shared" ca="1" si="24"/>
        <v>9.1886161675999887</v>
      </c>
      <c r="X61" s="2">
        <f t="shared" ca="1" si="24"/>
        <v>10.639399037600006</v>
      </c>
      <c r="Y61" s="2">
        <f t="shared" ca="1" si="24"/>
        <v>11.531025515499998</v>
      </c>
      <c r="Z61" s="2">
        <f t="shared" ca="1" si="26"/>
        <v>2.2512134745999894</v>
      </c>
      <c r="AA61" s="2">
        <f t="shared" ca="1" si="26"/>
        <v>4.2517594943999883</v>
      </c>
      <c r="AB61" s="2">
        <f t="shared" ca="1" si="26"/>
        <v>5.7025423644000055</v>
      </c>
      <c r="AC61" s="2">
        <f t="shared" ca="1" si="26"/>
        <v>6.5941688422999976</v>
      </c>
      <c r="AD61" s="2">
        <f t="shared" ca="1" si="22"/>
        <v>4.699921043924995</v>
      </c>
      <c r="AE61" s="2">
        <f t="array" aca="1" ref="AE61" ca="1">MMULT(P61:U61,$AL$5:$AL$10)</f>
        <v>0.87983125472918211</v>
      </c>
    </row>
    <row r="62" spans="1:31" x14ac:dyDescent="0.2">
      <c r="A62">
        <f t="shared" si="19"/>
        <v>200906</v>
      </c>
      <c r="B62">
        <f ca="1">LOOKUP($A62,FBYields!$B$6:$B$7864,FBYields!E$6:E$864)</f>
        <v>0.55132412099999994</v>
      </c>
      <c r="C62">
        <f ca="1">LOOKUP($A62,FBYields!$B$6:$B$7864,FBYields!F$6:F$864)</f>
        <v>1.127063755</v>
      </c>
      <c r="D62">
        <f ca="1">LOOKUP($A62,FBYields!$B$6:$B$7864,FBYields!G$6:G$864)</f>
        <v>1.6141689012</v>
      </c>
      <c r="E62">
        <f ca="1">LOOKUP($A62,FBYields!$B$6:$B$7864,FBYields!H$6:H$864)</f>
        <v>2.1725830196999998</v>
      </c>
      <c r="F62">
        <f ca="1">LOOKUP($A62,FBYields!$B$6:$B$7864,FBYields!I$6:I$864)</f>
        <v>2.5902186006000001</v>
      </c>
      <c r="G62" s="2">
        <f t="shared" ca="1" si="3"/>
        <v>0.99450192881285104</v>
      </c>
      <c r="H62">
        <f t="shared" ca="1" si="4"/>
        <v>0.97771088124609973</v>
      </c>
      <c r="I62">
        <f t="shared" ca="1" si="5"/>
        <v>0.95272872741857351</v>
      </c>
      <c r="J62">
        <f t="shared" ca="1" si="6"/>
        <v>0.91676572353658548</v>
      </c>
      <c r="K62">
        <f t="shared" ca="1" si="7"/>
        <v>0.87852498605931606</v>
      </c>
      <c r="L62" s="2">
        <f t="shared" ca="1" si="8"/>
        <v>0.98311612367932255</v>
      </c>
      <c r="M62">
        <f t="shared" ca="1" si="9"/>
        <v>0.97444832178231844</v>
      </c>
      <c r="N62">
        <f t="shared" ca="1" si="10"/>
        <v>0.9622526298966233</v>
      </c>
      <c r="O62">
        <f t="shared" ca="1" si="11"/>
        <v>0.95828733939817357</v>
      </c>
      <c r="P62" s="4">
        <f t="shared" si="20"/>
        <v>1</v>
      </c>
      <c r="Q62" s="2">
        <f t="shared" ca="1" si="12"/>
        <v>0.55132412099999994</v>
      </c>
      <c r="R62">
        <f t="shared" ca="1" si="13"/>
        <v>1.7028033890000036</v>
      </c>
      <c r="S62">
        <f t="shared" ca="1" si="14"/>
        <v>2.5883791935999998</v>
      </c>
      <c r="T62">
        <f t="shared" ca="1" si="15"/>
        <v>3.8478253751999958</v>
      </c>
      <c r="U62">
        <f t="shared" ca="1" si="16"/>
        <v>4.2607609242000093</v>
      </c>
      <c r="V62" s="2">
        <f t="shared" ca="1" si="24"/>
        <v>4.659514065399998</v>
      </c>
      <c r="W62" s="2">
        <f t="shared" ca="1" si="24"/>
        <v>6.473689074400002</v>
      </c>
      <c r="X62" s="2">
        <f t="shared" ca="1" si="24"/>
        <v>7.9106406204000059</v>
      </c>
      <c r="Y62" s="2">
        <f t="shared" ca="1" si="24"/>
        <v>7.9607469627000063</v>
      </c>
      <c r="Z62" s="2">
        <f t="shared" ca="1" si="26"/>
        <v>2.293150347999998</v>
      </c>
      <c r="AA62" s="2">
        <f t="shared" ca="1" si="26"/>
        <v>4.1073253570000023</v>
      </c>
      <c r="AB62" s="2">
        <f t="shared" ca="1" si="26"/>
        <v>5.5442769030000054</v>
      </c>
      <c r="AC62" s="2">
        <f t="shared" ca="1" si="26"/>
        <v>5.5943832453000066</v>
      </c>
      <c r="AD62" s="2">
        <f t="shared" ca="1" si="22"/>
        <v>4.3847839633250025</v>
      </c>
      <c r="AE62" s="2">
        <f t="array" aca="1" ref="AE62" ca="1">MMULT(P62:U62,$AL$5:$AL$10)</f>
        <v>1.800990467048796</v>
      </c>
    </row>
    <row r="63" spans="1:31" x14ac:dyDescent="0.2">
      <c r="A63">
        <f t="shared" si="19"/>
        <v>201006</v>
      </c>
      <c r="B63">
        <f ca="1">LOOKUP($A63,FBYields!$B$6:$B$7864,FBYields!E$6:E$864)</f>
        <v>0.30717259689999998</v>
      </c>
      <c r="C63">
        <f ca="1">LOOKUP($A63,FBYields!$B$6:$B$7864,FBYields!F$6:F$864)</f>
        <v>0.57094820430000004</v>
      </c>
      <c r="D63">
        <f ca="1">LOOKUP($A63,FBYields!$B$6:$B$7864,FBYields!G$6:G$864)</f>
        <v>0.9449068182</v>
      </c>
      <c r="E63">
        <f ca="1">LOOKUP($A63,FBYields!$B$6:$B$7864,FBYields!H$6:H$864)</f>
        <v>1.4448590399000001</v>
      </c>
      <c r="F63">
        <f ca="1">LOOKUP($A63,FBYields!$B$6:$B$7864,FBYields!I$6:I$864)</f>
        <v>1.7973059712999999</v>
      </c>
      <c r="G63" s="2">
        <f t="shared" ca="1" si="3"/>
        <v>0.99693298695437627</v>
      </c>
      <c r="H63">
        <f t="shared" ca="1" si="4"/>
        <v>0.98864598483287425</v>
      </c>
      <c r="I63">
        <f t="shared" ca="1" si="5"/>
        <v>0.9720508077442267</v>
      </c>
      <c r="J63">
        <f t="shared" ca="1" si="6"/>
        <v>0.94384401805942675</v>
      </c>
      <c r="K63">
        <f t="shared" ca="1" si="7"/>
        <v>0.91405430140514932</v>
      </c>
      <c r="L63" s="2">
        <f t="shared" ca="1" si="8"/>
        <v>0.99168750334280864</v>
      </c>
      <c r="M63">
        <f t="shared" ca="1" si="9"/>
        <v>0.98321423710484912</v>
      </c>
      <c r="N63">
        <f t="shared" ca="1" si="10"/>
        <v>0.97098218584864138</v>
      </c>
      <c r="O63">
        <f t="shared" ca="1" si="11"/>
        <v>0.96843788159453925</v>
      </c>
      <c r="P63" s="4">
        <f t="shared" si="20"/>
        <v>1</v>
      </c>
      <c r="Q63" s="2">
        <f t="shared" ca="1" si="12"/>
        <v>0.30717259689999998</v>
      </c>
      <c r="R63">
        <f t="shared" ca="1" si="13"/>
        <v>0.83472381170000309</v>
      </c>
      <c r="S63">
        <f t="shared" ca="1" si="14"/>
        <v>1.6928240459999939</v>
      </c>
      <c r="T63">
        <f t="shared" ca="1" si="15"/>
        <v>2.9447157050000126</v>
      </c>
      <c r="U63">
        <f t="shared" ca="1" si="16"/>
        <v>3.2070936968999963</v>
      </c>
      <c r="V63" s="2">
        <f t="shared" ca="1" si="24"/>
        <v>1.9469549131000037</v>
      </c>
      <c r="W63" s="2">
        <f t="shared" ca="1" si="24"/>
        <v>3.7006102949999868</v>
      </c>
      <c r="X63" s="2">
        <f t="shared" ca="1" si="24"/>
        <v>5.8556116242000051</v>
      </c>
      <c r="Y63" s="2">
        <f t="shared" ca="1" si="24"/>
        <v>7.1716568433999939</v>
      </c>
      <c r="Z63" s="2">
        <f t="shared" ca="1" si="26"/>
        <v>1.3956307921000037</v>
      </c>
      <c r="AA63" s="2">
        <f t="shared" ca="1" si="26"/>
        <v>3.1492861739999869</v>
      </c>
      <c r="AB63" s="2">
        <f t="shared" ca="1" si="26"/>
        <v>5.3042875032000047</v>
      </c>
      <c r="AC63" s="2">
        <f t="shared" ca="1" si="26"/>
        <v>6.6203327223999935</v>
      </c>
      <c r="AD63" s="2">
        <f t="shared" ca="1" si="22"/>
        <v>4.117384297924997</v>
      </c>
      <c r="AE63" s="2">
        <f t="array" aca="1" ref="AE63" ca="1">MMULT(P63:U63,$AL$5:$AL$10)</f>
        <v>0.69295883499462607</v>
      </c>
    </row>
    <row r="64" spans="1:31" x14ac:dyDescent="0.2">
      <c r="A64">
        <f t="shared" si="19"/>
        <v>201106</v>
      </c>
      <c r="B64">
        <f ca="1">LOOKUP($A64,FBYields!$B$6:$B$7864,FBYields!E$6:E$864)</f>
        <v>0.18817935860000001</v>
      </c>
      <c r="C64">
        <f ca="1">LOOKUP($A64,FBYields!$B$6:$B$7864,FBYields!F$6:F$864)</f>
        <v>0.43943944750000002</v>
      </c>
      <c r="D64">
        <f ca="1">LOOKUP($A64,FBYields!$B$6:$B$7864,FBYields!G$6:G$864)</f>
        <v>0.82045757180000001</v>
      </c>
      <c r="E64">
        <f ca="1">LOOKUP($A64,FBYields!$B$6:$B$7864,FBYields!H$6:H$864)</f>
        <v>1.2922318803999999</v>
      </c>
      <c r="F64">
        <f ca="1">LOOKUP($A64,FBYields!$B$6:$B$7864,FBYields!I$6:I$864)</f>
        <v>1.7712855184</v>
      </c>
      <c r="G64" s="2">
        <f t="shared" ref="G64:G68" ca="1" si="27">EXP(-B64/100*G$5)</f>
        <v>0.99811997587745449</v>
      </c>
      <c r="H64">
        <f t="shared" ref="H64:H68" ca="1" si="28">EXP(-C64/100*H$5)</f>
        <v>0.99124971955864205</v>
      </c>
      <c r="I64">
        <f t="shared" ref="I64:I68" ca="1" si="29">EXP(-D64/100*I$5)</f>
        <v>0.97568672053454575</v>
      </c>
      <c r="J64">
        <f t="shared" ref="J64:J68" ca="1" si="30">EXP(-E64/100*J$5)</f>
        <v>0.94962389268353087</v>
      </c>
      <c r="K64">
        <f t="shared" ref="K64:K68" ca="1" si="31">EXP(-F64/100*K$5)</f>
        <v>0.91524428067717456</v>
      </c>
      <c r="L64" s="2">
        <f t="shared" ref="L64:L68" ca="1" si="32">H64/G64</f>
        <v>0.99311680310498474</v>
      </c>
      <c r="M64">
        <f t="shared" ref="M64:M68" ca="1" si="33">I64/H64</f>
        <v>0.98429961823240086</v>
      </c>
      <c r="N64">
        <f t="shared" ref="N64:N68" ca="1" si="34">J64/I64</f>
        <v>0.97328770874657811</v>
      </c>
      <c r="O64">
        <f t="shared" ref="O64:O68" ca="1" si="35">K64/J64</f>
        <v>0.96379660171649284</v>
      </c>
      <c r="P64" s="4">
        <f t="shared" si="20"/>
        <v>1</v>
      </c>
      <c r="Q64" s="2">
        <f t="shared" ref="Q64:Q68" ca="1" si="36">B64</f>
        <v>0.18817935860000001</v>
      </c>
      <c r="R64">
        <f t="shared" ref="R64:R68" ca="1" si="37">-LN(L64)*100</f>
        <v>0.69069953639999793</v>
      </c>
      <c r="S64">
        <f t="shared" ref="S64:S68" ca="1" si="38">-LN(M64)*100</f>
        <v>1.5824938203999932</v>
      </c>
      <c r="T64">
        <f t="shared" ref="T64:T68" ca="1" si="39">-LN(N64)*100</f>
        <v>2.7075548062000006</v>
      </c>
      <c r="U64">
        <f t="shared" ref="U64:U68" ca="1" si="40">-LN(O64)*100</f>
        <v>3.6875000703999947</v>
      </c>
      <c r="V64" s="2">
        <f t="shared" ca="1" si="24"/>
        <v>0.9537170500000145</v>
      </c>
      <c r="W64" s="2">
        <f t="shared" ca="1" si="24"/>
        <v>1.9558415595999912</v>
      </c>
      <c r="X64" s="2">
        <f t="shared" ca="1" si="24"/>
        <v>3.3180634442000048</v>
      </c>
      <c r="Y64" s="2">
        <f t="shared" ca="1" si="24"/>
        <v>3.8176023348999917</v>
      </c>
      <c r="Z64" s="2">
        <f t="shared" ca="1" si="26"/>
        <v>0.64654445310001452</v>
      </c>
      <c r="AA64" s="2">
        <f t="shared" ca="1" si="26"/>
        <v>1.6486689626999911</v>
      </c>
      <c r="AB64" s="2">
        <f t="shared" ca="1" si="26"/>
        <v>3.0108908473000047</v>
      </c>
      <c r="AC64" s="2">
        <f t="shared" ca="1" si="26"/>
        <v>3.5104297379999916</v>
      </c>
      <c r="AD64" s="2">
        <f t="shared" ca="1" si="22"/>
        <v>2.2041335002750007</v>
      </c>
      <c r="AE64" s="2">
        <f t="array" aca="1" ref="AE64" ca="1">MMULT(P64:U64,$AL$5:$AL$10)</f>
        <v>0.77452183117464113</v>
      </c>
    </row>
    <row r="65" spans="1:31" x14ac:dyDescent="0.2">
      <c r="A65">
        <f t="shared" si="19"/>
        <v>201206</v>
      </c>
      <c r="B65">
        <f ca="1">LOOKUP($A65,FBYields!$B$6:$B$7864,FBYields!E$6:E$864)</f>
        <v>0.2085626904</v>
      </c>
      <c r="C65">
        <f ca="1">LOOKUP($A65,FBYields!$B$6:$B$7864,FBYields!F$6:F$864)</f>
        <v>0.30959412980000001</v>
      </c>
      <c r="D65">
        <f ca="1">LOOKUP($A65,FBYields!$B$6:$B$7864,FBYields!G$6:G$864)</f>
        <v>0.43184108760000001</v>
      </c>
      <c r="E65">
        <f ca="1">LOOKUP($A65,FBYields!$B$6:$B$7864,FBYields!H$6:H$864)</f>
        <v>0.5904328781</v>
      </c>
      <c r="F65">
        <f ca="1">LOOKUP($A65,FBYields!$B$6:$B$7864,FBYields!I$6:I$864)</f>
        <v>0.73771112459999999</v>
      </c>
      <c r="G65" s="2">
        <f t="shared" ca="1" si="27"/>
        <v>0.99791654650455563</v>
      </c>
      <c r="H65">
        <f t="shared" ca="1" si="28"/>
        <v>0.99382724760469077</v>
      </c>
      <c r="I65">
        <f t="shared" ca="1" si="29"/>
        <v>0.98712832517208648</v>
      </c>
      <c r="J65">
        <f t="shared" ca="1" si="30"/>
        <v>0.97665939103021382</v>
      </c>
      <c r="K65">
        <f t="shared" ca="1" si="31"/>
        <v>0.96378642839009721</v>
      </c>
      <c r="L65" s="2">
        <f t="shared" ca="1" si="32"/>
        <v>0.99590216344824767</v>
      </c>
      <c r="M65">
        <f t="shared" ca="1" si="33"/>
        <v>0.99325946994434899</v>
      </c>
      <c r="N65">
        <f t="shared" ca="1" si="34"/>
        <v>0.98939455603196513</v>
      </c>
      <c r="O65">
        <f t="shared" ca="1" si="35"/>
        <v>0.98681939398899576</v>
      </c>
      <c r="P65" s="4">
        <f t="shared" si="20"/>
        <v>1</v>
      </c>
      <c r="Q65" s="2">
        <f t="shared" ca="1" si="36"/>
        <v>0.2085626904</v>
      </c>
      <c r="R65">
        <f t="shared" ca="1" si="37"/>
        <v>0.41062556919999882</v>
      </c>
      <c r="S65">
        <f t="shared" ca="1" si="38"/>
        <v>0.67633500319999529</v>
      </c>
      <c r="T65">
        <f t="shared" ca="1" si="39"/>
        <v>1.0662082496000103</v>
      </c>
      <c r="U65">
        <f t="shared" ca="1" si="40"/>
        <v>1.3268241105999856</v>
      </c>
      <c r="V65" s="2">
        <f t="shared" ca="1" si="24"/>
        <v>0.67031620460000396</v>
      </c>
      <c r="W65" s="2">
        <f t="shared" ca="1" si="24"/>
        <v>1.8421844557999854</v>
      </c>
      <c r="X65" s="2">
        <f t="shared" ca="1" si="24"/>
        <v>3.8734042588000013</v>
      </c>
      <c r="Y65" s="2">
        <f t="shared" ca="1" si="24"/>
        <v>6.49469607959999</v>
      </c>
      <c r="Z65" s="2">
        <f t="shared" ca="1" si="26"/>
        <v>0.48213684600000395</v>
      </c>
      <c r="AA65" s="2">
        <f t="shared" ca="1" si="26"/>
        <v>1.6540050971999853</v>
      </c>
      <c r="AB65" s="2">
        <f t="shared" ca="1" si="26"/>
        <v>3.6852249002000015</v>
      </c>
      <c r="AC65" s="2">
        <f t="shared" ca="1" si="26"/>
        <v>6.3065167209999897</v>
      </c>
      <c r="AD65" s="2">
        <f t="shared" ca="1" si="22"/>
        <v>3.031970891099995</v>
      </c>
      <c r="AE65" s="2">
        <f t="array" aca="1" ref="AE65" ca="1">MMULT(P65:U65,$AL$5:$AL$10)</f>
        <v>-0.40122929944102598</v>
      </c>
    </row>
    <row r="66" spans="1:31" x14ac:dyDescent="0.2">
      <c r="A66">
        <f t="shared" si="19"/>
        <v>201306</v>
      </c>
      <c r="B66">
        <f ca="1">LOOKUP($A66,FBYields!$B$6:$B$7864,FBYields!E$6:E$864)</f>
        <v>0.15539107150000001</v>
      </c>
      <c r="C66">
        <f ca="1">LOOKUP($A66,FBYields!$B$6:$B$7864,FBYields!F$6:F$864)</f>
        <v>0.36416705269999999</v>
      </c>
      <c r="D66">
        <f ca="1">LOOKUP($A66,FBYields!$B$6:$B$7864,FBYields!G$6:G$864)</f>
        <v>0.6930342397</v>
      </c>
      <c r="E66">
        <f ca="1">LOOKUP($A66,FBYields!$B$6:$B$7864,FBYields!H$6:H$864)</f>
        <v>1.0738097043999999</v>
      </c>
      <c r="F66">
        <f ca="1">LOOKUP($A66,FBYields!$B$6:$B$7864,FBYields!I$6:I$864)</f>
        <v>1.4112249730999999</v>
      </c>
      <c r="G66" s="2">
        <f t="shared" ca="1" si="27"/>
        <v>0.9984472959791425</v>
      </c>
      <c r="H66">
        <f t="shared" ca="1" si="28"/>
        <v>0.99274311819823224</v>
      </c>
      <c r="I66">
        <f t="shared" ca="1" si="29"/>
        <v>0.97942361608966855</v>
      </c>
      <c r="J66">
        <f t="shared" ca="1" si="30"/>
        <v>0.95795699906129728</v>
      </c>
      <c r="K66">
        <f t="shared" ca="1" si="31"/>
        <v>0.93187066195317725</v>
      </c>
      <c r="L66" s="2">
        <f t="shared" ca="1" si="32"/>
        <v>0.9942869515457835</v>
      </c>
      <c r="M66">
        <f t="shared" ca="1" si="33"/>
        <v>0.98658313327546632</v>
      </c>
      <c r="N66">
        <f t="shared" ca="1" si="34"/>
        <v>0.97808239797803087</v>
      </c>
      <c r="O66">
        <f t="shared" ca="1" si="35"/>
        <v>0.97276878071387129</v>
      </c>
      <c r="P66" s="4">
        <f t="shared" si="20"/>
        <v>1</v>
      </c>
      <c r="Q66" s="2">
        <f t="shared" ca="1" si="36"/>
        <v>0.15539107150000001</v>
      </c>
      <c r="R66">
        <f t="shared" ca="1" si="37"/>
        <v>0.57294303389999846</v>
      </c>
      <c r="S66">
        <f t="shared" ca="1" si="38"/>
        <v>1.3507686136999957</v>
      </c>
      <c r="T66">
        <f t="shared" ca="1" si="39"/>
        <v>2.2161360984999949</v>
      </c>
      <c r="U66">
        <f t="shared" ca="1" si="40"/>
        <v>2.7608860479000028</v>
      </c>
      <c r="V66" s="2">
        <f t="shared" ca="1" si="24"/>
        <v>0.46379718810000903</v>
      </c>
      <c r="W66" s="2">
        <f t="shared" ca="1" si="24"/>
        <v>0.56718915739999953</v>
      </c>
      <c r="X66" s="2">
        <f t="shared" ca="1" si="24"/>
        <v>0.28262879330000473</v>
      </c>
      <c r="Y66" s="2">
        <f t="shared" ca="1" si="24"/>
        <v>-0.6066831945999962</v>
      </c>
      <c r="Z66" s="2">
        <f t="shared" ca="1" si="26"/>
        <v>0.25523449770000906</v>
      </c>
      <c r="AA66" s="2">
        <f t="shared" ca="1" si="26"/>
        <v>0.35862646699999956</v>
      </c>
      <c r="AB66" s="2">
        <f t="shared" ca="1" si="26"/>
        <v>7.4066102900004732E-2</v>
      </c>
      <c r="AC66" s="2">
        <f t="shared" ca="1" si="26"/>
        <v>-0.81524588499999617</v>
      </c>
      <c r="AD66" s="2">
        <f t="shared" ca="1" si="22"/>
        <v>-3.1829704349995713E-2</v>
      </c>
      <c r="AE66" s="2">
        <f t="array" aca="1" ref="AE66" ca="1">MMULT(P66:U66,$AL$5:$AL$10)</f>
        <v>0.49981139141907055</v>
      </c>
    </row>
    <row r="67" spans="1:31" x14ac:dyDescent="0.2">
      <c r="A67">
        <f t="shared" si="19"/>
        <v>201406</v>
      </c>
      <c r="B67">
        <f ca="1">LOOKUP($A67,FBYields!$B$6:$B$7864,FBYields!E$6:E$864)</f>
        <v>0.117562335</v>
      </c>
      <c r="C67">
        <f ca="1">LOOKUP($A67,FBYields!$B$6:$B$7864,FBYields!F$6:F$864)</f>
        <v>0.45807529190000001</v>
      </c>
      <c r="D67">
        <f ca="1">LOOKUP($A67,FBYields!$B$6:$B$7864,FBYields!G$6:G$864)</f>
        <v>0.89526085700000002</v>
      </c>
      <c r="E67">
        <f ca="1">LOOKUP($A67,FBYields!$B$6:$B$7864,FBYields!H$6:H$864)</f>
        <v>1.3168692610999999</v>
      </c>
      <c r="F67">
        <f ca="1">LOOKUP($A67,FBYields!$B$6:$B$7864,FBYields!I$6:I$864)</f>
        <v>1.6499954618999999</v>
      </c>
      <c r="G67" s="2">
        <f t="shared" ca="1" si="27"/>
        <v>0.99882506742440713</v>
      </c>
      <c r="H67">
        <f t="shared" ca="1" si="28"/>
        <v>0.99088033289053812</v>
      </c>
      <c r="I67">
        <f t="shared" ca="1" si="29"/>
        <v>0.97349963830576303</v>
      </c>
      <c r="J67">
        <f t="shared" ca="1" si="30"/>
        <v>0.94868850385521397</v>
      </c>
      <c r="K67">
        <f t="shared" ca="1" si="31"/>
        <v>0.92081164679354754</v>
      </c>
      <c r="L67" s="2">
        <f t="shared" ca="1" si="32"/>
        <v>0.99204591995838121</v>
      </c>
      <c r="M67">
        <f t="shared" ca="1" si="33"/>
        <v>0.98245934043914951</v>
      </c>
      <c r="N67">
        <f t="shared" ca="1" si="34"/>
        <v>0.9745134631033564</v>
      </c>
      <c r="O67">
        <f t="shared" ca="1" si="35"/>
        <v>0.97061537380459195</v>
      </c>
      <c r="P67" s="4">
        <f t="shared" si="20"/>
        <v>1</v>
      </c>
      <c r="Q67" s="2">
        <f t="shared" ca="1" si="36"/>
        <v>0.117562335</v>
      </c>
      <c r="R67">
        <f t="shared" ca="1" si="37"/>
        <v>0.79858824880000223</v>
      </c>
      <c r="S67">
        <f t="shared" ca="1" si="38"/>
        <v>1.7696319871999939</v>
      </c>
      <c r="T67">
        <f t="shared" ca="1" si="39"/>
        <v>2.5816944734000042</v>
      </c>
      <c r="U67">
        <f t="shared" ca="1" si="40"/>
        <v>2.9825002650999957</v>
      </c>
      <c r="V67" s="2">
        <f t="shared" ca="1" si="24"/>
        <v>0.61077177040000197</v>
      </c>
      <c r="W67" s="2">
        <f t="shared" ca="1" si="24"/>
        <v>1.1629521353000003</v>
      </c>
      <c r="X67" s="2">
        <f t="shared" ca="1" si="24"/>
        <v>1.6094562466000075</v>
      </c>
      <c r="Y67" s="2">
        <f t="shared" ca="1" si="24"/>
        <v>1.7886478210999959</v>
      </c>
      <c r="Z67" s="2">
        <f t="shared" ca="1" si="26"/>
        <v>0.45538069890000199</v>
      </c>
      <c r="AA67" s="2">
        <f t="shared" ca="1" si="26"/>
        <v>1.0075610638000003</v>
      </c>
      <c r="AB67" s="2">
        <f t="shared" ca="1" si="26"/>
        <v>1.4540651751000075</v>
      </c>
      <c r="AC67" s="2">
        <f t="shared" ca="1" si="26"/>
        <v>1.6332567495999959</v>
      </c>
      <c r="AD67" s="2">
        <f t="shared" ca="1" si="22"/>
        <v>1.1375659218500014</v>
      </c>
      <c r="AE67" s="2">
        <f t="array" aca="1" ref="AE67" ca="1">MMULT(P67:U67,$AL$5:$AL$10)</f>
        <v>1.1567736440835956</v>
      </c>
    </row>
    <row r="68" spans="1:31" x14ac:dyDescent="0.2">
      <c r="A68">
        <f t="shared" si="19"/>
        <v>201506</v>
      </c>
      <c r="B68">
        <f ca="1">LOOKUP($A68,FBYields!$B$6:$B$7864,FBYields!E$6:E$864)</f>
        <v>0.34362584959999998</v>
      </c>
      <c r="C68">
        <f ca="1">LOOKUP($A68,FBYields!$B$6:$B$7864,FBYields!F$6:F$864)</f>
        <v>0.6465325381</v>
      </c>
      <c r="D68">
        <f ca="1">LOOKUP($A68,FBYields!$B$6:$B$7864,FBYields!G$6:G$864)</f>
        <v>1.0279995827999999</v>
      </c>
      <c r="E68">
        <f ca="1">LOOKUP($A68,FBYields!$B$6:$B$7864,FBYields!H$6:H$864)</f>
        <v>1.3891665302</v>
      </c>
      <c r="F68">
        <f ca="1">LOOKUP($A68,FBYields!$B$6:$B$7864,FBYields!I$6:I$864)</f>
        <v>1.6648951343</v>
      </c>
      <c r="G68" s="2">
        <f t="shared" ca="1" si="27"/>
        <v>0.99656963868354742</v>
      </c>
      <c r="H68">
        <f t="shared" ca="1" si="28"/>
        <v>0.98715259092654817</v>
      </c>
      <c r="I68">
        <f t="shared" ca="1" si="29"/>
        <v>0.96963071371356524</v>
      </c>
      <c r="J68">
        <f t="shared" ca="1" si="30"/>
        <v>0.94594896346801227</v>
      </c>
      <c r="K68">
        <f t="shared" ca="1" si="31"/>
        <v>0.92012591266164434</v>
      </c>
      <c r="L68" s="2">
        <f t="shared" ca="1" si="32"/>
        <v>0.99055053717125174</v>
      </c>
      <c r="M68">
        <f t="shared" ca="1" si="33"/>
        <v>0.98225008233373856</v>
      </c>
      <c r="N68">
        <f t="shared" ca="1" si="34"/>
        <v>0.97557652628921498</v>
      </c>
      <c r="O68">
        <f t="shared" ca="1" si="35"/>
        <v>0.97270143337152548</v>
      </c>
      <c r="P68" s="4">
        <f t="shared" si="20"/>
        <v>1</v>
      </c>
      <c r="Q68" s="2">
        <f t="shared" ca="1" si="36"/>
        <v>0.34362584959999998</v>
      </c>
      <c r="R68">
        <f t="shared" ca="1" si="37"/>
        <v>0.94943922660000091</v>
      </c>
      <c r="S68">
        <f t="shared" ca="1" si="38"/>
        <v>1.7909336721999964</v>
      </c>
      <c r="T68">
        <f t="shared" ca="1" si="39"/>
        <v>2.472667372399997</v>
      </c>
      <c r="U68">
        <f t="shared" ca="1" si="40"/>
        <v>2.7678095507000058</v>
      </c>
      <c r="V68" s="2">
        <f t="shared" ca="1" si="24"/>
        <v>0.57252473419999506</v>
      </c>
      <c r="W68" s="2">
        <f t="shared" ca="1" si="24"/>
        <v>1.3927174947999983</v>
      </c>
      <c r="X68" s="2">
        <f t="shared" ca="1" si="24"/>
        <v>2.1834782959999961</v>
      </c>
      <c r="Y68" s="2">
        <f t="shared" ca="1" si="24"/>
        <v>2.6933111887000059</v>
      </c>
      <c r="Z68" s="2">
        <f t="shared" ca="1" si="26"/>
        <v>0.45496239919999504</v>
      </c>
      <c r="AA68" s="2">
        <f t="shared" ca="1" si="26"/>
        <v>1.2751551597999984</v>
      </c>
      <c r="AB68" s="2">
        <f t="shared" ca="1" si="26"/>
        <v>2.065915960999996</v>
      </c>
      <c r="AC68" s="2">
        <f t="shared" ca="1" si="26"/>
        <v>2.5757488537000057</v>
      </c>
      <c r="AD68" s="2">
        <f t="shared" ca="1" si="22"/>
        <v>1.5929455934249988</v>
      </c>
      <c r="AE68" s="2">
        <f t="array" aca="1" ref="AE68" ca="1">MMULT(P68:U68,$AL$5:$AL$10)</f>
        <v>0.93273691631804567</v>
      </c>
    </row>
    <row r="69" spans="1:31" x14ac:dyDescent="0.2">
      <c r="A69">
        <f t="shared" si="19"/>
        <v>201606</v>
      </c>
      <c r="B69">
        <f ca="1">LOOKUP($A69,FBYields!$B$6:$B$7864,FBYields!E$6:E$864)</f>
        <v>0.50985244740000002</v>
      </c>
      <c r="C69">
        <f ca="1">LOOKUP($A69,FBYields!$B$6:$B$7864,FBYields!F$6:F$864)</f>
        <v>0.58985840489999997</v>
      </c>
      <c r="D69">
        <f ca="1">LOOKUP($A69,FBYields!$B$6:$B$7864,FBYields!G$6:G$864)</f>
        <v>0.69769806280000002</v>
      </c>
      <c r="E69">
        <f ca="1">LOOKUP($A69,FBYields!$B$6:$B$7864,FBYields!H$6:H$864)</f>
        <v>0.89071850590000001</v>
      </c>
      <c r="F69">
        <f ca="1">LOOKUP($A69,FBYields!$B$6:$B$7864,FBYields!I$6:I$864)</f>
        <v>1.0118033808</v>
      </c>
      <c r="G69" s="2">
        <f t="shared" ref="G69" ca="1" si="41">EXP(-B69/100*G$5)</f>
        <v>0.99491445094071673</v>
      </c>
      <c r="H69">
        <f t="shared" ref="H69" ca="1" si="42">EXP(-C69/100*H$5)</f>
        <v>0.98827214565315769</v>
      </c>
      <c r="I69">
        <f t="shared" ref="I69" ca="1" si="43">EXP(-D69/100*I$5)</f>
        <v>0.97928658992131701</v>
      </c>
      <c r="J69">
        <f t="shared" ref="J69" ca="1" si="44">EXP(-E69/100*J$5)</f>
        <v>0.96499849209907895</v>
      </c>
      <c r="K69">
        <f t="shared" ref="K69" ca="1" si="45">EXP(-F69/100*K$5)</f>
        <v>0.9506682039682175</v>
      </c>
      <c r="L69" s="2">
        <f t="shared" ref="L69" ca="1" si="46">H69/G69</f>
        <v>0.99332374227625442</v>
      </c>
      <c r="M69">
        <f t="shared" ref="M69" ca="1" si="47">I69/H69</f>
        <v>0.99090781241648573</v>
      </c>
      <c r="N69">
        <f t="shared" ref="N69" ca="1" si="48">J69/I69</f>
        <v>0.98540968704229259</v>
      </c>
      <c r="O69">
        <f t="shared" ref="O69" ca="1" si="49">K69/J69</f>
        <v>0.9851499372815703</v>
      </c>
      <c r="P69" s="4">
        <f t="shared" si="20"/>
        <v>1</v>
      </c>
      <c r="Q69" s="2">
        <f t="shared" ref="Q69" ca="1" si="50">B69</f>
        <v>0.50985244740000002</v>
      </c>
      <c r="R69">
        <f t="shared" ref="R69" ca="1" si="51">-LN(L69)*100</f>
        <v>0.66986436240000524</v>
      </c>
      <c r="S69">
        <f t="shared" ref="S69" ca="1" si="52">-LN(M69)*100</f>
        <v>0.91337737859999957</v>
      </c>
      <c r="T69">
        <f t="shared" ref="T69" ca="1" si="53">-LN(N69)*100</f>
        <v>1.4697798352</v>
      </c>
      <c r="U69">
        <f t="shared" ref="U69" ca="1" si="54">-LN(O69)*100</f>
        <v>1.4961428803999974</v>
      </c>
      <c r="V69" s="2">
        <f t="shared" ca="1" si="24"/>
        <v>0.78321262880000753</v>
      </c>
      <c r="W69" s="2">
        <f t="shared" ca="1" si="24"/>
        <v>1.9042819386000009</v>
      </c>
      <c r="X69" s="2">
        <f t="shared" ca="1" si="24"/>
        <v>3.4635719323999901</v>
      </c>
      <c r="Y69" s="2">
        <f t="shared" ca="1" si="24"/>
        <v>4.761601647900001</v>
      </c>
      <c r="Z69" s="2">
        <f t="shared" ca="1" si="26"/>
        <v>0.43958677920000755</v>
      </c>
      <c r="AA69" s="2">
        <f t="shared" ca="1" si="26"/>
        <v>1.560656089000001</v>
      </c>
      <c r="AB69" s="2">
        <f t="shared" ca="1" si="26"/>
        <v>3.1199460827999901</v>
      </c>
      <c r="AC69" s="2">
        <f t="shared" ca="1" si="26"/>
        <v>4.4179757983000005</v>
      </c>
      <c r="AD69" s="2">
        <f t="shared" ca="1" si="22"/>
        <v>2.3845411873249995</v>
      </c>
      <c r="AE69" s="2">
        <f t="array" aca="1" ref="AE69" ca="1">MMULT(P69:U69,$AL$5:$AL$10)</f>
        <v>-0.50228660105896039</v>
      </c>
    </row>
    <row r="70" spans="1:31" x14ac:dyDescent="0.2">
      <c r="A70">
        <f t="shared" si="19"/>
        <v>201706</v>
      </c>
      <c r="B70">
        <f ca="1">LOOKUP($A70,FBYields!$B$6:$B$7864,FBYields!E$6:E$864)</f>
        <v>1.2641550908000001</v>
      </c>
      <c r="C70">
        <f ca="1">LOOKUP($A70,FBYields!$B$6:$B$7864,FBYields!F$6:F$864)</f>
        <v>1.3742497407000001</v>
      </c>
      <c r="D70">
        <f ca="1">LOOKUP($A70,FBYields!$B$6:$B$7864,FBYields!G$6:G$864)</f>
        <v>1.5553847766</v>
      </c>
      <c r="E70">
        <f ca="1">LOOKUP($A70,FBYields!$B$6:$B$7864,FBYields!H$6:H$864)</f>
        <v>1.7517955966000001</v>
      </c>
      <c r="F70">
        <f ca="1">LOOKUP($A70,FBYields!$B$6:$B$7864,FBYields!I$6:I$864)</f>
        <v>1.8970515480000001</v>
      </c>
      <c r="G70" s="2">
        <f t="shared" ref="G70" ca="1" si="55">EXP(-B70/100*G$5)</f>
        <v>0.98743801785291418</v>
      </c>
      <c r="H70">
        <f t="shared" ref="H70" ca="1" si="56">EXP(-C70/100*H$5)</f>
        <v>0.97288928082854509</v>
      </c>
      <c r="I70">
        <f t="shared" ref="I70" ca="1" si="57">EXP(-D70/100*I$5)</f>
        <v>0.95441036951730285</v>
      </c>
      <c r="J70">
        <f t="shared" ref="J70" ca="1" si="58">EXP(-E70/100*J$5)</f>
        <v>0.93232685418393013</v>
      </c>
      <c r="K70">
        <f t="shared" ref="K70" ca="1" si="59">EXP(-F70/100*K$5)</f>
        <v>0.90950700647297933</v>
      </c>
      <c r="L70" s="2">
        <f t="shared" ref="L70" ca="1" si="60">H70/G70</f>
        <v>0.98526617695356322</v>
      </c>
      <c r="M70">
        <f t="shared" ref="M70" ca="1" si="61">I70/H70</f>
        <v>0.98100615180433992</v>
      </c>
      <c r="N70">
        <f t="shared" ref="N70" ca="1" si="62">J70/I70</f>
        <v>0.97686161420842321</v>
      </c>
      <c r="O70">
        <f t="shared" ref="O70" ca="1" si="63">K70/J70</f>
        <v>0.97552376872065416</v>
      </c>
      <c r="P70" s="4">
        <f t="shared" si="20"/>
        <v>1</v>
      </c>
      <c r="Q70" s="2">
        <f t="shared" ref="Q70" ca="1" si="64">B70</f>
        <v>1.2641550908000001</v>
      </c>
      <c r="R70">
        <f t="shared" ref="R70" ca="1" si="65">-LN(L70)*100</f>
        <v>1.4843443906000005</v>
      </c>
      <c r="S70">
        <f t="shared" ref="S70" ca="1" si="66">-LN(M70)*100</f>
        <v>1.9176548484000098</v>
      </c>
      <c r="T70">
        <f t="shared" ref="T70" ca="1" si="67">-LN(N70)*100</f>
        <v>2.3410280565999977</v>
      </c>
      <c r="U70">
        <f t="shared" ref="U70" ca="1" si="68">-LN(O70)*100</f>
        <v>2.4780753536000013</v>
      </c>
      <c r="V70" s="2">
        <f t="shared" ca="1" si="24"/>
        <v>-8.4438280999990706E-2</v>
      </c>
      <c r="W70" s="2">
        <f t="shared" ca="1" si="24"/>
        <v>-0.65540529299998584</v>
      </c>
      <c r="X70" s="2">
        <f t="shared" ca="1" si="24"/>
        <v>-1.1032803062000014</v>
      </c>
      <c r="Y70" s="2">
        <f t="shared" ca="1" si="24"/>
        <v>-1.9481654823999914</v>
      </c>
      <c r="Z70" s="2">
        <f t="shared" ca="1" si="26"/>
        <v>-0.59429072839999075</v>
      </c>
      <c r="AA70" s="2">
        <f t="shared" ca="1" si="26"/>
        <v>-1.1652577403999858</v>
      </c>
      <c r="AB70" s="2">
        <f t="shared" ca="1" si="26"/>
        <v>-1.6131327536000013</v>
      </c>
      <c r="AC70" s="2">
        <f t="shared" ca="1" si="26"/>
        <v>-2.4580179297999916</v>
      </c>
      <c r="AD70" s="2">
        <f t="shared" ca="1" si="22"/>
        <v>-1.4576747880499923</v>
      </c>
      <c r="AE70" s="2">
        <f t="array" aca="1" ref="AE70" ca="1">MMULT(P70:U70,$AL$5:$AL$10)</f>
        <v>8.6269133350617144E-3</v>
      </c>
    </row>
    <row r="71" spans="1:31" x14ac:dyDescent="0.2">
      <c r="A71">
        <f t="shared" si="19"/>
        <v>201806</v>
      </c>
      <c r="B71">
        <f ca="1">LOOKUP($A71,FBYields!$B$6:$B$7864,FBYields!E$6:E$864)</f>
        <v>2.3287202396438</v>
      </c>
      <c r="C71">
        <f ca="1">LOOKUP($A71,FBYields!$B$6:$B$7864,FBYields!F$6:F$864)</f>
        <v>2.5166365578006</v>
      </c>
      <c r="D71">
        <f ca="1">LOOKUP($A71,FBYields!$B$6:$B$7864,FBYields!G$6:G$864)</f>
        <v>2.6131634383694999</v>
      </c>
      <c r="E71">
        <f ca="1">LOOKUP($A71,FBYields!$B$6:$B$7864,FBYields!H$6:H$864)</f>
        <v>2.6913371370555002</v>
      </c>
      <c r="F71">
        <f ca="1">LOOKUP($A71,FBYields!$B$6:$B$7864,FBYields!I$6:I$864)</f>
        <v>2.7280822120587001</v>
      </c>
      <c r="G71" s="2">
        <f t="shared" ref="G71:G76" ca="1" si="69">EXP(-B71/100*G$5)</f>
        <v>0.97698185194698395</v>
      </c>
      <c r="H71">
        <f t="shared" ref="H71:H76" ca="1" si="70">EXP(-C71/100*H$5)</f>
        <v>0.95091297348414305</v>
      </c>
      <c r="I71">
        <f t="shared" ref="I71:I76" ca="1" si="71">EXP(-D71/100*I$5)</f>
        <v>0.9245992272907696</v>
      </c>
      <c r="J71">
        <f t="shared" ref="J71:J76" ca="1" si="72">EXP(-E71/100*J$5)</f>
        <v>0.89793869132049309</v>
      </c>
      <c r="K71">
        <f t="shared" ref="K71:K76" ca="1" si="73">EXP(-F71/100*K$5)</f>
        <v>0.87248997878658618</v>
      </c>
      <c r="L71" s="2">
        <f t="shared" ref="L71:L76" ca="1" si="74">H71/G71</f>
        <v>0.97331692660320213</v>
      </c>
      <c r="M71">
        <f t="shared" ref="M71:M76" ca="1" si="75">I71/H71</f>
        <v>0.97232791335577229</v>
      </c>
      <c r="N71">
        <f t="shared" ref="N71:N76" ca="1" si="76">J71/I71</f>
        <v>0.97116530580671545</v>
      </c>
      <c r="O71">
        <f t="shared" ref="O71:O76" ca="1" si="77">K71/J71</f>
        <v>0.97165874153781873</v>
      </c>
      <c r="P71" s="4">
        <f t="shared" si="20"/>
        <v>1</v>
      </c>
      <c r="Q71" s="2">
        <f t="shared" ref="Q71:Q76" ca="1" si="78">B71</f>
        <v>2.3287202396438</v>
      </c>
      <c r="R71">
        <f t="shared" ref="R71:R76" ca="1" si="79">-LN(L71)*100</f>
        <v>2.7045528759574005</v>
      </c>
      <c r="S71">
        <f t="shared" ref="S71:S76" ca="1" si="80">-LN(M71)*100</f>
        <v>2.8062171995072922</v>
      </c>
      <c r="T71">
        <f t="shared" ref="T71:T76" ca="1" si="81">-LN(N71)*100</f>
        <v>2.9258582331135035</v>
      </c>
      <c r="U71">
        <f t="shared" ref="U71:U76" ca="1" si="82">-LN(O71)*100</f>
        <v>2.8750625120715059</v>
      </c>
      <c r="V71" s="2">
        <f t="shared" ref="V71:V76" ca="1" si="83">LN(G71/H70)*100</f>
        <v>0.41977924175618841</v>
      </c>
      <c r="W71" s="2">
        <f t="shared" ref="W71:W76" ca="1" si="84">LN(H71/I70)*100</f>
        <v>-0.3671187858012005</v>
      </c>
      <c r="X71" s="2">
        <f t="shared" ref="X71:X76" ca="1" si="85">LN(I71/J70)*100</f>
        <v>-0.83230792870850312</v>
      </c>
      <c r="Y71" s="2">
        <f t="shared" ref="Y71:Y76" ca="1" si="86">LN(J71/K70)*100</f>
        <v>-1.2800908082219959</v>
      </c>
      <c r="Z71" s="2">
        <f t="shared" ref="Z71:Z76" ca="1" si="87">V71-$B70</f>
        <v>-0.84437584904381169</v>
      </c>
      <c r="AA71" s="2">
        <f t="shared" ref="AA71:AA76" ca="1" si="88">W71-$B70</f>
        <v>-1.6312738766012007</v>
      </c>
      <c r="AB71" s="2">
        <f t="shared" ref="AB71:AB76" ca="1" si="89">X71-$B70</f>
        <v>-2.0964630195085032</v>
      </c>
      <c r="AC71" s="2">
        <f t="shared" ref="AC71:AC76" ca="1" si="90">Y71-$B70</f>
        <v>-2.544245899021996</v>
      </c>
      <c r="AD71" s="2">
        <f t="shared" ref="AD71:AD76" ca="1" si="91">AVERAGE(Z71:AC71)</f>
        <v>-1.7790896610438778</v>
      </c>
      <c r="AE71" s="2">
        <f t="array" aca="1" ref="AE71" ca="1">MMULT(P71:U71,$AL$5:$AL$10)</f>
        <v>9.2861921314167983E-2</v>
      </c>
    </row>
    <row r="72" spans="1:31" x14ac:dyDescent="0.2">
      <c r="A72">
        <f t="shared" ref="A72:A76" si="92">A71+100</f>
        <v>201906</v>
      </c>
      <c r="B72">
        <f ca="1">LOOKUP($A72,FBYields!$B$6:$B$7864,FBYields!E$6:E$864)</f>
        <v>1.9425633714952999</v>
      </c>
      <c r="C72">
        <f ca="1">LOOKUP($A72,FBYields!$B$6:$B$7864,FBYields!F$6:F$864)</f>
        <v>1.7461504147919999</v>
      </c>
      <c r="D72">
        <f ca="1">LOOKUP($A72,FBYields!$B$6:$B$7864,FBYields!G$6:G$864)</f>
        <v>1.7093887857326</v>
      </c>
      <c r="E72">
        <f ca="1">LOOKUP($A72,FBYields!$B$6:$B$7864,FBYields!H$6:H$864)</f>
        <v>1.7327065353830999</v>
      </c>
      <c r="F72">
        <f ca="1">LOOKUP($A72,FBYields!$B$6:$B$7864,FBYields!I$6:I$864)</f>
        <v>1.7629252902089001</v>
      </c>
      <c r="G72" s="2">
        <f t="shared" ca="1" si="69"/>
        <v>0.98076182809042911</v>
      </c>
      <c r="H72">
        <f t="shared" ca="1" si="70"/>
        <v>0.96567976272610423</v>
      </c>
      <c r="I72">
        <f t="shared" ca="1" si="71"/>
        <v>0.95001104933905023</v>
      </c>
      <c r="J72">
        <f t="shared" ca="1" si="72"/>
        <v>0.9330390158150158</v>
      </c>
      <c r="K72">
        <f t="shared" ca="1" si="73"/>
        <v>0.91562694320210625</v>
      </c>
      <c r="L72" s="2">
        <f t="shared" ca="1" si="74"/>
        <v>0.98462209179399851</v>
      </c>
      <c r="M72">
        <f t="shared" ca="1" si="75"/>
        <v>0.98377442088791278</v>
      </c>
      <c r="N72">
        <f t="shared" ca="1" si="76"/>
        <v>0.98213490934043102</v>
      </c>
      <c r="O72">
        <f t="shared" ca="1" si="77"/>
        <v>0.9813383231378594</v>
      </c>
      <c r="P72" s="4">
        <f t="shared" si="20"/>
        <v>1</v>
      </c>
      <c r="Q72" s="2">
        <f t="shared" ca="1" si="78"/>
        <v>1.9425633714952999</v>
      </c>
      <c r="R72">
        <f t="shared" ca="1" si="79"/>
        <v>1.5497374580886936</v>
      </c>
      <c r="S72">
        <f t="shared" ca="1" si="80"/>
        <v>1.6358655276138008</v>
      </c>
      <c r="T72">
        <f t="shared" ca="1" si="81"/>
        <v>1.8026597843345999</v>
      </c>
      <c r="U72">
        <f t="shared" ca="1" si="82"/>
        <v>1.8838003095120952</v>
      </c>
      <c r="V72" s="2">
        <f t="shared" ca="1" si="83"/>
        <v>3.0907097441059022</v>
      </c>
      <c r="W72" s="2">
        <f t="shared" ca="1" si="84"/>
        <v>4.3471894855244964</v>
      </c>
      <c r="X72" s="2">
        <f t="shared" ca="1" si="85"/>
        <v>5.6371821910242064</v>
      </c>
      <c r="Y72" s="2">
        <f t="shared" ca="1" si="86"/>
        <v>6.7095849187611005</v>
      </c>
      <c r="Z72" s="2">
        <f t="shared" ca="1" si="87"/>
        <v>0.76198950446210212</v>
      </c>
      <c r="AA72" s="2">
        <f t="shared" ca="1" si="88"/>
        <v>2.0184692458806963</v>
      </c>
      <c r="AB72" s="2">
        <f t="shared" ca="1" si="89"/>
        <v>3.3084619513804063</v>
      </c>
      <c r="AC72" s="2">
        <f t="shared" ca="1" si="90"/>
        <v>4.3808646791173</v>
      </c>
      <c r="AD72" s="2">
        <f t="shared" ca="1" si="91"/>
        <v>2.6174463452101264</v>
      </c>
      <c r="AE72" s="2">
        <f t="array" aca="1" ref="AE72" ca="1">MMULT(P72:U72,$AL$5:$AL$10)</f>
        <v>-1.2441389464871286</v>
      </c>
    </row>
    <row r="73" spans="1:31" x14ac:dyDescent="0.2">
      <c r="A73">
        <f t="shared" si="92"/>
        <v>202006</v>
      </c>
      <c r="B73">
        <f ca="1">LOOKUP($A73,FBYields!$B$6:$B$7864,FBYields!E$6:E$864)</f>
        <v>0.17386790321279</v>
      </c>
      <c r="C73">
        <f ca="1">LOOKUP($A73,FBYields!$B$6:$B$7864,FBYields!F$6:F$864)</f>
        <v>0.15706055583449999</v>
      </c>
      <c r="D73">
        <f ca="1">LOOKUP($A73,FBYields!$B$6:$B$7864,FBYields!G$6:G$864)</f>
        <v>0.17563269077943</v>
      </c>
      <c r="E73">
        <f ca="1">LOOKUP($A73,FBYields!$B$6:$B$7864,FBYields!H$6:H$864)</f>
        <v>0.21072730100987999</v>
      </c>
      <c r="F73">
        <f ca="1">LOOKUP($A73,FBYields!$B$6:$B$7864,FBYields!I$6:I$864)</f>
        <v>0.29483977017909002</v>
      </c>
      <c r="G73" s="2">
        <f t="shared" ca="1" si="69"/>
        <v>0.99826283159463525</v>
      </c>
      <c r="H73">
        <f t="shared" ca="1" si="70"/>
        <v>0.99686371732517376</v>
      </c>
      <c r="I73">
        <f t="shared" ca="1" si="71"/>
        <v>0.99474487600791661</v>
      </c>
      <c r="J73">
        <f t="shared" ca="1" si="72"/>
        <v>0.99160633315197266</v>
      </c>
      <c r="K73">
        <f t="shared" ca="1" si="73"/>
        <v>0.98536614259568278</v>
      </c>
      <c r="L73" s="2">
        <f t="shared" ca="1" si="74"/>
        <v>0.99859845100390388</v>
      </c>
      <c r="M73">
        <f t="shared" ca="1" si="75"/>
        <v>0.99787449249036519</v>
      </c>
      <c r="N73">
        <f t="shared" ca="1" si="76"/>
        <v>0.99684487657926979</v>
      </c>
      <c r="O73">
        <f t="shared" ca="1" si="77"/>
        <v>0.99370698799749047</v>
      </c>
      <c r="P73" s="4">
        <f t="shared" si="20"/>
        <v>1</v>
      </c>
      <c r="Q73" s="2">
        <f t="shared" ca="1" si="78"/>
        <v>0.17386790321279</v>
      </c>
      <c r="R73">
        <f t="shared" ca="1" si="79"/>
        <v>0.14025320845621533</v>
      </c>
      <c r="S73">
        <f t="shared" ca="1" si="80"/>
        <v>0.2127769606692822</v>
      </c>
      <c r="T73">
        <f t="shared" ca="1" si="81"/>
        <v>0.31601113170123313</v>
      </c>
      <c r="U73">
        <f t="shared" ca="1" si="82"/>
        <v>0.63128964685592059</v>
      </c>
      <c r="V73" s="2">
        <f t="shared" ca="1" si="83"/>
        <v>3.3184329263712091</v>
      </c>
      <c r="W73" s="2">
        <f t="shared" ca="1" si="84"/>
        <v>4.8140452455287956</v>
      </c>
      <c r="X73" s="2">
        <f t="shared" ca="1" si="85"/>
        <v>6.4039280691941185</v>
      </c>
      <c r="Y73" s="2">
        <f t="shared" ca="1" si="86"/>
        <v>7.9717172470049729</v>
      </c>
      <c r="Z73" s="2">
        <f t="shared" ca="1" si="87"/>
        <v>1.3758695548759092</v>
      </c>
      <c r="AA73" s="2">
        <f t="shared" ca="1" si="88"/>
        <v>2.8714818740334955</v>
      </c>
      <c r="AB73" s="2">
        <f t="shared" ca="1" si="89"/>
        <v>4.4613646976988184</v>
      </c>
      <c r="AC73" s="2">
        <f t="shared" ca="1" si="90"/>
        <v>6.0291538755096727</v>
      </c>
      <c r="AD73" s="2">
        <f t="shared" ca="1" si="91"/>
        <v>3.684467500529474</v>
      </c>
      <c r="AE73" s="2">
        <f t="array" aca="1" ref="AE73" ca="1">MMULT(P73:U73,$AL$5:$AL$10)</f>
        <v>-0.96231325131342749</v>
      </c>
    </row>
    <row r="74" spans="1:31" x14ac:dyDescent="0.2">
      <c r="A74">
        <f t="shared" si="92"/>
        <v>202106</v>
      </c>
      <c r="B74">
        <f ca="1">LOOKUP($A74,FBYields!$B$6:$B$7864,FBYields!E$6:E$864)</f>
        <v>8.9157610963307002E-2</v>
      </c>
      <c r="C74">
        <f ca="1">LOOKUP($A74,FBYields!$B$6:$B$7864,FBYields!F$6:F$864)</f>
        <v>0.24826889756411</v>
      </c>
      <c r="D74">
        <f ca="1">LOOKUP($A74,FBYields!$B$6:$B$7864,FBYields!G$6:G$864)</f>
        <v>0.46126419735766999</v>
      </c>
      <c r="E74">
        <f ca="1">LOOKUP($A74,FBYields!$B$6:$B$7864,FBYields!H$6:H$864)</f>
        <v>0.69157479950455003</v>
      </c>
      <c r="F74">
        <f ca="1">LOOKUP($A74,FBYields!$B$6:$B$7864,FBYields!I$6:I$864)</f>
        <v>0.89804784028939999</v>
      </c>
      <c r="G74" s="2">
        <f t="shared" ca="1" si="69"/>
        <v>0.99910882122625277</v>
      </c>
      <c r="H74">
        <f t="shared" ca="1" si="70"/>
        <v>0.99504692915957249</v>
      </c>
      <c r="I74">
        <f t="shared" ca="1" si="71"/>
        <v>0.98625737806652702</v>
      </c>
      <c r="J74">
        <f t="shared" ca="1" si="72"/>
        <v>0.97271612470465552</v>
      </c>
      <c r="K74">
        <f t="shared" ca="1" si="73"/>
        <v>0.95609079937566799</v>
      </c>
      <c r="L74" s="2">
        <f t="shared" ca="1" si="74"/>
        <v>0.99593448483249813</v>
      </c>
      <c r="M74">
        <f t="shared" ca="1" si="75"/>
        <v>0.99116669693109927</v>
      </c>
      <c r="N74">
        <f t="shared" ca="1" si="76"/>
        <v>0.98627006128114547</v>
      </c>
      <c r="O74">
        <f t="shared" ca="1" si="77"/>
        <v>0.98290834817400041</v>
      </c>
      <c r="P74" s="4">
        <f t="shared" si="20"/>
        <v>1</v>
      </c>
      <c r="Q74" s="2">
        <f t="shared" ca="1" si="78"/>
        <v>8.9157610963307002E-2</v>
      </c>
      <c r="R74">
        <f t="shared" ca="1" si="79"/>
        <v>0.40738018416491562</v>
      </c>
      <c r="S74">
        <f t="shared" ca="1" si="80"/>
        <v>0.88725479694479092</v>
      </c>
      <c r="T74">
        <f t="shared" ca="1" si="81"/>
        <v>1.3825066059452005</v>
      </c>
      <c r="U74">
        <f t="shared" ca="1" si="82"/>
        <v>1.7239400034287973</v>
      </c>
      <c r="V74" s="2">
        <f t="shared" ca="1" si="83"/>
        <v>0.22496350070569585</v>
      </c>
      <c r="W74" s="2">
        <f t="shared" ca="1" si="84"/>
        <v>3.0360277210057813E-2</v>
      </c>
      <c r="X74" s="2">
        <f t="shared" ca="1" si="85"/>
        <v>-0.54088338803348845</v>
      </c>
      <c r="Y74" s="2">
        <f t="shared" ca="1" si="86"/>
        <v>-1.2921003471227563</v>
      </c>
      <c r="Z74" s="2">
        <f t="shared" ca="1" si="87"/>
        <v>5.1095597492905848E-2</v>
      </c>
      <c r="AA74" s="2">
        <f t="shared" ca="1" si="88"/>
        <v>-0.14350762600273217</v>
      </c>
      <c r="AB74" s="2">
        <f t="shared" ca="1" si="89"/>
        <v>-0.71475129124627845</v>
      </c>
      <c r="AC74" s="2">
        <f t="shared" ca="1" si="90"/>
        <v>-1.4659682503355462</v>
      </c>
      <c r="AD74" s="2">
        <f t="shared" ca="1" si="91"/>
        <v>-0.56828289252291275</v>
      </c>
      <c r="AE74" s="2">
        <f t="array" aca="1" ref="AE74" ca="1">MMULT(P74:U74,$AL$5:$AL$10)</f>
        <v>1.6315342011549466E-2</v>
      </c>
    </row>
    <row r="75" spans="1:31" x14ac:dyDescent="0.2">
      <c r="A75">
        <f t="shared" si="92"/>
        <v>202206</v>
      </c>
      <c r="B75">
        <f ca="1">LOOKUP($A75,FBYields!$B$6:$B$7864,FBYields!E$6:E$864)</f>
        <v>2.8748828584744999</v>
      </c>
      <c r="C75">
        <f ca="1">LOOKUP($A75,FBYields!$B$6:$B$7864,FBYields!F$6:F$864)</f>
        <v>2.9377453393188002</v>
      </c>
      <c r="D75">
        <f ca="1">LOOKUP($A75,FBYields!$B$6:$B$7864,FBYields!G$6:G$864)</f>
        <v>2.996103333517</v>
      </c>
      <c r="E75">
        <f ca="1">LOOKUP($A75,FBYields!$B$6:$B$7864,FBYields!H$6:H$864)</f>
        <v>3.0294568330986</v>
      </c>
      <c r="F75">
        <f ca="1">LOOKUP($A75,FBYields!$B$6:$B$7864,FBYields!I$6:I$864)</f>
        <v>3.0327275521250998</v>
      </c>
      <c r="G75" s="2">
        <f t="shared" ca="1" si="69"/>
        <v>0.97166048715926656</v>
      </c>
      <c r="H75">
        <f t="shared" ca="1" si="70"/>
        <v>0.94293784850549089</v>
      </c>
      <c r="I75">
        <f t="shared" ca="1" si="71"/>
        <v>0.91403803006670692</v>
      </c>
      <c r="J75">
        <f t="shared" ca="1" si="72"/>
        <v>0.88587601745262512</v>
      </c>
      <c r="K75">
        <f t="shared" ca="1" si="73"/>
        <v>0.85930068491109934</v>
      </c>
      <c r="L75" s="2">
        <f t="shared" ca="1" si="74"/>
        <v>0.97043963500280972</v>
      </c>
      <c r="M75">
        <f t="shared" ca="1" si="75"/>
        <v>0.96935130084704024</v>
      </c>
      <c r="N75">
        <f t="shared" ca="1" si="76"/>
        <v>0.96918945198371398</v>
      </c>
      <c r="O75">
        <f t="shared" ca="1" si="77"/>
        <v>0.97000107010691594</v>
      </c>
      <c r="P75" s="4">
        <f t="shared" si="20"/>
        <v>1</v>
      </c>
      <c r="Q75" s="2">
        <f t="shared" ca="1" si="78"/>
        <v>2.8748828584744999</v>
      </c>
      <c r="R75">
        <f t="shared" ca="1" si="79"/>
        <v>3.0006078201630935</v>
      </c>
      <c r="S75">
        <f t="shared" ca="1" si="80"/>
        <v>3.1128193219134039</v>
      </c>
      <c r="T75">
        <f t="shared" ca="1" si="81"/>
        <v>3.1295173318433971</v>
      </c>
      <c r="U75">
        <f t="shared" ca="1" si="82"/>
        <v>3.0458104282310949</v>
      </c>
      <c r="V75" s="2">
        <f t="shared" ca="1" si="83"/>
        <v>-2.3783450633462793</v>
      </c>
      <c r="W75" s="2">
        <f t="shared" ca="1" si="84"/>
        <v>-4.4916980865645861</v>
      </c>
      <c r="X75" s="2">
        <f t="shared" ca="1" si="85"/>
        <v>-6.2220108025327949</v>
      </c>
      <c r="Y75" s="2">
        <f t="shared" ca="1" si="86"/>
        <v>-7.6275881309474061</v>
      </c>
      <c r="Z75" s="2">
        <f t="shared" ca="1" si="87"/>
        <v>-2.4675026743095865</v>
      </c>
      <c r="AA75" s="2">
        <f t="shared" ca="1" si="88"/>
        <v>-4.5808556975278929</v>
      </c>
      <c r="AB75" s="2">
        <f t="shared" ca="1" si="89"/>
        <v>-6.3111684134961017</v>
      </c>
      <c r="AC75" s="2">
        <f t="shared" ca="1" si="90"/>
        <v>-7.7167457419107128</v>
      </c>
      <c r="AD75" s="2">
        <f t="shared" ca="1" si="91"/>
        <v>-5.2690681318110739</v>
      </c>
      <c r="AE75" s="2">
        <f t="array" aca="1" ref="AE75" ca="1">MMULT(P75:U75,$AL$5:$AL$10)</f>
        <v>-0.18226087714235117</v>
      </c>
    </row>
    <row r="76" spans="1:31" x14ac:dyDescent="0.2">
      <c r="A76">
        <f t="shared" si="92"/>
        <v>202306</v>
      </c>
      <c r="B76">
        <f ca="1">LOOKUP($A76,FBYields!$B$6:$B$7864,FBYields!E$6:E$864)</f>
        <v>5.3417034488224999</v>
      </c>
      <c r="C76">
        <f ca="1">LOOKUP($A76,FBYields!$B$6:$B$7864,FBYields!F$6:F$864)</f>
        <v>4.8293151269327996</v>
      </c>
      <c r="D76">
        <f ca="1">LOOKUP($A76,FBYields!$B$6:$B$7864,FBYields!G$6:G$864)</f>
        <v>4.4132152766598001</v>
      </c>
      <c r="E76">
        <f ca="1">LOOKUP($A76,FBYields!$B$6:$B$7864,FBYields!H$6:H$864)</f>
        <v>4.2548153794493002</v>
      </c>
      <c r="F76">
        <f ca="1">LOOKUP($A76,FBYields!$B$6:$B$7864,FBYields!I$6:I$864)</f>
        <v>4.0937550868696997</v>
      </c>
      <c r="G76" s="2">
        <f t="shared" ca="1" si="69"/>
        <v>0.94798458776775252</v>
      </c>
      <c r="H76">
        <f t="shared" ca="1" si="70"/>
        <v>0.90793153742185195</v>
      </c>
      <c r="I76">
        <f t="shared" ca="1" si="71"/>
        <v>0.8759936312806047</v>
      </c>
      <c r="J76">
        <f t="shared" ca="1" si="72"/>
        <v>0.84350232959681981</v>
      </c>
      <c r="K76">
        <f t="shared" ca="1" si="73"/>
        <v>0.81490172621466661</v>
      </c>
      <c r="L76" s="2">
        <f t="shared" ca="1" si="74"/>
        <v>0.95774925999565597</v>
      </c>
      <c r="M76">
        <f t="shared" ca="1" si="75"/>
        <v>0.96482344226973582</v>
      </c>
      <c r="N76">
        <f t="shared" ca="1" si="76"/>
        <v>0.96290920330518126</v>
      </c>
      <c r="O76">
        <f t="shared" ca="1" si="77"/>
        <v>0.96609303569342386</v>
      </c>
      <c r="P76" s="4">
        <f t="shared" si="20"/>
        <v>1</v>
      </c>
      <c r="Q76" s="2">
        <f t="shared" ca="1" si="78"/>
        <v>5.3417034488224999</v>
      </c>
      <c r="R76">
        <f t="shared" ca="1" si="79"/>
        <v>4.3169268050431064</v>
      </c>
      <c r="S76">
        <f t="shared" ca="1" si="80"/>
        <v>3.5810155761138058</v>
      </c>
      <c r="T76">
        <f t="shared" ca="1" si="81"/>
        <v>3.7796156878177958</v>
      </c>
      <c r="U76">
        <f t="shared" ca="1" si="82"/>
        <v>3.4495139165513007</v>
      </c>
      <c r="V76" s="2">
        <f t="shared" ca="1" si="83"/>
        <v>0.53378722981510418</v>
      </c>
      <c r="W76" s="2">
        <f t="shared" ca="1" si="84"/>
        <v>-0.67032025331459721</v>
      </c>
      <c r="X76" s="2">
        <f t="shared" ca="1" si="85"/>
        <v>-1.1218184975850043</v>
      </c>
      <c r="Y76" s="2">
        <f t="shared" ca="1" si="86"/>
        <v>-1.8556237571716958</v>
      </c>
      <c r="Z76" s="2">
        <f t="shared" ca="1" si="87"/>
        <v>-2.3410956286593958</v>
      </c>
      <c r="AA76" s="2">
        <f t="shared" ca="1" si="88"/>
        <v>-3.545203111789097</v>
      </c>
      <c r="AB76" s="2">
        <f t="shared" ca="1" si="89"/>
        <v>-3.9967013560595044</v>
      </c>
      <c r="AC76" s="2">
        <f t="shared" ca="1" si="90"/>
        <v>-4.7305066156461955</v>
      </c>
      <c r="AD76" s="2">
        <f t="shared" ca="1" si="91"/>
        <v>-3.6533766780385482</v>
      </c>
      <c r="AE76" s="2">
        <f t="array" aca="1" ref="AE76" ca="1">MMULT(P76:U76,$AL$5:$AL$10)</f>
        <v>-2.715385625759247</v>
      </c>
    </row>
    <row r="77" spans="1:31" x14ac:dyDescent="0.2">
      <c r="W77" s="2"/>
      <c r="X77" s="2"/>
      <c r="Y77" s="2"/>
      <c r="AA77" s="2"/>
      <c r="AB77" s="2"/>
      <c r="AC77" s="2"/>
    </row>
    <row r="78" spans="1:31" x14ac:dyDescent="0.2">
      <c r="W78" s="2"/>
      <c r="X78" s="2"/>
      <c r="Y78" s="2"/>
      <c r="AA78" s="2"/>
      <c r="AB78" s="2"/>
      <c r="AC78" s="2"/>
    </row>
    <row r="79" spans="1:31" x14ac:dyDescent="0.2">
      <c r="W79" s="2"/>
      <c r="X79" s="2"/>
      <c r="Y79" s="2"/>
      <c r="AA79" s="2"/>
      <c r="AB79" s="2"/>
      <c r="AC79" s="2"/>
    </row>
    <row r="80" spans="1:31" x14ac:dyDescent="0.2">
      <c r="W80" s="2"/>
      <c r="X80" s="2"/>
      <c r="Y80" s="2"/>
      <c r="AA80" s="2"/>
      <c r="AB80" s="2"/>
      <c r="AC80" s="2"/>
    </row>
    <row r="81" spans="23:29" x14ac:dyDescent="0.2">
      <c r="W81" s="2"/>
      <c r="X81" s="2"/>
      <c r="Y81" s="2"/>
      <c r="AA81" s="2"/>
      <c r="AB81" s="2"/>
      <c r="AC81" s="2"/>
    </row>
    <row r="82" spans="23:29" x14ac:dyDescent="0.2">
      <c r="W82" s="2"/>
      <c r="X82" s="2"/>
      <c r="Y82" s="2"/>
      <c r="AA82" s="2"/>
      <c r="AB82" s="2"/>
      <c r="AC82" s="2"/>
    </row>
    <row r="83" spans="23:29" x14ac:dyDescent="0.2">
      <c r="W83" s="2"/>
      <c r="X83" s="2"/>
      <c r="Y83" s="2"/>
      <c r="AA83" s="2"/>
      <c r="AB83" s="2"/>
      <c r="AC83" s="2"/>
    </row>
    <row r="84" spans="23:29" x14ac:dyDescent="0.2">
      <c r="W84" s="2"/>
      <c r="X84" s="2"/>
      <c r="Y84" s="2"/>
      <c r="AA84" s="2"/>
      <c r="AB84" s="2"/>
      <c r="AC84" s="2"/>
    </row>
    <row r="85" spans="23:29" x14ac:dyDescent="0.2">
      <c r="W85" s="2"/>
      <c r="X85" s="2"/>
      <c r="Y85" s="2"/>
      <c r="AA85" s="2"/>
      <c r="AB85" s="2"/>
      <c r="AC85" s="2"/>
    </row>
    <row r="86" spans="23:29" x14ac:dyDescent="0.2">
      <c r="W86" s="2"/>
      <c r="X86" s="2"/>
      <c r="Y86" s="2"/>
      <c r="AA86" s="2"/>
      <c r="AB86" s="2"/>
      <c r="AC86" s="2"/>
    </row>
    <row r="87" spans="23:29" x14ac:dyDescent="0.2">
      <c r="W87" s="2"/>
      <c r="X87" s="2"/>
      <c r="Y87" s="2"/>
      <c r="AA87" s="2"/>
      <c r="AB87" s="2"/>
      <c r="AC87" s="2"/>
    </row>
    <row r="88" spans="23:29" x14ac:dyDescent="0.2">
      <c r="W88" s="2"/>
      <c r="X88" s="2"/>
      <c r="Y88" s="2"/>
      <c r="AA88" s="2"/>
      <c r="AB88" s="2"/>
      <c r="AC88" s="2"/>
    </row>
    <row r="89" spans="23:29" x14ac:dyDescent="0.2">
      <c r="W89" s="2"/>
      <c r="X89" s="2"/>
      <c r="Y89" s="2"/>
      <c r="AA89" s="2"/>
      <c r="AB89" s="2"/>
      <c r="AC89" s="2"/>
    </row>
    <row r="90" spans="23:29" x14ac:dyDescent="0.2">
      <c r="W90" s="2"/>
      <c r="X90" s="2"/>
      <c r="Y90" s="2"/>
      <c r="AA90" s="2"/>
      <c r="AB90" s="2"/>
      <c r="AC90" s="2"/>
    </row>
    <row r="91" spans="23:29" x14ac:dyDescent="0.2">
      <c r="W91" s="2"/>
      <c r="X91" s="2"/>
      <c r="Y91" s="2"/>
      <c r="AA91" s="2"/>
      <c r="AB91" s="2"/>
      <c r="AC91" s="2"/>
    </row>
    <row r="92" spans="23:29" x14ac:dyDescent="0.2">
      <c r="W92" s="2"/>
      <c r="X92" s="2"/>
      <c r="Y92" s="2"/>
      <c r="AA92" s="2"/>
      <c r="AB92" s="2"/>
      <c r="AC92" s="2"/>
    </row>
    <row r="93" spans="23:29" x14ac:dyDescent="0.2">
      <c r="W93" s="2"/>
      <c r="X93" s="2"/>
      <c r="Y93" s="2"/>
      <c r="AA93" s="2"/>
      <c r="AB93" s="2"/>
      <c r="AC93" s="2"/>
    </row>
    <row r="94" spans="23:29" x14ac:dyDescent="0.2">
      <c r="W94" s="2"/>
      <c r="X94" s="2"/>
      <c r="Y94" s="2"/>
      <c r="AA94" s="2"/>
      <c r="AB94" s="2"/>
      <c r="AC94" s="2"/>
    </row>
    <row r="95" spans="23:29" x14ac:dyDescent="0.2">
      <c r="W95" s="2"/>
      <c r="X95" s="2"/>
      <c r="Y95" s="2"/>
      <c r="AA95" s="2"/>
      <c r="AB95" s="2"/>
      <c r="AC95" s="2"/>
    </row>
    <row r="96" spans="23:29" x14ac:dyDescent="0.2">
      <c r="W96" s="2"/>
      <c r="X96" s="2"/>
      <c r="Y96" s="2"/>
      <c r="AA96" s="2"/>
      <c r="AB96" s="2"/>
      <c r="AC96" s="2"/>
    </row>
    <row r="97" spans="23:29" x14ac:dyDescent="0.2">
      <c r="W97" s="2"/>
      <c r="X97" s="2"/>
      <c r="Y97" s="2"/>
      <c r="AA97" s="2"/>
      <c r="AB97" s="2"/>
      <c r="AC97" s="2"/>
    </row>
    <row r="98" spans="23:29" x14ac:dyDescent="0.2">
      <c r="W98" s="2"/>
      <c r="X98" s="2"/>
      <c r="Y98" s="2"/>
      <c r="AA98" s="2"/>
      <c r="AB98" s="2"/>
      <c r="AC98" s="2"/>
    </row>
    <row r="99" spans="23:29" x14ac:dyDescent="0.2">
      <c r="W99" s="2"/>
      <c r="X99" s="2"/>
      <c r="Y99" s="2"/>
      <c r="AA99" s="2"/>
      <c r="AB99" s="2"/>
      <c r="AC99" s="2"/>
    </row>
    <row r="100" spans="23:29" x14ac:dyDescent="0.2">
      <c r="W100" s="2"/>
      <c r="X100" s="2"/>
      <c r="Y100" s="2"/>
      <c r="AA100" s="2"/>
      <c r="AB100" s="2"/>
      <c r="AC100" s="2"/>
    </row>
    <row r="101" spans="23:29" x14ac:dyDescent="0.2">
      <c r="W101" s="2"/>
      <c r="X101" s="2"/>
      <c r="Y101" s="2"/>
      <c r="AA101" s="2"/>
      <c r="AB101" s="2"/>
      <c r="AC101" s="2"/>
    </row>
    <row r="102" spans="23:29" x14ac:dyDescent="0.2">
      <c r="W102" s="2"/>
      <c r="X102" s="2"/>
      <c r="Y102" s="2"/>
      <c r="AA102" s="2"/>
      <c r="AB102" s="2"/>
      <c r="AC102" s="2"/>
    </row>
    <row r="103" spans="23:29" x14ac:dyDescent="0.2">
      <c r="W103" s="2"/>
      <c r="X103" s="2"/>
      <c r="Y103" s="2"/>
      <c r="AA103" s="2"/>
      <c r="AB103" s="2"/>
      <c r="AC103" s="2"/>
    </row>
    <row r="104" spans="23:29" x14ac:dyDescent="0.2">
      <c r="W104" s="2"/>
      <c r="X104" s="2"/>
      <c r="Y104" s="2"/>
      <c r="AA104" s="2"/>
      <c r="AB104" s="2"/>
      <c r="AC104" s="2"/>
    </row>
    <row r="105" spans="23:29" x14ac:dyDescent="0.2">
      <c r="W105" s="2"/>
      <c r="X105" s="2"/>
      <c r="Y105" s="2"/>
      <c r="AA105" s="2"/>
      <c r="AB105" s="2"/>
      <c r="AC105" s="2"/>
    </row>
    <row r="106" spans="23:29" x14ac:dyDescent="0.2">
      <c r="W106" s="2"/>
      <c r="X106" s="2"/>
      <c r="Y106" s="2"/>
      <c r="AA106" s="2"/>
      <c r="AB106" s="2"/>
      <c r="AC106" s="2"/>
    </row>
    <row r="107" spans="23:29" x14ac:dyDescent="0.2">
      <c r="W107" s="2"/>
      <c r="X107" s="2"/>
      <c r="Y107" s="2"/>
      <c r="AA107" s="2"/>
      <c r="AB107" s="2"/>
      <c r="AC107" s="2"/>
    </row>
    <row r="108" spans="23:29" x14ac:dyDescent="0.2">
      <c r="W108" s="2"/>
      <c r="X108" s="2"/>
      <c r="Y108" s="2"/>
      <c r="AA108" s="2"/>
      <c r="AB108" s="2"/>
      <c r="AC108" s="2"/>
    </row>
    <row r="109" spans="23:29" x14ac:dyDescent="0.2">
      <c r="W109" s="2"/>
      <c r="X109" s="2"/>
      <c r="Y109" s="2"/>
      <c r="AA109" s="2"/>
      <c r="AB109" s="2"/>
      <c r="AC109" s="2"/>
    </row>
    <row r="110" spans="23:29" x14ac:dyDescent="0.2">
      <c r="W110" s="2"/>
      <c r="X110" s="2"/>
      <c r="Y110" s="2"/>
      <c r="AA110" s="2"/>
      <c r="AB110" s="2"/>
      <c r="AC110" s="2"/>
    </row>
    <row r="111" spans="23:29" x14ac:dyDescent="0.2">
      <c r="W111" s="2"/>
      <c r="X111" s="2"/>
      <c r="Y111" s="2"/>
      <c r="AA111" s="2"/>
      <c r="AB111" s="2"/>
      <c r="AC111" s="2"/>
    </row>
    <row r="112" spans="23:29" x14ac:dyDescent="0.2">
      <c r="W112" s="2"/>
      <c r="X112" s="2"/>
      <c r="Y112" s="2"/>
      <c r="AA112" s="2"/>
      <c r="AB112" s="2"/>
      <c r="AC112" s="2"/>
    </row>
    <row r="113" spans="23:29" x14ac:dyDescent="0.2">
      <c r="W113" s="2"/>
      <c r="X113" s="2"/>
      <c r="Y113" s="2"/>
      <c r="AA113" s="2"/>
      <c r="AB113" s="2"/>
      <c r="AC113" s="2"/>
    </row>
    <row r="114" spans="23:29" x14ac:dyDescent="0.2">
      <c r="W114" s="2"/>
      <c r="X114" s="2"/>
      <c r="Y114" s="2"/>
      <c r="AA114" s="2"/>
      <c r="AB114" s="2"/>
      <c r="AC114" s="2"/>
    </row>
    <row r="115" spans="23:29" x14ac:dyDescent="0.2">
      <c r="W115" s="2"/>
      <c r="X115" s="2"/>
      <c r="Y115" s="2"/>
      <c r="AA115" s="2"/>
      <c r="AB115" s="2"/>
      <c r="AC115" s="2"/>
    </row>
    <row r="116" spans="23:29" x14ac:dyDescent="0.2">
      <c r="W116" s="2"/>
      <c r="X116" s="2"/>
      <c r="Y116" s="2"/>
      <c r="AA116" s="2"/>
      <c r="AB116" s="2"/>
      <c r="AC116" s="2"/>
    </row>
    <row r="117" spans="23:29" x14ac:dyDescent="0.2">
      <c r="W117" s="2"/>
      <c r="X117" s="2"/>
      <c r="Y117" s="2"/>
      <c r="AA117" s="2"/>
      <c r="AB117" s="2"/>
      <c r="AC117" s="2"/>
    </row>
    <row r="118" spans="23:29" x14ac:dyDescent="0.2">
      <c r="W118" s="2"/>
      <c r="X118" s="2"/>
      <c r="Y118" s="2"/>
      <c r="AA118" s="2"/>
      <c r="AB118" s="2"/>
      <c r="AC118" s="2"/>
    </row>
    <row r="119" spans="23:29" x14ac:dyDescent="0.2">
      <c r="W119" s="2"/>
      <c r="X119" s="2"/>
      <c r="Y119" s="2"/>
      <c r="AA119" s="2"/>
      <c r="AB119" s="2"/>
      <c r="AC119" s="2"/>
    </row>
    <row r="120" spans="23:29" x14ac:dyDescent="0.2">
      <c r="W120" s="2"/>
      <c r="X120" s="2"/>
      <c r="Y120" s="2"/>
      <c r="AA120" s="2"/>
      <c r="AB120" s="2"/>
      <c r="AC120" s="2"/>
    </row>
    <row r="121" spans="23:29" x14ac:dyDescent="0.2">
      <c r="W121" s="2"/>
      <c r="X121" s="2"/>
      <c r="Y121" s="2"/>
      <c r="AA121" s="2"/>
      <c r="AB121" s="2"/>
      <c r="AC121" s="2"/>
    </row>
    <row r="122" spans="23:29" x14ac:dyDescent="0.2">
      <c r="W122" s="2"/>
      <c r="X122" s="2"/>
      <c r="Y122" s="2"/>
      <c r="AA122" s="2"/>
      <c r="AB122" s="2"/>
      <c r="AC122" s="2"/>
    </row>
    <row r="123" spans="23:29" x14ac:dyDescent="0.2">
      <c r="W123" s="2"/>
      <c r="X123" s="2"/>
      <c r="Y123" s="2"/>
      <c r="AA123" s="2"/>
      <c r="AB123" s="2"/>
      <c r="AC123" s="2"/>
    </row>
    <row r="124" spans="23:29" x14ac:dyDescent="0.2">
      <c r="W124" s="2"/>
      <c r="X124" s="2"/>
      <c r="Y124" s="2"/>
      <c r="AA124" s="2"/>
      <c r="AB124" s="2"/>
      <c r="AC124" s="2"/>
    </row>
    <row r="125" spans="23:29" x14ac:dyDescent="0.2">
      <c r="W125" s="2"/>
      <c r="X125" s="2"/>
      <c r="Y125" s="2"/>
      <c r="AA125" s="2"/>
      <c r="AB125" s="2"/>
      <c r="AC125" s="2"/>
    </row>
    <row r="126" spans="23:29" x14ac:dyDescent="0.2">
      <c r="W126" s="2"/>
      <c r="X126" s="2"/>
      <c r="Y126" s="2"/>
      <c r="AA126" s="2"/>
      <c r="AB126" s="2"/>
      <c r="AC126" s="2"/>
    </row>
    <row r="127" spans="23:29" x14ac:dyDescent="0.2">
      <c r="W127" s="2"/>
      <c r="X127" s="2"/>
      <c r="Y127" s="2"/>
      <c r="AA127" s="2"/>
      <c r="AB127" s="2"/>
      <c r="AC127" s="2"/>
    </row>
    <row r="128" spans="23:29" x14ac:dyDescent="0.2">
      <c r="W128" s="2"/>
      <c r="X128" s="2"/>
      <c r="Y128" s="2"/>
      <c r="AA128" s="2"/>
      <c r="AB128" s="2"/>
      <c r="AC128" s="2"/>
    </row>
    <row r="129" spans="23:29" x14ac:dyDescent="0.2">
      <c r="W129" s="2"/>
      <c r="X129" s="2"/>
      <c r="Y129" s="2"/>
      <c r="AA129" s="2"/>
      <c r="AB129" s="2"/>
      <c r="AC129" s="2"/>
    </row>
    <row r="130" spans="23:29" x14ac:dyDescent="0.2">
      <c r="W130" s="2"/>
      <c r="X130" s="2"/>
      <c r="Y130" s="2"/>
      <c r="AA130" s="2"/>
      <c r="AB130" s="2"/>
      <c r="AC130" s="2"/>
    </row>
    <row r="131" spans="23:29" x14ac:dyDescent="0.2">
      <c r="W131" s="2"/>
      <c r="X131" s="2"/>
      <c r="Y131" s="2"/>
      <c r="AA131" s="2"/>
      <c r="AB131" s="2"/>
      <c r="AC131" s="2"/>
    </row>
    <row r="132" spans="23:29" x14ac:dyDescent="0.2">
      <c r="W132" s="2"/>
      <c r="X132" s="2"/>
      <c r="Y132" s="2"/>
      <c r="AA132" s="2"/>
      <c r="AB132" s="2"/>
      <c r="AC132" s="2"/>
    </row>
    <row r="133" spans="23:29" x14ac:dyDescent="0.2">
      <c r="W133" s="2"/>
      <c r="X133" s="2"/>
      <c r="Y133" s="2"/>
      <c r="AA133" s="2"/>
      <c r="AB133" s="2"/>
      <c r="AC133" s="2"/>
    </row>
    <row r="134" spans="23:29" x14ac:dyDescent="0.2">
      <c r="W134" s="2"/>
      <c r="X134" s="2"/>
      <c r="Y134" s="2"/>
      <c r="AA134" s="2"/>
      <c r="AB134" s="2"/>
      <c r="AC134" s="2"/>
    </row>
    <row r="135" spans="23:29" x14ac:dyDescent="0.2">
      <c r="W135" s="2"/>
      <c r="X135" s="2"/>
      <c r="Y135" s="2"/>
      <c r="AA135" s="2"/>
      <c r="AB135" s="2"/>
      <c r="AC135" s="2"/>
    </row>
    <row r="136" spans="23:29" x14ac:dyDescent="0.2">
      <c r="W136" s="2"/>
      <c r="X136" s="2"/>
      <c r="Y136" s="2"/>
      <c r="AA136" s="2"/>
      <c r="AB136" s="2"/>
      <c r="AC136" s="2"/>
    </row>
    <row r="137" spans="23:29" x14ac:dyDescent="0.2">
      <c r="W137" s="2"/>
      <c r="X137" s="2"/>
      <c r="Y137" s="2"/>
      <c r="AA137" s="2"/>
      <c r="AB137" s="2"/>
      <c r="AC137" s="2"/>
    </row>
    <row r="138" spans="23:29" x14ac:dyDescent="0.2">
      <c r="W138" s="2"/>
      <c r="X138" s="2"/>
      <c r="Y138" s="2"/>
      <c r="AA138" s="2"/>
      <c r="AB138" s="2"/>
      <c r="AC138" s="2"/>
    </row>
    <row r="139" spans="23:29" x14ac:dyDescent="0.2">
      <c r="W139" s="2"/>
      <c r="X139" s="2"/>
      <c r="Y139" s="2"/>
      <c r="AA139" s="2"/>
      <c r="AB139" s="2"/>
      <c r="AC139" s="2"/>
    </row>
    <row r="140" spans="23:29" x14ac:dyDescent="0.2">
      <c r="W140" s="2"/>
      <c r="X140" s="2"/>
      <c r="Y140" s="2"/>
      <c r="AA140" s="2"/>
      <c r="AB140" s="2"/>
      <c r="AC140" s="2"/>
    </row>
    <row r="141" spans="23:29" x14ac:dyDescent="0.2">
      <c r="W141" s="2"/>
      <c r="X141" s="2"/>
      <c r="Y141" s="2"/>
      <c r="AA141" s="2"/>
      <c r="AB141" s="2"/>
      <c r="AC141" s="2"/>
    </row>
    <row r="142" spans="23:29" x14ac:dyDescent="0.2">
      <c r="W142" s="2"/>
      <c r="X142" s="2"/>
      <c r="Y142" s="2"/>
      <c r="AA142" s="2"/>
      <c r="AB142" s="2"/>
      <c r="AC142" s="2"/>
    </row>
    <row r="143" spans="23:29" x14ac:dyDescent="0.2">
      <c r="W143" s="2"/>
      <c r="X143" s="2"/>
      <c r="Y143" s="2"/>
      <c r="AA143" s="2"/>
      <c r="AB143" s="2"/>
      <c r="AC143" s="2"/>
    </row>
    <row r="144" spans="23:29" x14ac:dyDescent="0.2">
      <c r="W144" s="2"/>
      <c r="X144" s="2"/>
      <c r="Y144" s="2"/>
      <c r="AA144" s="2"/>
      <c r="AB144" s="2"/>
      <c r="AC144" s="2"/>
    </row>
    <row r="145" spans="23:29" x14ac:dyDescent="0.2">
      <c r="W145" s="2"/>
      <c r="X145" s="2"/>
      <c r="Y145" s="2"/>
      <c r="AA145" s="2"/>
      <c r="AB145" s="2"/>
      <c r="AC145" s="2"/>
    </row>
    <row r="146" spans="23:29" x14ac:dyDescent="0.2">
      <c r="W146" s="2"/>
      <c r="X146" s="2"/>
      <c r="Y146" s="2"/>
      <c r="AA146" s="2"/>
      <c r="AB146" s="2"/>
      <c r="AC146" s="2"/>
    </row>
    <row r="147" spans="23:29" x14ac:dyDescent="0.2">
      <c r="W147" s="2"/>
      <c r="X147" s="2"/>
      <c r="Y147" s="2"/>
      <c r="AA147" s="2"/>
      <c r="AB147" s="2"/>
      <c r="AC147" s="2"/>
    </row>
    <row r="148" spans="23:29" x14ac:dyDescent="0.2">
      <c r="W148" s="2"/>
      <c r="X148" s="2"/>
      <c r="Y148" s="2"/>
      <c r="AA148" s="2"/>
      <c r="AB148" s="2"/>
      <c r="AC148" s="2"/>
    </row>
    <row r="149" spans="23:29" x14ac:dyDescent="0.2">
      <c r="W149" s="2"/>
      <c r="X149" s="2"/>
      <c r="Y149" s="2"/>
      <c r="AA149" s="2"/>
      <c r="AB149" s="2"/>
      <c r="AC149" s="2"/>
    </row>
    <row r="150" spans="23:29" x14ac:dyDescent="0.2">
      <c r="W150" s="2"/>
      <c r="X150" s="2"/>
      <c r="Y150" s="2"/>
      <c r="AA150" s="2"/>
      <c r="AB150" s="2"/>
      <c r="AC150" s="2"/>
    </row>
    <row r="151" spans="23:29" x14ac:dyDescent="0.2">
      <c r="W151" s="2"/>
      <c r="X151" s="2"/>
      <c r="Y151" s="2"/>
      <c r="AA151" s="2"/>
      <c r="AB151" s="2"/>
      <c r="AC151" s="2"/>
    </row>
    <row r="152" spans="23:29" x14ac:dyDescent="0.2">
      <c r="W152" s="2"/>
      <c r="X152" s="2"/>
      <c r="Y152" s="2"/>
      <c r="AA152" s="2"/>
      <c r="AB152" s="2"/>
      <c r="AC152" s="2"/>
    </row>
    <row r="153" spans="23:29" x14ac:dyDescent="0.2">
      <c r="W153" s="2"/>
      <c r="X153" s="2"/>
      <c r="Y153" s="2"/>
      <c r="AA153" s="2"/>
      <c r="AB153" s="2"/>
      <c r="AC153" s="2"/>
    </row>
    <row r="154" spans="23:29" x14ac:dyDescent="0.2">
      <c r="W154" s="2"/>
      <c r="X154" s="2"/>
      <c r="Y154" s="2"/>
      <c r="AA154" s="2"/>
      <c r="AB154" s="2"/>
      <c r="AC154" s="2"/>
    </row>
    <row r="155" spans="23:29" x14ac:dyDescent="0.2">
      <c r="W155" s="2"/>
      <c r="X155" s="2"/>
      <c r="Y155" s="2"/>
      <c r="AA155" s="2"/>
      <c r="AB155" s="2"/>
      <c r="AC155" s="2"/>
    </row>
    <row r="156" spans="23:29" x14ac:dyDescent="0.2">
      <c r="W156" s="2"/>
      <c r="X156" s="2"/>
      <c r="Y156" s="2"/>
      <c r="AA156" s="2"/>
      <c r="AB156" s="2"/>
      <c r="AC156" s="2"/>
    </row>
    <row r="157" spans="23:29" x14ac:dyDescent="0.2">
      <c r="W157" s="2"/>
      <c r="X157" s="2"/>
      <c r="Y157" s="2"/>
      <c r="AA157" s="2"/>
      <c r="AB157" s="2"/>
      <c r="AC157" s="2"/>
    </row>
    <row r="158" spans="23:29" x14ac:dyDescent="0.2">
      <c r="W158" s="2"/>
      <c r="X158" s="2"/>
      <c r="Y158" s="2"/>
      <c r="AA158" s="2"/>
      <c r="AB158" s="2"/>
      <c r="AC158" s="2"/>
    </row>
    <row r="159" spans="23:29" x14ac:dyDescent="0.2">
      <c r="W159" s="2"/>
      <c r="X159" s="2"/>
      <c r="Y159" s="2"/>
      <c r="AA159" s="2"/>
      <c r="AB159" s="2"/>
      <c r="AC159" s="2"/>
    </row>
    <row r="160" spans="23:29" x14ac:dyDescent="0.2">
      <c r="W160" s="2"/>
      <c r="X160" s="2"/>
      <c r="Y160" s="2"/>
      <c r="AA160" s="2"/>
      <c r="AB160" s="2"/>
      <c r="AC160" s="2"/>
    </row>
    <row r="161" spans="23:29" x14ac:dyDescent="0.2">
      <c r="W161" s="2"/>
      <c r="X161" s="2"/>
      <c r="Y161" s="2"/>
      <c r="AA161" s="2"/>
      <c r="AB161" s="2"/>
      <c r="AC161" s="2"/>
    </row>
    <row r="162" spans="23:29" x14ac:dyDescent="0.2">
      <c r="W162" s="2"/>
      <c r="X162" s="2"/>
      <c r="Y162" s="2"/>
      <c r="AA162" s="2"/>
      <c r="AB162" s="2"/>
      <c r="AC162" s="2"/>
    </row>
    <row r="163" spans="23:29" x14ac:dyDescent="0.2">
      <c r="W163" s="2"/>
      <c r="X163" s="2"/>
      <c r="Y163" s="2"/>
      <c r="AA163" s="2"/>
      <c r="AB163" s="2"/>
      <c r="AC163" s="2"/>
    </row>
    <row r="164" spans="23:29" x14ac:dyDescent="0.2">
      <c r="W164" s="2"/>
      <c r="X164" s="2"/>
      <c r="Y164" s="2"/>
      <c r="AA164" s="2"/>
      <c r="AB164" s="2"/>
      <c r="AC164" s="2"/>
    </row>
    <row r="165" spans="23:29" x14ac:dyDescent="0.2">
      <c r="W165" s="2"/>
      <c r="X165" s="2"/>
      <c r="Y165" s="2"/>
      <c r="AA165" s="2"/>
      <c r="AB165" s="2"/>
      <c r="AC165" s="2"/>
    </row>
    <row r="166" spans="23:29" x14ac:dyDescent="0.2">
      <c r="W166" s="2"/>
      <c r="X166" s="2"/>
      <c r="Y166" s="2"/>
      <c r="AA166" s="2"/>
      <c r="AB166" s="2"/>
      <c r="AC166" s="2"/>
    </row>
    <row r="167" spans="23:29" x14ac:dyDescent="0.2">
      <c r="W167" s="2"/>
      <c r="X167" s="2"/>
      <c r="Y167" s="2"/>
      <c r="AA167" s="2"/>
      <c r="AB167" s="2"/>
      <c r="AC167" s="2"/>
    </row>
    <row r="168" spans="23:29" x14ac:dyDescent="0.2">
      <c r="W168" s="2"/>
      <c r="X168" s="2"/>
      <c r="Y168" s="2"/>
      <c r="AA168" s="2"/>
      <c r="AB168" s="2"/>
      <c r="AC168" s="2"/>
    </row>
    <row r="169" spans="23:29" x14ac:dyDescent="0.2">
      <c r="W169" s="2"/>
      <c r="X169" s="2"/>
      <c r="Y169" s="2"/>
      <c r="AA169" s="2"/>
      <c r="AB169" s="2"/>
      <c r="AC169" s="2"/>
    </row>
    <row r="170" spans="23:29" x14ac:dyDescent="0.2">
      <c r="W170" s="2"/>
      <c r="X170" s="2"/>
      <c r="Y170" s="2"/>
      <c r="AA170" s="2"/>
      <c r="AB170" s="2"/>
      <c r="AC170" s="2"/>
    </row>
    <row r="171" spans="23:29" x14ac:dyDescent="0.2">
      <c r="W171" s="2"/>
      <c r="X171" s="2"/>
      <c r="Y171" s="2"/>
      <c r="AA171" s="2"/>
      <c r="AB171" s="2"/>
      <c r="AC171" s="2"/>
    </row>
    <row r="172" spans="23:29" x14ac:dyDescent="0.2">
      <c r="W172" s="2"/>
      <c r="X172" s="2"/>
      <c r="Y172" s="2"/>
      <c r="AA172" s="2"/>
      <c r="AB172" s="2"/>
      <c r="AC172" s="2"/>
    </row>
    <row r="173" spans="23:29" x14ac:dyDescent="0.2">
      <c r="W173" s="2"/>
      <c r="X173" s="2"/>
      <c r="Y173" s="2"/>
      <c r="AA173" s="2"/>
      <c r="AB173" s="2"/>
      <c r="AC173" s="2"/>
    </row>
    <row r="174" spans="23:29" x14ac:dyDescent="0.2">
      <c r="W174" s="2"/>
      <c r="X174" s="2"/>
      <c r="Y174" s="2"/>
      <c r="AA174" s="2"/>
      <c r="AB174" s="2"/>
      <c r="AC174" s="2"/>
    </row>
    <row r="175" spans="23:29" x14ac:dyDescent="0.2">
      <c r="W175" s="2"/>
      <c r="X175" s="2"/>
      <c r="Y175" s="2"/>
      <c r="AA175" s="2"/>
      <c r="AB175" s="2"/>
      <c r="AC175" s="2"/>
    </row>
    <row r="176" spans="23:29" x14ac:dyDescent="0.2">
      <c r="W176" s="2"/>
      <c r="X176" s="2"/>
      <c r="Y176" s="2"/>
      <c r="AA176" s="2"/>
      <c r="AB176" s="2"/>
      <c r="AC176" s="2"/>
    </row>
    <row r="177" spans="23:29" x14ac:dyDescent="0.2">
      <c r="W177" s="2"/>
      <c r="X177" s="2"/>
      <c r="Y177" s="2"/>
      <c r="AA177" s="2"/>
      <c r="AB177" s="2"/>
      <c r="AC177" s="2"/>
    </row>
    <row r="178" spans="23:29" x14ac:dyDescent="0.2">
      <c r="W178" s="2"/>
      <c r="X178" s="2"/>
      <c r="Y178" s="2"/>
      <c r="AA178" s="2"/>
      <c r="AB178" s="2"/>
      <c r="AC178" s="2"/>
    </row>
    <row r="179" spans="23:29" x14ac:dyDescent="0.2">
      <c r="W179" s="2"/>
      <c r="X179" s="2"/>
      <c r="Y179" s="2"/>
      <c r="AA179" s="2"/>
      <c r="AB179" s="2"/>
      <c r="AC179" s="2"/>
    </row>
    <row r="180" spans="23:29" x14ac:dyDescent="0.2">
      <c r="W180" s="2"/>
      <c r="X180" s="2"/>
      <c r="Y180" s="2"/>
      <c r="AA180" s="2"/>
      <c r="AB180" s="2"/>
      <c r="AC180" s="2"/>
    </row>
    <row r="181" spans="23:29" x14ac:dyDescent="0.2">
      <c r="W181" s="2"/>
      <c r="X181" s="2"/>
      <c r="Y181" s="2"/>
      <c r="AA181" s="2"/>
      <c r="AB181" s="2"/>
      <c r="AC181" s="2"/>
    </row>
    <row r="182" spans="23:29" x14ac:dyDescent="0.2">
      <c r="W182" s="2"/>
      <c r="X182" s="2"/>
      <c r="Y182" s="2"/>
      <c r="AA182" s="2"/>
      <c r="AB182" s="2"/>
      <c r="AC182" s="2"/>
    </row>
    <row r="183" spans="23:29" x14ac:dyDescent="0.2">
      <c r="W183" s="2"/>
      <c r="X183" s="2"/>
      <c r="Y183" s="2"/>
      <c r="AA183" s="2"/>
      <c r="AB183" s="2"/>
      <c r="AC183" s="2"/>
    </row>
    <row r="184" spans="23:29" x14ac:dyDescent="0.2">
      <c r="W184" s="2"/>
      <c r="X184" s="2"/>
      <c r="Y184" s="2"/>
      <c r="AA184" s="2"/>
      <c r="AB184" s="2"/>
      <c r="AC184" s="2"/>
    </row>
    <row r="185" spans="23:29" x14ac:dyDescent="0.2">
      <c r="W185" s="2"/>
      <c r="X185" s="2"/>
      <c r="Y185" s="2"/>
      <c r="AA185" s="2"/>
      <c r="AB185" s="2"/>
      <c r="AC185" s="2"/>
    </row>
    <row r="186" spans="23:29" x14ac:dyDescent="0.2">
      <c r="W186" s="2"/>
      <c r="X186" s="2"/>
      <c r="Y186" s="2"/>
      <c r="AA186" s="2"/>
      <c r="AB186" s="2"/>
      <c r="AC186" s="2"/>
    </row>
    <row r="187" spans="23:29" x14ac:dyDescent="0.2">
      <c r="W187" s="2"/>
      <c r="X187" s="2"/>
      <c r="Y187" s="2"/>
      <c r="AA187" s="2"/>
      <c r="AB187" s="2"/>
      <c r="AC187" s="2"/>
    </row>
    <row r="188" spans="23:29" x14ac:dyDescent="0.2">
      <c r="W188" s="2"/>
      <c r="X188" s="2"/>
      <c r="Y188" s="2"/>
      <c r="AA188" s="2"/>
      <c r="AB188" s="2"/>
      <c r="AC188" s="2"/>
    </row>
    <row r="189" spans="23:29" x14ac:dyDescent="0.2">
      <c r="W189" s="2"/>
      <c r="X189" s="2"/>
      <c r="Y189" s="2"/>
      <c r="AA189" s="2"/>
      <c r="AB189" s="2"/>
      <c r="AC189" s="2"/>
    </row>
    <row r="190" spans="23:29" x14ac:dyDescent="0.2">
      <c r="W190" s="2"/>
      <c r="X190" s="2"/>
      <c r="Y190" s="2"/>
      <c r="AA190" s="2"/>
      <c r="AB190" s="2"/>
      <c r="AC190" s="2"/>
    </row>
    <row r="191" spans="23:29" x14ac:dyDescent="0.2">
      <c r="W191" s="2"/>
      <c r="X191" s="2"/>
      <c r="Y191" s="2"/>
      <c r="AA191" s="2"/>
      <c r="AB191" s="2"/>
      <c r="AC191" s="2"/>
    </row>
    <row r="192" spans="23:29" x14ac:dyDescent="0.2">
      <c r="W192" s="2"/>
      <c r="X192" s="2"/>
      <c r="Y192" s="2"/>
      <c r="AA192" s="2"/>
      <c r="AB192" s="2"/>
      <c r="AC192" s="2"/>
    </row>
    <row r="193" spans="23:29" x14ac:dyDescent="0.2">
      <c r="W193" s="2"/>
      <c r="X193" s="2"/>
      <c r="Y193" s="2"/>
      <c r="AA193" s="2"/>
      <c r="AB193" s="2"/>
      <c r="AC193" s="2"/>
    </row>
    <row r="194" spans="23:29" x14ac:dyDescent="0.2">
      <c r="W194" s="2"/>
      <c r="X194" s="2"/>
      <c r="Y194" s="2"/>
      <c r="AA194" s="2"/>
      <c r="AB194" s="2"/>
      <c r="AC194" s="2"/>
    </row>
    <row r="195" spans="23:29" x14ac:dyDescent="0.2">
      <c r="W195" s="2"/>
      <c r="X195" s="2"/>
      <c r="Y195" s="2"/>
      <c r="AA195" s="2"/>
      <c r="AB195" s="2"/>
      <c r="AC195" s="2"/>
    </row>
    <row r="196" spans="23:29" x14ac:dyDescent="0.2">
      <c r="W196" s="2"/>
      <c r="X196" s="2"/>
      <c r="Y196" s="2"/>
      <c r="AA196" s="2"/>
      <c r="AB196" s="2"/>
      <c r="AC196" s="2"/>
    </row>
    <row r="197" spans="23:29" x14ac:dyDescent="0.2">
      <c r="W197" s="2"/>
      <c r="X197" s="2"/>
      <c r="Y197" s="2"/>
      <c r="AA197" s="2"/>
      <c r="AB197" s="2"/>
      <c r="AC197" s="2"/>
    </row>
    <row r="198" spans="23:29" x14ac:dyDescent="0.2">
      <c r="W198" s="2"/>
      <c r="X198" s="2"/>
      <c r="Y198" s="2"/>
      <c r="AA198" s="2"/>
      <c r="AB198" s="2"/>
      <c r="AC198" s="2"/>
    </row>
    <row r="199" spans="23:29" x14ac:dyDescent="0.2">
      <c r="W199" s="2"/>
      <c r="X199" s="2"/>
      <c r="Y199" s="2"/>
      <c r="AA199" s="2"/>
      <c r="AB199" s="2"/>
      <c r="AC199" s="2"/>
    </row>
    <row r="200" spans="23:29" x14ac:dyDescent="0.2">
      <c r="W200" s="2"/>
      <c r="X200" s="2"/>
      <c r="Y200" s="2"/>
      <c r="AA200" s="2"/>
      <c r="AB200" s="2"/>
      <c r="AC200" s="2"/>
    </row>
    <row r="201" spans="23:29" x14ac:dyDescent="0.2">
      <c r="W201" s="2"/>
      <c r="X201" s="2"/>
      <c r="Y201" s="2"/>
      <c r="AA201" s="2"/>
      <c r="AB201" s="2"/>
      <c r="AC201" s="2"/>
    </row>
    <row r="202" spans="23:29" x14ac:dyDescent="0.2">
      <c r="W202" s="2"/>
      <c r="X202" s="2"/>
      <c r="Y202" s="2"/>
      <c r="AA202" s="2"/>
      <c r="AB202" s="2"/>
      <c r="AC202" s="2"/>
    </row>
    <row r="203" spans="23:29" x14ac:dyDescent="0.2">
      <c r="W203" s="2"/>
      <c r="X203" s="2"/>
      <c r="Y203" s="2"/>
      <c r="AA203" s="2"/>
      <c r="AB203" s="2"/>
      <c r="AC203" s="2"/>
    </row>
    <row r="204" spans="23:29" x14ac:dyDescent="0.2">
      <c r="W204" s="2"/>
      <c r="X204" s="2"/>
      <c r="Y204" s="2"/>
      <c r="AA204" s="2"/>
      <c r="AB204" s="2"/>
      <c r="AC204" s="2"/>
    </row>
    <row r="205" spans="23:29" x14ac:dyDescent="0.2">
      <c r="W205" s="2"/>
      <c r="X205" s="2"/>
      <c r="Y205" s="2"/>
      <c r="AA205" s="2"/>
      <c r="AB205" s="2"/>
      <c r="AC205" s="2"/>
    </row>
    <row r="206" spans="23:29" x14ac:dyDescent="0.2">
      <c r="W206" s="2"/>
      <c r="X206" s="2"/>
      <c r="Y206" s="2"/>
      <c r="AA206" s="2"/>
      <c r="AB206" s="2"/>
      <c r="AC206" s="2"/>
    </row>
    <row r="207" spans="23:29" x14ac:dyDescent="0.2">
      <c r="W207" s="2"/>
      <c r="X207" s="2"/>
      <c r="Y207" s="2"/>
      <c r="AA207" s="2"/>
      <c r="AB207" s="2"/>
      <c r="AC207" s="2"/>
    </row>
    <row r="208" spans="23:29" x14ac:dyDescent="0.2">
      <c r="W208" s="2"/>
      <c r="X208" s="2"/>
      <c r="Y208" s="2"/>
      <c r="AA208" s="2"/>
      <c r="AB208" s="2"/>
      <c r="AC208" s="2"/>
    </row>
    <row r="209" spans="23:29" x14ac:dyDescent="0.2">
      <c r="W209" s="2"/>
      <c r="X209" s="2"/>
      <c r="Y209" s="2"/>
      <c r="AA209" s="2"/>
      <c r="AB209" s="2"/>
      <c r="AC209" s="2"/>
    </row>
    <row r="210" spans="23:29" x14ac:dyDescent="0.2">
      <c r="W210" s="2"/>
      <c r="X210" s="2"/>
      <c r="Y210" s="2"/>
      <c r="AA210" s="2"/>
      <c r="AB210" s="2"/>
      <c r="AC210" s="2"/>
    </row>
    <row r="211" spans="23:29" x14ac:dyDescent="0.2">
      <c r="W211" s="2"/>
      <c r="X211" s="2"/>
      <c r="Y211" s="2"/>
      <c r="AA211" s="2"/>
      <c r="AB211" s="2"/>
      <c r="AC211" s="2"/>
    </row>
    <row r="212" spans="23:29" x14ac:dyDescent="0.2">
      <c r="W212" s="2"/>
      <c r="X212" s="2"/>
      <c r="Y212" s="2"/>
      <c r="AA212" s="2"/>
      <c r="AB212" s="2"/>
      <c r="AC212" s="2"/>
    </row>
    <row r="213" spans="23:29" x14ac:dyDescent="0.2">
      <c r="W213" s="2"/>
      <c r="X213" s="2"/>
      <c r="Y213" s="2"/>
      <c r="AA213" s="2"/>
      <c r="AB213" s="2"/>
      <c r="AC213" s="2"/>
    </row>
    <row r="214" spans="23:29" x14ac:dyDescent="0.2">
      <c r="W214" s="2"/>
      <c r="X214" s="2"/>
      <c r="Y214" s="2"/>
      <c r="AA214" s="2"/>
      <c r="AB214" s="2"/>
      <c r="AC214" s="2"/>
    </row>
    <row r="215" spans="23:29" x14ac:dyDescent="0.2">
      <c r="W215" s="2"/>
      <c r="X215" s="2"/>
      <c r="Y215" s="2"/>
      <c r="AA215" s="2"/>
      <c r="AB215" s="2"/>
      <c r="AC215" s="2"/>
    </row>
    <row r="216" spans="23:29" x14ac:dyDescent="0.2">
      <c r="W216" s="2"/>
      <c r="X216" s="2"/>
      <c r="Y216" s="2"/>
      <c r="AA216" s="2"/>
      <c r="AB216" s="2"/>
      <c r="AC216" s="2"/>
    </row>
    <row r="217" spans="23:29" x14ac:dyDescent="0.2">
      <c r="W217" s="2"/>
      <c r="X217" s="2"/>
      <c r="Y217" s="2"/>
      <c r="AA217" s="2"/>
      <c r="AB217" s="2"/>
      <c r="AC217" s="2"/>
    </row>
    <row r="218" spans="23:29" x14ac:dyDescent="0.2">
      <c r="W218" s="2"/>
      <c r="X218" s="2"/>
      <c r="Y218" s="2"/>
      <c r="AA218" s="2"/>
      <c r="AB218" s="2"/>
      <c r="AC218" s="2"/>
    </row>
    <row r="219" spans="23:29" x14ac:dyDescent="0.2">
      <c r="W219" s="2"/>
      <c r="X219" s="2"/>
      <c r="Y219" s="2"/>
      <c r="AA219" s="2"/>
      <c r="AB219" s="2"/>
      <c r="AC219" s="2"/>
    </row>
    <row r="220" spans="23:29" x14ac:dyDescent="0.2">
      <c r="W220" s="2"/>
      <c r="X220" s="2"/>
      <c r="Y220" s="2"/>
      <c r="AA220" s="2"/>
      <c r="AB220" s="2"/>
      <c r="AC220" s="2"/>
    </row>
    <row r="221" spans="23:29" x14ac:dyDescent="0.2">
      <c r="W221" s="2"/>
      <c r="X221" s="2"/>
      <c r="Y221" s="2"/>
      <c r="AA221" s="2"/>
      <c r="AB221" s="2"/>
      <c r="AC221" s="2"/>
    </row>
    <row r="222" spans="23:29" x14ac:dyDescent="0.2">
      <c r="W222" s="2"/>
      <c r="X222" s="2"/>
      <c r="Y222" s="2"/>
      <c r="AA222" s="2"/>
      <c r="AB222" s="2"/>
      <c r="AC222" s="2"/>
    </row>
    <row r="223" spans="23:29" x14ac:dyDescent="0.2">
      <c r="W223" s="2"/>
      <c r="X223" s="2"/>
      <c r="Y223" s="2"/>
      <c r="AA223" s="2"/>
      <c r="AB223" s="2"/>
      <c r="AC223" s="2"/>
    </row>
    <row r="224" spans="23:29" x14ac:dyDescent="0.2">
      <c r="W224" s="2"/>
      <c r="X224" s="2"/>
      <c r="Y224" s="2"/>
      <c r="AA224" s="2"/>
      <c r="AB224" s="2"/>
      <c r="AC224" s="2"/>
    </row>
    <row r="225" spans="23:29" x14ac:dyDescent="0.2">
      <c r="W225" s="2"/>
      <c r="X225" s="2"/>
      <c r="Y225" s="2"/>
      <c r="AA225" s="2"/>
      <c r="AB225" s="2"/>
      <c r="AC225" s="2"/>
    </row>
    <row r="226" spans="23:29" x14ac:dyDescent="0.2">
      <c r="W226" s="2"/>
      <c r="X226" s="2"/>
      <c r="Y226" s="2"/>
      <c r="AA226" s="2"/>
      <c r="AB226" s="2"/>
      <c r="AC226" s="2"/>
    </row>
    <row r="227" spans="23:29" x14ac:dyDescent="0.2">
      <c r="W227" s="2"/>
      <c r="X227" s="2"/>
      <c r="Y227" s="2"/>
      <c r="AA227" s="2"/>
      <c r="AB227" s="2"/>
      <c r="AC227" s="2"/>
    </row>
    <row r="228" spans="23:29" x14ac:dyDescent="0.2">
      <c r="W228" s="2"/>
      <c r="X228" s="2"/>
      <c r="Y228" s="2"/>
      <c r="AA228" s="2"/>
      <c r="AB228" s="2"/>
      <c r="AC228" s="2"/>
    </row>
    <row r="229" spans="23:29" x14ac:dyDescent="0.2">
      <c r="W229" s="2"/>
      <c r="X229" s="2"/>
      <c r="Y229" s="2"/>
      <c r="AA229" s="2"/>
      <c r="AB229" s="2"/>
      <c r="AC229" s="2"/>
    </row>
    <row r="230" spans="23:29" x14ac:dyDescent="0.2">
      <c r="W230" s="2"/>
      <c r="X230" s="2"/>
      <c r="Y230" s="2"/>
      <c r="AA230" s="2"/>
      <c r="AB230" s="2"/>
      <c r="AC230" s="2"/>
    </row>
    <row r="231" spans="23:29" x14ac:dyDescent="0.2">
      <c r="W231" s="2"/>
      <c r="X231" s="2"/>
      <c r="Y231" s="2"/>
      <c r="AA231" s="2"/>
      <c r="AB231" s="2"/>
      <c r="AC231" s="2"/>
    </row>
    <row r="232" spans="23:29" x14ac:dyDescent="0.2">
      <c r="W232" s="2"/>
      <c r="X232" s="2"/>
      <c r="Y232" s="2"/>
      <c r="AA232" s="2"/>
      <c r="AB232" s="2"/>
      <c r="AC232" s="2"/>
    </row>
    <row r="233" spans="23:29" x14ac:dyDescent="0.2">
      <c r="W233" s="2"/>
      <c r="X233" s="2"/>
      <c r="Y233" s="2"/>
      <c r="AA233" s="2"/>
      <c r="AB233" s="2"/>
      <c r="AC233" s="2"/>
    </row>
    <row r="234" spans="23:29" x14ac:dyDescent="0.2">
      <c r="W234" s="2"/>
      <c r="X234" s="2"/>
      <c r="Y234" s="2"/>
      <c r="AA234" s="2"/>
      <c r="AB234" s="2"/>
      <c r="AC234" s="2"/>
    </row>
    <row r="235" spans="23:29" x14ac:dyDescent="0.2">
      <c r="W235" s="2"/>
      <c r="X235" s="2"/>
      <c r="Y235" s="2"/>
      <c r="AA235" s="2"/>
      <c r="AB235" s="2"/>
      <c r="AC235" s="2"/>
    </row>
    <row r="236" spans="23:29" x14ac:dyDescent="0.2">
      <c r="W236" s="2"/>
      <c r="X236" s="2"/>
      <c r="Y236" s="2"/>
      <c r="AA236" s="2"/>
      <c r="AB236" s="2"/>
      <c r="AC236" s="2"/>
    </row>
    <row r="237" spans="23:29" x14ac:dyDescent="0.2">
      <c r="W237" s="2"/>
      <c r="X237" s="2"/>
      <c r="Y237" s="2"/>
      <c r="AA237" s="2"/>
      <c r="AB237" s="2"/>
      <c r="AC237" s="2"/>
    </row>
    <row r="238" spans="23:29" x14ac:dyDescent="0.2">
      <c r="W238" s="2"/>
      <c r="X238" s="2"/>
      <c r="Y238" s="2"/>
      <c r="AA238" s="2"/>
      <c r="AB238" s="2"/>
      <c r="AC238" s="2"/>
    </row>
    <row r="239" spans="23:29" x14ac:dyDescent="0.2">
      <c r="W239" s="2"/>
      <c r="X239" s="2"/>
      <c r="Y239" s="2"/>
      <c r="AA239" s="2"/>
      <c r="AB239" s="2"/>
      <c r="AC239" s="2"/>
    </row>
    <row r="240" spans="23:29" x14ac:dyDescent="0.2">
      <c r="W240" s="2"/>
      <c r="X240" s="2"/>
      <c r="Y240" s="2"/>
      <c r="AA240" s="2"/>
      <c r="AB240" s="2"/>
      <c r="AC240" s="2"/>
    </row>
    <row r="241" spans="23:29" x14ac:dyDescent="0.2">
      <c r="W241" s="2"/>
      <c r="X241" s="2"/>
      <c r="Y241" s="2"/>
      <c r="AA241" s="2"/>
      <c r="AB241" s="2"/>
      <c r="AC241" s="2"/>
    </row>
    <row r="242" spans="23:29" x14ac:dyDescent="0.2">
      <c r="W242" s="2"/>
      <c r="X242" s="2"/>
      <c r="Y242" s="2"/>
      <c r="AA242" s="2"/>
      <c r="AB242" s="2"/>
      <c r="AC242" s="2"/>
    </row>
    <row r="243" spans="23:29" x14ac:dyDescent="0.2">
      <c r="W243" s="2"/>
      <c r="X243" s="2"/>
      <c r="Y243" s="2"/>
      <c r="AA243" s="2"/>
      <c r="AB243" s="2"/>
      <c r="AC243" s="2"/>
    </row>
    <row r="244" spans="23:29" x14ac:dyDescent="0.2">
      <c r="W244" s="2"/>
      <c r="X244" s="2"/>
      <c r="Y244" s="2"/>
      <c r="AA244" s="2"/>
      <c r="AB244" s="2"/>
      <c r="AC244" s="2"/>
    </row>
    <row r="245" spans="23:29" x14ac:dyDescent="0.2">
      <c r="W245" s="2"/>
      <c r="X245" s="2"/>
      <c r="Y245" s="2"/>
      <c r="AA245" s="2"/>
      <c r="AB245" s="2"/>
      <c r="AC245" s="2"/>
    </row>
    <row r="246" spans="23:29" x14ac:dyDescent="0.2">
      <c r="W246" s="2"/>
      <c r="X246" s="2"/>
      <c r="Y246" s="2"/>
      <c r="AA246" s="2"/>
      <c r="AB246" s="2"/>
      <c r="AC246" s="2"/>
    </row>
    <row r="247" spans="23:29" x14ac:dyDescent="0.2">
      <c r="W247" s="2"/>
      <c r="X247" s="2"/>
      <c r="Y247" s="2"/>
      <c r="AA247" s="2"/>
      <c r="AB247" s="2"/>
      <c r="AC247" s="2"/>
    </row>
    <row r="248" spans="23:29" x14ac:dyDescent="0.2">
      <c r="W248" s="2"/>
      <c r="X248" s="2"/>
      <c r="Y248" s="2"/>
      <c r="AA248" s="2"/>
      <c r="AB248" s="2"/>
      <c r="AC248" s="2"/>
    </row>
    <row r="249" spans="23:29" x14ac:dyDescent="0.2">
      <c r="W249" s="2"/>
      <c r="X249" s="2"/>
      <c r="Y249" s="2"/>
      <c r="AA249" s="2"/>
      <c r="AB249" s="2"/>
      <c r="AC249" s="2"/>
    </row>
    <row r="250" spans="23:29" x14ac:dyDescent="0.2">
      <c r="W250" s="2"/>
      <c r="X250" s="2"/>
      <c r="Y250" s="2"/>
      <c r="AA250" s="2"/>
      <c r="AB250" s="2"/>
      <c r="AC250" s="2"/>
    </row>
    <row r="251" spans="23:29" x14ac:dyDescent="0.2">
      <c r="W251" s="2"/>
      <c r="X251" s="2"/>
      <c r="Y251" s="2"/>
      <c r="AA251" s="2"/>
      <c r="AB251" s="2"/>
      <c r="AC251" s="2"/>
    </row>
    <row r="252" spans="23:29" x14ac:dyDescent="0.2">
      <c r="W252" s="2"/>
      <c r="X252" s="2"/>
      <c r="Y252" s="2"/>
      <c r="AA252" s="2"/>
      <c r="AB252" s="2"/>
      <c r="AC252" s="2"/>
    </row>
    <row r="253" spans="23:29" x14ac:dyDescent="0.2">
      <c r="W253" s="2"/>
      <c r="X253" s="2"/>
      <c r="Y253" s="2"/>
      <c r="AA253" s="2"/>
      <c r="AB253" s="2"/>
      <c r="AC253" s="2"/>
    </row>
    <row r="254" spans="23:29" x14ac:dyDescent="0.2">
      <c r="W254" s="2"/>
      <c r="X254" s="2"/>
      <c r="Y254" s="2"/>
      <c r="AA254" s="2"/>
      <c r="AB254" s="2"/>
      <c r="AC254" s="2"/>
    </row>
    <row r="255" spans="23:29" x14ac:dyDescent="0.2">
      <c r="W255" s="2"/>
      <c r="X255" s="2"/>
      <c r="Y255" s="2"/>
      <c r="AA255" s="2"/>
      <c r="AB255" s="2"/>
      <c r="AC255" s="2"/>
    </row>
    <row r="256" spans="23:29" x14ac:dyDescent="0.2">
      <c r="W256" s="2"/>
      <c r="X256" s="2"/>
      <c r="Y256" s="2"/>
      <c r="AA256" s="2"/>
      <c r="AB256" s="2"/>
      <c r="AC256" s="2"/>
    </row>
    <row r="257" spans="23:29" x14ac:dyDescent="0.2">
      <c r="W257" s="2"/>
      <c r="X257" s="2"/>
      <c r="Y257" s="2"/>
      <c r="AA257" s="2"/>
      <c r="AB257" s="2"/>
      <c r="AC257" s="2"/>
    </row>
    <row r="258" spans="23:29" x14ac:dyDescent="0.2">
      <c r="W258" s="2"/>
      <c r="X258" s="2"/>
      <c r="Y258" s="2"/>
      <c r="AA258" s="2"/>
      <c r="AB258" s="2"/>
      <c r="AC258" s="2"/>
    </row>
    <row r="259" spans="23:29" x14ac:dyDescent="0.2">
      <c r="W259" s="2"/>
      <c r="X259" s="2"/>
      <c r="Y259" s="2"/>
      <c r="AA259" s="2"/>
      <c r="AB259" s="2"/>
      <c r="AC259" s="2"/>
    </row>
    <row r="260" spans="23:29" x14ac:dyDescent="0.2">
      <c r="W260" s="2"/>
      <c r="X260" s="2"/>
      <c r="Y260" s="2"/>
      <c r="AA260" s="2"/>
      <c r="AB260" s="2"/>
      <c r="AC260" s="2"/>
    </row>
    <row r="261" spans="23:29" x14ac:dyDescent="0.2">
      <c r="W261" s="2"/>
      <c r="X261" s="2"/>
      <c r="Y261" s="2"/>
      <c r="AA261" s="2"/>
      <c r="AB261" s="2"/>
      <c r="AC261" s="2"/>
    </row>
    <row r="262" spans="23:29" x14ac:dyDescent="0.2">
      <c r="W262" s="2"/>
      <c r="X262" s="2"/>
      <c r="Y262" s="2"/>
      <c r="AA262" s="2"/>
      <c r="AB262" s="2"/>
      <c r="AC262" s="2"/>
    </row>
    <row r="263" spans="23:29" x14ac:dyDescent="0.2">
      <c r="W263" s="2"/>
      <c r="X263" s="2"/>
      <c r="Y263" s="2"/>
      <c r="AA263" s="2"/>
      <c r="AB263" s="2"/>
      <c r="AC263" s="2"/>
    </row>
    <row r="264" spans="23:29" x14ac:dyDescent="0.2">
      <c r="W264" s="2"/>
      <c r="X264" s="2"/>
      <c r="Y264" s="2"/>
      <c r="AA264" s="2"/>
      <c r="AB264" s="2"/>
      <c r="AC264" s="2"/>
    </row>
    <row r="265" spans="23:29" x14ac:dyDescent="0.2">
      <c r="W265" s="2"/>
      <c r="X265" s="2"/>
      <c r="Y265" s="2"/>
      <c r="AA265" s="2"/>
      <c r="AB265" s="2"/>
      <c r="AC265" s="2"/>
    </row>
    <row r="266" spans="23:29" x14ac:dyDescent="0.2">
      <c r="W266" s="2"/>
      <c r="X266" s="2"/>
      <c r="Y266" s="2"/>
      <c r="AA266" s="2"/>
      <c r="AB266" s="2"/>
      <c r="AC266" s="2"/>
    </row>
    <row r="267" spans="23:29" x14ac:dyDescent="0.2">
      <c r="W267" s="2"/>
      <c r="X267" s="2"/>
      <c r="Y267" s="2"/>
      <c r="AA267" s="2"/>
      <c r="AB267" s="2"/>
      <c r="AC267" s="2"/>
    </row>
    <row r="268" spans="23:29" x14ac:dyDescent="0.2">
      <c r="W268" s="2"/>
      <c r="X268" s="2"/>
      <c r="Y268" s="2"/>
      <c r="AA268" s="2"/>
      <c r="AB268" s="2"/>
      <c r="AC268" s="2"/>
    </row>
    <row r="269" spans="23:29" x14ac:dyDescent="0.2">
      <c r="W269" s="2"/>
      <c r="X269" s="2"/>
      <c r="Y269" s="2"/>
      <c r="AA269" s="2"/>
      <c r="AB269" s="2"/>
      <c r="AC269" s="2"/>
    </row>
    <row r="270" spans="23:29" x14ac:dyDescent="0.2">
      <c r="W270" s="2"/>
      <c r="X270" s="2"/>
      <c r="Y270" s="2"/>
      <c r="AA270" s="2"/>
      <c r="AB270" s="2"/>
      <c r="AC270" s="2"/>
    </row>
    <row r="271" spans="23:29" x14ac:dyDescent="0.2">
      <c r="W271" s="2"/>
      <c r="X271" s="2"/>
      <c r="Y271" s="2"/>
      <c r="AA271" s="2"/>
      <c r="AB271" s="2"/>
      <c r="AC271" s="2"/>
    </row>
    <row r="272" spans="23:29" x14ac:dyDescent="0.2">
      <c r="W272" s="2"/>
      <c r="X272" s="2"/>
      <c r="Y272" s="2"/>
      <c r="AA272" s="2"/>
      <c r="AB272" s="2"/>
      <c r="AC272" s="2"/>
    </row>
    <row r="273" spans="23:29" x14ac:dyDescent="0.2">
      <c r="W273" s="2"/>
      <c r="X273" s="2"/>
      <c r="Y273" s="2"/>
      <c r="AA273" s="2"/>
      <c r="AB273" s="2"/>
      <c r="AC273" s="2"/>
    </row>
    <row r="274" spans="23:29" x14ac:dyDescent="0.2">
      <c r="W274" s="2"/>
      <c r="X274" s="2"/>
      <c r="Y274" s="2"/>
      <c r="AA274" s="2"/>
      <c r="AB274" s="2"/>
      <c r="AC274" s="2"/>
    </row>
    <row r="275" spans="23:29" x14ac:dyDescent="0.2">
      <c r="W275" s="2"/>
      <c r="X275" s="2"/>
      <c r="Y275" s="2"/>
      <c r="AA275" s="2"/>
      <c r="AB275" s="2"/>
      <c r="AC275" s="2"/>
    </row>
    <row r="276" spans="23:29" x14ac:dyDescent="0.2">
      <c r="W276" s="2"/>
      <c r="X276" s="2"/>
      <c r="Y276" s="2"/>
      <c r="AA276" s="2"/>
      <c r="AB276" s="2"/>
      <c r="AC276" s="2"/>
    </row>
    <row r="277" spans="23:29" x14ac:dyDescent="0.2">
      <c r="W277" s="2"/>
      <c r="X277" s="2"/>
      <c r="Y277" s="2"/>
      <c r="AA277" s="2"/>
      <c r="AB277" s="2"/>
      <c r="AC277" s="2"/>
    </row>
    <row r="278" spans="23:29" x14ac:dyDescent="0.2">
      <c r="W278" s="2"/>
      <c r="X278" s="2"/>
      <c r="Y278" s="2"/>
      <c r="AA278" s="2"/>
      <c r="AB278" s="2"/>
      <c r="AC278" s="2"/>
    </row>
    <row r="279" spans="23:29" x14ac:dyDescent="0.2">
      <c r="W279" s="2"/>
      <c r="X279" s="2"/>
      <c r="Y279" s="2"/>
      <c r="AA279" s="2"/>
      <c r="AB279" s="2"/>
      <c r="AC279" s="2"/>
    </row>
    <row r="280" spans="23:29" x14ac:dyDescent="0.2">
      <c r="W280" s="2"/>
      <c r="X280" s="2"/>
      <c r="Y280" s="2"/>
      <c r="AA280" s="2"/>
      <c r="AB280" s="2"/>
      <c r="AC280" s="2"/>
    </row>
    <row r="281" spans="23:29" x14ac:dyDescent="0.2">
      <c r="W281" s="2"/>
      <c r="X281" s="2"/>
      <c r="Y281" s="2"/>
      <c r="AA281" s="2"/>
      <c r="AB281" s="2"/>
      <c r="AC281" s="2"/>
    </row>
    <row r="282" spans="23:29" x14ac:dyDescent="0.2">
      <c r="W282" s="2"/>
      <c r="X282" s="2"/>
      <c r="Y282" s="2"/>
      <c r="AA282" s="2"/>
      <c r="AB282" s="2"/>
      <c r="AC282" s="2"/>
    </row>
    <row r="283" spans="23:29" x14ac:dyDescent="0.2">
      <c r="W283" s="2"/>
      <c r="X283" s="2"/>
      <c r="Y283" s="2"/>
      <c r="AA283" s="2"/>
      <c r="AB283" s="2"/>
      <c r="AC283" s="2"/>
    </row>
    <row r="284" spans="23:29" x14ac:dyDescent="0.2">
      <c r="W284" s="2"/>
      <c r="X284" s="2"/>
      <c r="Y284" s="2"/>
      <c r="AA284" s="2"/>
      <c r="AB284" s="2"/>
      <c r="AC284" s="2"/>
    </row>
    <row r="285" spans="23:29" x14ac:dyDescent="0.2">
      <c r="W285" s="2"/>
      <c r="X285" s="2"/>
      <c r="Y285" s="2"/>
      <c r="AA285" s="2"/>
      <c r="AB285" s="2"/>
      <c r="AC285" s="2"/>
    </row>
    <row r="286" spans="23:29" x14ac:dyDescent="0.2">
      <c r="W286" s="2"/>
      <c r="X286" s="2"/>
      <c r="Y286" s="2"/>
      <c r="AA286" s="2"/>
      <c r="AB286" s="2"/>
      <c r="AC286" s="2"/>
    </row>
    <row r="287" spans="23:29" x14ac:dyDescent="0.2">
      <c r="W287" s="2"/>
      <c r="X287" s="2"/>
      <c r="Y287" s="2"/>
      <c r="AA287" s="2"/>
      <c r="AB287" s="2"/>
      <c r="AC287" s="2"/>
    </row>
    <row r="288" spans="23:29" x14ac:dyDescent="0.2">
      <c r="W288" s="2"/>
      <c r="X288" s="2"/>
      <c r="Y288" s="2"/>
      <c r="AA288" s="2"/>
      <c r="AB288" s="2"/>
      <c r="AC288" s="2"/>
    </row>
    <row r="289" spans="23:29" x14ac:dyDescent="0.2">
      <c r="W289" s="2"/>
      <c r="X289" s="2"/>
      <c r="Y289" s="2"/>
      <c r="AA289" s="2"/>
      <c r="AB289" s="2"/>
      <c r="AC289" s="2"/>
    </row>
    <row r="290" spans="23:29" x14ac:dyDescent="0.2">
      <c r="W290" s="2"/>
      <c r="X290" s="2"/>
      <c r="Y290" s="2"/>
      <c r="AA290" s="2"/>
      <c r="AB290" s="2"/>
      <c r="AC290" s="2"/>
    </row>
    <row r="291" spans="23:29" x14ac:dyDescent="0.2">
      <c r="W291" s="2"/>
      <c r="X291" s="2"/>
      <c r="Y291" s="2"/>
      <c r="AA291" s="2"/>
      <c r="AB291" s="2"/>
      <c r="AC291" s="2"/>
    </row>
    <row r="292" spans="23:29" x14ac:dyDescent="0.2">
      <c r="W292" s="2"/>
      <c r="X292" s="2"/>
      <c r="Y292" s="2"/>
      <c r="AA292" s="2"/>
      <c r="AB292" s="2"/>
      <c r="AC292" s="2"/>
    </row>
    <row r="293" spans="23:29" x14ac:dyDescent="0.2">
      <c r="W293" s="2"/>
      <c r="X293" s="2"/>
      <c r="Y293" s="2"/>
      <c r="AA293" s="2"/>
      <c r="AB293" s="2"/>
      <c r="AC293" s="2"/>
    </row>
    <row r="294" spans="23:29" x14ac:dyDescent="0.2">
      <c r="W294" s="2"/>
      <c r="X294" s="2"/>
      <c r="Y294" s="2"/>
      <c r="AA294" s="2"/>
      <c r="AB294" s="2"/>
      <c r="AC294" s="2"/>
    </row>
    <row r="295" spans="23:29" x14ac:dyDescent="0.2">
      <c r="W295" s="2"/>
      <c r="X295" s="2"/>
      <c r="Y295" s="2"/>
      <c r="AA295" s="2"/>
      <c r="AB295" s="2"/>
      <c r="AC295" s="2"/>
    </row>
    <row r="296" spans="23:29" x14ac:dyDescent="0.2">
      <c r="W296" s="2"/>
      <c r="X296" s="2"/>
      <c r="Y296" s="2"/>
      <c r="AA296" s="2"/>
      <c r="AB296" s="2"/>
      <c r="AC296" s="2"/>
    </row>
    <row r="297" spans="23:29" x14ac:dyDescent="0.2">
      <c r="W297" s="2"/>
      <c r="X297" s="2"/>
      <c r="Y297" s="2"/>
      <c r="AA297" s="2"/>
      <c r="AB297" s="2"/>
      <c r="AC297" s="2"/>
    </row>
    <row r="298" spans="23:29" x14ac:dyDescent="0.2">
      <c r="W298" s="2"/>
      <c r="X298" s="2"/>
      <c r="Y298" s="2"/>
      <c r="AA298" s="2"/>
      <c r="AB298" s="2"/>
      <c r="AC298" s="2"/>
    </row>
    <row r="299" spans="23:29" x14ac:dyDescent="0.2">
      <c r="W299" s="2"/>
      <c r="X299" s="2"/>
      <c r="Y299" s="2"/>
      <c r="AA299" s="2"/>
      <c r="AB299" s="2"/>
      <c r="AC299" s="2"/>
    </row>
    <row r="300" spans="23:29" x14ac:dyDescent="0.2">
      <c r="W300" s="2"/>
      <c r="X300" s="2"/>
      <c r="Y300" s="2"/>
      <c r="AA300" s="2"/>
      <c r="AB300" s="2"/>
      <c r="AC300" s="2"/>
    </row>
    <row r="301" spans="23:29" x14ac:dyDescent="0.2">
      <c r="W301" s="2"/>
      <c r="X301" s="2"/>
      <c r="Y301" s="2"/>
      <c r="AA301" s="2"/>
      <c r="AB301" s="2"/>
      <c r="AC301" s="2"/>
    </row>
    <row r="302" spans="23:29" x14ac:dyDescent="0.2">
      <c r="W302" s="2"/>
      <c r="X302" s="2"/>
      <c r="Y302" s="2"/>
      <c r="AA302" s="2"/>
      <c r="AB302" s="2"/>
      <c r="AC302" s="2"/>
    </row>
    <row r="303" spans="23:29" x14ac:dyDescent="0.2">
      <c r="W303" s="2"/>
      <c r="X303" s="2"/>
      <c r="Y303" s="2"/>
      <c r="AA303" s="2"/>
      <c r="AB303" s="2"/>
      <c r="AC303" s="2"/>
    </row>
    <row r="304" spans="23:29" x14ac:dyDescent="0.2">
      <c r="W304" s="2"/>
      <c r="X304" s="2"/>
      <c r="Y304" s="2"/>
      <c r="AA304" s="2"/>
      <c r="AB304" s="2"/>
      <c r="AC304" s="2"/>
    </row>
    <row r="305" spans="23:29" x14ac:dyDescent="0.2">
      <c r="W305" s="2"/>
      <c r="X305" s="2"/>
      <c r="Y305" s="2"/>
      <c r="AA305" s="2"/>
      <c r="AB305" s="2"/>
      <c r="AC305" s="2"/>
    </row>
    <row r="306" spans="23:29" x14ac:dyDescent="0.2">
      <c r="W306" s="2"/>
      <c r="X306" s="2"/>
      <c r="Y306" s="2"/>
      <c r="AA306" s="2"/>
      <c r="AB306" s="2"/>
      <c r="AC306" s="2"/>
    </row>
    <row r="307" spans="23:29" x14ac:dyDescent="0.2">
      <c r="W307" s="2"/>
      <c r="X307" s="2"/>
      <c r="Y307" s="2"/>
      <c r="AA307" s="2"/>
      <c r="AB307" s="2"/>
      <c r="AC307" s="2"/>
    </row>
    <row r="308" spans="23:29" x14ac:dyDescent="0.2">
      <c r="W308" s="2"/>
      <c r="X308" s="2"/>
      <c r="Y308" s="2"/>
      <c r="AA308" s="2"/>
      <c r="AB308" s="2"/>
      <c r="AC308" s="2"/>
    </row>
    <row r="309" spans="23:29" x14ac:dyDescent="0.2">
      <c r="W309" s="2"/>
      <c r="X309" s="2"/>
      <c r="Y309" s="2"/>
      <c r="AA309" s="2"/>
      <c r="AB309" s="2"/>
      <c r="AC309" s="2"/>
    </row>
    <row r="310" spans="23:29" x14ac:dyDescent="0.2">
      <c r="W310" s="2"/>
      <c r="X310" s="2"/>
      <c r="Y310" s="2"/>
      <c r="AA310" s="2"/>
      <c r="AB310" s="2"/>
      <c r="AC310" s="2"/>
    </row>
    <row r="311" spans="23:29" x14ac:dyDescent="0.2">
      <c r="W311" s="2"/>
      <c r="X311" s="2"/>
      <c r="Y311" s="2"/>
      <c r="AA311" s="2"/>
      <c r="AB311" s="2"/>
      <c r="AC311" s="2"/>
    </row>
    <row r="312" spans="23:29" x14ac:dyDescent="0.2">
      <c r="W312" s="2"/>
      <c r="X312" s="2"/>
      <c r="Y312" s="2"/>
      <c r="AA312" s="2"/>
      <c r="AB312" s="2"/>
      <c r="AC312" s="2"/>
    </row>
    <row r="313" spans="23:29" x14ac:dyDescent="0.2">
      <c r="W313" s="2"/>
      <c r="X313" s="2"/>
      <c r="Y313" s="2"/>
      <c r="AA313" s="2"/>
      <c r="AB313" s="2"/>
      <c r="AC313" s="2"/>
    </row>
    <row r="314" spans="23:29" x14ac:dyDescent="0.2">
      <c r="W314" s="2"/>
      <c r="X314" s="2"/>
      <c r="Y314" s="2"/>
      <c r="AA314" s="2"/>
      <c r="AB314" s="2"/>
      <c r="AC314" s="2"/>
    </row>
    <row r="315" spans="23:29" x14ac:dyDescent="0.2">
      <c r="W315" s="2"/>
      <c r="X315" s="2"/>
      <c r="Y315" s="2"/>
      <c r="AA315" s="2"/>
      <c r="AB315" s="2"/>
      <c r="AC315" s="2"/>
    </row>
    <row r="316" spans="23:29" x14ac:dyDescent="0.2">
      <c r="W316" s="2"/>
      <c r="X316" s="2"/>
      <c r="Y316" s="2"/>
      <c r="AA316" s="2"/>
      <c r="AB316" s="2"/>
      <c r="AC316" s="2"/>
    </row>
    <row r="317" spans="23:29" x14ac:dyDescent="0.2">
      <c r="W317" s="2"/>
      <c r="X317" s="2"/>
      <c r="Y317" s="2"/>
      <c r="AA317" s="2"/>
      <c r="AB317" s="2"/>
      <c r="AC317" s="2"/>
    </row>
    <row r="318" spans="23:29" x14ac:dyDescent="0.2">
      <c r="W318" s="2"/>
      <c r="X318" s="2"/>
      <c r="Y318" s="2"/>
      <c r="AA318" s="2"/>
      <c r="AB318" s="2"/>
      <c r="AC318" s="2"/>
    </row>
    <row r="319" spans="23:29" x14ac:dyDescent="0.2">
      <c r="W319" s="2"/>
      <c r="X319" s="2"/>
      <c r="Y319" s="2"/>
      <c r="AA319" s="2"/>
      <c r="AB319" s="2"/>
      <c r="AC319" s="2"/>
    </row>
    <row r="320" spans="23:29" x14ac:dyDescent="0.2">
      <c r="W320" s="2"/>
      <c r="X320" s="2"/>
      <c r="Y320" s="2"/>
      <c r="AA320" s="2"/>
      <c r="AB320" s="2"/>
      <c r="AC320" s="2"/>
    </row>
    <row r="321" spans="23:29" x14ac:dyDescent="0.2">
      <c r="W321" s="2"/>
      <c r="X321" s="2"/>
      <c r="Y321" s="2"/>
      <c r="AA321" s="2"/>
      <c r="AB321" s="2"/>
      <c r="AC321" s="2"/>
    </row>
    <row r="322" spans="23:29" x14ac:dyDescent="0.2">
      <c r="W322" s="2"/>
      <c r="X322" s="2"/>
      <c r="Y322" s="2"/>
      <c r="AA322" s="2"/>
      <c r="AB322" s="2"/>
      <c r="AC322" s="2"/>
    </row>
    <row r="323" spans="23:29" x14ac:dyDescent="0.2">
      <c r="W323" s="2"/>
      <c r="X323" s="2"/>
      <c r="Y323" s="2"/>
      <c r="AA323" s="2"/>
      <c r="AB323" s="2"/>
      <c r="AC323" s="2"/>
    </row>
    <row r="324" spans="23:29" x14ac:dyDescent="0.2">
      <c r="W324" s="2"/>
      <c r="X324" s="2"/>
      <c r="Y324" s="2"/>
      <c r="AA324" s="2"/>
      <c r="AB324" s="2"/>
      <c r="AC324" s="2"/>
    </row>
    <row r="325" spans="23:29" x14ac:dyDescent="0.2">
      <c r="W325" s="2"/>
      <c r="X325" s="2"/>
      <c r="Y325" s="2"/>
      <c r="AA325" s="2"/>
      <c r="AB325" s="2"/>
      <c r="AC325" s="2"/>
    </row>
    <row r="326" spans="23:29" x14ac:dyDescent="0.2">
      <c r="W326" s="2"/>
      <c r="X326" s="2"/>
      <c r="Y326" s="2"/>
      <c r="AA326" s="2"/>
      <c r="AB326" s="2"/>
      <c r="AC326" s="2"/>
    </row>
    <row r="327" spans="23:29" x14ac:dyDescent="0.2">
      <c r="W327" s="2"/>
      <c r="X327" s="2"/>
      <c r="Y327" s="2"/>
      <c r="AA327" s="2"/>
      <c r="AB327" s="2"/>
      <c r="AC327" s="2"/>
    </row>
    <row r="328" spans="23:29" x14ac:dyDescent="0.2">
      <c r="W328" s="2"/>
      <c r="X328" s="2"/>
      <c r="Y328" s="2"/>
      <c r="AA328" s="2"/>
      <c r="AB328" s="2"/>
      <c r="AC328" s="2"/>
    </row>
    <row r="329" spans="23:29" x14ac:dyDescent="0.2">
      <c r="W329" s="2"/>
      <c r="X329" s="2"/>
      <c r="Y329" s="2"/>
      <c r="AA329" s="2"/>
      <c r="AB329" s="2"/>
      <c r="AC329" s="2"/>
    </row>
    <row r="330" spans="23:29" x14ac:dyDescent="0.2">
      <c r="W330" s="2"/>
      <c r="X330" s="2"/>
      <c r="Y330" s="2"/>
      <c r="AA330" s="2"/>
      <c r="AB330" s="2"/>
      <c r="AC330" s="2"/>
    </row>
    <row r="331" spans="23:29" x14ac:dyDescent="0.2">
      <c r="W331" s="2"/>
      <c r="X331" s="2"/>
      <c r="Y331" s="2"/>
      <c r="AA331" s="2"/>
      <c r="AB331" s="2"/>
      <c r="AC331" s="2"/>
    </row>
    <row r="332" spans="23:29" x14ac:dyDescent="0.2">
      <c r="W332" s="2"/>
      <c r="X332" s="2"/>
      <c r="Y332" s="2"/>
      <c r="AA332" s="2"/>
      <c r="AB332" s="2"/>
      <c r="AC332" s="2"/>
    </row>
    <row r="333" spans="23:29" x14ac:dyDescent="0.2">
      <c r="W333" s="2"/>
      <c r="X333" s="2"/>
      <c r="Y333" s="2"/>
      <c r="AA333" s="2"/>
      <c r="AB333" s="2"/>
      <c r="AC333" s="2"/>
    </row>
    <row r="334" spans="23:29" x14ac:dyDescent="0.2">
      <c r="W334" s="2"/>
      <c r="X334" s="2"/>
      <c r="Y334" s="2"/>
      <c r="AA334" s="2"/>
      <c r="AB334" s="2"/>
      <c r="AC334" s="2"/>
    </row>
    <row r="335" spans="23:29" x14ac:dyDescent="0.2">
      <c r="W335" s="2"/>
      <c r="X335" s="2"/>
      <c r="Y335" s="2"/>
      <c r="AA335" s="2"/>
      <c r="AB335" s="2"/>
      <c r="AC335" s="2"/>
    </row>
    <row r="336" spans="23:29" x14ac:dyDescent="0.2">
      <c r="W336" s="2"/>
      <c r="X336" s="2"/>
      <c r="Y336" s="2"/>
      <c r="AA336" s="2"/>
      <c r="AB336" s="2"/>
      <c r="AC336" s="2"/>
    </row>
    <row r="337" spans="23:29" x14ac:dyDescent="0.2">
      <c r="W337" s="2"/>
      <c r="X337" s="2"/>
      <c r="Y337" s="2"/>
      <c r="AA337" s="2"/>
      <c r="AB337" s="2"/>
      <c r="AC337" s="2"/>
    </row>
    <row r="338" spans="23:29" x14ac:dyDescent="0.2">
      <c r="W338" s="2"/>
      <c r="X338" s="2"/>
      <c r="Y338" s="2"/>
      <c r="AA338" s="2"/>
      <c r="AB338" s="2"/>
      <c r="AC338" s="2"/>
    </row>
    <row r="339" spans="23:29" x14ac:dyDescent="0.2">
      <c r="W339" s="2"/>
      <c r="X339" s="2"/>
      <c r="Y339" s="2"/>
      <c r="AA339" s="2"/>
      <c r="AB339" s="2"/>
      <c r="AC339" s="2"/>
    </row>
    <row r="340" spans="23:29" x14ac:dyDescent="0.2">
      <c r="W340" s="2"/>
      <c r="X340" s="2"/>
      <c r="Y340" s="2"/>
      <c r="AA340" s="2"/>
      <c r="AB340" s="2"/>
      <c r="AC340" s="2"/>
    </row>
    <row r="341" spans="23:29" x14ac:dyDescent="0.2">
      <c r="W341" s="2"/>
      <c r="X341" s="2"/>
      <c r="Y341" s="2"/>
      <c r="AA341" s="2"/>
      <c r="AB341" s="2"/>
      <c r="AC341" s="2"/>
    </row>
    <row r="342" spans="23:29" x14ac:dyDescent="0.2">
      <c r="W342" s="2"/>
      <c r="X342" s="2"/>
      <c r="Y342" s="2"/>
      <c r="AA342" s="2"/>
      <c r="AB342" s="2"/>
      <c r="AC342" s="2"/>
    </row>
    <row r="343" spans="23:29" x14ac:dyDescent="0.2">
      <c r="W343" s="2"/>
      <c r="X343" s="2"/>
      <c r="Y343" s="2"/>
      <c r="AA343" s="2"/>
      <c r="AB343" s="2"/>
      <c r="AC343" s="2"/>
    </row>
    <row r="344" spans="23:29" x14ac:dyDescent="0.2">
      <c r="W344" s="2"/>
      <c r="X344" s="2"/>
      <c r="Y344" s="2"/>
      <c r="AA344" s="2"/>
      <c r="AB344" s="2"/>
      <c r="AC344" s="2"/>
    </row>
    <row r="345" spans="23:29" x14ac:dyDescent="0.2">
      <c r="W345" s="2"/>
      <c r="X345" s="2"/>
      <c r="Y345" s="2"/>
      <c r="AA345" s="2"/>
      <c r="AB345" s="2"/>
      <c r="AC345" s="2"/>
    </row>
    <row r="346" spans="23:29" x14ac:dyDescent="0.2">
      <c r="W346" s="2"/>
      <c r="X346" s="2"/>
      <c r="Y346" s="2"/>
      <c r="AA346" s="2"/>
      <c r="AB346" s="2"/>
      <c r="AC346" s="2"/>
    </row>
    <row r="347" spans="23:29" x14ac:dyDescent="0.2">
      <c r="W347" s="2"/>
      <c r="X347" s="2"/>
      <c r="Y347" s="2"/>
      <c r="AA347" s="2"/>
      <c r="AB347" s="2"/>
      <c r="AC347" s="2"/>
    </row>
    <row r="348" spans="23:29" x14ac:dyDescent="0.2">
      <c r="W348" s="2"/>
      <c r="X348" s="2"/>
      <c r="Y348" s="2"/>
      <c r="AA348" s="2"/>
      <c r="AB348" s="2"/>
      <c r="AC348" s="2"/>
    </row>
    <row r="349" spans="23:29" x14ac:dyDescent="0.2">
      <c r="W349" s="2"/>
      <c r="X349" s="2"/>
      <c r="Y349" s="2"/>
      <c r="AA349" s="2"/>
      <c r="AB349" s="2"/>
      <c r="AC349" s="2"/>
    </row>
    <row r="350" spans="23:29" x14ac:dyDescent="0.2">
      <c r="W350" s="2"/>
      <c r="X350" s="2"/>
      <c r="Y350" s="2"/>
      <c r="AA350" s="2"/>
      <c r="AB350" s="2"/>
      <c r="AC350" s="2"/>
    </row>
    <row r="351" spans="23:29" x14ac:dyDescent="0.2">
      <c r="W351" s="2"/>
      <c r="X351" s="2"/>
      <c r="Y351" s="2"/>
      <c r="AA351" s="2"/>
      <c r="AB351" s="2"/>
      <c r="AC351" s="2"/>
    </row>
    <row r="352" spans="23:29" x14ac:dyDescent="0.2">
      <c r="W352" s="2"/>
      <c r="X352" s="2"/>
      <c r="Y352" s="2"/>
      <c r="AA352" s="2"/>
      <c r="AB352" s="2"/>
      <c r="AC352" s="2"/>
    </row>
    <row r="353" spans="23:29" x14ac:dyDescent="0.2">
      <c r="W353" s="2"/>
      <c r="X353" s="2"/>
      <c r="Y353" s="2"/>
      <c r="AA353" s="2"/>
      <c r="AB353" s="2"/>
      <c r="AC353" s="2"/>
    </row>
    <row r="354" spans="23:29" x14ac:dyDescent="0.2">
      <c r="W354" s="2"/>
      <c r="X354" s="2"/>
      <c r="Y354" s="2"/>
      <c r="AA354" s="2"/>
      <c r="AB354" s="2"/>
      <c r="AC354" s="2"/>
    </row>
    <row r="355" spans="23:29" x14ac:dyDescent="0.2">
      <c r="W355" s="2"/>
      <c r="X355" s="2"/>
      <c r="Y355" s="2"/>
      <c r="AA355" s="2"/>
      <c r="AB355" s="2"/>
      <c r="AC355" s="2"/>
    </row>
    <row r="356" spans="23:29" x14ac:dyDescent="0.2">
      <c r="W356" s="2"/>
      <c r="X356" s="2"/>
      <c r="Y356" s="2"/>
      <c r="AA356" s="2"/>
      <c r="AB356" s="2"/>
      <c r="AC356" s="2"/>
    </row>
    <row r="357" spans="23:29" x14ac:dyDescent="0.2">
      <c r="W357" s="2"/>
      <c r="X357" s="2"/>
      <c r="Y357" s="2"/>
      <c r="AA357" s="2"/>
      <c r="AB357" s="2"/>
      <c r="AC357" s="2"/>
    </row>
    <row r="358" spans="23:29" x14ac:dyDescent="0.2">
      <c r="W358" s="2"/>
      <c r="X358" s="2"/>
      <c r="Y358" s="2"/>
      <c r="AA358" s="2"/>
      <c r="AB358" s="2"/>
      <c r="AC358" s="2"/>
    </row>
    <row r="359" spans="23:29" x14ac:dyDescent="0.2">
      <c r="W359" s="2"/>
      <c r="X359" s="2"/>
      <c r="Y359" s="2"/>
      <c r="AA359" s="2"/>
      <c r="AB359" s="2"/>
      <c r="AC359" s="2"/>
    </row>
    <row r="360" spans="23:29" x14ac:dyDescent="0.2">
      <c r="W360" s="2"/>
      <c r="X360" s="2"/>
      <c r="Y360" s="2"/>
      <c r="AA360" s="2"/>
      <c r="AB360" s="2"/>
      <c r="AC360" s="2"/>
    </row>
    <row r="361" spans="23:29" x14ac:dyDescent="0.2">
      <c r="W361" s="2"/>
      <c r="X361" s="2"/>
      <c r="Y361" s="2"/>
      <c r="AA361" s="2"/>
      <c r="AB361" s="2"/>
      <c r="AC361" s="2"/>
    </row>
    <row r="362" spans="23:29" x14ac:dyDescent="0.2">
      <c r="W362" s="2"/>
      <c r="X362" s="2"/>
      <c r="Y362" s="2"/>
      <c r="AA362" s="2"/>
      <c r="AB362" s="2"/>
      <c r="AC362" s="2"/>
    </row>
    <row r="363" spans="23:29" x14ac:dyDescent="0.2">
      <c r="W363" s="2"/>
      <c r="X363" s="2"/>
      <c r="Y363" s="2"/>
      <c r="AA363" s="2"/>
      <c r="AB363" s="2"/>
      <c r="AC363" s="2"/>
    </row>
    <row r="364" spans="23:29" x14ac:dyDescent="0.2">
      <c r="W364" s="2"/>
      <c r="X364" s="2"/>
      <c r="Y364" s="2"/>
      <c r="AA364" s="2"/>
      <c r="AB364" s="2"/>
      <c r="AC364" s="2"/>
    </row>
    <row r="365" spans="23:29" x14ac:dyDescent="0.2">
      <c r="W365" s="2"/>
      <c r="X365" s="2"/>
      <c r="Y365" s="2"/>
      <c r="AA365" s="2"/>
      <c r="AB365" s="2"/>
      <c r="AC365" s="2"/>
    </row>
    <row r="366" spans="23:29" x14ac:dyDescent="0.2">
      <c r="W366" s="2"/>
      <c r="X366" s="2"/>
      <c r="Y366" s="2"/>
      <c r="AA366" s="2"/>
      <c r="AB366" s="2"/>
      <c r="AC366" s="2"/>
    </row>
    <row r="367" spans="23:29" x14ac:dyDescent="0.2">
      <c r="W367" s="2"/>
      <c r="X367" s="2"/>
      <c r="Y367" s="2"/>
      <c r="AA367" s="2"/>
      <c r="AB367" s="2"/>
      <c r="AC367" s="2"/>
    </row>
    <row r="368" spans="23:29" x14ac:dyDescent="0.2">
      <c r="W368" s="2"/>
      <c r="X368" s="2"/>
      <c r="Y368" s="2"/>
      <c r="AA368" s="2"/>
      <c r="AB368" s="2"/>
      <c r="AC368" s="2"/>
    </row>
    <row r="369" spans="23:29" x14ac:dyDescent="0.2">
      <c r="W369" s="2"/>
      <c r="X369" s="2"/>
      <c r="Y369" s="2"/>
      <c r="AA369" s="2"/>
      <c r="AB369" s="2"/>
      <c r="AC369" s="2"/>
    </row>
    <row r="370" spans="23:29" x14ac:dyDescent="0.2">
      <c r="W370" s="2"/>
      <c r="X370" s="2"/>
      <c r="Y370" s="2"/>
      <c r="AA370" s="2"/>
      <c r="AB370" s="2"/>
      <c r="AC370" s="2"/>
    </row>
    <row r="371" spans="23:29" x14ac:dyDescent="0.2">
      <c r="W371" s="2"/>
      <c r="X371" s="2"/>
      <c r="Y371" s="2"/>
      <c r="AA371" s="2"/>
      <c r="AB371" s="2"/>
      <c r="AC371" s="2"/>
    </row>
    <row r="372" spans="23:29" x14ac:dyDescent="0.2">
      <c r="W372" s="2"/>
      <c r="X372" s="2"/>
      <c r="Y372" s="2"/>
      <c r="AA372" s="2"/>
      <c r="AB372" s="2"/>
      <c r="AC372" s="2"/>
    </row>
    <row r="373" spans="23:29" x14ac:dyDescent="0.2">
      <c r="W373" s="2"/>
      <c r="X373" s="2"/>
      <c r="Y373" s="2"/>
      <c r="AA373" s="2"/>
      <c r="AB373" s="2"/>
      <c r="AC373" s="2"/>
    </row>
    <row r="374" spans="23:29" x14ac:dyDescent="0.2">
      <c r="W374" s="2"/>
      <c r="X374" s="2"/>
      <c r="Y374" s="2"/>
      <c r="AA374" s="2"/>
      <c r="AB374" s="2"/>
      <c r="AC374" s="2"/>
    </row>
    <row r="375" spans="23:29" x14ac:dyDescent="0.2">
      <c r="W375" s="2"/>
      <c r="X375" s="2"/>
      <c r="Y375" s="2"/>
      <c r="AA375" s="2"/>
      <c r="AB375" s="2"/>
      <c r="AC375" s="2"/>
    </row>
    <row r="376" spans="23:29" x14ac:dyDescent="0.2">
      <c r="W376" s="2"/>
      <c r="X376" s="2"/>
      <c r="Y376" s="2"/>
      <c r="AA376" s="2"/>
      <c r="AB376" s="2"/>
      <c r="AC376" s="2"/>
    </row>
    <row r="377" spans="23:29" x14ac:dyDescent="0.2">
      <c r="W377" s="2"/>
      <c r="X377" s="2"/>
      <c r="Y377" s="2"/>
      <c r="AA377" s="2"/>
      <c r="AB377" s="2"/>
      <c r="AC377" s="2"/>
    </row>
    <row r="378" spans="23:29" x14ac:dyDescent="0.2">
      <c r="W378" s="2"/>
      <c r="X378" s="2"/>
      <c r="Y378" s="2"/>
      <c r="AA378" s="2"/>
      <c r="AB378" s="2"/>
      <c r="AC378" s="2"/>
    </row>
    <row r="379" spans="23:29" x14ac:dyDescent="0.2">
      <c r="W379" s="2"/>
      <c r="X379" s="2"/>
      <c r="Y379" s="2"/>
      <c r="AA379" s="2"/>
      <c r="AB379" s="2"/>
      <c r="AC379" s="2"/>
    </row>
    <row r="380" spans="23:29" x14ac:dyDescent="0.2">
      <c r="W380" s="2"/>
      <c r="X380" s="2"/>
      <c r="Y380" s="2"/>
      <c r="AA380" s="2"/>
      <c r="AB380" s="2"/>
      <c r="AC380" s="2"/>
    </row>
    <row r="381" spans="23:29" x14ac:dyDescent="0.2">
      <c r="W381" s="2"/>
      <c r="X381" s="2"/>
      <c r="Y381" s="2"/>
      <c r="AA381" s="2"/>
      <c r="AB381" s="2"/>
      <c r="AC381" s="2"/>
    </row>
    <row r="382" spans="23:29" x14ac:dyDescent="0.2">
      <c r="W382" s="2"/>
      <c r="X382" s="2"/>
      <c r="Y382" s="2"/>
      <c r="AA382" s="2"/>
      <c r="AB382" s="2"/>
      <c r="AC382" s="2"/>
    </row>
    <row r="383" spans="23:29" x14ac:dyDescent="0.2">
      <c r="W383" s="2"/>
      <c r="X383" s="2"/>
      <c r="Y383" s="2"/>
      <c r="AA383" s="2"/>
      <c r="AB383" s="2"/>
      <c r="AC383" s="2"/>
    </row>
    <row r="384" spans="23:29" x14ac:dyDescent="0.2">
      <c r="W384" s="2"/>
      <c r="X384" s="2"/>
      <c r="Y384" s="2"/>
      <c r="AA384" s="2"/>
      <c r="AB384" s="2"/>
      <c r="AC384" s="2"/>
    </row>
    <row r="385" spans="23:29" x14ac:dyDescent="0.2">
      <c r="W385" s="2"/>
      <c r="X385" s="2"/>
      <c r="Y385" s="2"/>
      <c r="AA385" s="2"/>
      <c r="AB385" s="2"/>
      <c r="AC385" s="2"/>
    </row>
    <row r="386" spans="23:29" x14ac:dyDescent="0.2">
      <c r="W386" s="2"/>
      <c r="X386" s="2"/>
      <c r="Y386" s="2"/>
      <c r="AA386" s="2"/>
      <c r="AB386" s="2"/>
      <c r="AC386" s="2"/>
    </row>
    <row r="387" spans="23:29" x14ac:dyDescent="0.2">
      <c r="W387" s="2"/>
      <c r="X387" s="2"/>
      <c r="Y387" s="2"/>
      <c r="AA387" s="2"/>
      <c r="AB387" s="2"/>
      <c r="AC387" s="2"/>
    </row>
    <row r="388" spans="23:29" x14ac:dyDescent="0.2">
      <c r="W388" s="2"/>
      <c r="X388" s="2"/>
      <c r="Y388" s="2"/>
      <c r="AA388" s="2"/>
      <c r="AB388" s="2"/>
      <c r="AC388" s="2"/>
    </row>
    <row r="389" spans="23:29" x14ac:dyDescent="0.2">
      <c r="W389" s="2"/>
      <c r="X389" s="2"/>
      <c r="Y389" s="2"/>
      <c r="AA389" s="2"/>
      <c r="AB389" s="2"/>
      <c r="AC389" s="2"/>
    </row>
    <row r="390" spans="23:29" x14ac:dyDescent="0.2">
      <c r="W390" s="2"/>
      <c r="X390" s="2"/>
      <c r="Y390" s="2"/>
      <c r="AA390" s="2"/>
      <c r="AB390" s="2"/>
      <c r="AC390" s="2"/>
    </row>
    <row r="391" spans="23:29" x14ac:dyDescent="0.2">
      <c r="W391" s="2"/>
      <c r="X391" s="2"/>
      <c r="Y391" s="2"/>
      <c r="AA391" s="2"/>
      <c r="AB391" s="2"/>
      <c r="AC391" s="2"/>
    </row>
    <row r="392" spans="23:29" x14ac:dyDescent="0.2">
      <c r="W392" s="2"/>
      <c r="X392" s="2"/>
      <c r="Y392" s="2"/>
      <c r="AA392" s="2"/>
      <c r="AB392" s="2"/>
      <c r="AC392" s="2"/>
    </row>
    <row r="393" spans="23:29" x14ac:dyDescent="0.2">
      <c r="W393" s="2"/>
      <c r="X393" s="2"/>
      <c r="Y393" s="2"/>
      <c r="AA393" s="2"/>
      <c r="AB393" s="2"/>
      <c r="AC393" s="2"/>
    </row>
    <row r="394" spans="23:29" x14ac:dyDescent="0.2">
      <c r="W394" s="2"/>
      <c r="X394" s="2"/>
      <c r="Y394" s="2"/>
      <c r="AA394" s="2"/>
      <c r="AB394" s="2"/>
      <c r="AC394" s="2"/>
    </row>
    <row r="395" spans="23:29" x14ac:dyDescent="0.2">
      <c r="W395" s="2"/>
      <c r="X395" s="2"/>
      <c r="Y395" s="2"/>
      <c r="AA395" s="2"/>
      <c r="AB395" s="2"/>
      <c r="AC395" s="2"/>
    </row>
    <row r="396" spans="23:29" x14ac:dyDescent="0.2">
      <c r="W396" s="2"/>
      <c r="X396" s="2"/>
      <c r="Y396" s="2"/>
      <c r="AA396" s="2"/>
      <c r="AB396" s="2"/>
      <c r="AC396" s="2"/>
    </row>
    <row r="397" spans="23:29" x14ac:dyDescent="0.2">
      <c r="W397" s="2"/>
      <c r="X397" s="2"/>
      <c r="Y397" s="2"/>
      <c r="AA397" s="2"/>
      <c r="AB397" s="2"/>
      <c r="AC397" s="2"/>
    </row>
    <row r="398" spans="23:29" x14ac:dyDescent="0.2">
      <c r="W398" s="2"/>
      <c r="X398" s="2"/>
      <c r="Y398" s="2"/>
      <c r="AA398" s="2"/>
      <c r="AB398" s="2"/>
      <c r="AC398" s="2"/>
    </row>
    <row r="399" spans="23:29" x14ac:dyDescent="0.2">
      <c r="W399" s="2"/>
      <c r="X399" s="2"/>
      <c r="Y399" s="2"/>
      <c r="AA399" s="2"/>
      <c r="AB399" s="2"/>
      <c r="AC399" s="2"/>
    </row>
    <row r="400" spans="23:29" x14ac:dyDescent="0.2">
      <c r="W400" s="2"/>
      <c r="X400" s="2"/>
      <c r="Y400" s="2"/>
      <c r="AA400" s="2"/>
      <c r="AB400" s="2"/>
      <c r="AC400" s="2"/>
    </row>
    <row r="401" spans="23:29" x14ac:dyDescent="0.2">
      <c r="W401" s="2"/>
      <c r="X401" s="2"/>
      <c r="Y401" s="2"/>
      <c r="AA401" s="2"/>
      <c r="AB401" s="2"/>
      <c r="AC401" s="2"/>
    </row>
    <row r="402" spans="23:29" x14ac:dyDescent="0.2">
      <c r="W402" s="2"/>
      <c r="X402" s="2"/>
      <c r="Y402" s="2"/>
      <c r="AA402" s="2"/>
      <c r="AB402" s="2"/>
      <c r="AC402" s="2"/>
    </row>
    <row r="403" spans="23:29" x14ac:dyDescent="0.2">
      <c r="W403" s="2"/>
      <c r="X403" s="2"/>
      <c r="Y403" s="2"/>
      <c r="AA403" s="2"/>
      <c r="AB403" s="2"/>
      <c r="AC403" s="2"/>
    </row>
    <row r="404" spans="23:29" x14ac:dyDescent="0.2">
      <c r="W404" s="2"/>
      <c r="X404" s="2"/>
      <c r="Y404" s="2"/>
      <c r="AA404" s="2"/>
      <c r="AB404" s="2"/>
      <c r="AC404" s="2"/>
    </row>
    <row r="405" spans="23:29" x14ac:dyDescent="0.2">
      <c r="W405" s="2"/>
      <c r="X405" s="2"/>
      <c r="Y405" s="2"/>
      <c r="AA405" s="2"/>
      <c r="AB405" s="2"/>
      <c r="AC405" s="2"/>
    </row>
    <row r="406" spans="23:29" x14ac:dyDescent="0.2">
      <c r="W406" s="2"/>
      <c r="X406" s="2"/>
      <c r="Y406" s="2"/>
      <c r="AA406" s="2"/>
      <c r="AB406" s="2"/>
      <c r="AC406" s="2"/>
    </row>
    <row r="407" spans="23:29" x14ac:dyDescent="0.2">
      <c r="W407" s="2"/>
      <c r="X407" s="2"/>
      <c r="Y407" s="2"/>
      <c r="AA407" s="2"/>
      <c r="AB407" s="2"/>
      <c r="AC407" s="2"/>
    </row>
    <row r="408" spans="23:29" x14ac:dyDescent="0.2">
      <c r="W408" s="2"/>
      <c r="X408" s="2"/>
      <c r="Y408" s="2"/>
      <c r="AA408" s="2"/>
      <c r="AB408" s="2"/>
      <c r="AC408" s="2"/>
    </row>
    <row r="409" spans="23:29" x14ac:dyDescent="0.2">
      <c r="W409" s="2"/>
      <c r="X409" s="2"/>
      <c r="Y409" s="2"/>
      <c r="AA409" s="2"/>
      <c r="AB409" s="2"/>
      <c r="AC409" s="2"/>
    </row>
    <row r="410" spans="23:29" x14ac:dyDescent="0.2">
      <c r="W410" s="2"/>
      <c r="X410" s="2"/>
      <c r="Y410" s="2"/>
      <c r="AA410" s="2"/>
      <c r="AB410" s="2"/>
      <c r="AC410" s="2"/>
    </row>
    <row r="411" spans="23:29" x14ac:dyDescent="0.2">
      <c r="W411" s="2"/>
      <c r="X411" s="2"/>
      <c r="Y411" s="2"/>
      <c r="AA411" s="2"/>
      <c r="AB411" s="2"/>
      <c r="AC411" s="2"/>
    </row>
    <row r="412" spans="23:29" x14ac:dyDescent="0.2">
      <c r="W412" s="2"/>
      <c r="X412" s="2"/>
      <c r="Y412" s="2"/>
      <c r="AA412" s="2"/>
      <c r="AB412" s="2"/>
      <c r="AC412" s="2"/>
    </row>
    <row r="413" spans="23:29" x14ac:dyDescent="0.2">
      <c r="W413" s="2"/>
      <c r="X413" s="2"/>
      <c r="Y413" s="2"/>
      <c r="AA413" s="2"/>
      <c r="AB413" s="2"/>
      <c r="AC413" s="2"/>
    </row>
    <row r="414" spans="23:29" x14ac:dyDescent="0.2">
      <c r="W414" s="2"/>
      <c r="X414" s="2"/>
      <c r="Y414" s="2"/>
      <c r="AA414" s="2"/>
      <c r="AB414" s="2"/>
      <c r="AC414" s="2"/>
    </row>
    <row r="415" spans="23:29" x14ac:dyDescent="0.2">
      <c r="W415" s="2"/>
      <c r="X415" s="2"/>
      <c r="Y415" s="2"/>
      <c r="AA415" s="2"/>
      <c r="AB415" s="2"/>
      <c r="AC415" s="2"/>
    </row>
    <row r="416" spans="23:29" x14ac:dyDescent="0.2">
      <c r="W416" s="2"/>
      <c r="X416" s="2"/>
      <c r="Y416" s="2"/>
      <c r="AA416" s="2"/>
      <c r="AB416" s="2"/>
      <c r="AC416" s="2"/>
    </row>
    <row r="417" spans="23:29" x14ac:dyDescent="0.2">
      <c r="W417" s="2"/>
      <c r="X417" s="2"/>
      <c r="Y417" s="2"/>
      <c r="AA417" s="2"/>
      <c r="AB417" s="2"/>
      <c r="AC417" s="2"/>
    </row>
    <row r="418" spans="23:29" x14ac:dyDescent="0.2">
      <c r="W418" s="2"/>
      <c r="X418" s="2"/>
      <c r="Y418" s="2"/>
      <c r="AA418" s="2"/>
      <c r="AB418" s="2"/>
      <c r="AC418" s="2"/>
    </row>
    <row r="419" spans="23:29" x14ac:dyDescent="0.2">
      <c r="W419" s="2"/>
      <c r="X419" s="2"/>
      <c r="Y419" s="2"/>
      <c r="AA419" s="2"/>
      <c r="AB419" s="2"/>
      <c r="AC419" s="2"/>
    </row>
    <row r="420" spans="23:29" x14ac:dyDescent="0.2">
      <c r="W420" s="2"/>
      <c r="X420" s="2"/>
      <c r="Y420" s="2"/>
      <c r="AA420" s="2"/>
      <c r="AB420" s="2"/>
      <c r="AC420" s="2"/>
    </row>
    <row r="421" spans="23:29" x14ac:dyDescent="0.2">
      <c r="W421" s="2"/>
      <c r="X421" s="2"/>
      <c r="Y421" s="2"/>
      <c r="AA421" s="2"/>
      <c r="AB421" s="2"/>
      <c r="AC421" s="2"/>
    </row>
    <row r="422" spans="23:29" x14ac:dyDescent="0.2">
      <c r="W422" s="2"/>
      <c r="X422" s="2"/>
      <c r="Y422" s="2"/>
      <c r="AA422" s="2"/>
      <c r="AB422" s="2"/>
      <c r="AC422" s="2"/>
    </row>
    <row r="423" spans="23:29" x14ac:dyDescent="0.2">
      <c r="W423" s="2"/>
      <c r="X423" s="2"/>
      <c r="Y423" s="2"/>
      <c r="AA423" s="2"/>
      <c r="AB423" s="2"/>
      <c r="AC423" s="2"/>
    </row>
    <row r="424" spans="23:29" x14ac:dyDescent="0.2">
      <c r="W424" s="2"/>
      <c r="X424" s="2"/>
      <c r="Y424" s="2"/>
      <c r="AA424" s="2"/>
      <c r="AB424" s="2"/>
      <c r="AC424" s="2"/>
    </row>
    <row r="425" spans="23:29" x14ac:dyDescent="0.2">
      <c r="W425" s="2"/>
      <c r="X425" s="2"/>
      <c r="Y425" s="2"/>
      <c r="AA425" s="2"/>
      <c r="AB425" s="2"/>
      <c r="AC425" s="2"/>
    </row>
    <row r="426" spans="23:29" x14ac:dyDescent="0.2">
      <c r="W426" s="2"/>
      <c r="X426" s="2"/>
      <c r="Y426" s="2"/>
      <c r="AA426" s="2"/>
      <c r="AB426" s="2"/>
      <c r="AC426" s="2"/>
    </row>
    <row r="427" spans="23:29" x14ac:dyDescent="0.2">
      <c r="W427" s="2"/>
      <c r="X427" s="2"/>
      <c r="Y427" s="2"/>
      <c r="AA427" s="2"/>
      <c r="AB427" s="2"/>
      <c r="AC427" s="2"/>
    </row>
    <row r="428" spans="23:29" x14ac:dyDescent="0.2">
      <c r="W428" s="2"/>
      <c r="X428" s="2"/>
      <c r="Y428" s="2"/>
      <c r="AA428" s="2"/>
      <c r="AB428" s="2"/>
      <c r="AC428" s="2"/>
    </row>
    <row r="429" spans="23:29" x14ac:dyDescent="0.2">
      <c r="W429" s="2"/>
      <c r="X429" s="2"/>
      <c r="Y429" s="2"/>
      <c r="AA429" s="2"/>
      <c r="AB429" s="2"/>
      <c r="AC429" s="2"/>
    </row>
    <row r="430" spans="23:29" x14ac:dyDescent="0.2">
      <c r="W430" s="2"/>
      <c r="X430" s="2"/>
      <c r="Y430" s="2"/>
      <c r="AA430" s="2"/>
      <c r="AB430" s="2"/>
      <c r="AC430" s="2"/>
    </row>
    <row r="431" spans="23:29" x14ac:dyDescent="0.2">
      <c r="W431" s="2"/>
      <c r="X431" s="2"/>
      <c r="Y431" s="2"/>
      <c r="AA431" s="2"/>
      <c r="AB431" s="2"/>
      <c r="AC431" s="2"/>
    </row>
    <row r="432" spans="23:29" x14ac:dyDescent="0.2">
      <c r="W432" s="2"/>
      <c r="X432" s="2"/>
      <c r="Y432" s="2"/>
      <c r="AA432" s="2"/>
      <c r="AB432" s="2"/>
      <c r="AC432" s="2"/>
    </row>
    <row r="433" spans="23:29" x14ac:dyDescent="0.2">
      <c r="W433" s="2"/>
      <c r="X433" s="2"/>
      <c r="Y433" s="2"/>
      <c r="AA433" s="2"/>
      <c r="AB433" s="2"/>
      <c r="AC433" s="2"/>
    </row>
    <row r="434" spans="23:29" x14ac:dyDescent="0.2">
      <c r="W434" s="2"/>
      <c r="X434" s="2"/>
      <c r="Y434" s="2"/>
      <c r="AA434" s="2"/>
      <c r="AB434" s="2"/>
      <c r="AC434" s="2"/>
    </row>
    <row r="435" spans="23:29" x14ac:dyDescent="0.2">
      <c r="W435" s="2"/>
      <c r="X435" s="2"/>
      <c r="Y435" s="2"/>
      <c r="AA435" s="2"/>
      <c r="AB435" s="2"/>
      <c r="AC435" s="2"/>
    </row>
    <row r="436" spans="23:29" x14ac:dyDescent="0.2">
      <c r="W436" s="2"/>
      <c r="X436" s="2"/>
      <c r="Y436" s="2"/>
      <c r="AA436" s="2"/>
      <c r="AB436" s="2"/>
      <c r="AC436" s="2"/>
    </row>
    <row r="437" spans="23:29" x14ac:dyDescent="0.2">
      <c r="W437" s="2"/>
      <c r="X437" s="2"/>
      <c r="Y437" s="2"/>
      <c r="AA437" s="2"/>
      <c r="AB437" s="2"/>
      <c r="AC437" s="2"/>
    </row>
    <row r="438" spans="23:29" x14ac:dyDescent="0.2">
      <c r="W438" s="2"/>
      <c r="X438" s="2"/>
      <c r="Y438" s="2"/>
      <c r="AA438" s="2"/>
      <c r="AB438" s="2"/>
      <c r="AC438" s="2"/>
    </row>
    <row r="439" spans="23:29" x14ac:dyDescent="0.2">
      <c r="W439" s="2"/>
      <c r="X439" s="2"/>
      <c r="Y439" s="2"/>
      <c r="AA439" s="2"/>
      <c r="AB439" s="2"/>
      <c r="AC439" s="2"/>
    </row>
    <row r="440" spans="23:29" x14ac:dyDescent="0.2">
      <c r="W440" s="2"/>
      <c r="X440" s="2"/>
      <c r="Y440" s="2"/>
      <c r="AA440" s="2"/>
      <c r="AB440" s="2"/>
      <c r="AC440" s="2"/>
    </row>
    <row r="441" spans="23:29" x14ac:dyDescent="0.2">
      <c r="W441" s="2"/>
      <c r="X441" s="2"/>
      <c r="Y441" s="2"/>
      <c r="AA441" s="2"/>
      <c r="AB441" s="2"/>
      <c r="AC441" s="2"/>
    </row>
    <row r="442" spans="23:29" x14ac:dyDescent="0.2">
      <c r="W442" s="2"/>
      <c r="X442" s="2"/>
      <c r="Y442" s="2"/>
      <c r="AA442" s="2"/>
      <c r="AB442" s="2"/>
      <c r="AC442" s="2"/>
    </row>
    <row r="443" spans="23:29" x14ac:dyDescent="0.2">
      <c r="W443" s="2"/>
      <c r="X443" s="2"/>
      <c r="Y443" s="2"/>
      <c r="AA443" s="2"/>
      <c r="AB443" s="2"/>
      <c r="AC443" s="2"/>
    </row>
    <row r="444" spans="23:29" x14ac:dyDescent="0.2">
      <c r="W444" s="2"/>
      <c r="X444" s="2"/>
      <c r="Y444" s="2"/>
      <c r="AA444" s="2"/>
      <c r="AB444" s="2"/>
      <c r="AC444" s="2"/>
    </row>
    <row r="445" spans="23:29" x14ac:dyDescent="0.2">
      <c r="W445" s="2"/>
      <c r="X445" s="2"/>
      <c r="Y445" s="2"/>
      <c r="AA445" s="2"/>
      <c r="AB445" s="2"/>
      <c r="AC445" s="2"/>
    </row>
    <row r="446" spans="23:29" x14ac:dyDescent="0.2">
      <c r="W446" s="2"/>
      <c r="X446" s="2"/>
      <c r="Y446" s="2"/>
      <c r="AA446" s="2"/>
      <c r="AB446" s="2"/>
      <c r="AC446" s="2"/>
    </row>
    <row r="447" spans="23:29" x14ac:dyDescent="0.2">
      <c r="W447" s="2"/>
      <c r="X447" s="2"/>
      <c r="Y447" s="2"/>
      <c r="AA447" s="2"/>
      <c r="AB447" s="2"/>
      <c r="AC447" s="2"/>
    </row>
    <row r="448" spans="23:29" x14ac:dyDescent="0.2">
      <c r="W448" s="2"/>
      <c r="X448" s="2"/>
      <c r="Y448" s="2"/>
      <c r="AA448" s="2"/>
      <c r="AB448" s="2"/>
      <c r="AC448" s="2"/>
    </row>
    <row r="449" spans="23:29" x14ac:dyDescent="0.2">
      <c r="W449" s="2"/>
      <c r="X449" s="2"/>
      <c r="Y449" s="2"/>
      <c r="AA449" s="2"/>
      <c r="AB449" s="2"/>
      <c r="AC449" s="2"/>
    </row>
    <row r="450" spans="23:29" x14ac:dyDescent="0.2">
      <c r="W450" s="2"/>
      <c r="X450" s="2"/>
      <c r="Y450" s="2"/>
      <c r="AA450" s="2"/>
      <c r="AB450" s="2"/>
      <c r="AC450" s="2"/>
    </row>
    <row r="451" spans="23:29" x14ac:dyDescent="0.2">
      <c r="W451" s="2"/>
      <c r="X451" s="2"/>
      <c r="Y451" s="2"/>
      <c r="AA451" s="2"/>
      <c r="AB451" s="2"/>
      <c r="AC451" s="2"/>
    </row>
    <row r="452" spans="23:29" x14ac:dyDescent="0.2">
      <c r="W452" s="2"/>
      <c r="X452" s="2"/>
      <c r="Y452" s="2"/>
      <c r="AA452" s="2"/>
      <c r="AB452" s="2"/>
      <c r="AC452" s="2"/>
    </row>
    <row r="453" spans="23:29" x14ac:dyDescent="0.2">
      <c r="W453" s="2"/>
      <c r="X453" s="2"/>
      <c r="Y453" s="2"/>
      <c r="AA453" s="2"/>
      <c r="AB453" s="2"/>
      <c r="AC453" s="2"/>
    </row>
    <row r="454" spans="23:29" x14ac:dyDescent="0.2">
      <c r="W454" s="2"/>
      <c r="X454" s="2"/>
      <c r="Y454" s="2"/>
      <c r="AA454" s="2"/>
      <c r="AB454" s="2"/>
      <c r="AC454" s="2"/>
    </row>
    <row r="455" spans="23:29" x14ac:dyDescent="0.2">
      <c r="W455" s="2"/>
      <c r="X455" s="2"/>
      <c r="Y455" s="2"/>
      <c r="AA455" s="2"/>
      <c r="AB455" s="2"/>
      <c r="AC455" s="2"/>
    </row>
    <row r="456" spans="23:29" x14ac:dyDescent="0.2">
      <c r="W456" s="2"/>
      <c r="X456" s="2"/>
      <c r="Y456" s="2"/>
      <c r="AA456" s="2"/>
      <c r="AB456" s="2"/>
      <c r="AC456" s="2"/>
    </row>
    <row r="457" spans="23:29" x14ac:dyDescent="0.2">
      <c r="W457" s="2"/>
      <c r="X457" s="2"/>
      <c r="Y457" s="2"/>
      <c r="AA457" s="2"/>
      <c r="AB457" s="2"/>
      <c r="AC457" s="2"/>
    </row>
    <row r="458" spans="23:29" x14ac:dyDescent="0.2">
      <c r="W458" s="2"/>
      <c r="X458" s="2"/>
      <c r="Y458" s="2"/>
      <c r="AA458" s="2"/>
      <c r="AB458" s="2"/>
      <c r="AC458" s="2"/>
    </row>
    <row r="459" spans="23:29" x14ac:dyDescent="0.2">
      <c r="W459" s="2"/>
      <c r="X459" s="2"/>
      <c r="Y459" s="2"/>
      <c r="AA459" s="2"/>
      <c r="AB459" s="2"/>
      <c r="AC459" s="2"/>
    </row>
    <row r="460" spans="23:29" x14ac:dyDescent="0.2">
      <c r="W460" s="2"/>
      <c r="X460" s="2"/>
      <c r="Y460" s="2"/>
      <c r="AA460" s="2"/>
      <c r="AB460" s="2"/>
      <c r="AC460" s="2"/>
    </row>
    <row r="461" spans="23:29" x14ac:dyDescent="0.2">
      <c r="W461" s="2"/>
      <c r="X461" s="2"/>
      <c r="Y461" s="2"/>
      <c r="AA461" s="2"/>
      <c r="AB461" s="2"/>
      <c r="AC461" s="2"/>
    </row>
    <row r="462" spans="23:29" x14ac:dyDescent="0.2">
      <c r="W462" s="2"/>
      <c r="X462" s="2"/>
      <c r="Y462" s="2"/>
      <c r="AA462" s="2"/>
      <c r="AB462" s="2"/>
      <c r="AC462" s="2"/>
    </row>
    <row r="463" spans="23:29" x14ac:dyDescent="0.2">
      <c r="W463" s="2"/>
      <c r="X463" s="2"/>
      <c r="Y463" s="2"/>
      <c r="AA463" s="2"/>
      <c r="AB463" s="2"/>
      <c r="AC463" s="2"/>
    </row>
    <row r="464" spans="23:29" x14ac:dyDescent="0.2">
      <c r="W464" s="2"/>
      <c r="X464" s="2"/>
      <c r="Y464" s="2"/>
      <c r="AA464" s="2"/>
      <c r="AB464" s="2"/>
      <c r="AC464" s="2"/>
    </row>
    <row r="465" spans="23:29" x14ac:dyDescent="0.2">
      <c r="W465" s="2"/>
      <c r="X465" s="2"/>
      <c r="Y465" s="2"/>
      <c r="AA465" s="2"/>
      <c r="AB465" s="2"/>
      <c r="AC465" s="2"/>
    </row>
    <row r="466" spans="23:29" x14ac:dyDescent="0.2">
      <c r="W466" s="2"/>
      <c r="X466" s="2"/>
      <c r="Y466" s="2"/>
      <c r="AA466" s="2"/>
      <c r="AB466" s="2"/>
      <c r="AC466" s="2"/>
    </row>
    <row r="467" spans="23:29" x14ac:dyDescent="0.2">
      <c r="W467" s="2"/>
      <c r="X467" s="2"/>
      <c r="Y467" s="2"/>
      <c r="AA467" s="2"/>
      <c r="AB467" s="2"/>
      <c r="AC467" s="2"/>
    </row>
    <row r="468" spans="23:29" x14ac:dyDescent="0.2">
      <c r="W468" s="2"/>
      <c r="X468" s="2"/>
      <c r="Y468" s="2"/>
      <c r="AA468" s="2"/>
      <c r="AB468" s="2"/>
      <c r="AC468" s="2"/>
    </row>
    <row r="469" spans="23:29" x14ac:dyDescent="0.2">
      <c r="W469" s="2"/>
      <c r="X469" s="2"/>
      <c r="Y469" s="2"/>
      <c r="AA469" s="2"/>
      <c r="AB469" s="2"/>
      <c r="AC469" s="2"/>
    </row>
    <row r="470" spans="23:29" x14ac:dyDescent="0.2">
      <c r="W470" s="2"/>
      <c r="X470" s="2"/>
      <c r="Y470" s="2"/>
      <c r="AA470" s="2"/>
      <c r="AB470" s="2"/>
      <c r="AC470" s="2"/>
    </row>
    <row r="471" spans="23:29" x14ac:dyDescent="0.2">
      <c r="W471" s="2"/>
      <c r="X471" s="2"/>
      <c r="Y471" s="2"/>
      <c r="AA471" s="2"/>
      <c r="AB471" s="2"/>
      <c r="AC471" s="2"/>
    </row>
    <row r="472" spans="23:29" x14ac:dyDescent="0.2">
      <c r="W472" s="2"/>
      <c r="X472" s="2"/>
      <c r="Y472" s="2"/>
      <c r="AA472" s="2"/>
      <c r="AB472" s="2"/>
      <c r="AC472" s="2"/>
    </row>
    <row r="473" spans="23:29" x14ac:dyDescent="0.2">
      <c r="W473" s="2"/>
      <c r="X473" s="2"/>
      <c r="Y473" s="2"/>
      <c r="AA473" s="2"/>
      <c r="AB473" s="2"/>
      <c r="AC473" s="2"/>
    </row>
    <row r="474" spans="23:29" x14ac:dyDescent="0.2">
      <c r="W474" s="2"/>
      <c r="X474" s="2"/>
      <c r="Y474" s="2"/>
      <c r="AA474" s="2"/>
      <c r="AB474" s="2"/>
      <c r="AC474" s="2"/>
    </row>
    <row r="475" spans="23:29" x14ac:dyDescent="0.2">
      <c r="W475" s="2"/>
      <c r="X475" s="2"/>
      <c r="Y475" s="2"/>
      <c r="AA475" s="2"/>
      <c r="AB475" s="2"/>
      <c r="AC475" s="2"/>
    </row>
    <row r="476" spans="23:29" x14ac:dyDescent="0.2">
      <c r="W476" s="2"/>
      <c r="X476" s="2"/>
      <c r="Y476" s="2"/>
      <c r="AA476" s="2"/>
      <c r="AB476" s="2"/>
      <c r="AC476" s="2"/>
    </row>
    <row r="477" spans="23:29" x14ac:dyDescent="0.2">
      <c r="W477" s="2"/>
      <c r="X477" s="2"/>
      <c r="Y477" s="2"/>
      <c r="AA477" s="2"/>
      <c r="AB477" s="2"/>
      <c r="AC477" s="2"/>
    </row>
    <row r="478" spans="23:29" x14ac:dyDescent="0.2">
      <c r="W478" s="2"/>
      <c r="X478" s="2"/>
      <c r="Y478" s="2"/>
      <c r="AA478" s="2"/>
      <c r="AB478" s="2"/>
      <c r="AC478" s="2"/>
    </row>
    <row r="479" spans="23:29" x14ac:dyDescent="0.2">
      <c r="W479" s="2"/>
      <c r="X479" s="2"/>
      <c r="Y479" s="2"/>
      <c r="AA479" s="2"/>
      <c r="AB479" s="2"/>
      <c r="AC479" s="2"/>
    </row>
    <row r="480" spans="23:29" x14ac:dyDescent="0.2">
      <c r="W480" s="2"/>
      <c r="X480" s="2"/>
      <c r="Y480" s="2"/>
      <c r="AA480" s="2"/>
      <c r="AB480" s="2"/>
      <c r="AC480" s="2"/>
    </row>
    <row r="481" spans="23:29" x14ac:dyDescent="0.2">
      <c r="W481" s="2"/>
      <c r="X481" s="2"/>
      <c r="Y481" s="2"/>
      <c r="AA481" s="2"/>
      <c r="AB481" s="2"/>
      <c r="AC481" s="2"/>
    </row>
    <row r="482" spans="23:29" x14ac:dyDescent="0.2">
      <c r="W482" s="2"/>
      <c r="X482" s="2"/>
      <c r="Y482" s="2"/>
      <c r="AA482" s="2"/>
      <c r="AB482" s="2"/>
      <c r="AC482" s="2"/>
    </row>
    <row r="483" spans="23:29" x14ac:dyDescent="0.2">
      <c r="W483" s="2"/>
      <c r="X483" s="2"/>
      <c r="Y483" s="2"/>
      <c r="AA483" s="2"/>
      <c r="AB483" s="2"/>
      <c r="AC483" s="2"/>
    </row>
    <row r="484" spans="23:29" x14ac:dyDescent="0.2">
      <c r="W484" s="2"/>
      <c r="X484" s="2"/>
      <c r="Y484" s="2"/>
      <c r="AA484" s="2"/>
      <c r="AB484" s="2"/>
      <c r="AC484" s="2"/>
    </row>
    <row r="485" spans="23:29" x14ac:dyDescent="0.2">
      <c r="W485" s="2"/>
      <c r="X485" s="2"/>
      <c r="Y485" s="2"/>
      <c r="AA485" s="2"/>
      <c r="AB485" s="2"/>
      <c r="AC485" s="2"/>
    </row>
    <row r="486" spans="23:29" x14ac:dyDescent="0.2">
      <c r="W486" s="2"/>
      <c r="X486" s="2"/>
      <c r="Y486" s="2"/>
      <c r="AA486" s="2"/>
      <c r="AB486" s="2"/>
      <c r="AC486" s="2"/>
    </row>
    <row r="487" spans="23:29" x14ac:dyDescent="0.2">
      <c r="W487" s="2"/>
      <c r="X487" s="2"/>
      <c r="Y487" s="2"/>
      <c r="AA487" s="2"/>
      <c r="AB487" s="2"/>
      <c r="AC487" s="2"/>
    </row>
    <row r="488" spans="23:29" x14ac:dyDescent="0.2">
      <c r="W488" s="2"/>
      <c r="X488" s="2"/>
      <c r="Y488" s="2"/>
      <c r="AA488" s="2"/>
      <c r="AB488" s="2"/>
      <c r="AC488" s="2"/>
    </row>
    <row r="489" spans="23:29" x14ac:dyDescent="0.2">
      <c r="W489" s="2"/>
      <c r="X489" s="2"/>
      <c r="Y489" s="2"/>
      <c r="AA489" s="2"/>
      <c r="AB489" s="2"/>
      <c r="AC489" s="2"/>
    </row>
    <row r="490" spans="23:29" x14ac:dyDescent="0.2">
      <c r="W490" s="2"/>
      <c r="X490" s="2"/>
      <c r="Y490" s="2"/>
      <c r="AA490" s="2"/>
      <c r="AB490" s="2"/>
      <c r="AC490" s="2"/>
    </row>
    <row r="491" spans="23:29" x14ac:dyDescent="0.2">
      <c r="W491" s="2"/>
      <c r="X491" s="2"/>
      <c r="Y491" s="2"/>
      <c r="AA491" s="2"/>
      <c r="AB491" s="2"/>
      <c r="AC491" s="2"/>
    </row>
    <row r="492" spans="23:29" x14ac:dyDescent="0.2">
      <c r="W492" s="2"/>
      <c r="X492" s="2"/>
      <c r="Y492" s="2"/>
      <c r="AA492" s="2"/>
      <c r="AB492" s="2"/>
      <c r="AC492" s="2"/>
    </row>
    <row r="493" spans="23:29" x14ac:dyDescent="0.2">
      <c r="W493" s="2"/>
      <c r="X493" s="2"/>
      <c r="Y493" s="2"/>
      <c r="AA493" s="2"/>
      <c r="AB493" s="2"/>
      <c r="AC493" s="2"/>
    </row>
    <row r="494" spans="23:29" x14ac:dyDescent="0.2">
      <c r="W494" s="2"/>
      <c r="X494" s="2"/>
      <c r="Y494" s="2"/>
      <c r="AA494" s="2"/>
      <c r="AB494" s="2"/>
      <c r="AC494" s="2"/>
    </row>
    <row r="495" spans="23:29" x14ac:dyDescent="0.2">
      <c r="W495" s="2"/>
      <c r="X495" s="2"/>
      <c r="Y495" s="2"/>
      <c r="AA495" s="2"/>
      <c r="AB495" s="2"/>
      <c r="AC495" s="2"/>
    </row>
    <row r="496" spans="23:29" x14ac:dyDescent="0.2">
      <c r="W496" s="2"/>
      <c r="X496" s="2"/>
      <c r="Y496" s="2"/>
      <c r="AA496" s="2"/>
      <c r="AB496" s="2"/>
      <c r="AC496" s="2"/>
    </row>
    <row r="497" spans="23:29" x14ac:dyDescent="0.2">
      <c r="W497" s="2"/>
      <c r="X497" s="2"/>
      <c r="Y497" s="2"/>
      <c r="AA497" s="2"/>
      <c r="AB497" s="2"/>
      <c r="AC497" s="2"/>
    </row>
    <row r="498" spans="23:29" x14ac:dyDescent="0.2">
      <c r="W498" s="2"/>
      <c r="X498" s="2"/>
      <c r="Y498" s="2"/>
      <c r="AA498" s="2"/>
      <c r="AB498" s="2"/>
      <c r="AC498" s="2"/>
    </row>
    <row r="499" spans="23:29" x14ac:dyDescent="0.2">
      <c r="W499" s="2"/>
      <c r="X499" s="2"/>
      <c r="Y499" s="2"/>
      <c r="AA499" s="2"/>
      <c r="AB499" s="2"/>
      <c r="AC499" s="2"/>
    </row>
    <row r="500" spans="23:29" x14ac:dyDescent="0.2">
      <c r="W500" s="2"/>
      <c r="X500" s="2"/>
      <c r="Y500" s="2"/>
      <c r="AA500" s="2"/>
      <c r="AB500" s="2"/>
      <c r="AC500" s="2"/>
    </row>
    <row r="501" spans="23:29" x14ac:dyDescent="0.2">
      <c r="W501" s="2"/>
      <c r="X501" s="2"/>
      <c r="Y501" s="2"/>
      <c r="AA501" s="2"/>
      <c r="AB501" s="2"/>
      <c r="AC501" s="2"/>
    </row>
    <row r="502" spans="23:29" x14ac:dyDescent="0.2">
      <c r="W502" s="2"/>
      <c r="X502" s="2"/>
      <c r="Y502" s="2"/>
      <c r="AA502" s="2"/>
      <c r="AB502" s="2"/>
      <c r="AC502" s="2"/>
    </row>
    <row r="503" spans="23:29" x14ac:dyDescent="0.2">
      <c r="W503" s="2"/>
      <c r="X503" s="2"/>
      <c r="Y503" s="2"/>
      <c r="AA503" s="2"/>
      <c r="AB503" s="2"/>
      <c r="AC503" s="2"/>
    </row>
    <row r="504" spans="23:29" x14ac:dyDescent="0.2">
      <c r="W504" s="2"/>
      <c r="X504" s="2"/>
      <c r="Y504" s="2"/>
      <c r="AA504" s="2"/>
      <c r="AB504" s="2"/>
      <c r="AC504" s="2"/>
    </row>
    <row r="505" spans="23:29" x14ac:dyDescent="0.2">
      <c r="W505" s="2"/>
      <c r="X505" s="2"/>
      <c r="Y505" s="2"/>
      <c r="AA505" s="2"/>
      <c r="AB505" s="2"/>
      <c r="AC505" s="2"/>
    </row>
    <row r="506" spans="23:29" x14ac:dyDescent="0.2">
      <c r="W506" s="2"/>
      <c r="X506" s="2"/>
      <c r="Y506" s="2"/>
      <c r="AA506" s="2"/>
      <c r="AB506" s="2"/>
      <c r="AC506" s="2"/>
    </row>
    <row r="507" spans="23:29" x14ac:dyDescent="0.2">
      <c r="W507" s="2"/>
      <c r="X507" s="2"/>
      <c r="Y507" s="2"/>
      <c r="AA507" s="2"/>
      <c r="AB507" s="2"/>
      <c r="AC507" s="2"/>
    </row>
    <row r="508" spans="23:29" x14ac:dyDescent="0.2">
      <c r="W508" s="2"/>
      <c r="X508" s="2"/>
      <c r="Y508" s="2"/>
      <c r="AA508" s="2"/>
      <c r="AB508" s="2"/>
      <c r="AC508" s="2"/>
    </row>
    <row r="509" spans="23:29" x14ac:dyDescent="0.2">
      <c r="W509" s="2"/>
      <c r="X509" s="2"/>
      <c r="Y509" s="2"/>
      <c r="AA509" s="2"/>
      <c r="AB509" s="2"/>
      <c r="AC509" s="2"/>
    </row>
    <row r="510" spans="23:29" x14ac:dyDescent="0.2">
      <c r="W510" s="2"/>
      <c r="X510" s="2"/>
      <c r="Y510" s="2"/>
      <c r="AA510" s="2"/>
      <c r="AB510" s="2"/>
      <c r="AC510" s="2"/>
    </row>
    <row r="511" spans="23:29" x14ac:dyDescent="0.2">
      <c r="W511" s="2"/>
      <c r="X511" s="2"/>
      <c r="Y511" s="2"/>
      <c r="AA511" s="2"/>
      <c r="AB511" s="2"/>
      <c r="AC511" s="2"/>
    </row>
    <row r="512" spans="23:29" x14ac:dyDescent="0.2">
      <c r="W512" s="2"/>
      <c r="X512" s="2"/>
      <c r="Y512" s="2"/>
      <c r="AA512" s="2"/>
      <c r="AB512" s="2"/>
      <c r="AC512" s="2"/>
    </row>
    <row r="513" spans="23:29" x14ac:dyDescent="0.2">
      <c r="W513" s="2"/>
      <c r="X513" s="2"/>
      <c r="Y513" s="2"/>
      <c r="AA513" s="2"/>
      <c r="AB513" s="2"/>
      <c r="AC513" s="2"/>
    </row>
    <row r="514" spans="23:29" x14ac:dyDescent="0.2">
      <c r="W514" s="2"/>
      <c r="X514" s="2"/>
      <c r="Y514" s="2"/>
      <c r="AA514" s="2"/>
      <c r="AB514" s="2"/>
      <c r="AC514" s="2"/>
    </row>
    <row r="515" spans="23:29" x14ac:dyDescent="0.2">
      <c r="W515" s="2"/>
      <c r="X515" s="2"/>
      <c r="Y515" s="2"/>
      <c r="AA515" s="2"/>
      <c r="AB515" s="2"/>
      <c r="AC515" s="2"/>
    </row>
    <row r="516" spans="23:29" x14ac:dyDescent="0.2">
      <c r="W516" s="2"/>
      <c r="X516" s="2"/>
      <c r="Y516" s="2"/>
      <c r="AA516" s="2"/>
      <c r="AB516" s="2"/>
      <c r="AC516" s="2"/>
    </row>
    <row r="517" spans="23:29" x14ac:dyDescent="0.2">
      <c r="W517" s="2"/>
      <c r="X517" s="2"/>
      <c r="Y517" s="2"/>
      <c r="AA517" s="2"/>
      <c r="AB517" s="2"/>
      <c r="AC517" s="2"/>
    </row>
    <row r="518" spans="23:29" x14ac:dyDescent="0.2">
      <c r="W518" s="2"/>
      <c r="X518" s="2"/>
      <c r="Y518" s="2"/>
      <c r="AA518" s="2"/>
      <c r="AB518" s="2"/>
      <c r="AC518" s="2"/>
    </row>
    <row r="519" spans="23:29" x14ac:dyDescent="0.2">
      <c r="W519" s="2"/>
      <c r="X519" s="2"/>
      <c r="Y519" s="2"/>
      <c r="AA519" s="2"/>
      <c r="AB519" s="2"/>
      <c r="AC519" s="2"/>
    </row>
    <row r="520" spans="23:29" x14ac:dyDescent="0.2">
      <c r="W520" s="2"/>
      <c r="X520" s="2"/>
      <c r="Y520" s="2"/>
      <c r="AA520" s="2"/>
      <c r="AB520" s="2"/>
      <c r="AC520" s="2"/>
    </row>
    <row r="521" spans="23:29" x14ac:dyDescent="0.2">
      <c r="W521" s="2"/>
      <c r="X521" s="2"/>
      <c r="Y521" s="2"/>
      <c r="AA521" s="2"/>
      <c r="AB521" s="2"/>
      <c r="AC521" s="2"/>
    </row>
    <row r="522" spans="23:29" x14ac:dyDescent="0.2">
      <c r="W522" s="2"/>
      <c r="X522" s="2"/>
      <c r="Y522" s="2"/>
      <c r="AA522" s="2"/>
      <c r="AB522" s="2"/>
      <c r="AC522" s="2"/>
    </row>
    <row r="523" spans="23:29" x14ac:dyDescent="0.2">
      <c r="W523" s="2"/>
      <c r="X523" s="2"/>
      <c r="Y523" s="2"/>
      <c r="AA523" s="2"/>
      <c r="AB523" s="2"/>
      <c r="AC523" s="2"/>
    </row>
    <row r="524" spans="23:29" x14ac:dyDescent="0.2">
      <c r="W524" s="2"/>
      <c r="X524" s="2"/>
      <c r="Y524" s="2"/>
      <c r="AA524" s="2"/>
      <c r="AB524" s="2"/>
      <c r="AC524" s="2"/>
    </row>
    <row r="525" spans="23:29" x14ac:dyDescent="0.2">
      <c r="W525" s="2"/>
      <c r="X525" s="2"/>
      <c r="Y525" s="2"/>
      <c r="AA525" s="2"/>
      <c r="AB525" s="2"/>
      <c r="AC525" s="2"/>
    </row>
    <row r="526" spans="23:29" x14ac:dyDescent="0.2">
      <c r="W526" s="2"/>
      <c r="X526" s="2"/>
      <c r="Y526" s="2"/>
      <c r="AA526" s="2"/>
      <c r="AB526" s="2"/>
      <c r="AC526" s="2"/>
    </row>
    <row r="527" spans="23:29" x14ac:dyDescent="0.2">
      <c r="W527" s="2"/>
      <c r="X527" s="2"/>
      <c r="Y527" s="2"/>
      <c r="AA527" s="2"/>
      <c r="AB527" s="2"/>
      <c r="AC527" s="2"/>
    </row>
    <row r="528" spans="23:29" x14ac:dyDescent="0.2">
      <c r="W528" s="2"/>
      <c r="X528" s="2"/>
      <c r="Y528" s="2"/>
      <c r="AA528" s="2"/>
      <c r="AB528" s="2"/>
      <c r="AC528" s="2"/>
    </row>
    <row r="529" spans="23:29" x14ac:dyDescent="0.2">
      <c r="W529" s="2"/>
      <c r="X529" s="2"/>
      <c r="Y529" s="2"/>
      <c r="AA529" s="2"/>
      <c r="AB529" s="2"/>
      <c r="AC529" s="2"/>
    </row>
    <row r="530" spans="23:29" x14ac:dyDescent="0.2">
      <c r="W530" s="2"/>
      <c r="X530" s="2"/>
      <c r="Y530" s="2"/>
      <c r="AA530" s="2"/>
      <c r="AB530" s="2"/>
      <c r="AC530" s="2"/>
    </row>
    <row r="531" spans="23:29" x14ac:dyDescent="0.2">
      <c r="W531" s="2"/>
      <c r="X531" s="2"/>
      <c r="Y531" s="2"/>
      <c r="AA531" s="2"/>
      <c r="AB531" s="2"/>
      <c r="AC531" s="2"/>
    </row>
    <row r="532" spans="23:29" x14ac:dyDescent="0.2">
      <c r="W532" s="2"/>
      <c r="X532" s="2"/>
      <c r="Y532" s="2"/>
      <c r="AA532" s="2"/>
      <c r="AB532" s="2"/>
      <c r="AC532" s="2"/>
    </row>
    <row r="533" spans="23:29" x14ac:dyDescent="0.2">
      <c r="W533" s="2"/>
      <c r="X533" s="2"/>
      <c r="Y533" s="2"/>
      <c r="AA533" s="2"/>
      <c r="AB533" s="2"/>
      <c r="AC533" s="2"/>
    </row>
    <row r="534" spans="23:29" x14ac:dyDescent="0.2">
      <c r="W534" s="2"/>
      <c r="X534" s="2"/>
      <c r="Y534" s="2"/>
      <c r="AA534" s="2"/>
      <c r="AB534" s="2"/>
      <c r="AC534" s="2"/>
    </row>
    <row r="535" spans="23:29" x14ac:dyDescent="0.2">
      <c r="W535" s="2"/>
      <c r="X535" s="2"/>
      <c r="Y535" s="2"/>
      <c r="AA535" s="2"/>
      <c r="AB535" s="2"/>
      <c r="AC535" s="2"/>
    </row>
    <row r="536" spans="23:29" x14ac:dyDescent="0.2">
      <c r="W536" s="2"/>
      <c r="X536" s="2"/>
      <c r="Y536" s="2"/>
      <c r="AA536" s="2"/>
      <c r="AB536" s="2"/>
      <c r="AC536" s="2"/>
    </row>
    <row r="537" spans="23:29" x14ac:dyDescent="0.2">
      <c r="W537" s="2"/>
      <c r="X537" s="2"/>
      <c r="Y537" s="2"/>
      <c r="AA537" s="2"/>
      <c r="AB537" s="2"/>
      <c r="AC537" s="2"/>
    </row>
    <row r="538" spans="23:29" x14ac:dyDescent="0.2">
      <c r="W538" s="2"/>
      <c r="X538" s="2"/>
      <c r="Y538" s="2"/>
      <c r="AA538" s="2"/>
      <c r="AB538" s="2"/>
      <c r="AC538" s="2"/>
    </row>
    <row r="539" spans="23:29" x14ac:dyDescent="0.2">
      <c r="W539" s="2"/>
      <c r="X539" s="2"/>
      <c r="Y539" s="2"/>
      <c r="AA539" s="2"/>
      <c r="AB539" s="2"/>
      <c r="AC539" s="2"/>
    </row>
    <row r="540" spans="23:29" x14ac:dyDescent="0.2">
      <c r="W540" s="2"/>
      <c r="X540" s="2"/>
      <c r="Y540" s="2"/>
      <c r="AA540" s="2"/>
      <c r="AB540" s="2"/>
      <c r="AC540" s="2"/>
    </row>
    <row r="541" spans="23:29" x14ac:dyDescent="0.2">
      <c r="W541" s="2"/>
      <c r="X541" s="2"/>
      <c r="Y541" s="2"/>
      <c r="AA541" s="2"/>
      <c r="AB541" s="2"/>
      <c r="AC541" s="2"/>
    </row>
    <row r="542" spans="23:29" x14ac:dyDescent="0.2">
      <c r="W542" s="2"/>
      <c r="X542" s="2"/>
      <c r="Y542" s="2"/>
      <c r="AA542" s="2"/>
      <c r="AB542" s="2"/>
      <c r="AC542" s="2"/>
    </row>
    <row r="543" spans="23:29" x14ac:dyDescent="0.2">
      <c r="W543" s="2"/>
      <c r="X543" s="2"/>
      <c r="Y543" s="2"/>
      <c r="AA543" s="2"/>
      <c r="AB543" s="2"/>
      <c r="AC543" s="2"/>
    </row>
    <row r="544" spans="23:29" x14ac:dyDescent="0.2">
      <c r="W544" s="2"/>
      <c r="X544" s="2"/>
      <c r="Y544" s="2"/>
      <c r="AA544" s="2"/>
      <c r="AB544" s="2"/>
      <c r="AC544" s="2"/>
    </row>
    <row r="545" spans="23:29" x14ac:dyDescent="0.2">
      <c r="W545" s="2"/>
      <c r="X545" s="2"/>
      <c r="Y545" s="2"/>
      <c r="AA545" s="2"/>
      <c r="AB545" s="2"/>
      <c r="AC545" s="2"/>
    </row>
    <row r="546" spans="23:29" x14ac:dyDescent="0.2">
      <c r="W546" s="2"/>
      <c r="X546" s="2"/>
      <c r="Y546" s="2"/>
      <c r="AA546" s="2"/>
      <c r="AB546" s="2"/>
      <c r="AC546" s="2"/>
    </row>
    <row r="547" spans="23:29" x14ac:dyDescent="0.2">
      <c r="W547" s="2"/>
      <c r="X547" s="2"/>
      <c r="Y547" s="2"/>
      <c r="AA547" s="2"/>
      <c r="AB547" s="2"/>
      <c r="AC547" s="2"/>
    </row>
    <row r="548" spans="23:29" x14ac:dyDescent="0.2">
      <c r="W548" s="2"/>
      <c r="X548" s="2"/>
      <c r="Y548" s="2"/>
      <c r="AA548" s="2"/>
      <c r="AB548" s="2"/>
      <c r="AC548" s="2"/>
    </row>
    <row r="549" spans="23:29" x14ac:dyDescent="0.2">
      <c r="W549" s="2"/>
      <c r="X549" s="2"/>
      <c r="Y549" s="2"/>
      <c r="AA549" s="2"/>
      <c r="AB549" s="2"/>
      <c r="AC549" s="2"/>
    </row>
    <row r="550" spans="23:29" x14ac:dyDescent="0.2">
      <c r="W550" s="2"/>
      <c r="X550" s="2"/>
      <c r="Y550" s="2"/>
      <c r="AA550" s="2"/>
      <c r="AB550" s="2"/>
      <c r="AC550" s="2"/>
    </row>
    <row r="551" spans="23:29" x14ac:dyDescent="0.2">
      <c r="W551" s="2"/>
      <c r="X551" s="2"/>
      <c r="Y551" s="2"/>
      <c r="AA551" s="2"/>
      <c r="AB551" s="2"/>
      <c r="AC551" s="2"/>
    </row>
    <row r="552" spans="23:29" x14ac:dyDescent="0.2">
      <c r="W552" s="2"/>
      <c r="X552" s="2"/>
      <c r="Y552" s="2"/>
      <c r="AA552" s="2"/>
      <c r="AB552" s="2"/>
      <c r="AC552" s="2"/>
    </row>
    <row r="553" spans="23:29" x14ac:dyDescent="0.2">
      <c r="W553" s="2"/>
      <c r="X553" s="2"/>
      <c r="Y553" s="2"/>
      <c r="AA553" s="2"/>
      <c r="AB553" s="2"/>
      <c r="AC553" s="2"/>
    </row>
    <row r="554" spans="23:29" x14ac:dyDescent="0.2">
      <c r="W554" s="2"/>
      <c r="X554" s="2"/>
      <c r="Y554" s="2"/>
      <c r="AA554" s="2"/>
      <c r="AB554" s="2"/>
      <c r="AC554" s="2"/>
    </row>
    <row r="555" spans="23:29" x14ac:dyDescent="0.2">
      <c r="W555" s="2"/>
      <c r="X555" s="2"/>
      <c r="Y555" s="2"/>
      <c r="AA555" s="2"/>
      <c r="AB555" s="2"/>
      <c r="AC555" s="2"/>
    </row>
    <row r="556" spans="23:29" x14ac:dyDescent="0.2">
      <c r="W556" s="2"/>
      <c r="X556" s="2"/>
      <c r="Y556" s="2"/>
      <c r="AA556" s="2"/>
      <c r="AB556" s="2"/>
      <c r="AC556" s="2"/>
    </row>
    <row r="557" spans="23:29" x14ac:dyDescent="0.2">
      <c r="W557" s="2"/>
      <c r="X557" s="2"/>
      <c r="Y557" s="2"/>
      <c r="AA557" s="2"/>
      <c r="AB557" s="2"/>
      <c r="AC557" s="2"/>
    </row>
    <row r="558" spans="23:29" x14ac:dyDescent="0.2">
      <c r="W558" s="2"/>
      <c r="X558" s="2"/>
      <c r="Y558" s="2"/>
      <c r="AA558" s="2"/>
      <c r="AB558" s="2"/>
      <c r="AC558" s="2"/>
    </row>
    <row r="559" spans="23:29" x14ac:dyDescent="0.2">
      <c r="W559" s="2"/>
      <c r="X559" s="2"/>
      <c r="Y559" s="2"/>
      <c r="AA559" s="2"/>
      <c r="AB559" s="2"/>
      <c r="AC559" s="2"/>
    </row>
    <row r="560" spans="23:29" x14ac:dyDescent="0.2">
      <c r="W560" s="2"/>
      <c r="X560" s="2"/>
      <c r="Y560" s="2"/>
      <c r="AA560" s="2"/>
      <c r="AB560" s="2"/>
      <c r="AC560" s="2"/>
    </row>
    <row r="561" spans="23:29" x14ac:dyDescent="0.2">
      <c r="W561" s="2"/>
      <c r="X561" s="2"/>
      <c r="Y561" s="2"/>
      <c r="AA561" s="2"/>
      <c r="AB561" s="2"/>
      <c r="AC561" s="2"/>
    </row>
    <row r="562" spans="23:29" x14ac:dyDescent="0.2">
      <c r="W562" s="2"/>
      <c r="X562" s="2"/>
      <c r="Y562" s="2"/>
      <c r="AA562" s="2"/>
      <c r="AB562" s="2"/>
      <c r="AC562" s="2"/>
    </row>
    <row r="563" spans="23:29" x14ac:dyDescent="0.2">
      <c r="W563" s="2"/>
      <c r="X563" s="2"/>
      <c r="Y563" s="2"/>
      <c r="AA563" s="2"/>
      <c r="AB563" s="2"/>
      <c r="AC563" s="2"/>
    </row>
    <row r="564" spans="23:29" x14ac:dyDescent="0.2">
      <c r="W564" s="2"/>
      <c r="X564" s="2"/>
      <c r="Y564" s="2"/>
      <c r="AA564" s="2"/>
      <c r="AB564" s="2"/>
      <c r="AC564" s="2"/>
    </row>
    <row r="565" spans="23:29" x14ac:dyDescent="0.2">
      <c r="W565" s="2"/>
      <c r="X565" s="2"/>
      <c r="Y565" s="2"/>
      <c r="AA565" s="2"/>
      <c r="AB565" s="2"/>
      <c r="AC565" s="2"/>
    </row>
    <row r="566" spans="23:29" x14ac:dyDescent="0.2">
      <c r="W566" s="2"/>
      <c r="X566" s="2"/>
      <c r="Y566" s="2"/>
      <c r="AA566" s="2"/>
      <c r="AB566" s="2"/>
      <c r="AC566" s="2"/>
    </row>
    <row r="567" spans="23:29" x14ac:dyDescent="0.2">
      <c r="W567" s="2"/>
      <c r="X567" s="2"/>
      <c r="Y567" s="2"/>
      <c r="AA567" s="2"/>
      <c r="AB567" s="2"/>
      <c r="AC567" s="2"/>
    </row>
    <row r="568" spans="23:29" x14ac:dyDescent="0.2">
      <c r="W568" s="2"/>
      <c r="X568" s="2"/>
      <c r="Y568" s="2"/>
      <c r="AA568" s="2"/>
      <c r="AB568" s="2"/>
      <c r="AC568" s="2"/>
    </row>
    <row r="569" spans="23:29" x14ac:dyDescent="0.2">
      <c r="W569" s="2"/>
      <c r="X569" s="2"/>
      <c r="Y569" s="2"/>
      <c r="AA569" s="2"/>
      <c r="AB569" s="2"/>
      <c r="AC569" s="2"/>
    </row>
    <row r="570" spans="23:29" x14ac:dyDescent="0.2">
      <c r="W570" s="2"/>
      <c r="X570" s="2"/>
      <c r="Y570" s="2"/>
      <c r="AA570" s="2"/>
      <c r="AB570" s="2"/>
      <c r="AC570" s="2"/>
    </row>
    <row r="571" spans="23:29" x14ac:dyDescent="0.2">
      <c r="W571" s="2"/>
      <c r="X571" s="2"/>
      <c r="Y571" s="2"/>
      <c r="AA571" s="2"/>
      <c r="AB571" s="2"/>
      <c r="AC571" s="2"/>
    </row>
    <row r="572" spans="23:29" x14ac:dyDescent="0.2">
      <c r="W572" s="2"/>
      <c r="X572" s="2"/>
      <c r="Y572" s="2"/>
      <c r="AA572" s="2"/>
      <c r="AB572" s="2"/>
      <c r="AC572" s="2"/>
    </row>
    <row r="573" spans="23:29" x14ac:dyDescent="0.2">
      <c r="W573" s="2"/>
      <c r="X573" s="2"/>
      <c r="Y573" s="2"/>
      <c r="AA573" s="2"/>
      <c r="AB573" s="2"/>
      <c r="AC573" s="2"/>
    </row>
    <row r="574" spans="23:29" x14ac:dyDescent="0.2">
      <c r="W574" s="2"/>
      <c r="X574" s="2"/>
      <c r="Y574" s="2"/>
      <c r="AA574" s="2"/>
      <c r="AB574" s="2"/>
      <c r="AC574" s="2"/>
    </row>
    <row r="575" spans="23:29" x14ac:dyDescent="0.2">
      <c r="W575" s="2"/>
      <c r="X575" s="2"/>
      <c r="Y575" s="2"/>
      <c r="AA575" s="2"/>
      <c r="AB575" s="2"/>
      <c r="AC575" s="2"/>
    </row>
    <row r="576" spans="23:29" x14ac:dyDescent="0.2">
      <c r="W576" s="2"/>
      <c r="X576" s="2"/>
      <c r="Y576" s="2"/>
      <c r="AA576" s="2"/>
      <c r="AB576" s="2"/>
      <c r="AC576" s="2"/>
    </row>
    <row r="577" spans="23:29" x14ac:dyDescent="0.2">
      <c r="W577" s="2"/>
      <c r="X577" s="2"/>
      <c r="Y577" s="2"/>
      <c r="AA577" s="2"/>
      <c r="AB577" s="2"/>
      <c r="AC577" s="2"/>
    </row>
    <row r="578" spans="23:29" x14ac:dyDescent="0.2">
      <c r="W578" s="2"/>
      <c r="X578" s="2"/>
      <c r="Y578" s="2"/>
      <c r="AA578" s="2"/>
      <c r="AB578" s="2"/>
      <c r="AC578" s="2"/>
    </row>
    <row r="579" spans="23:29" x14ac:dyDescent="0.2">
      <c r="W579" s="2"/>
      <c r="X579" s="2"/>
      <c r="Y579" s="2"/>
      <c r="AA579" s="2"/>
      <c r="AB579" s="2"/>
      <c r="AC579" s="2"/>
    </row>
    <row r="580" spans="23:29" x14ac:dyDescent="0.2">
      <c r="W580" s="2"/>
      <c r="X580" s="2"/>
      <c r="Y580" s="2"/>
      <c r="AA580" s="2"/>
      <c r="AB580" s="2"/>
      <c r="AC580" s="2"/>
    </row>
    <row r="581" spans="23:29" x14ac:dyDescent="0.2">
      <c r="W581" s="2"/>
      <c r="X581" s="2"/>
      <c r="Y581" s="2"/>
      <c r="AA581" s="2"/>
      <c r="AB581" s="2"/>
      <c r="AC581" s="2"/>
    </row>
    <row r="582" spans="23:29" x14ac:dyDescent="0.2">
      <c r="W582" s="2"/>
      <c r="X582" s="2"/>
      <c r="Y582" s="2"/>
      <c r="AA582" s="2"/>
      <c r="AB582" s="2"/>
      <c r="AC582" s="2"/>
    </row>
    <row r="583" spans="23:29" x14ac:dyDescent="0.2">
      <c r="W583" s="2"/>
      <c r="X583" s="2"/>
      <c r="Y583" s="2"/>
      <c r="AA583" s="2"/>
      <c r="AB583" s="2"/>
      <c r="AC583" s="2"/>
    </row>
    <row r="584" spans="23:29" x14ac:dyDescent="0.2">
      <c r="W584" s="2"/>
      <c r="X584" s="2"/>
      <c r="Y584" s="2"/>
      <c r="AA584" s="2"/>
      <c r="AB584" s="2"/>
      <c r="AC584" s="2"/>
    </row>
    <row r="585" spans="23:29" x14ac:dyDescent="0.2">
      <c r="W585" s="2"/>
      <c r="X585" s="2"/>
      <c r="Y585" s="2"/>
      <c r="AA585" s="2"/>
      <c r="AB585" s="2"/>
      <c r="AC585" s="2"/>
    </row>
    <row r="586" spans="23:29" x14ac:dyDescent="0.2">
      <c r="W586" s="2"/>
      <c r="X586" s="2"/>
      <c r="Y586" s="2"/>
      <c r="AA586" s="2"/>
      <c r="AB586" s="2"/>
      <c r="AC586" s="2"/>
    </row>
    <row r="587" spans="23:29" x14ac:dyDescent="0.2">
      <c r="W587" s="2"/>
      <c r="X587" s="2"/>
      <c r="Y587" s="2"/>
      <c r="AA587" s="2"/>
      <c r="AB587" s="2"/>
      <c r="AC587" s="2"/>
    </row>
    <row r="588" spans="23:29" x14ac:dyDescent="0.2">
      <c r="W588" s="2"/>
      <c r="X588" s="2"/>
      <c r="Y588" s="2"/>
      <c r="AA588" s="2"/>
      <c r="AB588" s="2"/>
      <c r="AC588" s="2"/>
    </row>
    <row r="589" spans="23:29" x14ac:dyDescent="0.2">
      <c r="W589" s="2"/>
      <c r="X589" s="2"/>
      <c r="Y589" s="2"/>
      <c r="AA589" s="2"/>
      <c r="AB589" s="2"/>
      <c r="AC589" s="2"/>
    </row>
    <row r="590" spans="23:29" x14ac:dyDescent="0.2">
      <c r="W590" s="2"/>
      <c r="X590" s="2"/>
      <c r="Y590" s="2"/>
      <c r="AA590" s="2"/>
      <c r="AB590" s="2"/>
      <c r="AC590" s="2"/>
    </row>
    <row r="591" spans="23:29" x14ac:dyDescent="0.2">
      <c r="W591" s="2"/>
      <c r="X591" s="2"/>
      <c r="Y591" s="2"/>
      <c r="AA591" s="2"/>
      <c r="AB591" s="2"/>
      <c r="AC591" s="2"/>
    </row>
    <row r="592" spans="23:29" x14ac:dyDescent="0.2">
      <c r="W592" s="2"/>
      <c r="X592" s="2"/>
      <c r="Y592" s="2"/>
      <c r="AA592" s="2"/>
      <c r="AB592" s="2"/>
      <c r="AC592" s="2"/>
    </row>
    <row r="593" spans="23:29" x14ac:dyDescent="0.2">
      <c r="W593" s="2"/>
      <c r="X593" s="2"/>
      <c r="Y593" s="2"/>
      <c r="AA593" s="2"/>
      <c r="AB593" s="2"/>
      <c r="AC593" s="2"/>
    </row>
    <row r="594" spans="23:29" x14ac:dyDescent="0.2">
      <c r="W594" s="2"/>
      <c r="X594" s="2"/>
      <c r="Y594" s="2"/>
      <c r="AA594" s="2"/>
      <c r="AB594" s="2"/>
      <c r="AC594" s="2"/>
    </row>
    <row r="595" spans="23:29" x14ac:dyDescent="0.2">
      <c r="W595" s="2"/>
      <c r="X595" s="2"/>
      <c r="Y595" s="2"/>
      <c r="AA595" s="2"/>
      <c r="AB595" s="2"/>
      <c r="AC595" s="2"/>
    </row>
    <row r="596" spans="23:29" x14ac:dyDescent="0.2">
      <c r="W596" s="2"/>
      <c r="X596" s="2"/>
      <c r="Y596" s="2"/>
      <c r="AA596" s="2"/>
      <c r="AB596" s="2"/>
      <c r="AC596" s="2"/>
    </row>
    <row r="597" spans="23:29" x14ac:dyDescent="0.2">
      <c r="W597" s="2"/>
      <c r="X597" s="2"/>
      <c r="Y597" s="2"/>
      <c r="AA597" s="2"/>
      <c r="AB597" s="2"/>
      <c r="AC597" s="2"/>
    </row>
    <row r="598" spans="23:29" x14ac:dyDescent="0.2">
      <c r="W598" s="2"/>
      <c r="X598" s="2"/>
      <c r="Y598" s="2"/>
      <c r="AA598" s="2"/>
      <c r="AB598" s="2"/>
      <c r="AC598" s="2"/>
    </row>
    <row r="599" spans="23:29" x14ac:dyDescent="0.2">
      <c r="W599" s="2"/>
      <c r="X599" s="2"/>
      <c r="Y599" s="2"/>
      <c r="AA599" s="2"/>
      <c r="AB599" s="2"/>
      <c r="AC599" s="2"/>
    </row>
    <row r="600" spans="23:29" x14ac:dyDescent="0.2">
      <c r="W600" s="2"/>
      <c r="X600" s="2"/>
      <c r="Y600" s="2"/>
      <c r="AA600" s="2"/>
      <c r="AB600" s="2"/>
      <c r="AC600" s="2"/>
    </row>
    <row r="601" spans="23:29" x14ac:dyDescent="0.2">
      <c r="W601" s="2"/>
      <c r="X601" s="2"/>
      <c r="Y601" s="2"/>
      <c r="AA601" s="2"/>
      <c r="AB601" s="2"/>
      <c r="AC601" s="2"/>
    </row>
    <row r="602" spans="23:29" x14ac:dyDescent="0.2">
      <c r="W602" s="2"/>
      <c r="X602" s="2"/>
      <c r="Y602" s="2"/>
      <c r="AA602" s="2"/>
      <c r="AB602" s="2"/>
      <c r="AC602" s="2"/>
    </row>
    <row r="603" spans="23:29" x14ac:dyDescent="0.2">
      <c r="W603" s="2"/>
      <c r="X603" s="2"/>
      <c r="Y603" s="2"/>
      <c r="AA603" s="2"/>
      <c r="AB603" s="2"/>
      <c r="AC603" s="2"/>
    </row>
    <row r="604" spans="23:29" x14ac:dyDescent="0.2">
      <c r="W604" s="2"/>
      <c r="X604" s="2"/>
      <c r="Y604" s="2"/>
      <c r="AA604" s="2"/>
      <c r="AB604" s="2"/>
      <c r="AC604" s="2"/>
    </row>
    <row r="605" spans="23:29" x14ac:dyDescent="0.2">
      <c r="W605" s="2"/>
      <c r="X605" s="2"/>
      <c r="Y605" s="2"/>
      <c r="AA605" s="2"/>
      <c r="AB605" s="2"/>
      <c r="AC605" s="2"/>
    </row>
    <row r="606" spans="23:29" x14ac:dyDescent="0.2">
      <c r="W606" s="2"/>
      <c r="X606" s="2"/>
      <c r="Y606" s="2"/>
      <c r="AA606" s="2"/>
      <c r="AB606" s="2"/>
      <c r="AC606" s="2"/>
    </row>
    <row r="607" spans="23:29" x14ac:dyDescent="0.2">
      <c r="W607" s="2"/>
      <c r="X607" s="2"/>
      <c r="Y607" s="2"/>
      <c r="AA607" s="2"/>
      <c r="AB607" s="2"/>
      <c r="AC607" s="2"/>
    </row>
    <row r="608" spans="23:29" x14ac:dyDescent="0.2">
      <c r="W608" s="2"/>
      <c r="X608" s="2"/>
      <c r="Y608" s="2"/>
      <c r="AA608" s="2"/>
      <c r="AB608" s="2"/>
      <c r="AC608" s="2"/>
    </row>
    <row r="609" spans="23:29" x14ac:dyDescent="0.2">
      <c r="W609" s="2"/>
      <c r="X609" s="2"/>
      <c r="Y609" s="2"/>
      <c r="AA609" s="2"/>
      <c r="AB609" s="2"/>
      <c r="AC609" s="2"/>
    </row>
    <row r="610" spans="23:29" x14ac:dyDescent="0.2">
      <c r="W610" s="2"/>
      <c r="X610" s="2"/>
      <c r="Y610" s="2"/>
      <c r="AA610" s="2"/>
      <c r="AB610" s="2"/>
      <c r="AC610" s="2"/>
    </row>
    <row r="611" spans="23:29" x14ac:dyDescent="0.2">
      <c r="W611" s="2"/>
      <c r="X611" s="2"/>
      <c r="Y611" s="2"/>
      <c r="AA611" s="2"/>
      <c r="AB611" s="2"/>
      <c r="AC611" s="2"/>
    </row>
    <row r="612" spans="23:29" x14ac:dyDescent="0.2">
      <c r="W612" s="2"/>
      <c r="X612" s="2"/>
      <c r="Y612" s="2"/>
      <c r="AA612" s="2"/>
      <c r="AB612" s="2"/>
      <c r="AC612" s="2"/>
    </row>
    <row r="613" spans="23:29" x14ac:dyDescent="0.2">
      <c r="W613" s="2"/>
      <c r="X613" s="2"/>
      <c r="Y613" s="2"/>
      <c r="AA613" s="2"/>
      <c r="AB613" s="2"/>
      <c r="AC613" s="2"/>
    </row>
    <row r="614" spans="23:29" x14ac:dyDescent="0.2">
      <c r="W614" s="2"/>
      <c r="X614" s="2"/>
      <c r="Y614" s="2"/>
      <c r="AA614" s="2"/>
      <c r="AB614" s="2"/>
      <c r="AC614" s="2"/>
    </row>
    <row r="615" spans="23:29" x14ac:dyDescent="0.2">
      <c r="W615" s="2"/>
      <c r="X615" s="2"/>
      <c r="Y615" s="2"/>
      <c r="AA615" s="2"/>
      <c r="AB615" s="2"/>
      <c r="AC615" s="2"/>
    </row>
    <row r="616" spans="23:29" x14ac:dyDescent="0.2">
      <c r="W616" s="2"/>
      <c r="X616" s="2"/>
      <c r="Y616" s="2"/>
      <c r="AA616" s="2"/>
      <c r="AB616" s="2"/>
      <c r="AC616" s="2"/>
    </row>
    <row r="617" spans="23:29" x14ac:dyDescent="0.2">
      <c r="W617" s="2"/>
      <c r="X617" s="2"/>
      <c r="Y617" s="2"/>
      <c r="AA617" s="2"/>
      <c r="AB617" s="2"/>
      <c r="AC617" s="2"/>
    </row>
    <row r="618" spans="23:29" x14ac:dyDescent="0.2">
      <c r="W618" s="2"/>
      <c r="X618" s="2"/>
      <c r="Y618" s="2"/>
      <c r="AA618" s="2"/>
      <c r="AB618" s="2"/>
      <c r="AC618" s="2"/>
    </row>
    <row r="619" spans="23:29" x14ac:dyDescent="0.2">
      <c r="W619" s="2"/>
      <c r="X619" s="2"/>
      <c r="Y619" s="2"/>
      <c r="AA619" s="2"/>
      <c r="AB619" s="2"/>
      <c r="AC619" s="2"/>
    </row>
    <row r="620" spans="23:29" x14ac:dyDescent="0.2">
      <c r="W620" s="2"/>
      <c r="X620" s="2"/>
      <c r="Y620" s="2"/>
      <c r="AA620" s="2"/>
      <c r="AB620" s="2"/>
      <c r="AC620" s="2"/>
    </row>
    <row r="621" spans="23:29" x14ac:dyDescent="0.2">
      <c r="W621" s="2"/>
      <c r="X621" s="2"/>
      <c r="Y621" s="2"/>
      <c r="AA621" s="2"/>
      <c r="AB621" s="2"/>
      <c r="AC621" s="2"/>
    </row>
    <row r="622" spans="23:29" x14ac:dyDescent="0.2">
      <c r="W622" s="2"/>
      <c r="X622" s="2"/>
      <c r="Y622" s="2"/>
      <c r="AA622" s="2"/>
      <c r="AB622" s="2"/>
      <c r="AC622" s="2"/>
    </row>
    <row r="623" spans="23:29" x14ac:dyDescent="0.2">
      <c r="W623" s="2"/>
      <c r="X623" s="2"/>
      <c r="Y623" s="2"/>
      <c r="AA623" s="2"/>
      <c r="AB623" s="2"/>
      <c r="AC623" s="2"/>
    </row>
    <row r="624" spans="23:29" x14ac:dyDescent="0.2">
      <c r="W624" s="2"/>
      <c r="X624" s="2"/>
      <c r="Y624" s="2"/>
      <c r="AA624" s="2"/>
      <c r="AB624" s="2"/>
      <c r="AC624" s="2"/>
    </row>
    <row r="625" spans="23:29" x14ac:dyDescent="0.2">
      <c r="W625" s="2"/>
      <c r="X625" s="2"/>
      <c r="Y625" s="2"/>
      <c r="AA625" s="2"/>
      <c r="AB625" s="2"/>
      <c r="AC625" s="2"/>
    </row>
    <row r="626" spans="23:29" x14ac:dyDescent="0.2">
      <c r="W626" s="2"/>
      <c r="X626" s="2"/>
      <c r="Y626" s="2"/>
      <c r="AA626" s="2"/>
      <c r="AB626" s="2"/>
      <c r="AC626" s="2"/>
    </row>
    <row r="627" spans="23:29" x14ac:dyDescent="0.2">
      <c r="W627" s="2"/>
      <c r="X627" s="2"/>
      <c r="Y627" s="2"/>
      <c r="AA627" s="2"/>
      <c r="AB627" s="2"/>
      <c r="AC627" s="2"/>
    </row>
    <row r="628" spans="23:29" x14ac:dyDescent="0.2">
      <c r="W628" s="2"/>
      <c r="X628" s="2"/>
      <c r="Y628" s="2"/>
      <c r="AA628" s="2"/>
      <c r="AB628" s="2"/>
      <c r="AC628" s="2"/>
    </row>
    <row r="629" spans="23:29" x14ac:dyDescent="0.2">
      <c r="W629" s="2"/>
      <c r="X629" s="2"/>
      <c r="Y629" s="2"/>
      <c r="AA629" s="2"/>
      <c r="AB629" s="2"/>
      <c r="AC629" s="2"/>
    </row>
    <row r="630" spans="23:29" x14ac:dyDescent="0.2">
      <c r="W630" s="2"/>
      <c r="X630" s="2"/>
      <c r="Y630" s="2"/>
      <c r="AA630" s="2"/>
      <c r="AB630" s="2"/>
      <c r="AC630" s="2"/>
    </row>
    <row r="631" spans="23:29" x14ac:dyDescent="0.2">
      <c r="W631" s="2"/>
      <c r="X631" s="2"/>
      <c r="Y631" s="2"/>
      <c r="AA631" s="2"/>
      <c r="AB631" s="2"/>
      <c r="AC631" s="2"/>
    </row>
    <row r="632" spans="23:29" x14ac:dyDescent="0.2">
      <c r="W632" s="2"/>
      <c r="X632" s="2"/>
      <c r="Y632" s="2"/>
      <c r="AA632" s="2"/>
      <c r="AB632" s="2"/>
      <c r="AC632" s="2"/>
    </row>
    <row r="633" spans="23:29" x14ac:dyDescent="0.2">
      <c r="W633" s="2"/>
      <c r="X633" s="2"/>
      <c r="Y633" s="2"/>
      <c r="AA633" s="2"/>
      <c r="AB633" s="2"/>
      <c r="AC633" s="2"/>
    </row>
    <row r="634" spans="23:29" x14ac:dyDescent="0.2">
      <c r="W634" s="2"/>
      <c r="X634" s="2"/>
      <c r="Y634" s="2"/>
      <c r="AA634" s="2"/>
      <c r="AB634" s="2"/>
      <c r="AC634" s="2"/>
    </row>
    <row r="635" spans="23:29" x14ac:dyDescent="0.2">
      <c r="W635" s="2"/>
      <c r="X635" s="2"/>
      <c r="Y635" s="2"/>
      <c r="AA635" s="2"/>
      <c r="AB635" s="2"/>
      <c r="AC635" s="2"/>
    </row>
    <row r="636" spans="23:29" x14ac:dyDescent="0.2">
      <c r="W636" s="2"/>
      <c r="X636" s="2"/>
      <c r="Y636" s="2"/>
      <c r="AA636" s="2"/>
      <c r="AB636" s="2"/>
      <c r="AC636" s="2"/>
    </row>
    <row r="637" spans="23:29" x14ac:dyDescent="0.2">
      <c r="W637" s="2"/>
      <c r="X637" s="2"/>
      <c r="Y637" s="2"/>
      <c r="AA637" s="2"/>
      <c r="AB637" s="2"/>
      <c r="AC637" s="2"/>
    </row>
    <row r="638" spans="23:29" x14ac:dyDescent="0.2">
      <c r="W638" s="2"/>
      <c r="X638" s="2"/>
      <c r="Y638" s="2"/>
      <c r="AA638" s="2"/>
      <c r="AB638" s="2"/>
      <c r="AC638" s="2"/>
    </row>
    <row r="639" spans="23:29" x14ac:dyDescent="0.2">
      <c r="W639" s="2"/>
      <c r="X639" s="2"/>
      <c r="Y639" s="2"/>
      <c r="AA639" s="2"/>
      <c r="AB639" s="2"/>
      <c r="AC639" s="2"/>
    </row>
    <row r="640" spans="23:29" x14ac:dyDescent="0.2">
      <c r="W640" s="2"/>
      <c r="X640" s="2"/>
      <c r="Y640" s="2"/>
      <c r="AA640" s="2"/>
      <c r="AB640" s="2"/>
      <c r="AC640" s="2"/>
    </row>
    <row r="641" spans="23:29" x14ac:dyDescent="0.2">
      <c r="W641" s="2"/>
      <c r="X641" s="2"/>
      <c r="Y641" s="2"/>
      <c r="AA641" s="2"/>
      <c r="AB641" s="2"/>
      <c r="AC641" s="2"/>
    </row>
    <row r="642" spans="23:29" x14ac:dyDescent="0.2">
      <c r="W642" s="2"/>
      <c r="X642" s="2"/>
      <c r="Y642" s="2"/>
      <c r="AA642" s="2"/>
      <c r="AB642" s="2"/>
      <c r="AC642" s="2"/>
    </row>
    <row r="643" spans="23:29" x14ac:dyDescent="0.2">
      <c r="W643" s="2"/>
      <c r="X643" s="2"/>
      <c r="Y643" s="2"/>
      <c r="AA643" s="2"/>
      <c r="AB643" s="2"/>
      <c r="AC643" s="2"/>
    </row>
    <row r="644" spans="23:29" x14ac:dyDescent="0.2">
      <c r="W644" s="2"/>
      <c r="X644" s="2"/>
      <c r="Y644" s="2"/>
      <c r="AA644" s="2"/>
      <c r="AB644" s="2"/>
      <c r="AC644" s="2"/>
    </row>
    <row r="645" spans="23:29" x14ac:dyDescent="0.2">
      <c r="W645" s="2"/>
      <c r="X645" s="2"/>
      <c r="Y645" s="2"/>
      <c r="AA645" s="2"/>
      <c r="AB645" s="2"/>
      <c r="AC645" s="2"/>
    </row>
    <row r="646" spans="23:29" x14ac:dyDescent="0.2">
      <c r="W646" s="2"/>
      <c r="X646" s="2"/>
      <c r="Y646" s="2"/>
      <c r="AA646" s="2"/>
      <c r="AB646" s="2"/>
      <c r="AC646" s="2"/>
    </row>
    <row r="647" spans="23:29" x14ac:dyDescent="0.2">
      <c r="W647" s="2"/>
      <c r="X647" s="2"/>
      <c r="Y647" s="2"/>
      <c r="AA647" s="2"/>
      <c r="AB647" s="2"/>
      <c r="AC647" s="2"/>
    </row>
    <row r="648" spans="23:29" x14ac:dyDescent="0.2">
      <c r="W648" s="2"/>
      <c r="X648" s="2"/>
      <c r="Y648" s="2"/>
      <c r="AA648" s="2"/>
      <c r="AB648" s="2"/>
      <c r="AC648" s="2"/>
    </row>
    <row r="649" spans="23:29" x14ac:dyDescent="0.2">
      <c r="W649" s="2"/>
      <c r="X649" s="2"/>
      <c r="Y649" s="2"/>
      <c r="AA649" s="2"/>
      <c r="AB649" s="2"/>
      <c r="AC649" s="2"/>
    </row>
    <row r="650" spans="23:29" x14ac:dyDescent="0.2">
      <c r="W650" s="2"/>
      <c r="X650" s="2"/>
      <c r="Y650" s="2"/>
      <c r="AA650" s="2"/>
      <c r="AB650" s="2"/>
      <c r="AC650" s="2"/>
    </row>
    <row r="651" spans="23:29" x14ac:dyDescent="0.2">
      <c r="W651" s="2"/>
      <c r="X651" s="2"/>
      <c r="Y651" s="2"/>
      <c r="AA651" s="2"/>
      <c r="AB651" s="2"/>
      <c r="AC651" s="2"/>
    </row>
    <row r="652" spans="23:29" x14ac:dyDescent="0.2">
      <c r="W652" s="2"/>
      <c r="X652" s="2"/>
      <c r="Y652" s="2"/>
      <c r="AA652" s="2"/>
      <c r="AB652" s="2"/>
      <c r="AC652" s="2"/>
    </row>
    <row r="653" spans="23:29" x14ac:dyDescent="0.2">
      <c r="W653" s="2"/>
      <c r="X653" s="2"/>
      <c r="Y653" s="2"/>
      <c r="AA653" s="2"/>
      <c r="AB653" s="2"/>
      <c r="AC653" s="2"/>
    </row>
    <row r="654" spans="23:29" x14ac:dyDescent="0.2">
      <c r="W654" s="2"/>
      <c r="X654" s="2"/>
      <c r="Y654" s="2"/>
      <c r="AA654" s="2"/>
      <c r="AB654" s="2"/>
      <c r="AC654" s="2"/>
    </row>
    <row r="655" spans="23:29" x14ac:dyDescent="0.2">
      <c r="W655" s="2"/>
      <c r="X655" s="2"/>
      <c r="Y655" s="2"/>
      <c r="AA655" s="2"/>
      <c r="AB655" s="2"/>
      <c r="AC655" s="2"/>
    </row>
    <row r="656" spans="23:29" x14ac:dyDescent="0.2">
      <c r="W656" s="2"/>
      <c r="X656" s="2"/>
      <c r="Y656" s="2"/>
      <c r="AA656" s="2"/>
      <c r="AB656" s="2"/>
      <c r="AC656" s="2"/>
    </row>
    <row r="657" spans="23:29" x14ac:dyDescent="0.2">
      <c r="W657" s="2"/>
      <c r="X657" s="2"/>
      <c r="Y657" s="2"/>
      <c r="AA657" s="2"/>
      <c r="AB657" s="2"/>
      <c r="AC657" s="2"/>
    </row>
    <row r="658" spans="23:29" x14ac:dyDescent="0.2">
      <c r="W658" s="2"/>
      <c r="X658" s="2"/>
      <c r="Y658" s="2"/>
      <c r="AA658" s="2"/>
      <c r="AB658" s="2"/>
      <c r="AC658" s="2"/>
    </row>
    <row r="659" spans="23:29" x14ac:dyDescent="0.2">
      <c r="W659" s="2"/>
      <c r="X659" s="2"/>
      <c r="Y659" s="2"/>
      <c r="AA659" s="2"/>
      <c r="AB659" s="2"/>
      <c r="AC659" s="2"/>
    </row>
    <row r="660" spans="23:29" x14ac:dyDescent="0.2">
      <c r="W660" s="2"/>
      <c r="X660" s="2"/>
      <c r="Y660" s="2"/>
      <c r="AA660" s="2"/>
      <c r="AB660" s="2"/>
      <c r="AC660" s="2"/>
    </row>
    <row r="661" spans="23:29" x14ac:dyDescent="0.2">
      <c r="W661" s="2"/>
      <c r="X661" s="2"/>
      <c r="Y661" s="2"/>
      <c r="AA661" s="2"/>
      <c r="AB661" s="2"/>
      <c r="AC661" s="2"/>
    </row>
    <row r="662" spans="23:29" x14ac:dyDescent="0.2">
      <c r="W662" s="2"/>
      <c r="X662" s="2"/>
      <c r="Y662" s="2"/>
      <c r="AA662" s="2"/>
      <c r="AB662" s="2"/>
      <c r="AC662" s="2"/>
    </row>
    <row r="663" spans="23:29" x14ac:dyDescent="0.2">
      <c r="W663" s="2"/>
      <c r="X663" s="2"/>
      <c r="Y663" s="2"/>
      <c r="AA663" s="2"/>
      <c r="AB663" s="2"/>
      <c r="AC663" s="2"/>
    </row>
    <row r="664" spans="23:29" x14ac:dyDescent="0.2">
      <c r="W664" s="2"/>
      <c r="X664" s="2"/>
      <c r="Y664" s="2"/>
      <c r="AA664" s="2"/>
      <c r="AB664" s="2"/>
      <c r="AC664" s="2"/>
    </row>
    <row r="665" spans="23:29" x14ac:dyDescent="0.2">
      <c r="W665" s="2"/>
      <c r="X665" s="2"/>
      <c r="Y665" s="2"/>
      <c r="AA665" s="2"/>
      <c r="AB665" s="2"/>
      <c r="AC665" s="2"/>
    </row>
    <row r="666" spans="23:29" x14ac:dyDescent="0.2">
      <c r="W666" s="2"/>
      <c r="X666" s="2"/>
      <c r="Y666" s="2"/>
      <c r="AA666" s="2"/>
      <c r="AB666" s="2"/>
      <c r="AC666" s="2"/>
    </row>
    <row r="667" spans="23:29" x14ac:dyDescent="0.2">
      <c r="W667" s="2"/>
      <c r="X667" s="2"/>
      <c r="Y667" s="2"/>
      <c r="AA667" s="2"/>
      <c r="AB667" s="2"/>
      <c r="AC667" s="2"/>
    </row>
    <row r="668" spans="23:29" x14ac:dyDescent="0.2">
      <c r="W668" s="2"/>
      <c r="X668" s="2"/>
      <c r="Y668" s="2"/>
      <c r="AA668" s="2"/>
      <c r="AB668" s="2"/>
      <c r="AC668" s="2"/>
    </row>
    <row r="669" spans="23:29" x14ac:dyDescent="0.2">
      <c r="W669" s="2"/>
      <c r="X669" s="2"/>
      <c r="Y669" s="2"/>
      <c r="AA669" s="2"/>
      <c r="AB669" s="2"/>
      <c r="AC669" s="2"/>
    </row>
    <row r="670" spans="23:29" x14ac:dyDescent="0.2">
      <c r="W670" s="2"/>
      <c r="X670" s="2"/>
      <c r="Y670" s="2"/>
      <c r="AA670" s="2"/>
      <c r="AB670" s="2"/>
      <c r="AC670" s="2"/>
    </row>
    <row r="671" spans="23:29" x14ac:dyDescent="0.2">
      <c r="W671" s="2"/>
      <c r="X671" s="2"/>
      <c r="Y671" s="2"/>
      <c r="AA671" s="2"/>
      <c r="AB671" s="2"/>
      <c r="AC671" s="2"/>
    </row>
    <row r="672" spans="23:29" x14ac:dyDescent="0.2">
      <c r="W672" s="2"/>
      <c r="X672" s="2"/>
      <c r="Y672" s="2"/>
      <c r="AA672" s="2"/>
      <c r="AB672" s="2"/>
      <c r="AC672" s="2"/>
    </row>
    <row r="673" spans="23:29" x14ac:dyDescent="0.2">
      <c r="W673" s="2"/>
      <c r="X673" s="2"/>
      <c r="Y673" s="2"/>
      <c r="AA673" s="2"/>
      <c r="AB673" s="2"/>
      <c r="AC673" s="2"/>
    </row>
    <row r="674" spans="23:29" x14ac:dyDescent="0.2">
      <c r="W674" s="2"/>
      <c r="X674" s="2"/>
      <c r="Y674" s="2"/>
      <c r="AA674" s="2"/>
      <c r="AB674" s="2"/>
      <c r="AC674" s="2"/>
    </row>
    <row r="675" spans="23:29" x14ac:dyDescent="0.2">
      <c r="W675" s="2"/>
      <c r="X675" s="2"/>
      <c r="Y675" s="2"/>
      <c r="AA675" s="2"/>
      <c r="AB675" s="2"/>
      <c r="AC675" s="2"/>
    </row>
    <row r="676" spans="23:29" x14ac:dyDescent="0.2">
      <c r="W676" s="2"/>
      <c r="X676" s="2"/>
      <c r="Y676" s="2"/>
      <c r="AA676" s="2"/>
      <c r="AB676" s="2"/>
      <c r="AC676" s="2"/>
    </row>
    <row r="677" spans="23:29" x14ac:dyDescent="0.2">
      <c r="W677" s="2"/>
      <c r="X677" s="2"/>
      <c r="Y677" s="2"/>
      <c r="AA677" s="2"/>
      <c r="AB677" s="2"/>
      <c r="AC677" s="2"/>
    </row>
    <row r="678" spans="23:29" x14ac:dyDescent="0.2">
      <c r="W678" s="2"/>
      <c r="X678" s="2"/>
      <c r="Y678" s="2"/>
      <c r="AA678" s="2"/>
      <c r="AB678" s="2"/>
      <c r="AC678" s="2"/>
    </row>
    <row r="679" spans="23:29" x14ac:dyDescent="0.2">
      <c r="W679" s="2"/>
      <c r="X679" s="2"/>
      <c r="Y679" s="2"/>
      <c r="AA679" s="2"/>
      <c r="AB679" s="2"/>
      <c r="AC679" s="2"/>
    </row>
    <row r="680" spans="23:29" x14ac:dyDescent="0.2">
      <c r="W680" s="2"/>
      <c r="X680" s="2"/>
      <c r="Y680" s="2"/>
      <c r="AA680" s="2"/>
      <c r="AB680" s="2"/>
      <c r="AC680" s="2"/>
    </row>
    <row r="681" spans="23:29" x14ac:dyDescent="0.2">
      <c r="W681" s="2"/>
      <c r="X681" s="2"/>
      <c r="Y681" s="2"/>
      <c r="AA681" s="2"/>
      <c r="AB681" s="2"/>
      <c r="AC681" s="2"/>
    </row>
    <row r="682" spans="23:29" x14ac:dyDescent="0.2">
      <c r="W682" s="2"/>
      <c r="X682" s="2"/>
      <c r="Y682" s="2"/>
      <c r="AA682" s="2"/>
      <c r="AB682" s="2"/>
      <c r="AC682" s="2"/>
    </row>
    <row r="683" spans="23:29" x14ac:dyDescent="0.2">
      <c r="W683" s="2"/>
      <c r="X683" s="2"/>
      <c r="Y683" s="2"/>
      <c r="AA683" s="2"/>
      <c r="AB683" s="2"/>
      <c r="AC683" s="2"/>
    </row>
    <row r="684" spans="23:29" x14ac:dyDescent="0.2">
      <c r="W684" s="2"/>
      <c r="X684" s="2"/>
      <c r="Y684" s="2"/>
      <c r="AA684" s="2"/>
      <c r="AB684" s="2"/>
      <c r="AC684" s="2"/>
    </row>
    <row r="685" spans="23:29" x14ac:dyDescent="0.2">
      <c r="W685" s="2"/>
      <c r="X685" s="2"/>
      <c r="Y685" s="2"/>
      <c r="AA685" s="2"/>
      <c r="AB685" s="2"/>
      <c r="AC685" s="2"/>
    </row>
    <row r="686" spans="23:29" x14ac:dyDescent="0.2">
      <c r="W686" s="2"/>
      <c r="X686" s="2"/>
      <c r="Y686" s="2"/>
      <c r="AA686" s="2"/>
      <c r="AB686" s="2"/>
      <c r="AC686" s="2"/>
    </row>
    <row r="687" spans="23:29" x14ac:dyDescent="0.2">
      <c r="W687" s="2"/>
      <c r="X687" s="2"/>
      <c r="Y687" s="2"/>
      <c r="AA687" s="2"/>
      <c r="AB687" s="2"/>
      <c r="AC687" s="2"/>
    </row>
    <row r="688" spans="23:29" x14ac:dyDescent="0.2">
      <c r="W688" s="2"/>
      <c r="X688" s="2"/>
      <c r="Y688" s="2"/>
      <c r="AA688" s="2"/>
      <c r="AB688" s="2"/>
      <c r="AC688" s="2"/>
    </row>
    <row r="689" spans="23:29" x14ac:dyDescent="0.2">
      <c r="W689" s="2"/>
      <c r="X689" s="2"/>
      <c r="Y689" s="2"/>
      <c r="AA689" s="2"/>
      <c r="AB689" s="2"/>
      <c r="AC689" s="2"/>
    </row>
    <row r="690" spans="23:29" x14ac:dyDescent="0.2">
      <c r="W690" s="2"/>
      <c r="X690" s="2"/>
      <c r="Y690" s="2"/>
      <c r="AA690" s="2"/>
      <c r="AB690" s="2"/>
      <c r="AC690" s="2"/>
    </row>
    <row r="691" spans="23:29" x14ac:dyDescent="0.2">
      <c r="W691" s="2"/>
      <c r="X691" s="2"/>
      <c r="Y691" s="2"/>
      <c r="AA691" s="2"/>
      <c r="AB691" s="2"/>
      <c r="AC691" s="2"/>
    </row>
    <row r="692" spans="23:29" x14ac:dyDescent="0.2">
      <c r="W692" s="2"/>
      <c r="X692" s="2"/>
      <c r="Y692" s="2"/>
      <c r="AA692" s="2"/>
      <c r="AB692" s="2"/>
      <c r="AC692" s="2"/>
    </row>
    <row r="693" spans="23:29" x14ac:dyDescent="0.2">
      <c r="W693" s="2"/>
      <c r="X693" s="2"/>
      <c r="Y693" s="2"/>
      <c r="AA693" s="2"/>
      <c r="AB693" s="2"/>
      <c r="AC693" s="2"/>
    </row>
    <row r="694" spans="23:29" x14ac:dyDescent="0.2">
      <c r="W694" s="2"/>
      <c r="X694" s="2"/>
      <c r="Y694" s="2"/>
      <c r="AA694" s="2"/>
      <c r="AB694" s="2"/>
      <c r="AC694" s="2"/>
    </row>
    <row r="695" spans="23:29" x14ac:dyDescent="0.2">
      <c r="W695" s="2"/>
      <c r="X695" s="2"/>
      <c r="Y695" s="2"/>
      <c r="AA695" s="2"/>
      <c r="AB695" s="2"/>
      <c r="AC695" s="2"/>
    </row>
    <row r="696" spans="23:29" x14ac:dyDescent="0.2">
      <c r="W696" s="2"/>
      <c r="X696" s="2"/>
      <c r="Y696" s="2"/>
      <c r="AA696" s="2"/>
      <c r="AB696" s="2"/>
      <c r="AC696" s="2"/>
    </row>
    <row r="697" spans="23:29" x14ac:dyDescent="0.2">
      <c r="W697" s="2"/>
      <c r="X697" s="2"/>
      <c r="Y697" s="2"/>
      <c r="AA697" s="2"/>
      <c r="AB697" s="2"/>
      <c r="AC697" s="2"/>
    </row>
    <row r="698" spans="23:29" x14ac:dyDescent="0.2">
      <c r="W698" s="2"/>
      <c r="X698" s="2"/>
      <c r="Y698" s="2"/>
      <c r="AA698" s="2"/>
      <c r="AB698" s="2"/>
      <c r="AC698" s="2"/>
    </row>
    <row r="699" spans="23:29" x14ac:dyDescent="0.2">
      <c r="W699" s="2"/>
      <c r="X699" s="2"/>
      <c r="Y699" s="2"/>
      <c r="AA699" s="2"/>
      <c r="AB699" s="2"/>
      <c r="AC699" s="2"/>
    </row>
    <row r="700" spans="23:29" x14ac:dyDescent="0.2">
      <c r="W700" s="2"/>
      <c r="X700" s="2"/>
      <c r="Y700" s="2"/>
      <c r="AA700" s="2"/>
      <c r="AB700" s="2"/>
      <c r="AC700" s="2"/>
    </row>
    <row r="701" spans="23:29" x14ac:dyDescent="0.2">
      <c r="W701" s="2"/>
      <c r="X701" s="2"/>
      <c r="Y701" s="2"/>
      <c r="AA701" s="2"/>
      <c r="AB701" s="2"/>
      <c r="AC701" s="2"/>
    </row>
    <row r="702" spans="23:29" x14ac:dyDescent="0.2">
      <c r="W702" s="2"/>
      <c r="X702" s="2"/>
      <c r="Y702" s="2"/>
      <c r="AA702" s="2"/>
      <c r="AB702" s="2"/>
      <c r="AC702" s="2"/>
    </row>
    <row r="703" spans="23:29" x14ac:dyDescent="0.2">
      <c r="W703" s="2"/>
      <c r="X703" s="2"/>
      <c r="Y703" s="2"/>
      <c r="AA703" s="2"/>
      <c r="AB703" s="2"/>
      <c r="AC703" s="2"/>
    </row>
    <row r="704" spans="23:29" x14ac:dyDescent="0.2">
      <c r="W704" s="2"/>
      <c r="X704" s="2"/>
      <c r="Y704" s="2"/>
      <c r="AA704" s="2"/>
      <c r="AB704" s="2"/>
      <c r="AC704" s="2"/>
    </row>
    <row r="705" spans="23:29" x14ac:dyDescent="0.2">
      <c r="W705" s="2"/>
      <c r="X705" s="2"/>
      <c r="Y705" s="2"/>
      <c r="AA705" s="2"/>
      <c r="AB705" s="2"/>
      <c r="AC705" s="2"/>
    </row>
    <row r="706" spans="23:29" x14ac:dyDescent="0.2">
      <c r="W706" s="2"/>
      <c r="X706" s="2"/>
      <c r="Y706" s="2"/>
      <c r="AA706" s="2"/>
      <c r="AB706" s="2"/>
      <c r="AC706" s="2"/>
    </row>
    <row r="707" spans="23:29" x14ac:dyDescent="0.2">
      <c r="W707" s="2"/>
      <c r="X707" s="2"/>
      <c r="Y707" s="2"/>
      <c r="AA707" s="2"/>
      <c r="AB707" s="2"/>
      <c r="AC707" s="2"/>
    </row>
    <row r="708" spans="23:29" x14ac:dyDescent="0.2">
      <c r="W708" s="2"/>
      <c r="X708" s="2"/>
      <c r="Y708" s="2"/>
      <c r="AA708" s="2"/>
      <c r="AB708" s="2"/>
      <c r="AC7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FBYields</vt:lpstr>
      <vt:lpstr>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Veronesi, Pietro</dc:creator>
  <cp:lastModifiedBy>Heaton, John C.</cp:lastModifiedBy>
  <dcterms:created xsi:type="dcterms:W3CDTF">2011-10-14T13:45:43Z</dcterms:created>
  <dcterms:modified xsi:type="dcterms:W3CDTF">2024-04-01T17:28:27Z</dcterms:modified>
</cp:coreProperties>
</file>